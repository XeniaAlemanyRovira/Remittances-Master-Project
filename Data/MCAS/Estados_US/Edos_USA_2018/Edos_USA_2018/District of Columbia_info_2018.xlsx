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CONS\CONS\1)EdoUSA_archivo_único\"/>
    </mc:Choice>
  </mc:AlternateContent>
  <bookViews>
    <workbookView xWindow="0" yWindow="0" windowWidth="24000" windowHeight="9345" tabRatio="942" activeTab="5"/>
  </bookViews>
  <sheets>
    <sheet name="Índice" sheetId="1" r:id="rId1"/>
    <sheet name="District of Columbia_Edomexgral" sheetId="4" r:id="rId2"/>
    <sheet name="District of Columbia_EDOMEX" sheetId="2" r:id="rId3"/>
    <sheet name="District of Columbia_Educagral" sheetId="7" r:id="rId4"/>
    <sheet name="District of Columbia_Eduedo" sheetId="8" r:id="rId5"/>
    <sheet name="District of Columbia_gengral18" sheetId="5" r:id="rId6"/>
    <sheet name="District of Columbia_edomexgen" sheetId="9" r:id="rId7"/>
    <sheet name="District of Columbia_edadgen" sheetId="6" r:id="rId8"/>
    <sheet name="District of Columbia_ocupgral18" sheetId="3" r:id="rId9"/>
  </sheets>
  <definedNames>
    <definedName name="_xlnm._FilterDatabase" localSheetId="7" hidden="1">'District of Columbia_edadgen'!$B$9:$E$13</definedName>
    <definedName name="_xlnm._FilterDatabase" localSheetId="2" hidden="1">'District of Columbia_EDOMEX'!$B$9:$E$13</definedName>
    <definedName name="_xlnm._FilterDatabase" localSheetId="6" hidden="1">'District of Columbia_edomexgen'!$B$9:$E$13</definedName>
    <definedName name="_xlnm._FilterDatabase" localSheetId="1" hidden="1">'District of Columbia_Edomexgral'!$B$11:$D$12</definedName>
    <definedName name="_xlnm._FilterDatabase" localSheetId="3" hidden="1">'District of Columbia_Educagral'!$B$11:$D$12</definedName>
    <definedName name="_xlnm._FilterDatabase" localSheetId="4" hidden="1">'District of Columbia_Eduedo'!$B$9:$E$13</definedName>
    <definedName name="_xlnm._FilterDatabase" localSheetId="5" hidden="1">'District of Columbia_gengral18'!$B$11:$D$12</definedName>
    <definedName name="_xlnm._FilterDatabase" localSheetId="8" hidden="1">'District of Columbia_ocupgral18'!$B$11:$D$12</definedName>
    <definedName name="_xlnm.Print_Area" localSheetId="7">'District of Columbia_edadgen'!$A$1:$E$30</definedName>
    <definedName name="_xlnm.Print_Area" localSheetId="2">'District of Columbia_EDOMEX'!$A$1:$E$189</definedName>
    <definedName name="_xlnm.Print_Area" localSheetId="6">'District of Columbia_edomexgen'!$A$1:$E$89</definedName>
    <definedName name="_xlnm.Print_Area" localSheetId="4">'District of Columbia_Eduedo'!$A$1:$E$155</definedName>
    <definedName name="_xlnm.Print_Titles" localSheetId="7">'District of Columbia_edadgen'!$1:$9</definedName>
    <definedName name="_xlnm.Print_Titles" localSheetId="2">'District of Columbia_EDOMEX'!$1:$9</definedName>
    <definedName name="_xlnm.Print_Titles" localSheetId="6">'District of Columbia_edomexgen'!$1:$9</definedName>
    <definedName name="_xlnm.Print_Titles" localSheetId="1">'District of Columbia_Edomexgral'!$1:$11</definedName>
    <definedName name="_xlnm.Print_Titles" localSheetId="3">'District of Columbia_Educagral'!$1:$11</definedName>
    <definedName name="_xlnm.Print_Titles" localSheetId="4">'District of Columbia_Eduedo'!$1:$9</definedName>
    <definedName name="_xlnm.Print_Titles" localSheetId="5">'District of Columbia_gengral18'!$1:$11</definedName>
    <definedName name="_xlnm.Print_Titles" localSheetId="8">'District of Columbia_ocupgral18'!$1:$11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3" i="9" l="1"/>
  <c r="D183" i="2"/>
</calcChain>
</file>

<file path=xl/sharedStrings.xml><?xml version="1.0" encoding="utf-8"?>
<sst xmlns="http://schemas.openxmlformats.org/spreadsheetml/2006/main" count="646" uniqueCount="253">
  <si>
    <t xml:space="preserve">Da clic al texto para ir a la información, selecciona                 para regresar. </t>
  </si>
  <si>
    <t>1. Por Estados de la República Mexicana</t>
  </si>
  <si>
    <t>2. Por Municipio de origen</t>
  </si>
  <si>
    <t>3. Por Nivel Educativo</t>
  </si>
  <si>
    <t>4. Por Género</t>
  </si>
  <si>
    <t>5. Por estructura de Edad</t>
  </si>
  <si>
    <t>6. Por Ocupación</t>
  </si>
  <si>
    <t>2.1 Por estado de la República Mexicana y municipio de origen</t>
  </si>
  <si>
    <t>3.1 Educación general</t>
  </si>
  <si>
    <t>3.2 Por Estado de la República Mexicana</t>
  </si>
  <si>
    <t>4.1 Género General</t>
  </si>
  <si>
    <t>4.2 Por Estados de la República Mexicana</t>
  </si>
  <si>
    <t>Matrículas consulares expedidas a mexicanos  en el estado de District of Columbia en el 2018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</si>
  <si>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</si>
  <si>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</si>
  <si>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</si>
  <si>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</si>
  <si>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</si>
  <si>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</si>
  <si>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Valparaíso</t>
  </si>
  <si>
    <t>Sombrerete</t>
  </si>
  <si>
    <t>Zacatecas</t>
  </si>
  <si>
    <t>Mérida</t>
  </si>
  <si>
    <t>Yucatán</t>
  </si>
  <si>
    <t>Zongolica</t>
  </si>
  <si>
    <t>Yanga</t>
  </si>
  <si>
    <t>Uxpanapa</t>
  </si>
  <si>
    <t>Tlapacoyan</t>
  </si>
  <si>
    <t>Tierra Blanca</t>
  </si>
  <si>
    <t>Rafael Delgado</t>
  </si>
  <si>
    <t>Jáltipan</t>
  </si>
  <si>
    <t>Hueyapan de Ocampo</t>
  </si>
  <si>
    <t>Córdoba</t>
  </si>
  <si>
    <t>Chinampa de Gorostiza</t>
  </si>
  <si>
    <t>Catemaco</t>
  </si>
  <si>
    <t>Veracruz</t>
  </si>
  <si>
    <t>Tlaxcala</t>
  </si>
  <si>
    <t>Chiautempan</t>
  </si>
  <si>
    <t>Apizaco</t>
  </si>
  <si>
    <t>Tampico</t>
  </si>
  <si>
    <t>Tamaulipas</t>
  </si>
  <si>
    <t>Balancán</t>
  </si>
  <si>
    <t>Tabasco</t>
  </si>
  <si>
    <t>Sinaloa</t>
  </si>
  <si>
    <t>Culiacán</t>
  </si>
  <si>
    <t>San Luis Potosí</t>
  </si>
  <si>
    <t>Benito Juárez</t>
  </si>
  <si>
    <t>Quintana Roo</t>
  </si>
  <si>
    <t>Landa de Matamoros</t>
  </si>
  <si>
    <t>Querétaro</t>
  </si>
  <si>
    <t>Zautla</t>
  </si>
  <si>
    <t>Zaragoza</t>
  </si>
  <si>
    <t>Xochitlán Todos Santos</t>
  </si>
  <si>
    <t>Xicotepec</t>
  </si>
  <si>
    <t>Tochimilco</t>
  </si>
  <si>
    <t>Tlatlauquitepec</t>
  </si>
  <si>
    <t>Tlacotepec de Benito Juárez</t>
  </si>
  <si>
    <t>Tianguismanalco</t>
  </si>
  <si>
    <t>Teziutlán</t>
  </si>
  <si>
    <t>Tepeaca</t>
  </si>
  <si>
    <t>Tepanco de López</t>
  </si>
  <si>
    <t>Tehuitzingo</t>
  </si>
  <si>
    <t>Tehuacán</t>
  </si>
  <si>
    <t>Tecamachalco</t>
  </si>
  <si>
    <t>Santiago Miahuatlán</t>
  </si>
  <si>
    <t>San José Chiapa</t>
  </si>
  <si>
    <t>Quimixtlán</t>
  </si>
  <si>
    <t>Puebla</t>
  </si>
  <si>
    <t>Ocoyucan</t>
  </si>
  <si>
    <t>Nicolás Bravo</t>
  </si>
  <si>
    <t>Molcaxac</t>
  </si>
  <si>
    <t>Jopala</t>
  </si>
  <si>
    <t>Ixcamilpa de Guerrero</t>
  </si>
  <si>
    <t>Huauchinango</t>
  </si>
  <si>
    <t>Cuayuca de Andrade</t>
  </si>
  <si>
    <t>Acatlán</t>
  </si>
  <si>
    <t>Teotitlán del Valle</t>
  </si>
  <si>
    <t>Santiago Yosondúa</t>
  </si>
  <si>
    <t>Santiago Pinotepa Nacional</t>
  </si>
  <si>
    <t>Santa María Yolotepec</t>
  </si>
  <si>
    <t>Santa Cruz Zenzontepec</t>
  </si>
  <si>
    <t>Santa Ana Tlapacoyan</t>
  </si>
  <si>
    <t>San Pablo Huitzo</t>
  </si>
  <si>
    <t>San Lucas Quiaviní</t>
  </si>
  <si>
    <t>San Juan Bautista Jayacatlán</t>
  </si>
  <si>
    <t>Ocotlán de Morelos</t>
  </si>
  <si>
    <t>Magdalena Apasco</t>
  </si>
  <si>
    <t>Heroica Ciudad de Juchitán de Zaragoza</t>
  </si>
  <si>
    <t>Heroica Ciudad de Ejutla de Crespo</t>
  </si>
  <si>
    <t>Concepción Pápalo</t>
  </si>
  <si>
    <t>Oaxaca</t>
  </si>
  <si>
    <t>San Nicolás de los Garza</t>
  </si>
  <si>
    <t>Monterrey</t>
  </si>
  <si>
    <t>Nuevo León</t>
  </si>
  <si>
    <t>Compostela</t>
  </si>
  <si>
    <t>Nayarit</t>
  </si>
  <si>
    <t>Tlaquiltenango</t>
  </si>
  <si>
    <t>Jojutla</t>
  </si>
  <si>
    <t>Cuernavaca</t>
  </si>
  <si>
    <t>Morelos</t>
  </si>
  <si>
    <t>Zitácuaro</t>
  </si>
  <si>
    <t>Zacapu</t>
  </si>
  <si>
    <t>Morelia</t>
  </si>
  <si>
    <t>Maravatío</t>
  </si>
  <si>
    <t>La Piedad</t>
  </si>
  <si>
    <t>Juárez</t>
  </si>
  <si>
    <t>Aguililla</t>
  </si>
  <si>
    <t>Michoacán</t>
  </si>
  <si>
    <t>Zapopan</t>
  </si>
  <si>
    <t>Magdalena</t>
  </si>
  <si>
    <t>Lagos de Moreno</t>
  </si>
  <si>
    <t>Guadalajara</t>
  </si>
  <si>
    <t>Jalisco</t>
  </si>
  <si>
    <t>San Salvador</t>
  </si>
  <si>
    <t>Pisaflores</t>
  </si>
  <si>
    <t>Pachuca de Soto</t>
  </si>
  <si>
    <t>Ixmiquilpan</t>
  </si>
  <si>
    <t>Calnali</t>
  </si>
  <si>
    <t>Hidalgo</t>
  </si>
  <si>
    <t>Tlapa de Comonfort</t>
  </si>
  <si>
    <t>Tlalchapa</t>
  </si>
  <si>
    <t>San Luis Acatlán</t>
  </si>
  <si>
    <t>Ometepec</t>
  </si>
  <si>
    <t>Coyuca de Benítez</t>
  </si>
  <si>
    <t>Copanatoyac</t>
  </si>
  <si>
    <t>Copala</t>
  </si>
  <si>
    <t>Chilapa de Álvarez</t>
  </si>
  <si>
    <t>Atoyac de Álvarez</t>
  </si>
  <si>
    <t>Atlixtac</t>
  </si>
  <si>
    <t>Arcelia</t>
  </si>
  <si>
    <t>Ahuacuotzingo</t>
  </si>
  <si>
    <t>Acapulco de Juárez</t>
  </si>
  <si>
    <t>Guerrero</t>
  </si>
  <si>
    <t>Santa Cruz de Juventino Rosas</t>
  </si>
  <si>
    <t>Irapuato</t>
  </si>
  <si>
    <t>Celaya</t>
  </si>
  <si>
    <t>San Miguel de Allende</t>
  </si>
  <si>
    <t>Guanajuato</t>
  </si>
  <si>
    <t>Tlalnepantla de Baz</t>
  </si>
  <si>
    <t>Teoloyucan</t>
  </si>
  <si>
    <t>Tejupilco</t>
  </si>
  <si>
    <t>Otumba</t>
  </si>
  <si>
    <t>Nezahualcóyotl</t>
  </si>
  <si>
    <t>Ixtlahuaca</t>
  </si>
  <si>
    <t>Ecatepec de Morelos</t>
  </si>
  <si>
    <t>Chimalhuacán</t>
  </si>
  <si>
    <t>Almoloya de Alquisiras</t>
  </si>
  <si>
    <t>Estado de México</t>
  </si>
  <si>
    <t>Gómez Palacio</t>
  </si>
  <si>
    <t>Durango</t>
  </si>
  <si>
    <t>Venustiano Carranza</t>
  </si>
  <si>
    <t>Tlalpan</t>
  </si>
  <si>
    <t>Miguel Hidalgo</t>
  </si>
  <si>
    <t>La Magdalena Contreras</t>
  </si>
  <si>
    <t>Iztacalco</t>
  </si>
  <si>
    <t>Gustavo A. Madero</t>
  </si>
  <si>
    <t>Cuauhtémoc</t>
  </si>
  <si>
    <t>Coyoacán</t>
  </si>
  <si>
    <t>Azcapotzalco</t>
  </si>
  <si>
    <t>Álvaro Obregón</t>
  </si>
  <si>
    <t>Ciudad de México</t>
  </si>
  <si>
    <t>Colima</t>
  </si>
  <si>
    <t>Torreón</t>
  </si>
  <si>
    <t>Coahuila</t>
  </si>
  <si>
    <t>Chihuahua</t>
  </si>
  <si>
    <t>Tonalá</t>
  </si>
  <si>
    <t>Tapachula</t>
  </si>
  <si>
    <t>Socoltenango</t>
  </si>
  <si>
    <t>Salto de Agua</t>
  </si>
  <si>
    <t>La Trinitaria</t>
  </si>
  <si>
    <t>Huixtla</t>
  </si>
  <si>
    <t>Huehuetán</t>
  </si>
  <si>
    <t>Frontera Hidalgo</t>
  </si>
  <si>
    <t>Frontera Comalapa</t>
  </si>
  <si>
    <t>Comitán de Domínguez</t>
  </si>
  <si>
    <t>Bella Vista</t>
  </si>
  <si>
    <t>Amatenango de la Frontera</t>
  </si>
  <si>
    <t>Chiapas</t>
  </si>
  <si>
    <t>Champotón</t>
  </si>
  <si>
    <t>Campeche</t>
  </si>
  <si>
    <t>La Paz</t>
  </si>
  <si>
    <t>Baja California Sur</t>
  </si>
  <si>
    <t>Tijuana</t>
  </si>
  <si>
    <t>Baja California</t>
  </si>
  <si>
    <t>Porcentaje de Matrículas</t>
  </si>
  <si>
    <t>Número de Matrículas</t>
  </si>
  <si>
    <t>Municipio Origen</t>
  </si>
  <si>
    <t>Estado de Origen</t>
  </si>
  <si>
    <t>Pintor(a)</t>
  </si>
  <si>
    <t>Jardinero(a)</t>
  </si>
  <si>
    <t>Chofer</t>
  </si>
  <si>
    <t>Campesino(a)</t>
  </si>
  <si>
    <t>Cajero(a)</t>
  </si>
  <si>
    <t>Operario(a)</t>
  </si>
  <si>
    <t>Jubilado(a)</t>
  </si>
  <si>
    <t>Carnicero</t>
  </si>
  <si>
    <t>Estudiante</t>
  </si>
  <si>
    <t>Profesionista</t>
  </si>
  <si>
    <t>Albañil</t>
  </si>
  <si>
    <t>Mesero(a)</t>
  </si>
  <si>
    <t>Obrero(a)</t>
  </si>
  <si>
    <t>Hogar</t>
  </si>
  <si>
    <t>Otro</t>
  </si>
  <si>
    <t>Empleado(a)</t>
  </si>
  <si>
    <t>Cocinero(a)</t>
  </si>
  <si>
    <t>Ocupación</t>
  </si>
  <si>
    <t>MATRÍCULAS CONSULARES DE ALTA SEGURIDAD EXPEDIDAS EN EE.UU A MEXICANOS EN EL ESTADO DE  DISTRICT OF COLUMBIA, POR PERFIL OCUPACIONAL 2018</t>
  </si>
  <si>
    <t>Aguascalientes</t>
  </si>
  <si>
    <t>MATRÍCULAS CONSULARES DE ALTA SEGURIDAD EXPEDIDAS EN EL ESTADO DE DISTRICT OF COLUMBIA EN EE.UU. POR ESTADO DE LA REPÚBLICA MEXICANA DURANTE EL 2018</t>
  </si>
  <si>
    <t>TOTAL</t>
  </si>
  <si>
    <t>MUJER</t>
  </si>
  <si>
    <t>HOMBRE</t>
  </si>
  <si>
    <t>Género</t>
  </si>
  <si>
    <t>MATRÍCULAS CONSULARES DE ALTA SEGURIDAD EXPEDIDAS EN EE.UU A MEXICANOS EN EL ESTADO DE DISTRICT OF COLUMBIA, POR GÉNERO 2018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</si>
  <si>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</si>
  <si>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</si>
  <si>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</si>
  <si>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</si>
  <si>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</si>
  <si>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</si>
  <si>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Mujer</t>
  </si>
  <si>
    <t>Más de 75 Años</t>
  </si>
  <si>
    <t>Hasta 10 Años</t>
  </si>
  <si>
    <t>Hombre</t>
  </si>
  <si>
    <t>Edad cumplida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</si>
  <si>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</si>
  <si>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</si>
  <si>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</si>
  <si>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</si>
  <si>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</si>
  <si>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</si>
  <si>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</si>
  <si>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</si>
  <si>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</si>
  <si>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</si>
  <si>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</si>
  <si>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</si>
  <si>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</si>
  <si>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</si>
  <si>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</si>
  <si>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</si>
  <si>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</si>
  <si>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</si>
  <si>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</si>
  <si>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</si>
  <si>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</si>
  <si>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</si>
  <si>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</si>
  <si>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</si>
  <si>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Nivel de Estudios</t>
  </si>
  <si>
    <t>MATRÍCULAS CONSULARES EXPEDIDAS EN EL ESTADO DE DISTRICT OF COLUMBIA EN EE.UU. POR NIVEL DE EDUCACIÓN</t>
  </si>
  <si>
    <t>Profesional titulado</t>
  </si>
  <si>
    <t>Capacitación técnica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</si>
</sst>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3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7"/>
      <color indexed="8"/>
      <name val="Montserrat"/>
    </font>
    <font>
      <b/>
      <sz val="9"/>
      <color theme="0"/>
      <name val="Montserrat"/>
    </font>
    <font>
      <sz val="9"/>
      <name val="Montserrat"/>
    </font>
    <font>
      <sz val="8"/>
      <color theme="1"/>
      <name val="Soberana Sans"/>
      <family val="3"/>
    </font>
    <font>
      <sz val="8"/>
      <color theme="1"/>
      <name val="Arial"/>
      <family val="2"/>
    </font>
    <font>
      <b/>
      <sz val="9"/>
      <color indexed="9"/>
      <name val="Montserrat"/>
    </font>
    <font>
      <sz val="11"/>
      <color theme="1"/>
      <name val="Soberana Sans"/>
      <family val="3"/>
    </font>
    <font>
      <b/>
      <sz val="11"/>
      <name val="Arial Narrow"/>
      <family val="2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Arial Narrow"/>
      <family val="2"/>
    </font>
    <font>
      <sz val="10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9" fontId="7" fillId="0" borderId="0" applyFont="0" applyFill="0" applyBorder="0" applyAlignment="0" applyProtection="0"/>
    <xf numFmtId="0" fontId="4" fillId="0" borderId="0"/>
  </cellStyleXfs>
  <cellXfs count="79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8" fillId="3" borderId="0" xfId="0" applyFont="1" applyFill="1"/>
    <xf numFmtId="0" fontId="9" fillId="3" borderId="0" xfId="0" applyFont="1" applyFill="1"/>
    <xf numFmtId="0" fontId="10" fillId="0" borderId="0" xfId="0" applyFont="1" applyBorder="1"/>
    <xf numFmtId="0" fontId="10" fillId="0" borderId="0" xfId="0" applyFont="1" applyBorder="1" applyAlignment="1">
      <alignment vertical="top"/>
    </xf>
    <xf numFmtId="0" fontId="11" fillId="3" borderId="0" xfId="0" applyFont="1" applyFill="1"/>
    <xf numFmtId="0" fontId="11" fillId="3" borderId="0" xfId="0" applyFont="1" applyFill="1" applyAlignment="1">
      <alignment vertical="top"/>
    </xf>
    <xf numFmtId="0" fontId="11" fillId="3" borderId="0" xfId="0" applyFont="1" applyFill="1" applyAlignment="1">
      <alignment vertical="center"/>
    </xf>
    <xf numFmtId="164" fontId="12" fillId="4" borderId="9" xfId="0" applyNumberFormat="1" applyFont="1" applyFill="1" applyBorder="1" applyAlignment="1">
      <alignment horizontal="right" vertical="center" wrapText="1"/>
    </xf>
    <xf numFmtId="3" fontId="12" fillId="4" borderId="9" xfId="0" applyNumberFormat="1" applyFont="1" applyFill="1" applyBorder="1" applyAlignment="1">
      <alignment horizontal="right" vertical="center" wrapText="1"/>
    </xf>
    <xf numFmtId="165" fontId="12" fillId="5" borderId="9" xfId="3" applyNumberFormat="1" applyFont="1" applyFill="1" applyBorder="1" applyAlignment="1">
      <alignment vertical="center" wrapText="1"/>
    </xf>
    <xf numFmtId="3" fontId="12" fillId="5" borderId="9" xfId="1" applyNumberFormat="1" applyFont="1" applyFill="1" applyBorder="1" applyAlignment="1">
      <alignment horizontal="right" vertical="center" wrapText="1"/>
    </xf>
    <xf numFmtId="49" fontId="12" fillId="5" borderId="9" xfId="1" applyNumberFormat="1" applyFont="1" applyFill="1" applyBorder="1" applyAlignment="1">
      <alignment vertical="center" wrapText="1"/>
    </xf>
    <xf numFmtId="164" fontId="13" fillId="3" borderId="9" xfId="1" applyNumberFormat="1" applyFont="1" applyFill="1" applyBorder="1" applyAlignment="1">
      <alignment horizontal="right" vertical="center" wrapText="1"/>
    </xf>
    <xf numFmtId="166" fontId="13" fillId="3" borderId="9" xfId="1" applyNumberFormat="1" applyFont="1" applyFill="1" applyBorder="1" applyAlignment="1">
      <alignment horizontal="right" vertical="center" wrapText="1"/>
    </xf>
    <xf numFmtId="49" fontId="13" fillId="3" borderId="9" xfId="1" applyNumberFormat="1" applyFont="1" applyFill="1" applyBorder="1" applyAlignment="1">
      <alignment vertical="center" wrapText="1"/>
    </xf>
    <xf numFmtId="0" fontId="14" fillId="3" borderId="0" xfId="0" applyFont="1" applyFill="1"/>
    <xf numFmtId="0" fontId="15" fillId="0" borderId="0" xfId="0" applyFont="1"/>
    <xf numFmtId="0" fontId="16" fillId="2" borderId="14" xfId="4" applyFont="1" applyFill="1" applyBorder="1" applyAlignment="1">
      <alignment horizontal="center" vertical="center" wrapText="1"/>
    </xf>
    <xf numFmtId="1" fontId="16" fillId="2" borderId="14" xfId="4" applyNumberFormat="1" applyFont="1" applyFill="1" applyBorder="1" applyAlignment="1">
      <alignment horizontal="center" vertical="center" wrapText="1"/>
    </xf>
    <xf numFmtId="0" fontId="12" fillId="2" borderId="14" xfId="4" applyFont="1" applyFill="1" applyBorder="1" applyAlignment="1">
      <alignment horizontal="center" vertical="center" wrapText="1"/>
    </xf>
    <xf numFmtId="0" fontId="15" fillId="3" borderId="0" xfId="0" applyFont="1" applyFill="1"/>
    <xf numFmtId="0" fontId="18" fillId="3" borderId="0" xfId="0" applyFont="1" applyFill="1" applyAlignment="1"/>
    <xf numFmtId="0" fontId="14" fillId="3" borderId="0" xfId="0" applyFont="1" applyFill="1" applyAlignment="1">
      <alignment vertical="center"/>
    </xf>
    <xf numFmtId="0" fontId="15" fillId="3" borderId="0" xfId="0" applyFont="1" applyFill="1" applyBorder="1"/>
    <xf numFmtId="3" fontId="15" fillId="3" borderId="0" xfId="0" applyNumberFormat="1" applyFont="1" applyFill="1" applyBorder="1"/>
    <xf numFmtId="1" fontId="15" fillId="3" borderId="0" xfId="0" applyNumberFormat="1" applyFont="1" applyFill="1" applyBorder="1"/>
    <xf numFmtId="0" fontId="14" fillId="3" borderId="0" xfId="0" applyFont="1" applyFill="1" applyBorder="1"/>
    <xf numFmtId="0" fontId="14" fillId="3" borderId="0" xfId="0" applyFont="1" applyFill="1" applyBorder="1" applyAlignment="1">
      <alignment vertical="center"/>
    </xf>
    <xf numFmtId="0" fontId="0" fillId="3" borderId="0" xfId="0" applyFont="1" applyFill="1"/>
    <xf numFmtId="3" fontId="0" fillId="3" borderId="0" xfId="0" applyNumberFormat="1" applyFont="1" applyFill="1"/>
    <xf numFmtId="164" fontId="12" fillId="6" borderId="9" xfId="0" applyNumberFormat="1" applyFont="1" applyFill="1" applyBorder="1" applyAlignment="1">
      <alignment horizontal="right" vertical="top" wrapText="1"/>
    </xf>
    <xf numFmtId="3" fontId="12" fillId="6" borderId="9" xfId="0" applyNumberFormat="1" applyFont="1" applyFill="1" applyBorder="1" applyAlignment="1">
      <alignment horizontal="right" vertical="top" wrapText="1"/>
    </xf>
    <xf numFmtId="49" fontId="12" fillId="6" borderId="9" xfId="0" applyNumberFormat="1" applyFont="1" applyFill="1" applyBorder="1" applyAlignment="1">
      <alignment vertical="top" wrapText="1"/>
    </xf>
    <xf numFmtId="164" fontId="19" fillId="3" borderId="9" xfId="0" applyNumberFormat="1" applyFont="1" applyFill="1" applyBorder="1" applyAlignment="1">
      <alignment horizontal="right" vertical="top" wrapText="1"/>
    </xf>
    <xf numFmtId="3" fontId="19" fillId="3" borderId="9" xfId="0" applyNumberFormat="1" applyFont="1" applyFill="1" applyBorder="1" applyAlignment="1">
      <alignment horizontal="right" vertical="top" wrapText="1"/>
    </xf>
    <xf numFmtId="49" fontId="20" fillId="3" borderId="9" xfId="0" applyNumberFormat="1" applyFont="1" applyFill="1" applyBorder="1" applyAlignment="1">
      <alignment vertical="top" wrapText="1"/>
    </xf>
    <xf numFmtId="0" fontId="17" fillId="3" borderId="0" xfId="0" applyFont="1" applyFill="1"/>
    <xf numFmtId="0" fontId="12" fillId="2" borderId="14" xfId="0" applyFont="1" applyFill="1" applyBorder="1" applyAlignment="1">
      <alignment horizontal="center" vertical="center" wrapText="1"/>
    </xf>
    <xf numFmtId="1" fontId="12" fillId="2" borderId="14" xfId="0" applyNumberFormat="1" applyFont="1" applyFill="1" applyBorder="1" applyAlignment="1">
      <alignment horizontal="center" vertical="center" wrapText="1"/>
    </xf>
    <xf numFmtId="0" fontId="12" fillId="2" borderId="15" xfId="0" applyFont="1" applyFill="1" applyBorder="1" applyAlignment="1">
      <alignment horizontal="center" vertical="center" wrapText="1"/>
    </xf>
    <xf numFmtId="0" fontId="21" fillId="0" borderId="0" xfId="0" applyFont="1" applyBorder="1" applyAlignment="1">
      <alignment horizontal="center" vertical="center" wrapText="1"/>
    </xf>
    <xf numFmtId="3" fontId="15" fillId="0" borderId="0" xfId="0" applyNumberFormat="1" applyFont="1"/>
    <xf numFmtId="1" fontId="15" fillId="0" borderId="0" xfId="0" applyNumberFormat="1" applyFont="1"/>
    <xf numFmtId="0" fontId="10" fillId="0" borderId="0" xfId="0" applyFont="1" applyAlignment="1">
      <alignment vertical="top"/>
    </xf>
    <xf numFmtId="0" fontId="10" fillId="0" borderId="0" xfId="0" applyFont="1" applyAlignment="1">
      <alignment horizontal="justify" vertical="center"/>
    </xf>
    <xf numFmtId="3" fontId="17" fillId="3" borderId="0" xfId="0" applyNumberFormat="1" applyFont="1" applyFill="1"/>
    <xf numFmtId="0" fontId="6" fillId="0" borderId="0" xfId="2" applyFont="1" applyBorder="1" applyAlignment="1">
      <alignment horizontal="left"/>
    </xf>
    <xf numFmtId="0" fontId="6" fillId="0" borderId="2" xfId="2" applyFont="1" applyBorder="1" applyAlignment="1">
      <alignment horizontal="left"/>
    </xf>
    <xf numFmtId="0" fontId="6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22" fillId="0" borderId="0" xfId="0" applyFont="1" applyBorder="1" applyAlignment="1">
      <alignment horizontal="center" vertical="center" wrapText="1"/>
    </xf>
    <xf numFmtId="49" fontId="12" fillId="4" borderId="11" xfId="0" applyNumberFormat="1" applyFont="1" applyFill="1" applyBorder="1" applyAlignment="1">
      <alignment horizontal="center" vertical="center" wrapText="1"/>
    </xf>
    <xf numFmtId="49" fontId="12" fillId="4" borderId="10" xfId="0" applyNumberFormat="1" applyFont="1" applyFill="1" applyBorder="1" applyAlignment="1">
      <alignment horizontal="center" vertical="center" wrapText="1"/>
    </xf>
    <xf numFmtId="49" fontId="13" fillId="3" borderId="14" xfId="1" applyNumberFormat="1" applyFont="1" applyFill="1" applyBorder="1" applyAlignment="1">
      <alignment horizontal="center" vertical="center" wrapText="1"/>
    </xf>
    <xf numFmtId="49" fontId="13" fillId="3" borderId="13" xfId="1" applyNumberFormat="1" applyFont="1" applyFill="1" applyBorder="1" applyAlignment="1">
      <alignment horizontal="center" vertical="center" wrapText="1"/>
    </xf>
    <xf numFmtId="49" fontId="13" fillId="3" borderId="12" xfId="1" applyNumberFormat="1" applyFont="1" applyFill="1" applyBorder="1" applyAlignment="1">
      <alignment horizontal="center" vertical="center" wrapText="1"/>
    </xf>
    <xf numFmtId="0" fontId="17" fillId="3" borderId="0" xfId="0" applyFont="1" applyFill="1" applyAlignment="1">
      <alignment horizontal="center" wrapText="1"/>
    </xf>
  </cellXfs>
  <cellStyles count="5">
    <cellStyle name="Hipervínculo" xfId="2" builtinId="8"/>
    <cellStyle name="Normal" xfId="0" builtinId="0"/>
    <cellStyle name="Normal 2" xfId="1"/>
    <cellStyle name="Normal_Hoja1" xfId="4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63259</xdr:colOff>
      <xdr:row>2</xdr:row>
      <xdr:rowOff>204837</xdr:rowOff>
    </xdr:from>
    <xdr:to>
      <xdr:col>3</xdr:col>
      <xdr:colOff>575356</xdr:colOff>
      <xdr:row>3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91406" y="966837"/>
          <a:ext cx="512097" cy="22411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276225</xdr:colOff>
      <xdr:row>7</xdr:row>
      <xdr:rowOff>66675</xdr:rowOff>
    </xdr:from>
    <xdr:to>
      <xdr:col>7</xdr:col>
      <xdr:colOff>26322</xdr:colOff>
      <xdr:row>8</xdr:row>
      <xdr:rowOff>100294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705475" y="1590675"/>
          <a:ext cx="512097" cy="22411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DISTRICT OF COLUMBIA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7839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783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827690</xdr:colOff>
      <xdr:row>5</xdr:row>
      <xdr:rowOff>256190</xdr:rowOff>
    </xdr:from>
    <xdr:to>
      <xdr:col>5</xdr:col>
      <xdr:colOff>1339787</xdr:colOff>
      <xdr:row>6</xdr:row>
      <xdr:rowOff>178136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6588673" y="1359776"/>
          <a:ext cx="512097" cy="22411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276225</xdr:colOff>
      <xdr:row>7</xdr:row>
      <xdr:rowOff>28575</xdr:rowOff>
    </xdr:from>
    <xdr:to>
      <xdr:col>7</xdr:col>
      <xdr:colOff>26322</xdr:colOff>
      <xdr:row>8</xdr:row>
      <xdr:rowOff>62194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05550" y="1552575"/>
          <a:ext cx="512097" cy="22411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DISTRICT OF COLUMBIA, POR NIVEL DE EDUCACIÓN Y ESTADO DE LA REPÚBLICA, DURANTE EL 2018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004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004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801414</xdr:colOff>
      <xdr:row>6</xdr:row>
      <xdr:rowOff>45983</xdr:rowOff>
    </xdr:from>
    <xdr:to>
      <xdr:col>5</xdr:col>
      <xdr:colOff>1313511</xdr:colOff>
      <xdr:row>6</xdr:row>
      <xdr:rowOff>270102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6562397" y="1451742"/>
          <a:ext cx="512097" cy="22411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304800</xdr:colOff>
      <xdr:row>7</xdr:row>
      <xdr:rowOff>66675</xdr:rowOff>
    </xdr:from>
    <xdr:to>
      <xdr:col>7</xdr:col>
      <xdr:colOff>54897</xdr:colOff>
      <xdr:row>8</xdr:row>
      <xdr:rowOff>100294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734050" y="1590675"/>
          <a:ext cx="512097" cy="22411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DISTRICT OF COLUMBIA,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7839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783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860535</xdr:colOff>
      <xdr:row>6</xdr:row>
      <xdr:rowOff>0</xdr:rowOff>
    </xdr:from>
    <xdr:to>
      <xdr:col>5</xdr:col>
      <xdr:colOff>1372632</xdr:colOff>
      <xdr:row>6</xdr:row>
      <xdr:rowOff>224119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6621518" y="1405759"/>
          <a:ext cx="512097" cy="22411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DISTRICT OF COLUMBIA,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7839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783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886810</xdr:colOff>
      <xdr:row>5</xdr:row>
      <xdr:rowOff>295604</xdr:rowOff>
    </xdr:from>
    <xdr:to>
      <xdr:col>5</xdr:col>
      <xdr:colOff>1398907</xdr:colOff>
      <xdr:row>6</xdr:row>
      <xdr:rowOff>217550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6647793" y="1399190"/>
          <a:ext cx="512097" cy="22411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DISTRICT OF COLUMBIA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514350</xdr:colOff>
      <xdr:row>7</xdr:row>
      <xdr:rowOff>19050</xdr:rowOff>
    </xdr:from>
    <xdr:to>
      <xdr:col>7</xdr:col>
      <xdr:colOff>264447</xdr:colOff>
      <xdr:row>8</xdr:row>
      <xdr:rowOff>52669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943600" y="1543050"/>
          <a:ext cx="512097" cy="22411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showGridLines="0" view="pageBreakPreview" zoomScale="85" zoomScaleNormal="100" zoomScaleSheetLayoutView="85" workbookViewId="0">
      <selection activeCell="B15" sqref="B15:D15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 x14ac:dyDescent="0.4">
      <c r="A1" s="66" t="s">
        <v>12</v>
      </c>
      <c r="B1" s="67"/>
      <c r="C1" s="67"/>
      <c r="D1" s="68"/>
    </row>
    <row r="2" spans="1:4" x14ac:dyDescent="0.35">
      <c r="A2" s="2"/>
      <c r="B2" s="3"/>
      <c r="C2" s="3"/>
      <c r="D2" s="4"/>
    </row>
    <row r="3" spans="1:4" x14ac:dyDescent="0.35">
      <c r="A3" s="69" t="s">
        <v>0</v>
      </c>
      <c r="B3" s="70"/>
      <c r="C3" s="70"/>
      <c r="D3" s="71"/>
    </row>
    <row r="4" spans="1:4" x14ac:dyDescent="0.35">
      <c r="A4" s="69"/>
      <c r="B4" s="70"/>
      <c r="C4" s="70"/>
      <c r="D4" s="71"/>
    </row>
    <row r="5" spans="1:4" x14ac:dyDescent="0.35">
      <c r="A5" s="14"/>
      <c r="B5" s="15"/>
      <c r="C5" s="15"/>
      <c r="D5" s="16"/>
    </row>
    <row r="6" spans="1:4" x14ac:dyDescent="0.35">
      <c r="A6" s="65" t="s">
        <v>1</v>
      </c>
      <c r="B6" s="63"/>
      <c r="C6" s="63"/>
      <c r="D6" s="64"/>
    </row>
    <row r="7" spans="1:4" x14ac:dyDescent="0.35">
      <c r="A7" s="5"/>
      <c r="B7" s="6"/>
      <c r="C7" s="6"/>
      <c r="D7" s="7"/>
    </row>
    <row r="8" spans="1:4" x14ac:dyDescent="0.35">
      <c r="A8" s="8" t="s">
        <v>2</v>
      </c>
      <c r="B8" s="9"/>
      <c r="C8" s="9"/>
      <c r="D8" s="10"/>
    </row>
    <row r="9" spans="1:4" x14ac:dyDescent="0.35">
      <c r="A9" s="8"/>
      <c r="B9" s="63" t="s">
        <v>7</v>
      </c>
      <c r="C9" s="63"/>
      <c r="D9" s="64"/>
    </row>
    <row r="10" spans="1:4" x14ac:dyDescent="0.35">
      <c r="A10" s="8" t="s">
        <v>3</v>
      </c>
      <c r="B10" s="9"/>
      <c r="C10" s="9"/>
      <c r="D10" s="10"/>
    </row>
    <row r="11" spans="1:4" x14ac:dyDescent="0.35">
      <c r="A11" s="8"/>
      <c r="B11" s="63" t="s">
        <v>8</v>
      </c>
      <c r="C11" s="63"/>
      <c r="D11" s="64"/>
    </row>
    <row r="12" spans="1:4" x14ac:dyDescent="0.35">
      <c r="A12" s="8"/>
      <c r="B12" s="63" t="s">
        <v>9</v>
      </c>
      <c r="C12" s="63"/>
      <c r="D12" s="64"/>
    </row>
    <row r="13" spans="1:4" x14ac:dyDescent="0.35">
      <c r="A13" s="8"/>
      <c r="B13" s="9"/>
      <c r="C13" s="9"/>
      <c r="D13" s="10"/>
    </row>
    <row r="14" spans="1:4" x14ac:dyDescent="0.35">
      <c r="A14" s="8" t="s">
        <v>4</v>
      </c>
      <c r="B14" s="9"/>
      <c r="C14" s="9"/>
      <c r="D14" s="10"/>
    </row>
    <row r="15" spans="1:4" x14ac:dyDescent="0.35">
      <c r="A15" s="8"/>
      <c r="B15" s="63" t="s">
        <v>10</v>
      </c>
      <c r="C15" s="63"/>
      <c r="D15" s="64"/>
    </row>
    <row r="16" spans="1:4" x14ac:dyDescent="0.35">
      <c r="A16" s="8"/>
      <c r="B16" s="63" t="s">
        <v>11</v>
      </c>
      <c r="C16" s="63"/>
      <c r="D16" s="64"/>
    </row>
    <row r="17" spans="1:4" x14ac:dyDescent="0.35">
      <c r="A17" s="8"/>
      <c r="B17" s="9"/>
      <c r="C17" s="9"/>
      <c r="D17" s="10"/>
    </row>
    <row r="18" spans="1:4" x14ac:dyDescent="0.35">
      <c r="A18" s="65" t="s">
        <v>5</v>
      </c>
      <c r="B18" s="63"/>
      <c r="C18" s="63"/>
      <c r="D18" s="64"/>
    </row>
    <row r="19" spans="1:4" x14ac:dyDescent="0.35">
      <c r="A19" s="8"/>
      <c r="B19" s="9"/>
      <c r="C19" s="9"/>
      <c r="D19" s="10"/>
    </row>
    <row r="20" spans="1:4" x14ac:dyDescent="0.35">
      <c r="A20" s="65" t="s">
        <v>6</v>
      </c>
      <c r="B20" s="63"/>
      <c r="C20" s="63"/>
      <c r="D20" s="64"/>
    </row>
    <row r="21" spans="1:4" ht="18.75" thickBot="1" x14ac:dyDescent="0.4">
      <c r="A21" s="11"/>
      <c r="B21" s="12"/>
      <c r="C21" s="12"/>
      <c r="D21" s="13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11:D11"/>
    <mergeCell ref="B12:D12"/>
    <mergeCell ref="B9:D9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'District of Columbia_Edomexgral'!A1" display="1. Por Estados de la República Mexicana"/>
    <hyperlink ref="B9" location="'District of Columbia_EDOMEX'!A1" display="2.1 Por estado de la República Mexicana y municipio de origen"/>
    <hyperlink ref="B11:D11" location="'District of Columbia_Educagral'!A1" display="3.1 Educación general"/>
    <hyperlink ref="B12:D12" location="'District of Columbia_Eduedo'!A1" display="3.2 Por Estado de la República Mexicana"/>
    <hyperlink ref="B15:D15" location="'District of Columbia_gengral18'!A1" display="4.1 Género General"/>
    <hyperlink ref="B16:D16" location="'District of Columbia_edomexgen'!A1" display="4.2 Por Estados de la República Mexicana"/>
    <hyperlink ref="A18:D18" location="'District of Columbia_edadgen'!A1" display="5. Por estructura de Edad"/>
    <hyperlink ref="A20:D20" location="'District of Columbia_ocupgral18'!A1" display="6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  <pageSetUpPr fitToPage="1"/>
  </sheetPr>
  <dimension ref="B1:D47"/>
  <sheetViews>
    <sheetView showGridLines="0" zoomScaleNormal="100" zoomScaleSheetLayoutView="115" workbookViewId="0">
      <selection activeCell="H7" sqref="H7"/>
    </sheetView>
  </sheetViews>
  <sheetFormatPr baseColWidth="10" defaultRowHeight="15" x14ac:dyDescent="0.25"/>
  <cols>
    <col min="1" max="1" width="9.28515625" style="45" customWidth="1"/>
    <col min="2" max="2" width="21.7109375" style="45" customWidth="1"/>
    <col min="3" max="3" width="17.7109375" style="46" customWidth="1"/>
    <col min="4" max="4" width="17.7109375" style="45" customWidth="1"/>
    <col min="5" max="5" width="9.28515625" style="45" customWidth="1"/>
    <col min="6" max="6" width="5.7109375" style="45" customWidth="1"/>
    <col min="7" max="16384" width="11.42578125" style="45"/>
  </cols>
  <sheetData>
    <row r="1" spans="2:4" s="33" customFormat="1" ht="15" customHeight="1" x14ac:dyDescent="0.2">
      <c r="C1" s="59"/>
    </row>
    <row r="2" spans="2:4" s="33" customFormat="1" ht="15" customHeight="1" x14ac:dyDescent="0.2">
      <c r="C2" s="59"/>
    </row>
    <row r="3" spans="2:4" s="33" customFormat="1" ht="15" customHeight="1" x14ac:dyDescent="0.2">
      <c r="C3" s="59"/>
    </row>
    <row r="4" spans="2:4" s="33" customFormat="1" ht="30" customHeight="1" x14ac:dyDescent="0.2">
      <c r="C4" s="59"/>
      <c r="D4" s="58"/>
    </row>
    <row r="5" spans="2:4" s="33" customFormat="1" ht="15" customHeight="1" x14ac:dyDescent="0.2">
      <c r="C5" s="59"/>
      <c r="D5" s="58"/>
    </row>
    <row r="6" spans="2:4" s="33" customFormat="1" ht="15" customHeight="1" x14ac:dyDescent="0.2">
      <c r="C6" s="59"/>
      <c r="D6" s="58"/>
    </row>
    <row r="7" spans="2:4" s="33" customFormat="1" ht="15" customHeight="1" x14ac:dyDescent="0.2">
      <c r="B7" s="72" t="s">
        <v>208</v>
      </c>
      <c r="C7" s="72"/>
      <c r="D7" s="72"/>
    </row>
    <row r="8" spans="2:4" s="33" customFormat="1" ht="15" customHeight="1" x14ac:dyDescent="0.2">
      <c r="B8" s="72"/>
      <c r="C8" s="72"/>
      <c r="D8" s="72"/>
    </row>
    <row r="9" spans="2:4" s="33" customFormat="1" ht="33" customHeight="1" x14ac:dyDescent="0.2">
      <c r="B9" s="72"/>
      <c r="C9" s="72"/>
      <c r="D9" s="72"/>
    </row>
    <row r="10" spans="2:4" s="33" customFormat="1" ht="4.5" customHeight="1" x14ac:dyDescent="0.2">
      <c r="B10" s="57"/>
      <c r="C10" s="57"/>
      <c r="D10" s="57"/>
    </row>
    <row r="11" spans="2:4" s="33" customFormat="1" ht="33" customHeight="1" x14ac:dyDescent="0.2">
      <c r="B11" s="56" t="s">
        <v>187</v>
      </c>
      <c r="C11" s="55" t="s">
        <v>185</v>
      </c>
      <c r="D11" s="54" t="s">
        <v>184</v>
      </c>
    </row>
    <row r="12" spans="2:4" ht="15" customHeight="1" x14ac:dyDescent="0.25">
      <c r="B12" s="52" t="s">
        <v>132</v>
      </c>
      <c r="C12" s="51">
        <v>106</v>
      </c>
      <c r="D12" s="50">
        <v>0.31641791044776119</v>
      </c>
    </row>
    <row r="13" spans="2:4" x14ac:dyDescent="0.25">
      <c r="B13" s="52" t="s">
        <v>67</v>
      </c>
      <c r="C13" s="51">
        <v>66</v>
      </c>
      <c r="D13" s="50">
        <v>0.19701492537313434</v>
      </c>
    </row>
    <row r="14" spans="2:4" s="53" customFormat="1" ht="15.75" x14ac:dyDescent="0.25">
      <c r="B14" s="52" t="s">
        <v>160</v>
      </c>
      <c r="C14" s="51">
        <v>29</v>
      </c>
      <c r="D14" s="50">
        <v>8.6567164179104483E-2</v>
      </c>
    </row>
    <row r="15" spans="2:4" s="53" customFormat="1" ht="15.75" x14ac:dyDescent="0.25">
      <c r="B15" s="52" t="s">
        <v>147</v>
      </c>
      <c r="C15" s="51">
        <v>25</v>
      </c>
      <c r="D15" s="50">
        <v>7.4626865671641784E-2</v>
      </c>
    </row>
    <row r="16" spans="2:4" x14ac:dyDescent="0.25">
      <c r="B16" s="52" t="s">
        <v>90</v>
      </c>
      <c r="C16" s="51">
        <v>18</v>
      </c>
      <c r="D16" s="50">
        <v>5.3731343283582089E-2</v>
      </c>
    </row>
    <row r="17" spans="2:4" x14ac:dyDescent="0.25">
      <c r="B17" s="52" t="s">
        <v>35</v>
      </c>
      <c r="C17" s="51">
        <v>15</v>
      </c>
      <c r="D17" s="50">
        <v>4.4776119402985072E-2</v>
      </c>
    </row>
    <row r="18" spans="2:4" x14ac:dyDescent="0.25">
      <c r="B18" s="52" t="s">
        <v>99</v>
      </c>
      <c r="C18" s="51">
        <v>13</v>
      </c>
      <c r="D18" s="50">
        <v>3.880597014925373E-2</v>
      </c>
    </row>
    <row r="19" spans="2:4" x14ac:dyDescent="0.25">
      <c r="B19" s="52" t="s">
        <v>177</v>
      </c>
      <c r="C19" s="51">
        <v>12</v>
      </c>
      <c r="D19" s="50">
        <v>3.5820895522388062E-2</v>
      </c>
    </row>
    <row r="20" spans="2:4" x14ac:dyDescent="0.25">
      <c r="B20" s="52" t="s">
        <v>107</v>
      </c>
      <c r="C20" s="51">
        <v>8</v>
      </c>
      <c r="D20" s="50">
        <v>2.3880597014925373E-2</v>
      </c>
    </row>
    <row r="21" spans="2:4" x14ac:dyDescent="0.25">
      <c r="B21" s="52" t="s">
        <v>112</v>
      </c>
      <c r="C21" s="51">
        <v>6</v>
      </c>
      <c r="D21" s="50">
        <v>1.7910447761194031E-2</v>
      </c>
    </row>
    <row r="22" spans="2:4" x14ac:dyDescent="0.25">
      <c r="B22" s="52" t="s">
        <v>137</v>
      </c>
      <c r="C22" s="51">
        <v>5</v>
      </c>
      <c r="D22" s="50">
        <v>1.4925373134328358E-2</v>
      </c>
    </row>
    <row r="23" spans="2:4" x14ac:dyDescent="0.25">
      <c r="B23" s="52" t="s">
        <v>118</v>
      </c>
      <c r="C23" s="51">
        <v>5</v>
      </c>
      <c r="D23" s="50">
        <v>1.4925373134328358E-2</v>
      </c>
    </row>
    <row r="24" spans="2:4" x14ac:dyDescent="0.25">
      <c r="B24" s="52" t="s">
        <v>36</v>
      </c>
      <c r="C24" s="51">
        <v>5</v>
      </c>
      <c r="D24" s="50">
        <v>1.4925373134328358E-2</v>
      </c>
    </row>
    <row r="25" spans="2:4" x14ac:dyDescent="0.25">
      <c r="B25" s="52" t="s">
        <v>164</v>
      </c>
      <c r="C25" s="51">
        <v>3</v>
      </c>
      <c r="D25" s="50">
        <v>8.9552238805970154E-3</v>
      </c>
    </row>
    <row r="26" spans="2:4" x14ac:dyDescent="0.25">
      <c r="B26" s="52" t="s">
        <v>207</v>
      </c>
      <c r="C26" s="51">
        <v>2</v>
      </c>
      <c r="D26" s="50">
        <v>5.9701492537313433E-3</v>
      </c>
    </row>
    <row r="27" spans="2:4" x14ac:dyDescent="0.25">
      <c r="B27" s="52" t="s">
        <v>93</v>
      </c>
      <c r="C27" s="51">
        <v>2</v>
      </c>
      <c r="D27" s="50">
        <v>5.9701492537313433E-3</v>
      </c>
    </row>
    <row r="28" spans="2:4" x14ac:dyDescent="0.25">
      <c r="B28" s="52" t="s">
        <v>43</v>
      </c>
      <c r="C28" s="51">
        <v>2</v>
      </c>
      <c r="D28" s="50">
        <v>5.9701492537313433E-3</v>
      </c>
    </row>
    <row r="29" spans="2:4" x14ac:dyDescent="0.25">
      <c r="B29" s="52" t="s">
        <v>21</v>
      </c>
      <c r="C29" s="51">
        <v>2</v>
      </c>
      <c r="D29" s="50">
        <v>5.9701492537313433E-3</v>
      </c>
    </row>
    <row r="30" spans="2:4" x14ac:dyDescent="0.25">
      <c r="B30" s="52" t="s">
        <v>183</v>
      </c>
      <c r="C30" s="51">
        <v>1</v>
      </c>
      <c r="D30" s="50">
        <v>2.9850746268656717E-3</v>
      </c>
    </row>
    <row r="31" spans="2:4" x14ac:dyDescent="0.25">
      <c r="B31" s="52" t="s">
        <v>163</v>
      </c>
      <c r="C31" s="51">
        <v>1</v>
      </c>
      <c r="D31" s="50">
        <v>2.9850746268656717E-3</v>
      </c>
    </row>
    <row r="32" spans="2:4" x14ac:dyDescent="0.25">
      <c r="B32" s="52" t="s">
        <v>161</v>
      </c>
      <c r="C32" s="51">
        <v>1</v>
      </c>
      <c r="D32" s="50">
        <v>2.9850746268656717E-3</v>
      </c>
    </row>
    <row r="33" spans="2:4" x14ac:dyDescent="0.25">
      <c r="B33" s="52" t="s">
        <v>149</v>
      </c>
      <c r="C33" s="51">
        <v>1</v>
      </c>
      <c r="D33" s="50">
        <v>2.9850746268656717E-3</v>
      </c>
    </row>
    <row r="34" spans="2:4" x14ac:dyDescent="0.25">
      <c r="B34" s="52" t="s">
        <v>95</v>
      </c>
      <c r="C34" s="51">
        <v>1</v>
      </c>
      <c r="D34" s="50">
        <v>2.9850746268656717E-3</v>
      </c>
    </row>
    <row r="35" spans="2:4" x14ac:dyDescent="0.25">
      <c r="B35" s="52" t="s">
        <v>49</v>
      </c>
      <c r="C35" s="51">
        <v>1</v>
      </c>
      <c r="D35" s="50">
        <v>2.9850746268656717E-3</v>
      </c>
    </row>
    <row r="36" spans="2:4" x14ac:dyDescent="0.25">
      <c r="B36" s="52" t="s">
        <v>47</v>
      </c>
      <c r="C36" s="51">
        <v>1</v>
      </c>
      <c r="D36" s="50">
        <v>2.9850746268656717E-3</v>
      </c>
    </row>
    <row r="37" spans="2:4" x14ac:dyDescent="0.25">
      <c r="B37" s="52" t="s">
        <v>45</v>
      </c>
      <c r="C37" s="51">
        <v>1</v>
      </c>
      <c r="D37" s="50">
        <v>2.9850746268656717E-3</v>
      </c>
    </row>
    <row r="38" spans="2:4" x14ac:dyDescent="0.25">
      <c r="B38" s="52" t="s">
        <v>42</v>
      </c>
      <c r="C38" s="51">
        <v>1</v>
      </c>
      <c r="D38" s="50">
        <v>2.9850746268656717E-3</v>
      </c>
    </row>
    <row r="39" spans="2:4" x14ac:dyDescent="0.25">
      <c r="B39" s="52" t="s">
        <v>40</v>
      </c>
      <c r="C39" s="51">
        <v>1</v>
      </c>
      <c r="D39" s="50">
        <v>2.9850746268656717E-3</v>
      </c>
    </row>
    <row r="40" spans="2:4" x14ac:dyDescent="0.25">
      <c r="B40" s="52" t="s">
        <v>23</v>
      </c>
      <c r="C40" s="51">
        <v>1</v>
      </c>
      <c r="D40" s="50">
        <v>2.9850746268656717E-3</v>
      </c>
    </row>
    <row r="41" spans="2:4" x14ac:dyDescent="0.25">
      <c r="B41" s="49" t="s">
        <v>18</v>
      </c>
      <c r="C41" s="48">
        <v>335</v>
      </c>
      <c r="D41" s="47">
        <v>1</v>
      </c>
    </row>
    <row r="43" spans="2:4" x14ac:dyDescent="0.25">
      <c r="B43" s="21" t="s">
        <v>17</v>
      </c>
    </row>
    <row r="44" spans="2:4" x14ac:dyDescent="0.25">
      <c r="B44" s="23" t="s">
        <v>16</v>
      </c>
    </row>
    <row r="45" spans="2:4" x14ac:dyDescent="0.25">
      <c r="B45" s="22" t="s">
        <v>15</v>
      </c>
    </row>
    <row r="46" spans="2:4" x14ac:dyDescent="0.25">
      <c r="B46" s="21" t="s">
        <v>14</v>
      </c>
    </row>
    <row r="47" spans="2:4" x14ac:dyDescent="0.25">
      <c r="B47" s="21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488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40" customFormat="1" ht="12" customHeight="1" x14ac:dyDescent="0.2">
      <c r="B1" s="44"/>
      <c r="C1" s="43"/>
      <c r="D1" s="43"/>
      <c r="E1" s="43"/>
    </row>
    <row r="2" spans="1:5" s="40" customFormat="1" ht="15" customHeight="1" x14ac:dyDescent="0.2">
      <c r="C2" s="42"/>
    </row>
    <row r="3" spans="1:5" s="40" customFormat="1" ht="15" customHeight="1" x14ac:dyDescent="0.2">
      <c r="C3" s="42"/>
    </row>
    <row r="4" spans="1:5" s="40" customFormat="1" ht="30" customHeight="1" x14ac:dyDescent="0.2">
      <c r="C4" s="42"/>
      <c r="D4" s="41"/>
    </row>
    <row r="5" spans="1:5" s="40" customFormat="1" ht="15" customHeight="1" x14ac:dyDescent="0.2">
      <c r="C5" s="42"/>
      <c r="D5" s="41"/>
    </row>
    <row r="6" spans="1:5" s="37" customFormat="1" ht="24" customHeight="1" x14ac:dyDescent="0.2">
      <c r="B6" s="39"/>
      <c r="C6" s="32"/>
      <c r="D6" s="32"/>
      <c r="E6" s="32"/>
    </row>
    <row r="7" spans="1:5" s="37" customFormat="1" ht="26.25" customHeight="1" x14ac:dyDescent="0.3">
      <c r="A7" s="38"/>
      <c r="B7" s="78"/>
      <c r="C7" s="78"/>
      <c r="D7" s="78"/>
      <c r="E7" s="78"/>
    </row>
    <row r="8" spans="1:5" s="37" customFormat="1" ht="33" customHeight="1" x14ac:dyDescent="0.3">
      <c r="A8" s="38"/>
      <c r="B8" s="78"/>
      <c r="C8" s="78"/>
      <c r="D8" s="78"/>
      <c r="E8" s="78"/>
    </row>
    <row r="9" spans="1:5" s="33" customFormat="1" ht="40.5" customHeight="1" x14ac:dyDescent="0.2">
      <c r="B9" s="34" t="s">
        <v>187</v>
      </c>
      <c r="C9" s="36" t="s">
        <v>186</v>
      </c>
      <c r="D9" s="35" t="s">
        <v>185</v>
      </c>
      <c r="E9" s="34" t="s">
        <v>184</v>
      </c>
    </row>
    <row r="10" spans="1:5" ht="15" customHeight="1" x14ac:dyDescent="0.25">
      <c r="B10" s="75" t="s">
        <v>183</v>
      </c>
      <c r="C10" s="31" t="s">
        <v>182</v>
      </c>
      <c r="D10" s="30">
        <v>1</v>
      </c>
      <c r="E10" s="29">
        <v>2.9498525073746312E-3</v>
      </c>
    </row>
    <row r="11" spans="1:5" ht="15" customHeight="1" x14ac:dyDescent="0.25">
      <c r="B11" s="77"/>
      <c r="C11" s="28" t="s">
        <v>18</v>
      </c>
      <c r="D11" s="27">
        <v>1</v>
      </c>
      <c r="E11" s="26">
        <v>2.9498525073746312E-3</v>
      </c>
    </row>
    <row r="12" spans="1:5" ht="15" customHeight="1" x14ac:dyDescent="0.25">
      <c r="B12" s="75" t="s">
        <v>181</v>
      </c>
      <c r="C12" s="31" t="s">
        <v>180</v>
      </c>
      <c r="D12" s="30">
        <v>1</v>
      </c>
      <c r="E12" s="29">
        <v>2.9498525073746312E-3</v>
      </c>
    </row>
    <row r="13" spans="1:5" ht="15" customHeight="1" x14ac:dyDescent="0.25">
      <c r="B13" s="77"/>
      <c r="C13" s="28" t="s">
        <v>18</v>
      </c>
      <c r="D13" s="27">
        <v>1</v>
      </c>
      <c r="E13" s="26">
        <v>2.9498525073746312E-3</v>
      </c>
    </row>
    <row r="14" spans="1:5" ht="15" customHeight="1" x14ac:dyDescent="0.25">
      <c r="B14" s="75" t="s">
        <v>179</v>
      </c>
      <c r="C14" s="31" t="s">
        <v>178</v>
      </c>
      <c r="D14" s="30">
        <v>1</v>
      </c>
      <c r="E14" s="29">
        <v>2.9498525073746312E-3</v>
      </c>
    </row>
    <row r="15" spans="1:5" s="32" customFormat="1" ht="15" customHeight="1" x14ac:dyDescent="0.2">
      <c r="B15" s="77"/>
      <c r="C15" s="28" t="s">
        <v>18</v>
      </c>
      <c r="D15" s="27">
        <v>1</v>
      </c>
      <c r="E15" s="26">
        <v>2.9498525073746312E-3</v>
      </c>
    </row>
    <row r="16" spans="1:5" s="32" customFormat="1" ht="15" customHeight="1" x14ac:dyDescent="0.2">
      <c r="B16" s="75" t="s">
        <v>177</v>
      </c>
      <c r="C16" s="31" t="s">
        <v>176</v>
      </c>
      <c r="D16" s="30">
        <v>1</v>
      </c>
      <c r="E16" s="29">
        <v>2.9498525073746312E-3</v>
      </c>
    </row>
    <row r="17" spans="2:5" s="32" customFormat="1" ht="15" customHeight="1" x14ac:dyDescent="0.2">
      <c r="B17" s="76"/>
      <c r="C17" s="31" t="s">
        <v>175</v>
      </c>
      <c r="D17" s="30">
        <v>1</v>
      </c>
      <c r="E17" s="29">
        <v>2.9498525073746312E-3</v>
      </c>
    </row>
    <row r="18" spans="2:5" s="32" customFormat="1" ht="15" customHeight="1" x14ac:dyDescent="0.2">
      <c r="B18" s="76"/>
      <c r="C18" s="31" t="s">
        <v>174</v>
      </c>
      <c r="D18" s="30">
        <v>1</v>
      </c>
      <c r="E18" s="29">
        <v>2.9498525073746312E-3</v>
      </c>
    </row>
    <row r="19" spans="2:5" s="32" customFormat="1" ht="15" customHeight="1" x14ac:dyDescent="0.2">
      <c r="B19" s="76"/>
      <c r="C19" s="31" t="s">
        <v>173</v>
      </c>
      <c r="D19" s="30">
        <v>3</v>
      </c>
      <c r="E19" s="29">
        <v>8.8495575221238937E-3</v>
      </c>
    </row>
    <row r="20" spans="2:5" ht="15" customHeight="1" x14ac:dyDescent="0.25">
      <c r="B20" s="76"/>
      <c r="C20" s="31" t="s">
        <v>172</v>
      </c>
      <c r="D20" s="30">
        <v>1</v>
      </c>
      <c r="E20" s="29">
        <v>2.9498525073746312E-3</v>
      </c>
    </row>
    <row r="21" spans="2:5" ht="15" customHeight="1" x14ac:dyDescent="0.25">
      <c r="B21" s="76"/>
      <c r="C21" s="31" t="s">
        <v>171</v>
      </c>
      <c r="D21" s="30">
        <v>1</v>
      </c>
      <c r="E21" s="29">
        <v>2.9498525073746312E-3</v>
      </c>
    </row>
    <row r="22" spans="2:5" ht="15" customHeight="1" x14ac:dyDescent="0.25">
      <c r="B22" s="76"/>
      <c r="C22" s="31" t="s">
        <v>170</v>
      </c>
      <c r="D22" s="30">
        <v>1</v>
      </c>
      <c r="E22" s="29">
        <v>2.9498525073746312E-3</v>
      </c>
    </row>
    <row r="23" spans="2:5" ht="15" customHeight="1" x14ac:dyDescent="0.25">
      <c r="B23" s="76"/>
      <c r="C23" s="31" t="s">
        <v>169</v>
      </c>
      <c r="D23" s="30">
        <v>1</v>
      </c>
      <c r="E23" s="29">
        <v>2.9498525073746312E-3</v>
      </c>
    </row>
    <row r="24" spans="2:5" ht="15" customHeight="1" x14ac:dyDescent="0.25">
      <c r="B24" s="76"/>
      <c r="C24" s="31" t="s">
        <v>168</v>
      </c>
      <c r="D24" s="30">
        <v>1</v>
      </c>
      <c r="E24" s="29">
        <v>2.9498525073746312E-3</v>
      </c>
    </row>
    <row r="25" spans="2:5" ht="15" customHeight="1" x14ac:dyDescent="0.25">
      <c r="B25" s="76"/>
      <c r="C25" s="31" t="s">
        <v>167</v>
      </c>
      <c r="D25" s="30">
        <v>1</v>
      </c>
      <c r="E25" s="29">
        <v>2.9498525073746312E-3</v>
      </c>
    </row>
    <row r="26" spans="2:5" ht="15" customHeight="1" x14ac:dyDescent="0.25">
      <c r="B26" s="76"/>
      <c r="C26" s="31" t="s">
        <v>166</v>
      </c>
      <c r="D26" s="30">
        <v>2</v>
      </c>
      <c r="E26" s="29">
        <v>5.8997050147492625E-3</v>
      </c>
    </row>
    <row r="27" spans="2:5" ht="15" customHeight="1" x14ac:dyDescent="0.25">
      <c r="B27" s="76"/>
      <c r="C27" s="31" t="s">
        <v>165</v>
      </c>
      <c r="D27" s="30">
        <v>2</v>
      </c>
      <c r="E27" s="29">
        <v>5.8997050147492625E-3</v>
      </c>
    </row>
    <row r="28" spans="2:5" ht="15" customHeight="1" x14ac:dyDescent="0.25">
      <c r="B28" s="77"/>
      <c r="C28" s="28" t="s">
        <v>18</v>
      </c>
      <c r="D28" s="27">
        <v>16</v>
      </c>
      <c r="E28" s="26">
        <v>4.71976401179941E-2</v>
      </c>
    </row>
    <row r="29" spans="2:5" ht="15" customHeight="1" x14ac:dyDescent="0.25">
      <c r="B29" s="75" t="s">
        <v>164</v>
      </c>
      <c r="C29" s="31" t="s">
        <v>164</v>
      </c>
      <c r="D29" s="30">
        <v>1</v>
      </c>
      <c r="E29" s="29">
        <v>2.9498525073746312E-3</v>
      </c>
    </row>
    <row r="30" spans="2:5" ht="15" customHeight="1" x14ac:dyDescent="0.25">
      <c r="B30" s="76"/>
      <c r="C30" s="31" t="s">
        <v>105</v>
      </c>
      <c r="D30" s="30">
        <v>2</v>
      </c>
      <c r="E30" s="29">
        <v>5.8997050147492625E-3</v>
      </c>
    </row>
    <row r="31" spans="2:5" ht="15" customHeight="1" x14ac:dyDescent="0.25">
      <c r="B31" s="77"/>
      <c r="C31" s="28" t="s">
        <v>18</v>
      </c>
      <c r="D31" s="27">
        <v>3</v>
      </c>
      <c r="E31" s="26">
        <v>8.8495575221238937E-3</v>
      </c>
    </row>
    <row r="32" spans="2:5" ht="15" customHeight="1" x14ac:dyDescent="0.25">
      <c r="B32" s="75" t="s">
        <v>163</v>
      </c>
      <c r="C32" s="31" t="s">
        <v>162</v>
      </c>
      <c r="D32" s="30">
        <v>1</v>
      </c>
      <c r="E32" s="29">
        <v>2.9498525073746312E-3</v>
      </c>
    </row>
    <row r="33" spans="2:5" ht="15" customHeight="1" x14ac:dyDescent="0.25">
      <c r="B33" s="77"/>
      <c r="C33" s="28" t="s">
        <v>18</v>
      </c>
      <c r="D33" s="27">
        <v>1</v>
      </c>
      <c r="E33" s="26">
        <v>2.9498525073746312E-3</v>
      </c>
    </row>
    <row r="34" spans="2:5" ht="15" customHeight="1" x14ac:dyDescent="0.25">
      <c r="B34" s="75" t="s">
        <v>161</v>
      </c>
      <c r="C34" s="31" t="s">
        <v>161</v>
      </c>
      <c r="D34" s="30">
        <v>1</v>
      </c>
      <c r="E34" s="29">
        <v>2.9498525073746312E-3</v>
      </c>
    </row>
    <row r="35" spans="2:5" ht="15" customHeight="1" x14ac:dyDescent="0.25">
      <c r="B35" s="77"/>
      <c r="C35" s="28" t="s">
        <v>18</v>
      </c>
      <c r="D35" s="27">
        <v>1</v>
      </c>
      <c r="E35" s="26">
        <v>2.9498525073746312E-3</v>
      </c>
    </row>
    <row r="36" spans="2:5" ht="15" customHeight="1" x14ac:dyDescent="0.25">
      <c r="B36" s="75" t="s">
        <v>160</v>
      </c>
      <c r="C36" s="31" t="s">
        <v>159</v>
      </c>
      <c r="D36" s="30">
        <v>3</v>
      </c>
      <c r="E36" s="29">
        <v>8.8495575221238937E-3</v>
      </c>
    </row>
    <row r="37" spans="2:5" ht="15" customHeight="1" x14ac:dyDescent="0.25">
      <c r="B37" s="76"/>
      <c r="C37" s="31" t="s">
        <v>158</v>
      </c>
      <c r="D37" s="30">
        <v>2</v>
      </c>
      <c r="E37" s="29">
        <v>5.8997050147492625E-3</v>
      </c>
    </row>
    <row r="38" spans="2:5" ht="15" customHeight="1" x14ac:dyDescent="0.25">
      <c r="B38" s="76"/>
      <c r="C38" s="31" t="s">
        <v>46</v>
      </c>
      <c r="D38" s="30">
        <v>1</v>
      </c>
      <c r="E38" s="29">
        <v>2.9498525073746312E-3</v>
      </c>
    </row>
    <row r="39" spans="2:5" ht="15" customHeight="1" x14ac:dyDescent="0.25">
      <c r="B39" s="76"/>
      <c r="C39" s="31" t="s">
        <v>157</v>
      </c>
      <c r="D39" s="30">
        <v>1</v>
      </c>
      <c r="E39" s="29">
        <v>2.9498525073746312E-3</v>
      </c>
    </row>
    <row r="40" spans="2:5" ht="15" customHeight="1" x14ac:dyDescent="0.25">
      <c r="B40" s="76"/>
      <c r="C40" s="31" t="s">
        <v>156</v>
      </c>
      <c r="D40" s="30">
        <v>4</v>
      </c>
      <c r="E40" s="29">
        <v>1.1799410029498525E-2</v>
      </c>
    </row>
    <row r="41" spans="2:5" ht="15" customHeight="1" x14ac:dyDescent="0.25">
      <c r="B41" s="76"/>
      <c r="C41" s="31" t="s">
        <v>155</v>
      </c>
      <c r="D41" s="30">
        <v>3</v>
      </c>
      <c r="E41" s="29">
        <v>8.8495575221238937E-3</v>
      </c>
    </row>
    <row r="42" spans="2:5" ht="15" customHeight="1" x14ac:dyDescent="0.25">
      <c r="B42" s="76"/>
      <c r="C42" s="31" t="s">
        <v>154</v>
      </c>
      <c r="D42" s="30">
        <v>3</v>
      </c>
      <c r="E42" s="29">
        <v>8.8495575221238937E-3</v>
      </c>
    </row>
    <row r="43" spans="2:5" ht="15" customHeight="1" x14ac:dyDescent="0.25">
      <c r="B43" s="76"/>
      <c r="C43" s="31" t="s">
        <v>153</v>
      </c>
      <c r="D43" s="30">
        <v>2</v>
      </c>
      <c r="E43" s="29">
        <v>5.8997050147492625E-3</v>
      </c>
    </row>
    <row r="44" spans="2:5" ht="15" customHeight="1" x14ac:dyDescent="0.25">
      <c r="B44" s="76"/>
      <c r="C44" s="31" t="s">
        <v>152</v>
      </c>
      <c r="D44" s="30">
        <v>5</v>
      </c>
      <c r="E44" s="29">
        <v>1.4749262536873156E-2</v>
      </c>
    </row>
    <row r="45" spans="2:5" ht="15" customHeight="1" x14ac:dyDescent="0.25">
      <c r="B45" s="76"/>
      <c r="C45" s="31" t="s">
        <v>151</v>
      </c>
      <c r="D45" s="30">
        <v>2</v>
      </c>
      <c r="E45" s="29">
        <v>5.8997050147492625E-3</v>
      </c>
    </row>
    <row r="46" spans="2:5" ht="15" customHeight="1" x14ac:dyDescent="0.25">
      <c r="B46" s="76"/>
      <c r="C46" s="31" t="s">
        <v>150</v>
      </c>
      <c r="D46" s="30">
        <v>3</v>
      </c>
      <c r="E46" s="29">
        <v>8.8495575221238937E-3</v>
      </c>
    </row>
    <row r="47" spans="2:5" ht="15" customHeight="1" x14ac:dyDescent="0.25">
      <c r="B47" s="77"/>
      <c r="C47" s="28" t="s">
        <v>18</v>
      </c>
      <c r="D47" s="27">
        <v>29</v>
      </c>
      <c r="E47" s="26">
        <v>8.5545722713864306E-2</v>
      </c>
    </row>
    <row r="48" spans="2:5" ht="15" customHeight="1" x14ac:dyDescent="0.25">
      <c r="B48" s="75" t="s">
        <v>149</v>
      </c>
      <c r="C48" s="31" t="s">
        <v>148</v>
      </c>
      <c r="D48" s="30">
        <v>1</v>
      </c>
      <c r="E48" s="29">
        <v>2.9498525073746312E-3</v>
      </c>
    </row>
    <row r="49" spans="2:5" ht="15" customHeight="1" x14ac:dyDescent="0.25">
      <c r="B49" s="77"/>
      <c r="C49" s="28" t="s">
        <v>18</v>
      </c>
      <c r="D49" s="27">
        <v>1</v>
      </c>
      <c r="E49" s="26">
        <v>2.9498525073746312E-3</v>
      </c>
    </row>
    <row r="50" spans="2:5" ht="15" customHeight="1" x14ac:dyDescent="0.25">
      <c r="B50" s="75" t="s">
        <v>147</v>
      </c>
      <c r="C50" s="31" t="s">
        <v>146</v>
      </c>
      <c r="D50" s="30">
        <v>1</v>
      </c>
      <c r="E50" s="29">
        <v>2.9498525073746312E-3</v>
      </c>
    </row>
    <row r="51" spans="2:5" ht="15" customHeight="1" x14ac:dyDescent="0.25">
      <c r="B51" s="76"/>
      <c r="C51" s="31" t="s">
        <v>145</v>
      </c>
      <c r="D51" s="30">
        <v>1</v>
      </c>
      <c r="E51" s="29">
        <v>2.9498525073746312E-3</v>
      </c>
    </row>
    <row r="52" spans="2:5" ht="15" customHeight="1" x14ac:dyDescent="0.25">
      <c r="B52" s="76"/>
      <c r="C52" s="31" t="s">
        <v>144</v>
      </c>
      <c r="D52" s="30">
        <v>2</v>
      </c>
      <c r="E52" s="29">
        <v>5.8997050147492625E-3</v>
      </c>
    </row>
    <row r="53" spans="2:5" ht="15" customHeight="1" x14ac:dyDescent="0.25">
      <c r="B53" s="76"/>
      <c r="C53" s="31" t="s">
        <v>143</v>
      </c>
      <c r="D53" s="30">
        <v>1</v>
      </c>
      <c r="E53" s="29">
        <v>2.9498525073746312E-3</v>
      </c>
    </row>
    <row r="54" spans="2:5" ht="15" customHeight="1" x14ac:dyDescent="0.25">
      <c r="B54" s="76"/>
      <c r="C54" s="31" t="s">
        <v>142</v>
      </c>
      <c r="D54" s="30">
        <v>7</v>
      </c>
      <c r="E54" s="29">
        <v>2.0648967551622419E-2</v>
      </c>
    </row>
    <row r="55" spans="2:5" ht="15" customHeight="1" x14ac:dyDescent="0.25">
      <c r="B55" s="76"/>
      <c r="C55" s="31" t="s">
        <v>141</v>
      </c>
      <c r="D55" s="30">
        <v>1</v>
      </c>
      <c r="E55" s="29">
        <v>2.9498525073746312E-3</v>
      </c>
    </row>
    <row r="56" spans="2:5" ht="15" customHeight="1" x14ac:dyDescent="0.25">
      <c r="B56" s="76"/>
      <c r="C56" s="31" t="s">
        <v>140</v>
      </c>
      <c r="D56" s="30">
        <v>3</v>
      </c>
      <c r="E56" s="29">
        <v>8.8495575221238937E-3</v>
      </c>
    </row>
    <row r="57" spans="2:5" ht="15" customHeight="1" x14ac:dyDescent="0.25">
      <c r="B57" s="76"/>
      <c r="C57" s="31" t="s">
        <v>139</v>
      </c>
      <c r="D57" s="30">
        <v>4</v>
      </c>
      <c r="E57" s="29">
        <v>1.1799410029498525E-2</v>
      </c>
    </row>
    <row r="58" spans="2:5" ht="15" customHeight="1" x14ac:dyDescent="0.25">
      <c r="B58" s="76"/>
      <c r="C58" s="31" t="s">
        <v>138</v>
      </c>
      <c r="D58" s="30">
        <v>5</v>
      </c>
      <c r="E58" s="29">
        <v>1.4749262536873156E-2</v>
      </c>
    </row>
    <row r="59" spans="2:5" ht="15" customHeight="1" x14ac:dyDescent="0.25">
      <c r="B59" s="77"/>
      <c r="C59" s="28" t="s">
        <v>18</v>
      </c>
      <c r="D59" s="27">
        <v>25</v>
      </c>
      <c r="E59" s="26">
        <v>7.3746312684365781E-2</v>
      </c>
    </row>
    <row r="60" spans="2:5" ht="15" customHeight="1" x14ac:dyDescent="0.25">
      <c r="B60" s="75" t="s">
        <v>137</v>
      </c>
      <c r="C60" s="31" t="s">
        <v>136</v>
      </c>
      <c r="D60" s="30">
        <v>1</v>
      </c>
      <c r="E60" s="29">
        <v>2.9498525073746312E-3</v>
      </c>
    </row>
    <row r="61" spans="2:5" ht="15" customHeight="1" x14ac:dyDescent="0.25">
      <c r="B61" s="76"/>
      <c r="C61" s="31" t="s">
        <v>135</v>
      </c>
      <c r="D61" s="30">
        <v>1</v>
      </c>
      <c r="E61" s="29">
        <v>2.9498525073746312E-3</v>
      </c>
    </row>
    <row r="62" spans="2:5" ht="15" customHeight="1" x14ac:dyDescent="0.25">
      <c r="B62" s="76"/>
      <c r="C62" s="31" t="s">
        <v>134</v>
      </c>
      <c r="D62" s="30">
        <v>2</v>
      </c>
      <c r="E62" s="29">
        <v>5.8997050147492625E-3</v>
      </c>
    </row>
    <row r="63" spans="2:5" ht="15" customHeight="1" x14ac:dyDescent="0.25">
      <c r="B63" s="76"/>
      <c r="C63" s="31" t="s">
        <v>133</v>
      </c>
      <c r="D63" s="30">
        <v>1</v>
      </c>
      <c r="E63" s="29">
        <v>2.9498525073746312E-3</v>
      </c>
    </row>
    <row r="64" spans="2:5" ht="15" customHeight="1" x14ac:dyDescent="0.25">
      <c r="B64" s="77"/>
      <c r="C64" s="28" t="s">
        <v>18</v>
      </c>
      <c r="D64" s="27">
        <v>5</v>
      </c>
      <c r="E64" s="26">
        <v>1.4749262536873156E-2</v>
      </c>
    </row>
    <row r="65" spans="2:5" ht="15" customHeight="1" x14ac:dyDescent="0.25">
      <c r="B65" s="75" t="s">
        <v>132</v>
      </c>
      <c r="C65" s="31" t="s">
        <v>131</v>
      </c>
      <c r="D65" s="30">
        <v>3</v>
      </c>
      <c r="E65" s="29">
        <v>8.8495575221238937E-3</v>
      </c>
    </row>
    <row r="66" spans="2:5" ht="15" customHeight="1" x14ac:dyDescent="0.25">
      <c r="B66" s="76"/>
      <c r="C66" s="31" t="s">
        <v>130</v>
      </c>
      <c r="D66" s="30">
        <v>80</v>
      </c>
      <c r="E66" s="29">
        <v>0.2359882005899705</v>
      </c>
    </row>
    <row r="67" spans="2:5" ht="15" customHeight="1" x14ac:dyDescent="0.25">
      <c r="B67" s="76"/>
      <c r="C67" s="31" t="s">
        <v>129</v>
      </c>
      <c r="D67" s="30">
        <v>1</v>
      </c>
      <c r="E67" s="29">
        <v>2.9498525073746312E-3</v>
      </c>
    </row>
    <row r="68" spans="2:5" ht="15" customHeight="1" x14ac:dyDescent="0.25">
      <c r="B68" s="76"/>
      <c r="C68" s="31" t="s">
        <v>128</v>
      </c>
      <c r="D68" s="30">
        <v>2</v>
      </c>
      <c r="E68" s="29">
        <v>5.8997050147492625E-3</v>
      </c>
    </row>
    <row r="69" spans="2:5" ht="15" customHeight="1" x14ac:dyDescent="0.25">
      <c r="B69" s="76"/>
      <c r="C69" s="31" t="s">
        <v>127</v>
      </c>
      <c r="D69" s="30">
        <v>1</v>
      </c>
      <c r="E69" s="29">
        <v>2.9498525073746312E-3</v>
      </c>
    </row>
    <row r="70" spans="2:5" ht="15" customHeight="1" x14ac:dyDescent="0.25">
      <c r="B70" s="76"/>
      <c r="C70" s="31" t="s">
        <v>126</v>
      </c>
      <c r="D70" s="30">
        <v>8</v>
      </c>
      <c r="E70" s="29">
        <v>2.359882005899705E-2</v>
      </c>
    </row>
    <row r="71" spans="2:5" ht="15" customHeight="1" x14ac:dyDescent="0.25">
      <c r="B71" s="76"/>
      <c r="C71" s="31" t="s">
        <v>125</v>
      </c>
      <c r="D71" s="30">
        <v>1</v>
      </c>
      <c r="E71" s="29">
        <v>2.9498525073746312E-3</v>
      </c>
    </row>
    <row r="72" spans="2:5" ht="15" customHeight="1" x14ac:dyDescent="0.25">
      <c r="B72" s="76"/>
      <c r="C72" s="31" t="s">
        <v>124</v>
      </c>
      <c r="D72" s="30">
        <v>1</v>
      </c>
      <c r="E72" s="29">
        <v>2.9498525073746312E-3</v>
      </c>
    </row>
    <row r="73" spans="2:5" ht="15" customHeight="1" x14ac:dyDescent="0.25">
      <c r="B73" s="76"/>
      <c r="C73" s="31" t="s">
        <v>123</v>
      </c>
      <c r="D73" s="30">
        <v>1</v>
      </c>
      <c r="E73" s="29">
        <v>2.9498525073746312E-3</v>
      </c>
    </row>
    <row r="74" spans="2:5" ht="15" customHeight="1" x14ac:dyDescent="0.25">
      <c r="B74" s="76"/>
      <c r="C74" s="31" t="s">
        <v>122</v>
      </c>
      <c r="D74" s="30">
        <v>2</v>
      </c>
      <c r="E74" s="29">
        <v>5.8997050147492625E-3</v>
      </c>
    </row>
    <row r="75" spans="2:5" ht="15" customHeight="1" x14ac:dyDescent="0.25">
      <c r="B75" s="76"/>
      <c r="C75" s="31" t="s">
        <v>121</v>
      </c>
      <c r="D75" s="30">
        <v>1</v>
      </c>
      <c r="E75" s="29">
        <v>2.9498525073746312E-3</v>
      </c>
    </row>
    <row r="76" spans="2:5" ht="15" customHeight="1" x14ac:dyDescent="0.25">
      <c r="B76" s="76"/>
      <c r="C76" s="31" t="s">
        <v>120</v>
      </c>
      <c r="D76" s="30">
        <v>1</v>
      </c>
      <c r="E76" s="29">
        <v>2.9498525073746312E-3</v>
      </c>
    </row>
    <row r="77" spans="2:5" ht="15" customHeight="1" x14ac:dyDescent="0.25">
      <c r="B77" s="76"/>
      <c r="C77" s="31" t="s">
        <v>119</v>
      </c>
      <c r="D77" s="30">
        <v>4</v>
      </c>
      <c r="E77" s="29">
        <v>1.1799410029498525E-2</v>
      </c>
    </row>
    <row r="78" spans="2:5" ht="15" customHeight="1" x14ac:dyDescent="0.25">
      <c r="B78" s="77"/>
      <c r="C78" s="28" t="s">
        <v>18</v>
      </c>
      <c r="D78" s="27">
        <v>106</v>
      </c>
      <c r="E78" s="26">
        <v>0.31268436578171094</v>
      </c>
    </row>
    <row r="79" spans="2:5" ht="15" customHeight="1" x14ac:dyDescent="0.25">
      <c r="B79" s="75" t="s">
        <v>118</v>
      </c>
      <c r="C79" s="31" t="s">
        <v>117</v>
      </c>
      <c r="D79" s="30">
        <v>1</v>
      </c>
      <c r="E79" s="29">
        <v>2.9498525073746312E-3</v>
      </c>
    </row>
    <row r="80" spans="2:5" ht="15" customHeight="1" x14ac:dyDescent="0.25">
      <c r="B80" s="76"/>
      <c r="C80" s="31" t="s">
        <v>116</v>
      </c>
      <c r="D80" s="30">
        <v>1</v>
      </c>
      <c r="E80" s="29">
        <v>2.9498525073746312E-3</v>
      </c>
    </row>
    <row r="81" spans="2:5" ht="15" customHeight="1" x14ac:dyDescent="0.25">
      <c r="B81" s="76"/>
      <c r="C81" s="31" t="s">
        <v>115</v>
      </c>
      <c r="D81" s="30">
        <v>1</v>
      </c>
      <c r="E81" s="29">
        <v>2.9498525073746312E-3</v>
      </c>
    </row>
    <row r="82" spans="2:5" ht="15" customHeight="1" x14ac:dyDescent="0.25">
      <c r="B82" s="76"/>
      <c r="C82" s="31" t="s">
        <v>114</v>
      </c>
      <c r="D82" s="30">
        <v>1</v>
      </c>
      <c r="E82" s="29">
        <v>2.9498525073746312E-3</v>
      </c>
    </row>
    <row r="83" spans="2:5" ht="15" customHeight="1" x14ac:dyDescent="0.25">
      <c r="B83" s="76"/>
      <c r="C83" s="31" t="s">
        <v>113</v>
      </c>
      <c r="D83" s="30">
        <v>1</v>
      </c>
      <c r="E83" s="29">
        <v>2.9498525073746312E-3</v>
      </c>
    </row>
    <row r="84" spans="2:5" ht="15" customHeight="1" x14ac:dyDescent="0.25">
      <c r="B84" s="77"/>
      <c r="C84" s="28" t="s">
        <v>18</v>
      </c>
      <c r="D84" s="27">
        <v>5</v>
      </c>
      <c r="E84" s="26">
        <v>1.4749262536873156E-2</v>
      </c>
    </row>
    <row r="85" spans="2:5" ht="15" customHeight="1" x14ac:dyDescent="0.25">
      <c r="B85" s="75" t="s">
        <v>112</v>
      </c>
      <c r="C85" s="31" t="s">
        <v>111</v>
      </c>
      <c r="D85" s="30">
        <v>3</v>
      </c>
      <c r="E85" s="29">
        <v>8.8495575221238937E-3</v>
      </c>
    </row>
    <row r="86" spans="2:5" ht="15" customHeight="1" x14ac:dyDescent="0.25">
      <c r="B86" s="76"/>
      <c r="C86" s="31" t="s">
        <v>110</v>
      </c>
      <c r="D86" s="30">
        <v>1</v>
      </c>
      <c r="E86" s="29">
        <v>2.9498525073746312E-3</v>
      </c>
    </row>
    <row r="87" spans="2:5" ht="15" customHeight="1" x14ac:dyDescent="0.25">
      <c r="B87" s="76"/>
      <c r="C87" s="31" t="s">
        <v>109</v>
      </c>
      <c r="D87" s="30">
        <v>1</v>
      </c>
      <c r="E87" s="29">
        <v>2.9498525073746312E-3</v>
      </c>
    </row>
    <row r="88" spans="2:5" ht="15" customHeight="1" x14ac:dyDescent="0.25">
      <c r="B88" s="76"/>
      <c r="C88" s="31" t="s">
        <v>108</v>
      </c>
      <c r="D88" s="30">
        <v>1</v>
      </c>
      <c r="E88" s="29">
        <v>2.9498525073746312E-3</v>
      </c>
    </row>
    <row r="89" spans="2:5" ht="15" customHeight="1" x14ac:dyDescent="0.25">
      <c r="B89" s="77"/>
      <c r="C89" s="28" t="s">
        <v>18</v>
      </c>
      <c r="D89" s="27">
        <v>6</v>
      </c>
      <c r="E89" s="26">
        <v>1.7699115044247787E-2</v>
      </c>
    </row>
    <row r="90" spans="2:5" ht="15" customHeight="1" x14ac:dyDescent="0.25">
      <c r="B90" s="75" t="s">
        <v>107</v>
      </c>
      <c r="C90" s="31" t="s">
        <v>106</v>
      </c>
      <c r="D90" s="30">
        <v>1</v>
      </c>
      <c r="E90" s="29">
        <v>2.9498525073746312E-3</v>
      </c>
    </row>
    <row r="91" spans="2:5" ht="15" customHeight="1" x14ac:dyDescent="0.25">
      <c r="B91" s="76"/>
      <c r="C91" s="31" t="s">
        <v>105</v>
      </c>
      <c r="D91" s="30">
        <v>1</v>
      </c>
      <c r="E91" s="29">
        <v>2.9498525073746312E-3</v>
      </c>
    </row>
    <row r="92" spans="2:5" ht="15" customHeight="1" x14ac:dyDescent="0.25">
      <c r="B92" s="76"/>
      <c r="C92" s="31" t="s">
        <v>104</v>
      </c>
      <c r="D92" s="30">
        <v>1</v>
      </c>
      <c r="E92" s="29">
        <v>2.9498525073746312E-3</v>
      </c>
    </row>
    <row r="93" spans="2:5" ht="15" customHeight="1" x14ac:dyDescent="0.25">
      <c r="B93" s="76"/>
      <c r="C93" s="31" t="s">
        <v>103</v>
      </c>
      <c r="D93" s="30">
        <v>1</v>
      </c>
      <c r="E93" s="29">
        <v>2.9498525073746312E-3</v>
      </c>
    </row>
    <row r="94" spans="2:5" ht="15" customHeight="1" x14ac:dyDescent="0.25">
      <c r="B94" s="76"/>
      <c r="C94" s="31" t="s">
        <v>102</v>
      </c>
      <c r="D94" s="30">
        <v>1</v>
      </c>
      <c r="E94" s="29">
        <v>2.9498525073746312E-3</v>
      </c>
    </row>
    <row r="95" spans="2:5" ht="15" customHeight="1" x14ac:dyDescent="0.25">
      <c r="B95" s="76"/>
      <c r="C95" s="31" t="s">
        <v>101</v>
      </c>
      <c r="D95" s="30">
        <v>2</v>
      </c>
      <c r="E95" s="29">
        <v>5.8997050147492625E-3</v>
      </c>
    </row>
    <row r="96" spans="2:5" ht="15" customHeight="1" x14ac:dyDescent="0.25">
      <c r="B96" s="76"/>
      <c r="C96" s="31" t="s">
        <v>100</v>
      </c>
      <c r="D96" s="30">
        <v>1</v>
      </c>
      <c r="E96" s="29">
        <v>2.9498525073746312E-3</v>
      </c>
    </row>
    <row r="97" spans="2:5" ht="15" customHeight="1" x14ac:dyDescent="0.25">
      <c r="B97" s="77"/>
      <c r="C97" s="28" t="s">
        <v>18</v>
      </c>
      <c r="D97" s="27">
        <v>8</v>
      </c>
      <c r="E97" s="26">
        <v>2.359882005899705E-2</v>
      </c>
    </row>
    <row r="98" spans="2:5" ht="15" customHeight="1" x14ac:dyDescent="0.25">
      <c r="B98" s="75" t="s">
        <v>99</v>
      </c>
      <c r="C98" s="31" t="s">
        <v>98</v>
      </c>
      <c r="D98" s="30">
        <v>2</v>
      </c>
      <c r="E98" s="29">
        <v>5.8997050147492625E-3</v>
      </c>
    </row>
    <row r="99" spans="2:5" ht="15" customHeight="1" x14ac:dyDescent="0.25">
      <c r="B99" s="76"/>
      <c r="C99" s="31" t="s">
        <v>97</v>
      </c>
      <c r="D99" s="30">
        <v>2</v>
      </c>
      <c r="E99" s="29">
        <v>5.8997050147492625E-3</v>
      </c>
    </row>
    <row r="100" spans="2:5" ht="15" customHeight="1" x14ac:dyDescent="0.25">
      <c r="B100" s="76"/>
      <c r="C100" s="31" t="s">
        <v>96</v>
      </c>
      <c r="D100" s="30">
        <v>9</v>
      </c>
      <c r="E100" s="29">
        <v>2.6548672566371681E-2</v>
      </c>
    </row>
    <row r="101" spans="2:5" ht="15" customHeight="1" x14ac:dyDescent="0.25">
      <c r="B101" s="77"/>
      <c r="C101" s="28" t="s">
        <v>18</v>
      </c>
      <c r="D101" s="27">
        <v>13</v>
      </c>
      <c r="E101" s="26">
        <v>3.8348082595870206E-2</v>
      </c>
    </row>
    <row r="102" spans="2:5" ht="15" customHeight="1" x14ac:dyDescent="0.25">
      <c r="B102" s="75" t="s">
        <v>95</v>
      </c>
      <c r="C102" s="31" t="s">
        <v>94</v>
      </c>
      <c r="D102" s="30">
        <v>1</v>
      </c>
      <c r="E102" s="29">
        <v>2.9498525073746312E-3</v>
      </c>
    </row>
    <row r="103" spans="2:5" ht="15" customHeight="1" x14ac:dyDescent="0.25">
      <c r="B103" s="77"/>
      <c r="C103" s="28" t="s">
        <v>18</v>
      </c>
      <c r="D103" s="27">
        <v>1</v>
      </c>
      <c r="E103" s="26">
        <v>2.9498525073746312E-3</v>
      </c>
    </row>
    <row r="104" spans="2:5" ht="15" customHeight="1" x14ac:dyDescent="0.25">
      <c r="B104" s="75" t="s">
        <v>93</v>
      </c>
      <c r="C104" s="31" t="s">
        <v>92</v>
      </c>
      <c r="D104" s="30">
        <v>1</v>
      </c>
      <c r="E104" s="29">
        <v>2.9498525073746312E-3</v>
      </c>
    </row>
    <row r="105" spans="2:5" ht="15" customHeight="1" x14ac:dyDescent="0.25">
      <c r="B105" s="76"/>
      <c r="C105" s="31" t="s">
        <v>91</v>
      </c>
      <c r="D105" s="30">
        <v>1</v>
      </c>
      <c r="E105" s="29">
        <v>2.9498525073746312E-3</v>
      </c>
    </row>
    <row r="106" spans="2:5" ht="15" customHeight="1" x14ac:dyDescent="0.25">
      <c r="B106" s="77"/>
      <c r="C106" s="28" t="s">
        <v>18</v>
      </c>
      <c r="D106" s="27">
        <v>2</v>
      </c>
      <c r="E106" s="26">
        <v>5.8997050147492625E-3</v>
      </c>
    </row>
    <row r="107" spans="2:5" ht="15" customHeight="1" x14ac:dyDescent="0.25">
      <c r="B107" s="75" t="s">
        <v>90</v>
      </c>
      <c r="C107" s="31" t="s">
        <v>89</v>
      </c>
      <c r="D107" s="30">
        <v>1</v>
      </c>
      <c r="E107" s="29">
        <v>2.9498525073746312E-3</v>
      </c>
    </row>
    <row r="108" spans="2:5" ht="15" customHeight="1" x14ac:dyDescent="0.25">
      <c r="B108" s="76"/>
      <c r="C108" s="31" t="s">
        <v>88</v>
      </c>
      <c r="D108" s="30">
        <v>1</v>
      </c>
      <c r="E108" s="29">
        <v>2.9498525073746312E-3</v>
      </c>
    </row>
    <row r="109" spans="2:5" ht="15" customHeight="1" x14ac:dyDescent="0.25">
      <c r="B109" s="76"/>
      <c r="C109" s="31" t="s">
        <v>87</v>
      </c>
      <c r="D109" s="30">
        <v>1</v>
      </c>
      <c r="E109" s="29">
        <v>2.9498525073746312E-3</v>
      </c>
    </row>
    <row r="110" spans="2:5" ht="15" customHeight="1" x14ac:dyDescent="0.25">
      <c r="B110" s="76"/>
      <c r="C110" s="31" t="s">
        <v>86</v>
      </c>
      <c r="D110" s="30">
        <v>3</v>
      </c>
      <c r="E110" s="29">
        <v>8.8495575221238937E-3</v>
      </c>
    </row>
    <row r="111" spans="2:5" ht="15" customHeight="1" x14ac:dyDescent="0.25">
      <c r="B111" s="76"/>
      <c r="C111" s="31" t="s">
        <v>85</v>
      </c>
      <c r="D111" s="30">
        <v>1</v>
      </c>
      <c r="E111" s="29">
        <v>2.9498525073746312E-3</v>
      </c>
    </row>
    <row r="112" spans="2:5" ht="15" customHeight="1" x14ac:dyDescent="0.25">
      <c r="B112" s="76"/>
      <c r="C112" s="31" t="s">
        <v>84</v>
      </c>
      <c r="D112" s="30">
        <v>1</v>
      </c>
      <c r="E112" s="29">
        <v>2.9498525073746312E-3</v>
      </c>
    </row>
    <row r="113" spans="2:5" ht="15" customHeight="1" x14ac:dyDescent="0.25">
      <c r="B113" s="76"/>
      <c r="C113" s="31" t="s">
        <v>83</v>
      </c>
      <c r="D113" s="30">
        <v>1</v>
      </c>
      <c r="E113" s="29">
        <v>2.9498525073746312E-3</v>
      </c>
    </row>
    <row r="114" spans="2:5" ht="15" customHeight="1" x14ac:dyDescent="0.25">
      <c r="B114" s="76"/>
      <c r="C114" s="31" t="s">
        <v>82</v>
      </c>
      <c r="D114" s="30">
        <v>3</v>
      </c>
      <c r="E114" s="29">
        <v>8.8495575221238937E-3</v>
      </c>
    </row>
    <row r="115" spans="2:5" ht="15" customHeight="1" x14ac:dyDescent="0.25">
      <c r="B115" s="76"/>
      <c r="C115" s="31" t="s">
        <v>81</v>
      </c>
      <c r="D115" s="30">
        <v>1</v>
      </c>
      <c r="E115" s="29">
        <v>2.9498525073746312E-3</v>
      </c>
    </row>
    <row r="116" spans="2:5" ht="15" customHeight="1" x14ac:dyDescent="0.25">
      <c r="B116" s="76"/>
      <c r="C116" s="31" t="s">
        <v>80</v>
      </c>
      <c r="D116" s="30">
        <v>1</v>
      </c>
      <c r="E116" s="29">
        <v>2.9498525073746312E-3</v>
      </c>
    </row>
    <row r="117" spans="2:5" ht="15" customHeight="1" x14ac:dyDescent="0.25">
      <c r="B117" s="76"/>
      <c r="C117" s="31" t="s">
        <v>79</v>
      </c>
      <c r="D117" s="30">
        <v>1</v>
      </c>
      <c r="E117" s="29">
        <v>2.9498525073746312E-3</v>
      </c>
    </row>
    <row r="118" spans="2:5" ht="15" customHeight="1" x14ac:dyDescent="0.25">
      <c r="B118" s="76"/>
      <c r="C118" s="31" t="s">
        <v>78</v>
      </c>
      <c r="D118" s="30">
        <v>1</v>
      </c>
      <c r="E118" s="29">
        <v>2.9498525073746312E-3</v>
      </c>
    </row>
    <row r="119" spans="2:5" ht="15" customHeight="1" x14ac:dyDescent="0.25">
      <c r="B119" s="76"/>
      <c r="C119" s="31" t="s">
        <v>77</v>
      </c>
      <c r="D119" s="30">
        <v>1</v>
      </c>
      <c r="E119" s="29">
        <v>2.9498525073746312E-3</v>
      </c>
    </row>
    <row r="120" spans="2:5" ht="15" customHeight="1" x14ac:dyDescent="0.25">
      <c r="B120" s="76"/>
      <c r="C120" s="31" t="s">
        <v>76</v>
      </c>
      <c r="D120" s="30">
        <v>1</v>
      </c>
      <c r="E120" s="29">
        <v>2.9498525073746312E-3</v>
      </c>
    </row>
    <row r="121" spans="2:5" ht="15" customHeight="1" x14ac:dyDescent="0.25">
      <c r="B121" s="77"/>
      <c r="C121" s="28" t="s">
        <v>18</v>
      </c>
      <c r="D121" s="27">
        <v>18</v>
      </c>
      <c r="E121" s="26">
        <v>5.3097345132743362E-2</v>
      </c>
    </row>
    <row r="122" spans="2:5" ht="15" customHeight="1" x14ac:dyDescent="0.25">
      <c r="B122" s="75" t="s">
        <v>67</v>
      </c>
      <c r="C122" s="31" t="s">
        <v>75</v>
      </c>
      <c r="D122" s="30">
        <v>1</v>
      </c>
      <c r="E122" s="29">
        <v>2.9498525073746312E-3</v>
      </c>
    </row>
    <row r="123" spans="2:5" ht="15" customHeight="1" x14ac:dyDescent="0.25">
      <c r="B123" s="76"/>
      <c r="C123" s="31" t="s">
        <v>74</v>
      </c>
      <c r="D123" s="30">
        <v>1</v>
      </c>
      <c r="E123" s="29">
        <v>2.9498525073746312E-3</v>
      </c>
    </row>
    <row r="124" spans="2:5" ht="15" customHeight="1" x14ac:dyDescent="0.25">
      <c r="B124" s="76"/>
      <c r="C124" s="31" t="s">
        <v>73</v>
      </c>
      <c r="D124" s="30">
        <v>1</v>
      </c>
      <c r="E124" s="29">
        <v>2.9498525073746312E-3</v>
      </c>
    </row>
    <row r="125" spans="2:5" ht="15" customHeight="1" x14ac:dyDescent="0.25">
      <c r="B125" s="76"/>
      <c r="C125" s="31" t="s">
        <v>72</v>
      </c>
      <c r="D125" s="30">
        <v>1</v>
      </c>
      <c r="E125" s="29">
        <v>2.9498525073746312E-3</v>
      </c>
    </row>
    <row r="126" spans="2:5" ht="15" customHeight="1" x14ac:dyDescent="0.25">
      <c r="B126" s="76"/>
      <c r="C126" s="31" t="s">
        <v>71</v>
      </c>
      <c r="D126" s="30">
        <v>1</v>
      </c>
      <c r="E126" s="29">
        <v>2.9498525073746312E-3</v>
      </c>
    </row>
    <row r="127" spans="2:5" ht="15" customHeight="1" x14ac:dyDescent="0.25">
      <c r="B127" s="76"/>
      <c r="C127" s="31" t="s">
        <v>70</v>
      </c>
      <c r="D127" s="30">
        <v>1</v>
      </c>
      <c r="E127" s="29">
        <v>2.9498525073746312E-3</v>
      </c>
    </row>
    <row r="128" spans="2:5" ht="15" customHeight="1" x14ac:dyDescent="0.25">
      <c r="B128" s="76"/>
      <c r="C128" s="31" t="s">
        <v>69</v>
      </c>
      <c r="D128" s="30">
        <v>1</v>
      </c>
      <c r="E128" s="29">
        <v>2.9498525073746312E-3</v>
      </c>
    </row>
    <row r="129" spans="2:5" ht="15" customHeight="1" x14ac:dyDescent="0.25">
      <c r="B129" s="76"/>
      <c r="C129" s="31" t="s">
        <v>68</v>
      </c>
      <c r="D129" s="30">
        <v>1</v>
      </c>
      <c r="E129" s="29">
        <v>2.9498525073746312E-3</v>
      </c>
    </row>
    <row r="130" spans="2:5" ht="15" customHeight="1" x14ac:dyDescent="0.25">
      <c r="B130" s="76"/>
      <c r="C130" s="31" t="s">
        <v>67</v>
      </c>
      <c r="D130" s="30">
        <v>7</v>
      </c>
      <c r="E130" s="29">
        <v>2.0648967551622419E-2</v>
      </c>
    </row>
    <row r="131" spans="2:5" ht="15" customHeight="1" x14ac:dyDescent="0.25">
      <c r="B131" s="76"/>
      <c r="C131" s="31" t="s">
        <v>66</v>
      </c>
      <c r="D131" s="30">
        <v>1</v>
      </c>
      <c r="E131" s="29">
        <v>2.9498525073746312E-3</v>
      </c>
    </row>
    <row r="132" spans="2:5" ht="15" customHeight="1" x14ac:dyDescent="0.25">
      <c r="B132" s="76"/>
      <c r="C132" s="31" t="s">
        <v>65</v>
      </c>
      <c r="D132" s="30">
        <v>1</v>
      </c>
      <c r="E132" s="29">
        <v>2.9498525073746312E-3</v>
      </c>
    </row>
    <row r="133" spans="2:5" ht="15" customHeight="1" x14ac:dyDescent="0.25">
      <c r="B133" s="76"/>
      <c r="C133" s="31" t="s">
        <v>64</v>
      </c>
      <c r="D133" s="30">
        <v>1</v>
      </c>
      <c r="E133" s="29">
        <v>2.9498525073746312E-3</v>
      </c>
    </row>
    <row r="134" spans="2:5" ht="15" customHeight="1" x14ac:dyDescent="0.25">
      <c r="B134" s="76"/>
      <c r="C134" s="31" t="s">
        <v>63</v>
      </c>
      <c r="D134" s="30">
        <v>2</v>
      </c>
      <c r="E134" s="29">
        <v>5.8997050147492625E-3</v>
      </c>
    </row>
    <row r="135" spans="2:5" ht="15" customHeight="1" x14ac:dyDescent="0.25">
      <c r="B135" s="76"/>
      <c r="C135" s="31" t="s">
        <v>62</v>
      </c>
      <c r="D135" s="30">
        <v>3</v>
      </c>
      <c r="E135" s="29">
        <v>8.8495575221238937E-3</v>
      </c>
    </row>
    <row r="136" spans="2:5" ht="15" customHeight="1" x14ac:dyDescent="0.25">
      <c r="B136" s="76"/>
      <c r="C136" s="31" t="s">
        <v>61</v>
      </c>
      <c r="D136" s="30">
        <v>5</v>
      </c>
      <c r="E136" s="29">
        <v>1.4749262536873156E-2</v>
      </c>
    </row>
    <row r="137" spans="2:5" ht="15" customHeight="1" x14ac:dyDescent="0.25">
      <c r="B137" s="76"/>
      <c r="C137" s="31" t="s">
        <v>60</v>
      </c>
      <c r="D137" s="30">
        <v>24</v>
      </c>
      <c r="E137" s="29">
        <v>7.0796460176991149E-2</v>
      </c>
    </row>
    <row r="138" spans="2:5" ht="15" customHeight="1" x14ac:dyDescent="0.25">
      <c r="B138" s="76"/>
      <c r="C138" s="31" t="s">
        <v>59</v>
      </c>
      <c r="D138" s="30">
        <v>2</v>
      </c>
      <c r="E138" s="29">
        <v>5.8997050147492625E-3</v>
      </c>
    </row>
    <row r="139" spans="2:5" ht="15" customHeight="1" x14ac:dyDescent="0.25">
      <c r="B139" s="76"/>
      <c r="C139" s="31" t="s">
        <v>58</v>
      </c>
      <c r="D139" s="30">
        <v>1</v>
      </c>
      <c r="E139" s="29">
        <v>2.9498525073746312E-3</v>
      </c>
    </row>
    <row r="140" spans="2:5" ht="15" customHeight="1" x14ac:dyDescent="0.25">
      <c r="B140" s="76"/>
      <c r="C140" s="31" t="s">
        <v>57</v>
      </c>
      <c r="D140" s="30">
        <v>1</v>
      </c>
      <c r="E140" s="29">
        <v>2.9498525073746312E-3</v>
      </c>
    </row>
    <row r="141" spans="2:5" ht="15" customHeight="1" x14ac:dyDescent="0.25">
      <c r="B141" s="76"/>
      <c r="C141" s="31" t="s">
        <v>56</v>
      </c>
      <c r="D141" s="30">
        <v>2</v>
      </c>
      <c r="E141" s="29">
        <v>5.8997050147492625E-3</v>
      </c>
    </row>
    <row r="142" spans="2:5" ht="15" customHeight="1" x14ac:dyDescent="0.25">
      <c r="B142" s="76"/>
      <c r="C142" s="31" t="s">
        <v>55</v>
      </c>
      <c r="D142" s="30">
        <v>1</v>
      </c>
      <c r="E142" s="29">
        <v>2.9498525073746312E-3</v>
      </c>
    </row>
    <row r="143" spans="2:5" ht="15" customHeight="1" x14ac:dyDescent="0.25">
      <c r="B143" s="76"/>
      <c r="C143" s="31" t="s">
        <v>54</v>
      </c>
      <c r="D143" s="30">
        <v>1</v>
      </c>
      <c r="E143" s="29">
        <v>2.9498525073746312E-3</v>
      </c>
    </row>
    <row r="144" spans="2:5" ht="15" customHeight="1" x14ac:dyDescent="0.25">
      <c r="B144" s="76"/>
      <c r="C144" s="31" t="s">
        <v>53</v>
      </c>
      <c r="D144" s="30">
        <v>1</v>
      </c>
      <c r="E144" s="29">
        <v>2.9498525073746312E-3</v>
      </c>
    </row>
    <row r="145" spans="2:5" ht="15" customHeight="1" x14ac:dyDescent="0.25">
      <c r="B145" s="76"/>
      <c r="C145" s="31" t="s">
        <v>52</v>
      </c>
      <c r="D145" s="30">
        <v>1</v>
      </c>
      <c r="E145" s="29">
        <v>2.9498525073746312E-3</v>
      </c>
    </row>
    <row r="146" spans="2:5" ht="15" customHeight="1" x14ac:dyDescent="0.25">
      <c r="B146" s="76"/>
      <c r="C146" s="31" t="s">
        <v>51</v>
      </c>
      <c r="D146" s="30">
        <v>1</v>
      </c>
      <c r="E146" s="29">
        <v>2.9498525073746312E-3</v>
      </c>
    </row>
    <row r="147" spans="2:5" ht="15" customHeight="1" x14ac:dyDescent="0.25">
      <c r="B147" s="76"/>
      <c r="C147" s="31" t="s">
        <v>50</v>
      </c>
      <c r="D147" s="30">
        <v>3</v>
      </c>
      <c r="E147" s="29">
        <v>8.8495575221238937E-3</v>
      </c>
    </row>
    <row r="148" spans="2:5" ht="15" customHeight="1" x14ac:dyDescent="0.25">
      <c r="B148" s="77"/>
      <c r="C148" s="28" t="s">
        <v>18</v>
      </c>
      <c r="D148" s="27">
        <v>66</v>
      </c>
      <c r="E148" s="26">
        <v>0.19469026548672566</v>
      </c>
    </row>
    <row r="149" spans="2:5" ht="15" customHeight="1" x14ac:dyDescent="0.25">
      <c r="B149" s="75" t="s">
        <v>49</v>
      </c>
      <c r="C149" s="31" t="s">
        <v>48</v>
      </c>
      <c r="D149" s="30">
        <v>1</v>
      </c>
      <c r="E149" s="29">
        <v>2.9498525073746312E-3</v>
      </c>
    </row>
    <row r="150" spans="2:5" ht="15" customHeight="1" x14ac:dyDescent="0.25">
      <c r="B150" s="77"/>
      <c r="C150" s="28" t="s">
        <v>18</v>
      </c>
      <c r="D150" s="27">
        <v>1</v>
      </c>
      <c r="E150" s="26">
        <v>2.9498525073746312E-3</v>
      </c>
    </row>
    <row r="151" spans="2:5" ht="15" customHeight="1" x14ac:dyDescent="0.25">
      <c r="B151" s="75" t="s">
        <v>47</v>
      </c>
      <c r="C151" s="31" t="s">
        <v>46</v>
      </c>
      <c r="D151" s="30">
        <v>1</v>
      </c>
      <c r="E151" s="29">
        <v>2.9498525073746312E-3</v>
      </c>
    </row>
    <row r="152" spans="2:5" ht="15" customHeight="1" x14ac:dyDescent="0.25">
      <c r="B152" s="77"/>
      <c r="C152" s="28" t="s">
        <v>18</v>
      </c>
      <c r="D152" s="27">
        <v>1</v>
      </c>
      <c r="E152" s="26">
        <v>2.9498525073746312E-3</v>
      </c>
    </row>
    <row r="153" spans="2:5" ht="15" customHeight="1" x14ac:dyDescent="0.25">
      <c r="B153" s="75" t="s">
        <v>45</v>
      </c>
      <c r="C153" s="31" t="s">
        <v>45</v>
      </c>
      <c r="D153" s="30">
        <v>1</v>
      </c>
      <c r="E153" s="29">
        <v>2.9498525073746312E-3</v>
      </c>
    </row>
    <row r="154" spans="2:5" ht="15" customHeight="1" x14ac:dyDescent="0.25">
      <c r="B154" s="77"/>
      <c r="C154" s="28" t="s">
        <v>18</v>
      </c>
      <c r="D154" s="27">
        <v>1</v>
      </c>
      <c r="E154" s="26">
        <v>2.9498525073746312E-3</v>
      </c>
    </row>
    <row r="155" spans="2:5" ht="15" customHeight="1" x14ac:dyDescent="0.25">
      <c r="B155" s="75" t="s">
        <v>43</v>
      </c>
      <c r="C155" s="31" t="s">
        <v>44</v>
      </c>
      <c r="D155" s="30">
        <v>1</v>
      </c>
      <c r="E155" s="29">
        <v>2.9498525073746312E-3</v>
      </c>
    </row>
    <row r="156" spans="2:5" ht="15" customHeight="1" x14ac:dyDescent="0.25">
      <c r="B156" s="76"/>
      <c r="C156" s="31" t="s">
        <v>43</v>
      </c>
      <c r="D156" s="30">
        <v>1</v>
      </c>
      <c r="E156" s="29">
        <v>2.9498525073746312E-3</v>
      </c>
    </row>
    <row r="157" spans="2:5" ht="15" customHeight="1" x14ac:dyDescent="0.25">
      <c r="B157" s="77"/>
      <c r="C157" s="28" t="s">
        <v>18</v>
      </c>
      <c r="D157" s="27">
        <v>2</v>
      </c>
      <c r="E157" s="26">
        <v>5.8997050147492625E-3</v>
      </c>
    </row>
    <row r="158" spans="2:5" ht="15" customHeight="1" x14ac:dyDescent="0.25">
      <c r="B158" s="75" t="s">
        <v>42</v>
      </c>
      <c r="C158" s="31" t="s">
        <v>41</v>
      </c>
      <c r="D158" s="30">
        <v>1</v>
      </c>
      <c r="E158" s="29">
        <v>2.9498525073746312E-3</v>
      </c>
    </row>
    <row r="159" spans="2:5" ht="15" customHeight="1" x14ac:dyDescent="0.25">
      <c r="B159" s="77"/>
      <c r="C159" s="28" t="s">
        <v>18</v>
      </c>
      <c r="D159" s="27">
        <v>1</v>
      </c>
      <c r="E159" s="26">
        <v>2.9498525073746312E-3</v>
      </c>
    </row>
    <row r="160" spans="2:5" ht="15" customHeight="1" x14ac:dyDescent="0.25">
      <c r="B160" s="75" t="s">
        <v>40</v>
      </c>
      <c r="C160" s="31" t="s">
        <v>39</v>
      </c>
      <c r="D160" s="30">
        <v>1</v>
      </c>
      <c r="E160" s="29">
        <v>2.9498525073746312E-3</v>
      </c>
    </row>
    <row r="161" spans="2:5" ht="15" customHeight="1" x14ac:dyDescent="0.25">
      <c r="B161" s="77"/>
      <c r="C161" s="28" t="s">
        <v>18</v>
      </c>
      <c r="D161" s="27">
        <v>1</v>
      </c>
      <c r="E161" s="26">
        <v>2.9498525073746312E-3</v>
      </c>
    </row>
    <row r="162" spans="2:5" ht="15" customHeight="1" x14ac:dyDescent="0.25">
      <c r="B162" s="75" t="s">
        <v>36</v>
      </c>
      <c r="C162" s="31" t="s">
        <v>38</v>
      </c>
      <c r="D162" s="30">
        <v>2</v>
      </c>
      <c r="E162" s="29">
        <v>5.8997050147492625E-3</v>
      </c>
    </row>
    <row r="163" spans="2:5" ht="15" customHeight="1" x14ac:dyDescent="0.25">
      <c r="B163" s="76"/>
      <c r="C163" s="31" t="s">
        <v>37</v>
      </c>
      <c r="D163" s="30">
        <v>2</v>
      </c>
      <c r="E163" s="29">
        <v>5.8997050147492625E-3</v>
      </c>
    </row>
    <row r="164" spans="2:5" ht="15" customHeight="1" x14ac:dyDescent="0.25">
      <c r="B164" s="76"/>
      <c r="C164" s="31" t="s">
        <v>36</v>
      </c>
      <c r="D164" s="30">
        <v>1</v>
      </c>
      <c r="E164" s="29">
        <v>2.9498525073746312E-3</v>
      </c>
    </row>
    <row r="165" spans="2:5" ht="15" customHeight="1" x14ac:dyDescent="0.25">
      <c r="B165" s="77"/>
      <c r="C165" s="28" t="s">
        <v>18</v>
      </c>
      <c r="D165" s="27">
        <v>5</v>
      </c>
      <c r="E165" s="26">
        <v>1.4749262536873156E-2</v>
      </c>
    </row>
    <row r="166" spans="2:5" ht="15" customHeight="1" x14ac:dyDescent="0.25">
      <c r="B166" s="75" t="s">
        <v>35</v>
      </c>
      <c r="C166" s="31" t="s">
        <v>34</v>
      </c>
      <c r="D166" s="30">
        <v>1</v>
      </c>
      <c r="E166" s="29">
        <v>2.9498525073746312E-3</v>
      </c>
    </row>
    <row r="167" spans="2:5" ht="15" customHeight="1" x14ac:dyDescent="0.25">
      <c r="B167" s="76"/>
      <c r="C167" s="31" t="s">
        <v>33</v>
      </c>
      <c r="D167" s="30">
        <v>1</v>
      </c>
      <c r="E167" s="29">
        <v>2.9498525073746312E-3</v>
      </c>
    </row>
    <row r="168" spans="2:5" ht="15" customHeight="1" x14ac:dyDescent="0.25">
      <c r="B168" s="76"/>
      <c r="C168" s="31" t="s">
        <v>32</v>
      </c>
      <c r="D168" s="30">
        <v>4</v>
      </c>
      <c r="E168" s="29">
        <v>1.1799410029498525E-2</v>
      </c>
    </row>
    <row r="169" spans="2:5" ht="15" customHeight="1" x14ac:dyDescent="0.25">
      <c r="B169" s="76"/>
      <c r="C169" s="31" t="s">
        <v>31</v>
      </c>
      <c r="D169" s="30">
        <v>1</v>
      </c>
      <c r="E169" s="29">
        <v>2.9498525073746312E-3</v>
      </c>
    </row>
    <row r="170" spans="2:5" ht="15" customHeight="1" x14ac:dyDescent="0.25">
      <c r="B170" s="76"/>
      <c r="C170" s="31" t="s">
        <v>30</v>
      </c>
      <c r="D170" s="30">
        <v>1</v>
      </c>
      <c r="E170" s="29">
        <v>2.9498525073746312E-3</v>
      </c>
    </row>
    <row r="171" spans="2:5" ht="15" customHeight="1" x14ac:dyDescent="0.25">
      <c r="B171" s="76"/>
      <c r="C171" s="31" t="s">
        <v>29</v>
      </c>
      <c r="D171" s="30">
        <v>1</v>
      </c>
      <c r="E171" s="29">
        <v>2.9498525073746312E-3</v>
      </c>
    </row>
    <row r="172" spans="2:5" ht="15" customHeight="1" x14ac:dyDescent="0.25">
      <c r="B172" s="76"/>
      <c r="C172" s="31" t="s">
        <v>28</v>
      </c>
      <c r="D172" s="30">
        <v>1</v>
      </c>
      <c r="E172" s="29">
        <v>2.9498525073746312E-3</v>
      </c>
    </row>
    <row r="173" spans="2:5" ht="15" customHeight="1" x14ac:dyDescent="0.25">
      <c r="B173" s="76"/>
      <c r="C173" s="31" t="s">
        <v>27</v>
      </c>
      <c r="D173" s="30">
        <v>1</v>
      </c>
      <c r="E173" s="29">
        <v>2.9498525073746312E-3</v>
      </c>
    </row>
    <row r="174" spans="2:5" ht="15" customHeight="1" x14ac:dyDescent="0.25">
      <c r="B174" s="76"/>
      <c r="C174" s="31" t="s">
        <v>26</v>
      </c>
      <c r="D174" s="30">
        <v>1</v>
      </c>
      <c r="E174" s="29">
        <v>2.9498525073746312E-3</v>
      </c>
    </row>
    <row r="175" spans="2:5" ht="15" customHeight="1" x14ac:dyDescent="0.25">
      <c r="B175" s="76"/>
      <c r="C175" s="31" t="s">
        <v>25</v>
      </c>
      <c r="D175" s="30">
        <v>1</v>
      </c>
      <c r="E175" s="29">
        <v>2.9498525073746312E-3</v>
      </c>
    </row>
    <row r="176" spans="2:5" ht="15" customHeight="1" x14ac:dyDescent="0.25">
      <c r="B176" s="76"/>
      <c r="C176" s="31" t="s">
        <v>24</v>
      </c>
      <c r="D176" s="30">
        <v>2</v>
      </c>
      <c r="E176" s="29">
        <v>5.8997050147492625E-3</v>
      </c>
    </row>
    <row r="177" spans="2:5" ht="15" customHeight="1" x14ac:dyDescent="0.25">
      <c r="B177" s="77"/>
      <c r="C177" s="28" t="s">
        <v>18</v>
      </c>
      <c r="D177" s="27">
        <v>15</v>
      </c>
      <c r="E177" s="26">
        <v>4.4247787610619468E-2</v>
      </c>
    </row>
    <row r="178" spans="2:5" ht="15" customHeight="1" x14ac:dyDescent="0.25">
      <c r="B178" s="75" t="s">
        <v>23</v>
      </c>
      <c r="C178" s="31" t="s">
        <v>22</v>
      </c>
      <c r="D178" s="30">
        <v>1</v>
      </c>
      <c r="E178" s="29">
        <v>2.9498525073746312E-3</v>
      </c>
    </row>
    <row r="179" spans="2:5" ht="15" customHeight="1" x14ac:dyDescent="0.25">
      <c r="B179" s="77"/>
      <c r="C179" s="28" t="s">
        <v>18</v>
      </c>
      <c r="D179" s="27">
        <v>1</v>
      </c>
      <c r="E179" s="26">
        <v>2.9498525073746312E-3</v>
      </c>
    </row>
    <row r="180" spans="2:5" ht="15" customHeight="1" x14ac:dyDescent="0.25">
      <c r="B180" s="75" t="s">
        <v>21</v>
      </c>
      <c r="C180" s="31" t="s">
        <v>20</v>
      </c>
      <c r="D180" s="30">
        <v>1</v>
      </c>
      <c r="E180" s="29">
        <v>2.9498525073746312E-3</v>
      </c>
    </row>
    <row r="181" spans="2:5" ht="15" customHeight="1" x14ac:dyDescent="0.25">
      <c r="B181" s="76"/>
      <c r="C181" s="31" t="s">
        <v>19</v>
      </c>
      <c r="D181" s="30">
        <v>1</v>
      </c>
      <c r="E181" s="29">
        <v>2.9498525073746312E-3</v>
      </c>
    </row>
    <row r="182" spans="2:5" ht="15" customHeight="1" x14ac:dyDescent="0.25">
      <c r="B182" s="77"/>
      <c r="C182" s="28" t="s">
        <v>18</v>
      </c>
      <c r="D182" s="27">
        <v>2</v>
      </c>
      <c r="E182" s="26">
        <v>5.8997050147492625E-3</v>
      </c>
    </row>
    <row r="183" spans="2:5" ht="15" customHeight="1" x14ac:dyDescent="0.25">
      <c r="B183" s="73" t="s">
        <v>18</v>
      </c>
      <c r="C183" s="74"/>
      <c r="D183" s="25">
        <f>SUMIF(C$10:C182,"Total",D$10:D182)</f>
        <v>339</v>
      </c>
      <c r="E183" s="24">
        <v>1</v>
      </c>
    </row>
    <row r="185" spans="2:5" ht="15" customHeight="1" x14ac:dyDescent="0.25">
      <c r="B185" s="21" t="s">
        <v>17</v>
      </c>
    </row>
    <row r="186" spans="2:5" ht="15" customHeight="1" x14ac:dyDescent="0.25">
      <c r="B186" s="23" t="s">
        <v>16</v>
      </c>
    </row>
    <row r="187" spans="2:5" ht="15" customHeight="1" x14ac:dyDescent="0.25">
      <c r="B187" s="22" t="s">
        <v>15</v>
      </c>
    </row>
    <row r="188" spans="2:5" ht="15" customHeight="1" x14ac:dyDescent="0.25">
      <c r="B188" s="21" t="s">
        <v>14</v>
      </c>
    </row>
    <row r="189" spans="2:5" ht="15" customHeight="1" x14ac:dyDescent="0.25">
      <c r="B189" s="21" t="s">
        <v>13</v>
      </c>
    </row>
    <row r="484" spans="1:2" s="18" customFormat="1" ht="15" customHeight="1" x14ac:dyDescent="0.25">
      <c r="A484" s="17"/>
      <c r="B484" s="19"/>
    </row>
    <row r="485" spans="1:2" s="18" customFormat="1" ht="15" customHeight="1" x14ac:dyDescent="0.25">
      <c r="A485" s="17"/>
      <c r="B485" s="20"/>
    </row>
    <row r="486" spans="1:2" s="18" customFormat="1" ht="15" customHeight="1" x14ac:dyDescent="0.25">
      <c r="A486" s="17"/>
      <c r="B486" s="20"/>
    </row>
    <row r="487" spans="1:2" s="18" customFormat="1" ht="15" customHeight="1" x14ac:dyDescent="0.25">
      <c r="A487" s="17"/>
      <c r="B487" s="19"/>
    </row>
    <row r="488" spans="1:2" s="18" customFormat="1" ht="15" customHeight="1" x14ac:dyDescent="0.25">
      <c r="A488" s="17"/>
      <c r="B488" s="19"/>
    </row>
  </sheetData>
  <mergeCells count="32">
    <mergeCell ref="B7:E8"/>
    <mergeCell ref="B10:B11"/>
    <mergeCell ref="B12:B13"/>
    <mergeCell ref="B14:B15"/>
    <mergeCell ref="B16:B28"/>
    <mergeCell ref="B50:B59"/>
    <mergeCell ref="B60:B64"/>
    <mergeCell ref="B65:B78"/>
    <mergeCell ref="B79:B84"/>
    <mergeCell ref="B85:B89"/>
    <mergeCell ref="B29:B31"/>
    <mergeCell ref="B32:B33"/>
    <mergeCell ref="B34:B35"/>
    <mergeCell ref="B36:B47"/>
    <mergeCell ref="B48:B49"/>
    <mergeCell ref="B122:B148"/>
    <mergeCell ref="B149:B150"/>
    <mergeCell ref="B151:B152"/>
    <mergeCell ref="B153:B154"/>
    <mergeCell ref="B180:B182"/>
    <mergeCell ref="B90:B97"/>
    <mergeCell ref="B98:B101"/>
    <mergeCell ref="B102:B103"/>
    <mergeCell ref="B104:B106"/>
    <mergeCell ref="B107:B121"/>
    <mergeCell ref="B183:C183"/>
    <mergeCell ref="B155:B157"/>
    <mergeCell ref="B158:B159"/>
    <mergeCell ref="B160:B161"/>
    <mergeCell ref="B162:B165"/>
    <mergeCell ref="B166:B177"/>
    <mergeCell ref="B178:B17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4" manualBreakCount="4">
    <brk id="49" max="4" man="1"/>
    <brk id="89" max="4" man="1"/>
    <brk id="121" max="4" man="1"/>
    <brk id="165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42"/>
  <sheetViews>
    <sheetView showGridLines="0" zoomScaleNormal="100" zoomScaleSheetLayoutView="115" workbookViewId="0">
      <selection activeCell="I8" sqref="I8"/>
    </sheetView>
  </sheetViews>
  <sheetFormatPr baseColWidth="10" defaultRowHeight="15" x14ac:dyDescent="0.25"/>
  <cols>
    <col min="1" max="1" width="9.28515625" style="45" customWidth="1"/>
    <col min="2" max="2" width="30.7109375" style="45" customWidth="1"/>
    <col min="3" max="3" width="17.7109375" style="46" customWidth="1"/>
    <col min="4" max="4" width="17.7109375" style="45" customWidth="1"/>
    <col min="5" max="5" width="9.28515625" style="45" customWidth="1"/>
    <col min="6" max="6" width="5.7109375" style="45" customWidth="1"/>
    <col min="7" max="16384" width="11.42578125" style="45"/>
  </cols>
  <sheetData>
    <row r="1" spans="2:4" s="33" customFormat="1" ht="15" customHeight="1" x14ac:dyDescent="0.2">
      <c r="C1" s="59"/>
    </row>
    <row r="2" spans="2:4" s="33" customFormat="1" ht="15" customHeight="1" x14ac:dyDescent="0.2">
      <c r="C2" s="59"/>
    </row>
    <row r="3" spans="2:4" s="33" customFormat="1" ht="15" customHeight="1" x14ac:dyDescent="0.2">
      <c r="C3" s="59"/>
    </row>
    <row r="4" spans="2:4" s="33" customFormat="1" ht="30" customHeight="1" x14ac:dyDescent="0.2">
      <c r="C4" s="59"/>
      <c r="D4" s="58"/>
    </row>
    <row r="5" spans="2:4" s="33" customFormat="1" ht="15" customHeight="1" x14ac:dyDescent="0.2">
      <c r="C5" s="59"/>
      <c r="D5" s="58"/>
    </row>
    <row r="6" spans="2:4" s="33" customFormat="1" ht="15" customHeight="1" x14ac:dyDescent="0.2">
      <c r="C6" s="59"/>
      <c r="D6" s="58"/>
    </row>
    <row r="7" spans="2:4" s="33" customFormat="1" ht="15" customHeight="1" x14ac:dyDescent="0.2">
      <c r="B7" s="72" t="s">
        <v>250</v>
      </c>
      <c r="C7" s="72"/>
      <c r="D7" s="72"/>
    </row>
    <row r="8" spans="2:4" s="33" customFormat="1" ht="15" customHeight="1" x14ac:dyDescent="0.2">
      <c r="B8" s="72"/>
      <c r="C8" s="72"/>
      <c r="D8" s="72"/>
    </row>
    <row r="9" spans="2:4" s="33" customFormat="1" ht="33" customHeight="1" x14ac:dyDescent="0.2">
      <c r="B9" s="72"/>
      <c r="C9" s="72"/>
      <c r="D9" s="72"/>
    </row>
    <row r="10" spans="2:4" s="33" customFormat="1" ht="4.5" customHeight="1" x14ac:dyDescent="0.2">
      <c r="B10" s="57"/>
      <c r="C10" s="57"/>
      <c r="D10" s="57"/>
    </row>
    <row r="11" spans="2:4" s="33" customFormat="1" ht="33" customHeight="1" x14ac:dyDescent="0.2">
      <c r="B11" s="56" t="s">
        <v>249</v>
      </c>
      <c r="C11" s="55" t="s">
        <v>185</v>
      </c>
      <c r="D11" s="54" t="s">
        <v>184</v>
      </c>
    </row>
    <row r="12" spans="2:4" ht="15" customHeight="1" x14ac:dyDescent="0.25">
      <c r="B12" s="52" t="s">
        <v>248</v>
      </c>
      <c r="C12" s="51">
        <v>0</v>
      </c>
      <c r="D12" s="50">
        <v>0</v>
      </c>
    </row>
    <row r="13" spans="2:4" x14ac:dyDescent="0.25">
      <c r="B13" s="52" t="s">
        <v>247</v>
      </c>
      <c r="C13" s="51">
        <v>5</v>
      </c>
      <c r="D13" s="50">
        <v>1.4925373134328358E-2</v>
      </c>
    </row>
    <row r="14" spans="2:4" s="53" customFormat="1" ht="15.75" x14ac:dyDescent="0.25">
      <c r="B14" s="52" t="s">
        <v>246</v>
      </c>
      <c r="C14" s="51">
        <v>4</v>
      </c>
      <c r="D14" s="50">
        <v>1.1940298507462687E-2</v>
      </c>
    </row>
    <row r="15" spans="2:4" s="53" customFormat="1" ht="15.75" x14ac:dyDescent="0.25">
      <c r="B15" s="52" t="s">
        <v>245</v>
      </c>
      <c r="C15" s="51">
        <v>7</v>
      </c>
      <c r="D15" s="50">
        <v>2.0895522388059702E-2</v>
      </c>
    </row>
    <row r="16" spans="2:4" x14ac:dyDescent="0.25">
      <c r="B16" s="52" t="s">
        <v>244</v>
      </c>
      <c r="C16" s="51">
        <v>9</v>
      </c>
      <c r="D16" s="50">
        <v>2.6865671641791045E-2</v>
      </c>
    </row>
    <row r="17" spans="2:4" x14ac:dyDescent="0.25">
      <c r="B17" s="52" t="s">
        <v>243</v>
      </c>
      <c r="C17" s="51">
        <v>9</v>
      </c>
      <c r="D17" s="50">
        <v>2.6865671641791045E-2</v>
      </c>
    </row>
    <row r="18" spans="2:4" x14ac:dyDescent="0.25">
      <c r="B18" s="52" t="s">
        <v>242</v>
      </c>
      <c r="C18" s="51">
        <v>6</v>
      </c>
      <c r="D18" s="50">
        <v>1.7910447761194031E-2</v>
      </c>
    </row>
    <row r="19" spans="2:4" x14ac:dyDescent="0.25">
      <c r="B19" s="52" t="s">
        <v>241</v>
      </c>
      <c r="C19" s="51">
        <v>17</v>
      </c>
      <c r="D19" s="50">
        <v>5.0746268656716415E-2</v>
      </c>
    </row>
    <row r="20" spans="2:4" x14ac:dyDescent="0.25">
      <c r="B20" s="52" t="s">
        <v>240</v>
      </c>
      <c r="C20" s="51">
        <v>49</v>
      </c>
      <c r="D20" s="50">
        <v>0.14626865671641792</v>
      </c>
    </row>
    <row r="21" spans="2:4" x14ac:dyDescent="0.25">
      <c r="B21" s="52" t="s">
        <v>239</v>
      </c>
      <c r="C21" s="51">
        <v>2</v>
      </c>
      <c r="D21" s="50">
        <v>5.9701492537313433E-3</v>
      </c>
    </row>
    <row r="22" spans="2:4" x14ac:dyDescent="0.25">
      <c r="B22" s="52" t="s">
        <v>238</v>
      </c>
      <c r="C22" s="51">
        <v>11</v>
      </c>
      <c r="D22" s="50">
        <v>3.2835820895522387E-2</v>
      </c>
    </row>
    <row r="23" spans="2:4" x14ac:dyDescent="0.25">
      <c r="B23" s="52" t="s">
        <v>237</v>
      </c>
      <c r="C23" s="51">
        <v>15</v>
      </c>
      <c r="D23" s="50">
        <v>4.4776119402985072E-2</v>
      </c>
    </row>
    <row r="24" spans="2:4" x14ac:dyDescent="0.25">
      <c r="B24" s="52" t="s">
        <v>236</v>
      </c>
      <c r="C24" s="51">
        <v>105</v>
      </c>
      <c r="D24" s="50">
        <v>0.31343283582089554</v>
      </c>
    </row>
    <row r="25" spans="2:4" x14ac:dyDescent="0.25">
      <c r="B25" s="52" t="s">
        <v>235</v>
      </c>
      <c r="C25" s="51">
        <v>1</v>
      </c>
      <c r="D25" s="50">
        <v>2.9850746268656717E-3</v>
      </c>
    </row>
    <row r="26" spans="2:4" x14ac:dyDescent="0.25">
      <c r="B26" s="52" t="s">
        <v>234</v>
      </c>
      <c r="C26" s="51">
        <v>11</v>
      </c>
      <c r="D26" s="50">
        <v>3.2835820895522387E-2</v>
      </c>
    </row>
    <row r="27" spans="2:4" x14ac:dyDescent="0.25">
      <c r="B27" s="52" t="s">
        <v>233</v>
      </c>
      <c r="C27" s="51">
        <v>43</v>
      </c>
      <c r="D27" s="50">
        <v>0.12835820895522387</v>
      </c>
    </row>
    <row r="28" spans="2:4" x14ac:dyDescent="0.25">
      <c r="B28" s="52" t="s">
        <v>232</v>
      </c>
      <c r="C28" s="51">
        <v>1</v>
      </c>
      <c r="D28" s="50">
        <v>2.9850746268656717E-3</v>
      </c>
    </row>
    <row r="29" spans="2:4" x14ac:dyDescent="0.25">
      <c r="B29" s="52" t="s">
        <v>231</v>
      </c>
      <c r="C29" s="51">
        <v>0</v>
      </c>
      <c r="D29" s="50">
        <v>0</v>
      </c>
    </row>
    <row r="30" spans="2:4" x14ac:dyDescent="0.25">
      <c r="B30" s="52" t="s">
        <v>230</v>
      </c>
      <c r="C30" s="51">
        <v>1</v>
      </c>
      <c r="D30" s="50">
        <v>2.9850746268656717E-3</v>
      </c>
    </row>
    <row r="31" spans="2:4" x14ac:dyDescent="0.25">
      <c r="B31" s="52" t="s">
        <v>229</v>
      </c>
      <c r="C31" s="51">
        <v>0</v>
      </c>
      <c r="D31" s="50">
        <v>0</v>
      </c>
    </row>
    <row r="32" spans="2:4" x14ac:dyDescent="0.25">
      <c r="B32" s="52" t="s">
        <v>228</v>
      </c>
      <c r="C32" s="51">
        <v>9</v>
      </c>
      <c r="D32" s="50">
        <v>2.6865671641791045E-2</v>
      </c>
    </row>
    <row r="33" spans="2:4" x14ac:dyDescent="0.25">
      <c r="B33" s="52" t="s">
        <v>227</v>
      </c>
      <c r="C33" s="51">
        <v>16</v>
      </c>
      <c r="D33" s="50">
        <v>4.7761194029850747E-2</v>
      </c>
    </row>
    <row r="34" spans="2:4" x14ac:dyDescent="0.25">
      <c r="B34" s="52" t="s">
        <v>226</v>
      </c>
      <c r="C34" s="51">
        <v>11</v>
      </c>
      <c r="D34" s="50">
        <v>3.2835820895522387E-2</v>
      </c>
    </row>
    <row r="35" spans="2:4" x14ac:dyDescent="0.25">
      <c r="B35" s="52" t="s">
        <v>225</v>
      </c>
      <c r="C35" s="51">
        <v>3</v>
      </c>
      <c r="D35" s="50">
        <v>8.9552238805970154E-3</v>
      </c>
    </row>
    <row r="36" spans="2:4" x14ac:dyDescent="0.25">
      <c r="B36" s="49" t="s">
        <v>18</v>
      </c>
      <c r="C36" s="48">
        <v>335</v>
      </c>
      <c r="D36" s="47">
        <v>1</v>
      </c>
    </row>
    <row r="38" spans="2:4" x14ac:dyDescent="0.25">
      <c r="B38" s="21" t="s">
        <v>17</v>
      </c>
    </row>
    <row r="39" spans="2:4" x14ac:dyDescent="0.25">
      <c r="B39" s="23" t="s">
        <v>16</v>
      </c>
    </row>
    <row r="40" spans="2:4" x14ac:dyDescent="0.25">
      <c r="B40" s="22" t="s">
        <v>15</v>
      </c>
    </row>
    <row r="41" spans="2:4" x14ac:dyDescent="0.25">
      <c r="B41" s="21" t="s">
        <v>14</v>
      </c>
    </row>
    <row r="42" spans="2:4" x14ac:dyDescent="0.25">
      <c r="B42" s="21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6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55"/>
  <sheetViews>
    <sheetView zoomScale="145" zoomScaleNormal="145" zoomScaleSheetLayoutView="115" workbookViewId="0">
      <selection activeCell="F7" sqref="F7"/>
    </sheetView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40" customFormat="1" ht="12" customHeight="1" x14ac:dyDescent="0.2">
      <c r="B1" s="44"/>
      <c r="C1" s="43"/>
      <c r="D1" s="43"/>
      <c r="E1" s="43"/>
    </row>
    <row r="2" spans="1:5" s="40" customFormat="1" ht="15" customHeight="1" x14ac:dyDescent="0.2">
      <c r="C2" s="42"/>
    </row>
    <row r="3" spans="1:5" s="40" customFormat="1" ht="15" customHeight="1" x14ac:dyDescent="0.2">
      <c r="C3" s="42"/>
    </row>
    <row r="4" spans="1:5" s="40" customFormat="1" ht="30" customHeight="1" x14ac:dyDescent="0.2">
      <c r="C4" s="42"/>
      <c r="D4" s="41"/>
    </row>
    <row r="5" spans="1:5" s="40" customFormat="1" ht="15" customHeight="1" x14ac:dyDescent="0.2">
      <c r="C5" s="42"/>
      <c r="D5" s="41"/>
    </row>
    <row r="6" spans="1:5" s="37" customFormat="1" ht="24" customHeight="1" x14ac:dyDescent="0.2">
      <c r="B6" s="39"/>
      <c r="C6" s="32"/>
      <c r="D6" s="32"/>
      <c r="E6" s="32"/>
    </row>
    <row r="7" spans="1:5" s="37" customFormat="1" ht="26.25" customHeight="1" x14ac:dyDescent="0.3">
      <c r="A7" s="38"/>
      <c r="B7" s="78"/>
      <c r="C7" s="78"/>
      <c r="D7" s="78"/>
      <c r="E7" s="78"/>
    </row>
    <row r="8" spans="1:5" s="37" customFormat="1" ht="33" customHeight="1" x14ac:dyDescent="0.3">
      <c r="A8" s="38"/>
      <c r="B8" s="78"/>
      <c r="C8" s="78"/>
      <c r="D8" s="78"/>
      <c r="E8" s="78"/>
    </row>
    <row r="9" spans="1:5" s="33" customFormat="1" ht="40.5" customHeight="1" x14ac:dyDescent="0.2">
      <c r="B9" s="34" t="s">
        <v>249</v>
      </c>
      <c r="C9" s="36" t="s">
        <v>187</v>
      </c>
      <c r="D9" s="35" t="s">
        <v>185</v>
      </c>
      <c r="E9" s="34" t="s">
        <v>184</v>
      </c>
    </row>
    <row r="10" spans="1:5" ht="15" customHeight="1" x14ac:dyDescent="0.25">
      <c r="B10" s="75" t="s">
        <v>247</v>
      </c>
      <c r="C10" s="31" t="s">
        <v>132</v>
      </c>
      <c r="D10" s="30">
        <v>4</v>
      </c>
      <c r="E10" s="29">
        <v>1.2012012012012012E-2</v>
      </c>
    </row>
    <row r="11" spans="1:5" ht="15" customHeight="1" x14ac:dyDescent="0.25">
      <c r="B11" s="76"/>
      <c r="C11" s="31" t="s">
        <v>107</v>
      </c>
      <c r="D11" s="30">
        <v>1</v>
      </c>
      <c r="E11" s="29">
        <v>3.003003003003003E-3</v>
      </c>
    </row>
    <row r="12" spans="1:5" ht="15" customHeight="1" x14ac:dyDescent="0.25">
      <c r="B12" s="77"/>
      <c r="C12" s="28" t="s">
        <v>18</v>
      </c>
      <c r="D12" s="27">
        <v>5</v>
      </c>
      <c r="E12" s="26">
        <v>1.5015015015015015E-2</v>
      </c>
    </row>
    <row r="13" spans="1:5" ht="15" customHeight="1" x14ac:dyDescent="0.25">
      <c r="B13" s="75" t="s">
        <v>246</v>
      </c>
      <c r="C13" s="31" t="s">
        <v>132</v>
      </c>
      <c r="D13" s="30">
        <v>2</v>
      </c>
      <c r="E13" s="29">
        <v>6.006006006006006E-3</v>
      </c>
    </row>
    <row r="14" spans="1:5" ht="15" customHeight="1" x14ac:dyDescent="0.25">
      <c r="B14" s="76"/>
      <c r="C14" s="31" t="s">
        <v>107</v>
      </c>
      <c r="D14" s="30">
        <v>1</v>
      </c>
      <c r="E14" s="29">
        <v>3.003003003003003E-3</v>
      </c>
    </row>
    <row r="15" spans="1:5" s="32" customFormat="1" ht="15" customHeight="1" x14ac:dyDescent="0.25">
      <c r="A15" s="17"/>
      <c r="B15" s="76"/>
      <c r="C15" s="31" t="s">
        <v>21</v>
      </c>
      <c r="D15" s="30">
        <v>1</v>
      </c>
      <c r="E15" s="29">
        <v>3.003003003003003E-3</v>
      </c>
    </row>
    <row r="16" spans="1:5" s="32" customFormat="1" ht="15" customHeight="1" x14ac:dyDescent="0.25">
      <c r="A16" s="17"/>
      <c r="B16" s="77"/>
      <c r="C16" s="28" t="s">
        <v>18</v>
      </c>
      <c r="D16" s="27">
        <v>4</v>
      </c>
      <c r="E16" s="26">
        <v>1.2012012012012012E-2</v>
      </c>
    </row>
    <row r="17" spans="1:5" s="32" customFormat="1" ht="15" customHeight="1" x14ac:dyDescent="0.25">
      <c r="A17" s="17"/>
      <c r="B17" s="75" t="s">
        <v>245</v>
      </c>
      <c r="C17" s="31" t="s">
        <v>207</v>
      </c>
      <c r="D17" s="30">
        <v>1</v>
      </c>
      <c r="E17" s="29">
        <v>3.003003003003003E-3</v>
      </c>
    </row>
    <row r="18" spans="1:5" s="32" customFormat="1" ht="15" customHeight="1" x14ac:dyDescent="0.25">
      <c r="A18" s="17"/>
      <c r="B18" s="76"/>
      <c r="C18" s="31" t="s">
        <v>177</v>
      </c>
      <c r="D18" s="30">
        <v>1</v>
      </c>
      <c r="E18" s="29">
        <v>3.003003003003003E-3</v>
      </c>
    </row>
    <row r="19" spans="1:5" s="32" customFormat="1" ht="15" customHeight="1" x14ac:dyDescent="0.25">
      <c r="A19" s="17"/>
      <c r="B19" s="76"/>
      <c r="C19" s="31" t="s">
        <v>160</v>
      </c>
      <c r="D19" s="30">
        <v>1</v>
      </c>
      <c r="E19" s="29">
        <v>3.003003003003003E-3</v>
      </c>
    </row>
    <row r="20" spans="1:5" ht="15" customHeight="1" x14ac:dyDescent="0.25">
      <c r="B20" s="76"/>
      <c r="C20" s="31" t="s">
        <v>137</v>
      </c>
      <c r="D20" s="30">
        <v>1</v>
      </c>
      <c r="E20" s="29">
        <v>3.003003003003003E-3</v>
      </c>
    </row>
    <row r="21" spans="1:5" ht="15" customHeight="1" x14ac:dyDescent="0.25">
      <c r="B21" s="76"/>
      <c r="C21" s="31" t="s">
        <v>132</v>
      </c>
      <c r="D21" s="30">
        <v>2</v>
      </c>
      <c r="E21" s="29">
        <v>6.006006006006006E-3</v>
      </c>
    </row>
    <row r="22" spans="1:5" ht="15" customHeight="1" x14ac:dyDescent="0.25">
      <c r="B22" s="76"/>
      <c r="C22" s="31" t="s">
        <v>36</v>
      </c>
      <c r="D22" s="30">
        <v>1</v>
      </c>
      <c r="E22" s="29">
        <v>3.003003003003003E-3</v>
      </c>
    </row>
    <row r="23" spans="1:5" ht="15" customHeight="1" x14ac:dyDescent="0.25">
      <c r="B23" s="77"/>
      <c r="C23" s="28" t="s">
        <v>18</v>
      </c>
      <c r="D23" s="27">
        <v>7</v>
      </c>
      <c r="E23" s="26">
        <v>2.1021021021021023E-2</v>
      </c>
    </row>
    <row r="24" spans="1:5" ht="15" customHeight="1" x14ac:dyDescent="0.25">
      <c r="B24" s="75" t="s">
        <v>244</v>
      </c>
      <c r="C24" s="31" t="s">
        <v>177</v>
      </c>
      <c r="D24" s="30">
        <v>1</v>
      </c>
      <c r="E24" s="29">
        <v>3.003003003003003E-3</v>
      </c>
    </row>
    <row r="25" spans="1:5" ht="15" customHeight="1" x14ac:dyDescent="0.25">
      <c r="B25" s="76"/>
      <c r="C25" s="31" t="s">
        <v>132</v>
      </c>
      <c r="D25" s="30">
        <v>4</v>
      </c>
      <c r="E25" s="29">
        <v>1.2012012012012012E-2</v>
      </c>
    </row>
    <row r="26" spans="1:5" ht="15" customHeight="1" x14ac:dyDescent="0.25">
      <c r="B26" s="76"/>
      <c r="C26" s="31" t="s">
        <v>67</v>
      </c>
      <c r="D26" s="30">
        <v>3</v>
      </c>
      <c r="E26" s="29">
        <v>9.0090090090090089E-3</v>
      </c>
    </row>
    <row r="27" spans="1:5" ht="15" customHeight="1" x14ac:dyDescent="0.25">
      <c r="B27" s="76"/>
      <c r="C27" s="31" t="s">
        <v>35</v>
      </c>
      <c r="D27" s="30">
        <v>1</v>
      </c>
      <c r="E27" s="29">
        <v>3.003003003003003E-3</v>
      </c>
    </row>
    <row r="28" spans="1:5" ht="15" customHeight="1" x14ac:dyDescent="0.25">
      <c r="B28" s="77"/>
      <c r="C28" s="28" t="s">
        <v>18</v>
      </c>
      <c r="D28" s="27">
        <v>9</v>
      </c>
      <c r="E28" s="26">
        <v>2.7027027027027029E-2</v>
      </c>
    </row>
    <row r="29" spans="1:5" ht="15" customHeight="1" x14ac:dyDescent="0.25">
      <c r="B29" s="75" t="s">
        <v>243</v>
      </c>
      <c r="C29" s="31" t="s">
        <v>147</v>
      </c>
      <c r="D29" s="30">
        <v>1</v>
      </c>
      <c r="E29" s="29">
        <v>3.003003003003003E-3</v>
      </c>
    </row>
    <row r="30" spans="1:5" ht="15" customHeight="1" x14ac:dyDescent="0.25">
      <c r="B30" s="76"/>
      <c r="C30" s="31" t="s">
        <v>132</v>
      </c>
      <c r="D30" s="30">
        <v>4</v>
      </c>
      <c r="E30" s="29">
        <v>1.2012012012012012E-2</v>
      </c>
    </row>
    <row r="31" spans="1:5" ht="15" customHeight="1" x14ac:dyDescent="0.25">
      <c r="B31" s="76"/>
      <c r="C31" s="31" t="s">
        <v>67</v>
      </c>
      <c r="D31" s="30">
        <v>4</v>
      </c>
      <c r="E31" s="29">
        <v>1.2012012012012012E-2</v>
      </c>
    </row>
    <row r="32" spans="1:5" ht="15" customHeight="1" x14ac:dyDescent="0.25">
      <c r="B32" s="77"/>
      <c r="C32" s="28" t="s">
        <v>18</v>
      </c>
      <c r="D32" s="27">
        <v>9</v>
      </c>
      <c r="E32" s="26">
        <v>2.7027027027027029E-2</v>
      </c>
    </row>
    <row r="33" spans="2:5" ht="15" customHeight="1" x14ac:dyDescent="0.25">
      <c r="B33" s="75" t="s">
        <v>242</v>
      </c>
      <c r="C33" s="31" t="s">
        <v>132</v>
      </c>
      <c r="D33" s="30">
        <v>4</v>
      </c>
      <c r="E33" s="29">
        <v>1.2012012012012012E-2</v>
      </c>
    </row>
    <row r="34" spans="2:5" ht="15" customHeight="1" x14ac:dyDescent="0.25">
      <c r="B34" s="76"/>
      <c r="C34" s="31" t="s">
        <v>67</v>
      </c>
      <c r="D34" s="30">
        <v>1</v>
      </c>
      <c r="E34" s="29">
        <v>3.003003003003003E-3</v>
      </c>
    </row>
    <row r="35" spans="2:5" ht="15" customHeight="1" x14ac:dyDescent="0.25">
      <c r="B35" s="76"/>
      <c r="C35" s="31" t="s">
        <v>35</v>
      </c>
      <c r="D35" s="30">
        <v>1</v>
      </c>
      <c r="E35" s="29">
        <v>3.003003003003003E-3</v>
      </c>
    </row>
    <row r="36" spans="2:5" ht="15" customHeight="1" x14ac:dyDescent="0.25">
      <c r="B36" s="77"/>
      <c r="C36" s="28" t="s">
        <v>18</v>
      </c>
      <c r="D36" s="27">
        <v>6</v>
      </c>
      <c r="E36" s="26">
        <v>1.8018018018018018E-2</v>
      </c>
    </row>
    <row r="37" spans="2:5" ht="15" customHeight="1" x14ac:dyDescent="0.25">
      <c r="B37" s="75" t="s">
        <v>241</v>
      </c>
      <c r="C37" s="31" t="s">
        <v>160</v>
      </c>
      <c r="D37" s="30">
        <v>1</v>
      </c>
      <c r="E37" s="29">
        <v>3.003003003003003E-3</v>
      </c>
    </row>
    <row r="38" spans="2:5" ht="15" customHeight="1" x14ac:dyDescent="0.25">
      <c r="B38" s="76"/>
      <c r="C38" s="31" t="s">
        <v>147</v>
      </c>
      <c r="D38" s="30">
        <v>2</v>
      </c>
      <c r="E38" s="29">
        <v>6.006006006006006E-3</v>
      </c>
    </row>
    <row r="39" spans="2:5" ht="15" customHeight="1" x14ac:dyDescent="0.25">
      <c r="B39" s="76"/>
      <c r="C39" s="31" t="s">
        <v>137</v>
      </c>
      <c r="D39" s="30">
        <v>1</v>
      </c>
      <c r="E39" s="29">
        <v>3.003003003003003E-3</v>
      </c>
    </row>
    <row r="40" spans="2:5" ht="15" customHeight="1" x14ac:dyDescent="0.25">
      <c r="B40" s="76"/>
      <c r="C40" s="31" t="s">
        <v>132</v>
      </c>
      <c r="D40" s="30">
        <v>3</v>
      </c>
      <c r="E40" s="29">
        <v>9.0090090090090089E-3</v>
      </c>
    </row>
    <row r="41" spans="2:5" ht="15" customHeight="1" x14ac:dyDescent="0.25">
      <c r="B41" s="76"/>
      <c r="C41" s="31" t="s">
        <v>99</v>
      </c>
      <c r="D41" s="30">
        <v>2</v>
      </c>
      <c r="E41" s="29">
        <v>6.006006006006006E-3</v>
      </c>
    </row>
    <row r="42" spans="2:5" ht="15" customHeight="1" x14ac:dyDescent="0.25">
      <c r="B42" s="76"/>
      <c r="C42" s="31" t="s">
        <v>95</v>
      </c>
      <c r="D42" s="30">
        <v>1</v>
      </c>
      <c r="E42" s="29">
        <v>3.003003003003003E-3</v>
      </c>
    </row>
    <row r="43" spans="2:5" ht="15" customHeight="1" x14ac:dyDescent="0.25">
      <c r="B43" s="76"/>
      <c r="C43" s="31" t="s">
        <v>90</v>
      </c>
      <c r="D43" s="30">
        <v>1</v>
      </c>
      <c r="E43" s="29">
        <v>3.003003003003003E-3</v>
      </c>
    </row>
    <row r="44" spans="2:5" ht="15" customHeight="1" x14ac:dyDescent="0.25">
      <c r="B44" s="76"/>
      <c r="C44" s="31" t="s">
        <v>67</v>
      </c>
      <c r="D44" s="30">
        <v>5</v>
      </c>
      <c r="E44" s="29">
        <v>1.5015015015015015E-2</v>
      </c>
    </row>
    <row r="45" spans="2:5" ht="15" customHeight="1" x14ac:dyDescent="0.25">
      <c r="B45" s="76"/>
      <c r="C45" s="31" t="s">
        <v>35</v>
      </c>
      <c r="D45" s="30">
        <v>1</v>
      </c>
      <c r="E45" s="29">
        <v>3.003003003003003E-3</v>
      </c>
    </row>
    <row r="46" spans="2:5" ht="15" customHeight="1" x14ac:dyDescent="0.25">
      <c r="B46" s="77"/>
      <c r="C46" s="28" t="s">
        <v>18</v>
      </c>
      <c r="D46" s="27">
        <v>17</v>
      </c>
      <c r="E46" s="26">
        <v>5.1051051051051052E-2</v>
      </c>
    </row>
    <row r="47" spans="2:5" ht="15" customHeight="1" x14ac:dyDescent="0.25">
      <c r="B47" s="75" t="s">
        <v>240</v>
      </c>
      <c r="C47" s="31" t="s">
        <v>177</v>
      </c>
      <c r="D47" s="30">
        <v>2</v>
      </c>
      <c r="E47" s="29">
        <v>6.006006006006006E-3</v>
      </c>
    </row>
    <row r="48" spans="2:5" ht="15" customHeight="1" x14ac:dyDescent="0.25">
      <c r="B48" s="76"/>
      <c r="C48" s="31" t="s">
        <v>160</v>
      </c>
      <c r="D48" s="30">
        <v>1</v>
      </c>
      <c r="E48" s="29">
        <v>3.003003003003003E-3</v>
      </c>
    </row>
    <row r="49" spans="2:5" ht="15" customHeight="1" x14ac:dyDescent="0.25">
      <c r="B49" s="76"/>
      <c r="C49" s="31" t="s">
        <v>147</v>
      </c>
      <c r="D49" s="30">
        <v>4</v>
      </c>
      <c r="E49" s="29">
        <v>1.2012012012012012E-2</v>
      </c>
    </row>
    <row r="50" spans="2:5" ht="15" customHeight="1" x14ac:dyDescent="0.25">
      <c r="B50" s="76"/>
      <c r="C50" s="31" t="s">
        <v>132</v>
      </c>
      <c r="D50" s="30">
        <v>20</v>
      </c>
      <c r="E50" s="29">
        <v>6.006006006006006E-2</v>
      </c>
    </row>
    <row r="51" spans="2:5" ht="15" customHeight="1" x14ac:dyDescent="0.25">
      <c r="B51" s="76"/>
      <c r="C51" s="31" t="s">
        <v>112</v>
      </c>
      <c r="D51" s="30">
        <v>2</v>
      </c>
      <c r="E51" s="29">
        <v>6.006006006006006E-3</v>
      </c>
    </row>
    <row r="52" spans="2:5" ht="15" customHeight="1" x14ac:dyDescent="0.25">
      <c r="B52" s="76"/>
      <c r="C52" s="31" t="s">
        <v>107</v>
      </c>
      <c r="D52" s="30">
        <v>2</v>
      </c>
      <c r="E52" s="29">
        <v>6.006006006006006E-3</v>
      </c>
    </row>
    <row r="53" spans="2:5" ht="15" customHeight="1" x14ac:dyDescent="0.25">
      <c r="B53" s="76"/>
      <c r="C53" s="31" t="s">
        <v>90</v>
      </c>
      <c r="D53" s="30">
        <v>4</v>
      </c>
      <c r="E53" s="29">
        <v>1.2012012012012012E-2</v>
      </c>
    </row>
    <row r="54" spans="2:5" ht="15" customHeight="1" x14ac:dyDescent="0.25">
      <c r="B54" s="76"/>
      <c r="C54" s="31" t="s">
        <v>67</v>
      </c>
      <c r="D54" s="30">
        <v>12</v>
      </c>
      <c r="E54" s="29">
        <v>3.6036036036036036E-2</v>
      </c>
    </row>
    <row r="55" spans="2:5" ht="15" customHeight="1" x14ac:dyDescent="0.25">
      <c r="B55" s="76"/>
      <c r="C55" s="31" t="s">
        <v>43</v>
      </c>
      <c r="D55" s="30">
        <v>1</v>
      </c>
      <c r="E55" s="29">
        <v>3.003003003003003E-3</v>
      </c>
    </row>
    <row r="56" spans="2:5" ht="15" customHeight="1" x14ac:dyDescent="0.25">
      <c r="B56" s="76"/>
      <c r="C56" s="31" t="s">
        <v>42</v>
      </c>
      <c r="D56" s="30">
        <v>1</v>
      </c>
      <c r="E56" s="29">
        <v>3.003003003003003E-3</v>
      </c>
    </row>
    <row r="57" spans="2:5" ht="15" customHeight="1" x14ac:dyDescent="0.25">
      <c r="B57" s="77"/>
      <c r="C57" s="28" t="s">
        <v>18</v>
      </c>
      <c r="D57" s="27">
        <v>49</v>
      </c>
      <c r="E57" s="26">
        <v>0.14714714714714713</v>
      </c>
    </row>
    <row r="58" spans="2:5" ht="15" customHeight="1" x14ac:dyDescent="0.25">
      <c r="B58" s="75" t="s">
        <v>239</v>
      </c>
      <c r="C58" s="31" t="s">
        <v>90</v>
      </c>
      <c r="D58" s="30">
        <v>1</v>
      </c>
      <c r="E58" s="29">
        <v>3.003003003003003E-3</v>
      </c>
    </row>
    <row r="59" spans="2:5" ht="15" customHeight="1" x14ac:dyDescent="0.25">
      <c r="B59" s="76"/>
      <c r="C59" s="31" t="s">
        <v>35</v>
      </c>
      <c r="D59" s="30">
        <v>1</v>
      </c>
      <c r="E59" s="29">
        <v>3.003003003003003E-3</v>
      </c>
    </row>
    <row r="60" spans="2:5" ht="15" customHeight="1" x14ac:dyDescent="0.25">
      <c r="B60" s="77"/>
      <c r="C60" s="28" t="s">
        <v>18</v>
      </c>
      <c r="D60" s="27">
        <v>2</v>
      </c>
      <c r="E60" s="26">
        <v>6.006006006006006E-3</v>
      </c>
    </row>
    <row r="61" spans="2:5" ht="15" customHeight="1" x14ac:dyDescent="0.25">
      <c r="B61" s="75" t="s">
        <v>238</v>
      </c>
      <c r="C61" s="31" t="s">
        <v>207</v>
      </c>
      <c r="D61" s="30">
        <v>1</v>
      </c>
      <c r="E61" s="29">
        <v>3.003003003003003E-3</v>
      </c>
    </row>
    <row r="62" spans="2:5" ht="15" customHeight="1" x14ac:dyDescent="0.25">
      <c r="B62" s="76"/>
      <c r="C62" s="31" t="s">
        <v>177</v>
      </c>
      <c r="D62" s="30">
        <v>1</v>
      </c>
      <c r="E62" s="29">
        <v>3.003003003003003E-3</v>
      </c>
    </row>
    <row r="63" spans="2:5" ht="15" customHeight="1" x14ac:dyDescent="0.25">
      <c r="B63" s="76"/>
      <c r="C63" s="31" t="s">
        <v>132</v>
      </c>
      <c r="D63" s="30">
        <v>4</v>
      </c>
      <c r="E63" s="29">
        <v>1.2012012012012012E-2</v>
      </c>
    </row>
    <row r="64" spans="2:5" ht="15" customHeight="1" x14ac:dyDescent="0.25">
      <c r="B64" s="76"/>
      <c r="C64" s="31" t="s">
        <v>90</v>
      </c>
      <c r="D64" s="30">
        <v>1</v>
      </c>
      <c r="E64" s="29">
        <v>3.003003003003003E-3</v>
      </c>
    </row>
    <row r="65" spans="2:5" ht="15" customHeight="1" x14ac:dyDescent="0.25">
      <c r="B65" s="76"/>
      <c r="C65" s="31" t="s">
        <v>67</v>
      </c>
      <c r="D65" s="30">
        <v>3</v>
      </c>
      <c r="E65" s="29">
        <v>9.0090090090090089E-3</v>
      </c>
    </row>
    <row r="66" spans="2:5" ht="15" customHeight="1" x14ac:dyDescent="0.25">
      <c r="B66" s="77"/>
      <c r="C66" s="28" t="s">
        <v>18</v>
      </c>
      <c r="D66" s="27">
        <v>10</v>
      </c>
      <c r="E66" s="26">
        <v>3.003003003003003E-2</v>
      </c>
    </row>
    <row r="67" spans="2:5" ht="15" customHeight="1" x14ac:dyDescent="0.25">
      <c r="B67" s="75" t="s">
        <v>237</v>
      </c>
      <c r="C67" s="31" t="s">
        <v>160</v>
      </c>
      <c r="D67" s="30">
        <v>1</v>
      </c>
      <c r="E67" s="29">
        <v>3.003003003003003E-3</v>
      </c>
    </row>
    <row r="68" spans="2:5" ht="15" customHeight="1" x14ac:dyDescent="0.25">
      <c r="B68" s="76"/>
      <c r="C68" s="31" t="s">
        <v>161</v>
      </c>
      <c r="D68" s="30">
        <v>1</v>
      </c>
      <c r="E68" s="29">
        <v>3.003003003003003E-3</v>
      </c>
    </row>
    <row r="69" spans="2:5" ht="15" customHeight="1" x14ac:dyDescent="0.25">
      <c r="B69" s="76"/>
      <c r="C69" s="31" t="s">
        <v>147</v>
      </c>
      <c r="D69" s="30">
        <v>2</v>
      </c>
      <c r="E69" s="29">
        <v>6.006006006006006E-3</v>
      </c>
    </row>
    <row r="70" spans="2:5" ht="15" customHeight="1" x14ac:dyDescent="0.25">
      <c r="B70" s="76"/>
      <c r="C70" s="31" t="s">
        <v>137</v>
      </c>
      <c r="D70" s="30">
        <v>1</v>
      </c>
      <c r="E70" s="29">
        <v>3.003003003003003E-3</v>
      </c>
    </row>
    <row r="71" spans="2:5" ht="15" customHeight="1" x14ac:dyDescent="0.25">
      <c r="B71" s="76"/>
      <c r="C71" s="31" t="s">
        <v>132</v>
      </c>
      <c r="D71" s="30">
        <v>4</v>
      </c>
      <c r="E71" s="29">
        <v>1.2012012012012012E-2</v>
      </c>
    </row>
    <row r="72" spans="2:5" ht="15" customHeight="1" x14ac:dyDescent="0.25">
      <c r="B72" s="76"/>
      <c r="C72" s="31" t="s">
        <v>118</v>
      </c>
      <c r="D72" s="30">
        <v>1</v>
      </c>
      <c r="E72" s="29">
        <v>3.003003003003003E-3</v>
      </c>
    </row>
    <row r="73" spans="2:5" ht="15" customHeight="1" x14ac:dyDescent="0.25">
      <c r="B73" s="76"/>
      <c r="C73" s="31" t="s">
        <v>99</v>
      </c>
      <c r="D73" s="30">
        <v>2</v>
      </c>
      <c r="E73" s="29">
        <v>6.006006006006006E-3</v>
      </c>
    </row>
    <row r="74" spans="2:5" ht="15" customHeight="1" x14ac:dyDescent="0.25">
      <c r="B74" s="76"/>
      <c r="C74" s="31" t="s">
        <v>36</v>
      </c>
      <c r="D74" s="30">
        <v>1</v>
      </c>
      <c r="E74" s="29">
        <v>3.003003003003003E-3</v>
      </c>
    </row>
    <row r="75" spans="2:5" ht="15" customHeight="1" x14ac:dyDescent="0.25">
      <c r="B75" s="76"/>
      <c r="C75" s="31" t="s">
        <v>35</v>
      </c>
      <c r="D75" s="30">
        <v>2</v>
      </c>
      <c r="E75" s="29">
        <v>6.006006006006006E-3</v>
      </c>
    </row>
    <row r="76" spans="2:5" ht="15" customHeight="1" x14ac:dyDescent="0.25">
      <c r="B76" s="77"/>
      <c r="C76" s="28" t="s">
        <v>18</v>
      </c>
      <c r="D76" s="27">
        <v>15</v>
      </c>
      <c r="E76" s="26">
        <v>4.5045045045045043E-2</v>
      </c>
    </row>
    <row r="77" spans="2:5" ht="15" customHeight="1" x14ac:dyDescent="0.25">
      <c r="B77" s="75" t="s">
        <v>236</v>
      </c>
      <c r="C77" s="31" t="s">
        <v>177</v>
      </c>
      <c r="D77" s="30">
        <v>6</v>
      </c>
      <c r="E77" s="29">
        <v>1.8018018018018018E-2</v>
      </c>
    </row>
    <row r="78" spans="2:5" ht="15" customHeight="1" x14ac:dyDescent="0.25">
      <c r="B78" s="76"/>
      <c r="C78" s="31" t="s">
        <v>160</v>
      </c>
      <c r="D78" s="30">
        <v>7</v>
      </c>
      <c r="E78" s="29">
        <v>2.1021021021021023E-2</v>
      </c>
    </row>
    <row r="79" spans="2:5" ht="15" customHeight="1" x14ac:dyDescent="0.25">
      <c r="B79" s="76"/>
      <c r="C79" s="31" t="s">
        <v>147</v>
      </c>
      <c r="D79" s="30">
        <v>5</v>
      </c>
      <c r="E79" s="29">
        <v>1.5015015015015015E-2</v>
      </c>
    </row>
    <row r="80" spans="2:5" ht="15" customHeight="1" x14ac:dyDescent="0.25">
      <c r="B80" s="76"/>
      <c r="C80" s="31" t="s">
        <v>132</v>
      </c>
      <c r="D80" s="30">
        <v>37</v>
      </c>
      <c r="E80" s="29">
        <v>0.1111111111111111</v>
      </c>
    </row>
    <row r="81" spans="2:5" ht="15" customHeight="1" x14ac:dyDescent="0.25">
      <c r="B81" s="76"/>
      <c r="C81" s="31" t="s">
        <v>118</v>
      </c>
      <c r="D81" s="30">
        <v>2</v>
      </c>
      <c r="E81" s="29">
        <v>6.006006006006006E-3</v>
      </c>
    </row>
    <row r="82" spans="2:5" ht="15" customHeight="1" x14ac:dyDescent="0.25">
      <c r="B82" s="76"/>
      <c r="C82" s="31" t="s">
        <v>107</v>
      </c>
      <c r="D82" s="30">
        <v>1</v>
      </c>
      <c r="E82" s="29">
        <v>3.003003003003003E-3</v>
      </c>
    </row>
    <row r="83" spans="2:5" ht="15" customHeight="1" x14ac:dyDescent="0.25">
      <c r="B83" s="76"/>
      <c r="C83" s="31" t="s">
        <v>99</v>
      </c>
      <c r="D83" s="30">
        <v>5</v>
      </c>
      <c r="E83" s="29">
        <v>1.5015015015015015E-2</v>
      </c>
    </row>
    <row r="84" spans="2:5" ht="15" customHeight="1" x14ac:dyDescent="0.25">
      <c r="B84" s="76"/>
      <c r="C84" s="31" t="s">
        <v>93</v>
      </c>
      <c r="D84" s="30">
        <v>1</v>
      </c>
      <c r="E84" s="29">
        <v>3.003003003003003E-3</v>
      </c>
    </row>
    <row r="85" spans="2:5" ht="15" customHeight="1" x14ac:dyDescent="0.25">
      <c r="B85" s="76"/>
      <c r="C85" s="31" t="s">
        <v>90</v>
      </c>
      <c r="D85" s="30">
        <v>7</v>
      </c>
      <c r="E85" s="29">
        <v>2.1021021021021023E-2</v>
      </c>
    </row>
    <row r="86" spans="2:5" ht="15" customHeight="1" x14ac:dyDescent="0.25">
      <c r="B86" s="76"/>
      <c r="C86" s="31" t="s">
        <v>67</v>
      </c>
      <c r="D86" s="30">
        <v>26</v>
      </c>
      <c r="E86" s="29">
        <v>7.8078078078078081E-2</v>
      </c>
    </row>
    <row r="87" spans="2:5" ht="15" customHeight="1" x14ac:dyDescent="0.25">
      <c r="B87" s="76"/>
      <c r="C87" s="31" t="s">
        <v>49</v>
      </c>
      <c r="D87" s="30">
        <v>1</v>
      </c>
      <c r="E87" s="29">
        <v>3.003003003003003E-3</v>
      </c>
    </row>
    <row r="88" spans="2:5" ht="15" customHeight="1" x14ac:dyDescent="0.25">
      <c r="B88" s="76"/>
      <c r="C88" s="31" t="s">
        <v>45</v>
      </c>
      <c r="D88" s="30">
        <v>1</v>
      </c>
      <c r="E88" s="29">
        <v>3.003003003003003E-3</v>
      </c>
    </row>
    <row r="89" spans="2:5" ht="15" customHeight="1" x14ac:dyDescent="0.25">
      <c r="B89" s="76"/>
      <c r="C89" s="31" t="s">
        <v>36</v>
      </c>
      <c r="D89" s="30">
        <v>2</v>
      </c>
      <c r="E89" s="29">
        <v>6.006006006006006E-3</v>
      </c>
    </row>
    <row r="90" spans="2:5" ht="15" customHeight="1" x14ac:dyDescent="0.25">
      <c r="B90" s="76"/>
      <c r="C90" s="31" t="s">
        <v>35</v>
      </c>
      <c r="D90" s="30">
        <v>4</v>
      </c>
      <c r="E90" s="29">
        <v>1.2012012012012012E-2</v>
      </c>
    </row>
    <row r="91" spans="2:5" ht="15" customHeight="1" x14ac:dyDescent="0.25">
      <c r="B91" s="77"/>
      <c r="C91" s="28" t="s">
        <v>18</v>
      </c>
      <c r="D91" s="27">
        <v>105</v>
      </c>
      <c r="E91" s="26">
        <v>0.31531531531531531</v>
      </c>
    </row>
    <row r="92" spans="2:5" ht="15" customHeight="1" x14ac:dyDescent="0.25">
      <c r="B92" s="75" t="s">
        <v>252</v>
      </c>
      <c r="C92" s="31" t="s">
        <v>137</v>
      </c>
      <c r="D92" s="30">
        <v>1</v>
      </c>
      <c r="E92" s="29">
        <v>3.003003003003003E-3</v>
      </c>
    </row>
    <row r="93" spans="2:5" ht="15" customHeight="1" x14ac:dyDescent="0.25">
      <c r="B93" s="77"/>
      <c r="C93" s="28" t="s">
        <v>18</v>
      </c>
      <c r="D93" s="27">
        <v>1</v>
      </c>
      <c r="E93" s="26">
        <v>3.003003003003003E-3</v>
      </c>
    </row>
    <row r="94" spans="2:5" ht="15" customHeight="1" x14ac:dyDescent="0.25">
      <c r="B94" s="75" t="s">
        <v>234</v>
      </c>
      <c r="C94" s="31" t="s">
        <v>183</v>
      </c>
      <c r="D94" s="30">
        <v>1</v>
      </c>
      <c r="E94" s="29">
        <v>3.003003003003003E-3</v>
      </c>
    </row>
    <row r="95" spans="2:5" ht="15" customHeight="1" x14ac:dyDescent="0.25">
      <c r="B95" s="76"/>
      <c r="C95" s="31" t="s">
        <v>160</v>
      </c>
      <c r="D95" s="30">
        <v>2</v>
      </c>
      <c r="E95" s="29">
        <v>6.006006006006006E-3</v>
      </c>
    </row>
    <row r="96" spans="2:5" ht="15" customHeight="1" x14ac:dyDescent="0.25">
      <c r="B96" s="76"/>
      <c r="C96" s="31" t="s">
        <v>147</v>
      </c>
      <c r="D96" s="30">
        <v>1</v>
      </c>
      <c r="E96" s="29">
        <v>3.003003003003003E-3</v>
      </c>
    </row>
    <row r="97" spans="2:5" ht="15" customHeight="1" x14ac:dyDescent="0.25">
      <c r="B97" s="76"/>
      <c r="C97" s="31" t="s">
        <v>132</v>
      </c>
      <c r="D97" s="30">
        <v>2</v>
      </c>
      <c r="E97" s="29">
        <v>6.006006006006006E-3</v>
      </c>
    </row>
    <row r="98" spans="2:5" ht="15" customHeight="1" x14ac:dyDescent="0.25">
      <c r="B98" s="76"/>
      <c r="C98" s="31" t="s">
        <v>118</v>
      </c>
      <c r="D98" s="30">
        <v>1</v>
      </c>
      <c r="E98" s="29">
        <v>3.003003003003003E-3</v>
      </c>
    </row>
    <row r="99" spans="2:5" ht="15" customHeight="1" x14ac:dyDescent="0.25">
      <c r="B99" s="76"/>
      <c r="C99" s="31" t="s">
        <v>67</v>
      </c>
      <c r="D99" s="30">
        <v>3</v>
      </c>
      <c r="E99" s="29">
        <v>9.0090090090090089E-3</v>
      </c>
    </row>
    <row r="100" spans="2:5" ht="15" customHeight="1" x14ac:dyDescent="0.25">
      <c r="B100" s="76"/>
      <c r="C100" s="31" t="s">
        <v>21</v>
      </c>
      <c r="D100" s="30">
        <v>1</v>
      </c>
      <c r="E100" s="29">
        <v>3.003003003003003E-3</v>
      </c>
    </row>
    <row r="101" spans="2:5" ht="15" customHeight="1" x14ac:dyDescent="0.25">
      <c r="B101" s="77"/>
      <c r="C101" s="28" t="s">
        <v>18</v>
      </c>
      <c r="D101" s="27">
        <v>11</v>
      </c>
      <c r="E101" s="26">
        <v>3.3033033033033031E-2</v>
      </c>
    </row>
    <row r="102" spans="2:5" ht="15" customHeight="1" x14ac:dyDescent="0.25">
      <c r="B102" s="75" t="s">
        <v>233</v>
      </c>
      <c r="C102" s="31" t="s">
        <v>177</v>
      </c>
      <c r="D102" s="30">
        <v>1</v>
      </c>
      <c r="E102" s="29">
        <v>3.003003003003003E-3</v>
      </c>
    </row>
    <row r="103" spans="2:5" ht="15" customHeight="1" x14ac:dyDescent="0.25">
      <c r="B103" s="76"/>
      <c r="C103" s="31" t="s">
        <v>164</v>
      </c>
      <c r="D103" s="30">
        <v>1</v>
      </c>
      <c r="E103" s="29">
        <v>3.003003003003003E-3</v>
      </c>
    </row>
    <row r="104" spans="2:5" ht="15" customHeight="1" x14ac:dyDescent="0.25">
      <c r="B104" s="76"/>
      <c r="C104" s="31" t="s">
        <v>160</v>
      </c>
      <c r="D104" s="30">
        <v>5</v>
      </c>
      <c r="E104" s="29">
        <v>1.5015015015015015E-2</v>
      </c>
    </row>
    <row r="105" spans="2:5" ht="15" customHeight="1" x14ac:dyDescent="0.25">
      <c r="B105" s="76"/>
      <c r="C105" s="31" t="s">
        <v>163</v>
      </c>
      <c r="D105" s="30">
        <v>1</v>
      </c>
      <c r="E105" s="29">
        <v>3.003003003003003E-3</v>
      </c>
    </row>
    <row r="106" spans="2:5" ht="15" customHeight="1" x14ac:dyDescent="0.25">
      <c r="B106" s="76"/>
      <c r="C106" s="31" t="s">
        <v>147</v>
      </c>
      <c r="D106" s="30">
        <v>6</v>
      </c>
      <c r="E106" s="29">
        <v>1.8018018018018018E-2</v>
      </c>
    </row>
    <row r="107" spans="2:5" ht="15" customHeight="1" x14ac:dyDescent="0.25">
      <c r="B107" s="76"/>
      <c r="C107" s="31" t="s">
        <v>132</v>
      </c>
      <c r="D107" s="30">
        <v>13</v>
      </c>
      <c r="E107" s="29">
        <v>3.903903903903904E-2</v>
      </c>
    </row>
    <row r="108" spans="2:5" ht="15" customHeight="1" x14ac:dyDescent="0.25">
      <c r="B108" s="76"/>
      <c r="C108" s="31" t="s">
        <v>118</v>
      </c>
      <c r="D108" s="30">
        <v>1</v>
      </c>
      <c r="E108" s="29">
        <v>3.003003003003003E-3</v>
      </c>
    </row>
    <row r="109" spans="2:5" ht="15" customHeight="1" x14ac:dyDescent="0.25">
      <c r="B109" s="76"/>
      <c r="C109" s="31" t="s">
        <v>112</v>
      </c>
      <c r="D109" s="30">
        <v>1</v>
      </c>
      <c r="E109" s="29">
        <v>3.003003003003003E-3</v>
      </c>
    </row>
    <row r="110" spans="2:5" ht="15" customHeight="1" x14ac:dyDescent="0.25">
      <c r="B110" s="76"/>
      <c r="C110" s="31" t="s">
        <v>107</v>
      </c>
      <c r="D110" s="30">
        <v>1</v>
      </c>
      <c r="E110" s="29">
        <v>3.003003003003003E-3</v>
      </c>
    </row>
    <row r="111" spans="2:5" ht="15" customHeight="1" x14ac:dyDescent="0.25">
      <c r="B111" s="76"/>
      <c r="C111" s="31" t="s">
        <v>99</v>
      </c>
      <c r="D111" s="30">
        <v>2</v>
      </c>
      <c r="E111" s="29">
        <v>6.006006006006006E-3</v>
      </c>
    </row>
    <row r="112" spans="2:5" ht="15" customHeight="1" x14ac:dyDescent="0.25">
      <c r="B112" s="76"/>
      <c r="C112" s="31" t="s">
        <v>90</v>
      </c>
      <c r="D112" s="30">
        <v>3</v>
      </c>
      <c r="E112" s="29">
        <v>9.0090090090090089E-3</v>
      </c>
    </row>
    <row r="113" spans="2:5" ht="15" customHeight="1" x14ac:dyDescent="0.25">
      <c r="B113" s="76"/>
      <c r="C113" s="31" t="s">
        <v>67</v>
      </c>
      <c r="D113" s="30">
        <v>6</v>
      </c>
      <c r="E113" s="29">
        <v>1.8018018018018018E-2</v>
      </c>
    </row>
    <row r="114" spans="2:5" ht="15" customHeight="1" x14ac:dyDescent="0.25">
      <c r="B114" s="76"/>
      <c r="C114" s="31" t="s">
        <v>35</v>
      </c>
      <c r="D114" s="30">
        <v>3</v>
      </c>
      <c r="E114" s="29">
        <v>9.0090090090090089E-3</v>
      </c>
    </row>
    <row r="115" spans="2:5" ht="15" customHeight="1" x14ac:dyDescent="0.25">
      <c r="B115" s="77"/>
      <c r="C115" s="28" t="s">
        <v>18</v>
      </c>
      <c r="D115" s="27">
        <v>44</v>
      </c>
      <c r="E115" s="26">
        <v>0.13213213213213212</v>
      </c>
    </row>
    <row r="116" spans="2:5" ht="15" customHeight="1" x14ac:dyDescent="0.25">
      <c r="B116" s="75" t="s">
        <v>232</v>
      </c>
      <c r="C116" s="31" t="s">
        <v>147</v>
      </c>
      <c r="D116" s="30">
        <v>1</v>
      </c>
      <c r="E116" s="29">
        <v>3.003003003003003E-3</v>
      </c>
    </row>
    <row r="117" spans="2:5" ht="15" customHeight="1" x14ac:dyDescent="0.25">
      <c r="B117" s="77"/>
      <c r="C117" s="28" t="s">
        <v>18</v>
      </c>
      <c r="D117" s="27">
        <v>1</v>
      </c>
      <c r="E117" s="26">
        <v>3.003003003003003E-3</v>
      </c>
    </row>
    <row r="118" spans="2:5" ht="15" customHeight="1" x14ac:dyDescent="0.25">
      <c r="B118" s="75" t="s">
        <v>230</v>
      </c>
      <c r="C118" s="31" t="s">
        <v>99</v>
      </c>
      <c r="D118" s="30">
        <v>1</v>
      </c>
      <c r="E118" s="29">
        <v>3.003003003003003E-3</v>
      </c>
    </row>
    <row r="119" spans="2:5" ht="15" customHeight="1" x14ac:dyDescent="0.25">
      <c r="B119" s="77"/>
      <c r="C119" s="28" t="s">
        <v>18</v>
      </c>
      <c r="D119" s="27">
        <v>1</v>
      </c>
      <c r="E119" s="26">
        <v>3.003003003003003E-3</v>
      </c>
    </row>
    <row r="120" spans="2:5" ht="15" customHeight="1" x14ac:dyDescent="0.25">
      <c r="B120" s="75" t="s">
        <v>228</v>
      </c>
      <c r="C120" s="31" t="s">
        <v>149</v>
      </c>
      <c r="D120" s="30">
        <v>1</v>
      </c>
      <c r="E120" s="29">
        <v>3.003003003003003E-3</v>
      </c>
    </row>
    <row r="121" spans="2:5" ht="15" customHeight="1" x14ac:dyDescent="0.25">
      <c r="B121" s="76"/>
      <c r="C121" s="31" t="s">
        <v>147</v>
      </c>
      <c r="D121" s="30">
        <v>2</v>
      </c>
      <c r="E121" s="29">
        <v>6.006006006006006E-3</v>
      </c>
    </row>
    <row r="122" spans="2:5" ht="15" customHeight="1" x14ac:dyDescent="0.25">
      <c r="B122" s="76"/>
      <c r="C122" s="31" t="s">
        <v>132</v>
      </c>
      <c r="D122" s="30">
        <v>2</v>
      </c>
      <c r="E122" s="29">
        <v>6.006006006006006E-3</v>
      </c>
    </row>
    <row r="123" spans="2:5" ht="15" customHeight="1" x14ac:dyDescent="0.25">
      <c r="B123" s="76"/>
      <c r="C123" s="31" t="s">
        <v>90</v>
      </c>
      <c r="D123" s="30">
        <v>1</v>
      </c>
      <c r="E123" s="29">
        <v>3.003003003003003E-3</v>
      </c>
    </row>
    <row r="124" spans="2:5" ht="15" customHeight="1" x14ac:dyDescent="0.25">
      <c r="B124" s="76"/>
      <c r="C124" s="31" t="s">
        <v>67</v>
      </c>
      <c r="D124" s="30">
        <v>2</v>
      </c>
      <c r="E124" s="29">
        <v>6.006006006006006E-3</v>
      </c>
    </row>
    <row r="125" spans="2:5" ht="15" customHeight="1" x14ac:dyDescent="0.25">
      <c r="B125" s="76"/>
      <c r="C125" s="31" t="s">
        <v>35</v>
      </c>
      <c r="D125" s="30">
        <v>1</v>
      </c>
      <c r="E125" s="29">
        <v>3.003003003003003E-3</v>
      </c>
    </row>
    <row r="126" spans="2:5" ht="15" customHeight="1" x14ac:dyDescent="0.25">
      <c r="B126" s="77"/>
      <c r="C126" s="28" t="s">
        <v>18</v>
      </c>
      <c r="D126" s="27">
        <v>9</v>
      </c>
      <c r="E126" s="26">
        <v>2.7027027027027029E-2</v>
      </c>
    </row>
    <row r="127" spans="2:5" ht="15" customHeight="1" x14ac:dyDescent="0.25">
      <c r="B127" s="75" t="s">
        <v>251</v>
      </c>
      <c r="C127" s="31" t="s">
        <v>160</v>
      </c>
      <c r="D127" s="30">
        <v>3</v>
      </c>
      <c r="E127" s="29">
        <v>9.0090090090090089E-3</v>
      </c>
    </row>
    <row r="128" spans="2:5" ht="15" customHeight="1" x14ac:dyDescent="0.25">
      <c r="B128" s="76"/>
      <c r="C128" s="31" t="s">
        <v>147</v>
      </c>
      <c r="D128" s="30">
        <v>1</v>
      </c>
      <c r="E128" s="29">
        <v>3.003003003003003E-3</v>
      </c>
    </row>
    <row r="129" spans="2:5" ht="15" customHeight="1" x14ac:dyDescent="0.25">
      <c r="B129" s="76"/>
      <c r="C129" s="31" t="s">
        <v>137</v>
      </c>
      <c r="D129" s="30">
        <v>1</v>
      </c>
      <c r="E129" s="29">
        <v>3.003003003003003E-3</v>
      </c>
    </row>
    <row r="130" spans="2:5" ht="15" customHeight="1" x14ac:dyDescent="0.25">
      <c r="B130" s="76"/>
      <c r="C130" s="31" t="s">
        <v>132</v>
      </c>
      <c r="D130" s="30">
        <v>1</v>
      </c>
      <c r="E130" s="29">
        <v>3.003003003003003E-3</v>
      </c>
    </row>
    <row r="131" spans="2:5" ht="15" customHeight="1" x14ac:dyDescent="0.25">
      <c r="B131" s="76"/>
      <c r="C131" s="31" t="s">
        <v>112</v>
      </c>
      <c r="D131" s="30">
        <v>1</v>
      </c>
      <c r="E131" s="29">
        <v>3.003003003003003E-3</v>
      </c>
    </row>
    <row r="132" spans="2:5" ht="15" customHeight="1" x14ac:dyDescent="0.25">
      <c r="B132" s="76"/>
      <c r="C132" s="31" t="s">
        <v>107</v>
      </c>
      <c r="D132" s="30">
        <v>2</v>
      </c>
      <c r="E132" s="29">
        <v>6.006006006006006E-3</v>
      </c>
    </row>
    <row r="133" spans="2:5" ht="15" customHeight="1" x14ac:dyDescent="0.25">
      <c r="B133" s="76"/>
      <c r="C133" s="31" t="s">
        <v>99</v>
      </c>
      <c r="D133" s="30">
        <v>1</v>
      </c>
      <c r="E133" s="29">
        <v>3.003003003003003E-3</v>
      </c>
    </row>
    <row r="134" spans="2:5" ht="15" customHeight="1" x14ac:dyDescent="0.25">
      <c r="B134" s="76"/>
      <c r="C134" s="31" t="s">
        <v>67</v>
      </c>
      <c r="D134" s="30">
        <v>1</v>
      </c>
      <c r="E134" s="29">
        <v>3.003003003003003E-3</v>
      </c>
    </row>
    <row r="135" spans="2:5" ht="15" customHeight="1" x14ac:dyDescent="0.25">
      <c r="B135" s="76"/>
      <c r="C135" s="31" t="s">
        <v>47</v>
      </c>
      <c r="D135" s="30">
        <v>1</v>
      </c>
      <c r="E135" s="29">
        <v>3.003003003003003E-3</v>
      </c>
    </row>
    <row r="136" spans="2:5" ht="15" customHeight="1" x14ac:dyDescent="0.25">
      <c r="B136" s="76"/>
      <c r="C136" s="31" t="s">
        <v>40</v>
      </c>
      <c r="D136" s="30">
        <v>1</v>
      </c>
      <c r="E136" s="29">
        <v>3.003003003003003E-3</v>
      </c>
    </row>
    <row r="137" spans="2:5" ht="15" customHeight="1" x14ac:dyDescent="0.25">
      <c r="B137" s="76"/>
      <c r="C137" s="31" t="s">
        <v>36</v>
      </c>
      <c r="D137" s="30">
        <v>1</v>
      </c>
      <c r="E137" s="29">
        <v>3.003003003003003E-3</v>
      </c>
    </row>
    <row r="138" spans="2:5" ht="15" customHeight="1" x14ac:dyDescent="0.25">
      <c r="B138" s="76"/>
      <c r="C138" s="31" t="s">
        <v>35</v>
      </c>
      <c r="D138" s="30">
        <v>1</v>
      </c>
      <c r="E138" s="29">
        <v>3.003003003003003E-3</v>
      </c>
    </row>
    <row r="139" spans="2:5" ht="15" customHeight="1" x14ac:dyDescent="0.25">
      <c r="B139" s="76"/>
      <c r="C139" s="31" t="s">
        <v>23</v>
      </c>
      <c r="D139" s="30">
        <v>1</v>
      </c>
      <c r="E139" s="29">
        <v>3.003003003003003E-3</v>
      </c>
    </row>
    <row r="140" spans="2:5" ht="15" customHeight="1" x14ac:dyDescent="0.25">
      <c r="B140" s="77"/>
      <c r="C140" s="28" t="s">
        <v>18</v>
      </c>
      <c r="D140" s="27">
        <v>16</v>
      </c>
      <c r="E140" s="26">
        <v>4.8048048048048048E-2</v>
      </c>
    </row>
    <row r="141" spans="2:5" ht="15" customHeight="1" x14ac:dyDescent="0.25">
      <c r="B141" s="75" t="s">
        <v>226</v>
      </c>
      <c r="C141" s="31" t="s">
        <v>160</v>
      </c>
      <c r="D141" s="30">
        <v>7</v>
      </c>
      <c r="E141" s="29">
        <v>2.1021021021021023E-2</v>
      </c>
    </row>
    <row r="142" spans="2:5" ht="15" customHeight="1" x14ac:dyDescent="0.25">
      <c r="B142" s="76"/>
      <c r="C142" s="31" t="s">
        <v>112</v>
      </c>
      <c r="D142" s="30">
        <v>1</v>
      </c>
      <c r="E142" s="29">
        <v>3.003003003003003E-3</v>
      </c>
    </row>
    <row r="143" spans="2:5" ht="15" customHeight="1" x14ac:dyDescent="0.25">
      <c r="B143" s="76"/>
      <c r="C143" s="31" t="s">
        <v>93</v>
      </c>
      <c r="D143" s="30">
        <v>1</v>
      </c>
      <c r="E143" s="29">
        <v>3.003003003003003E-3</v>
      </c>
    </row>
    <row r="144" spans="2:5" ht="15" customHeight="1" x14ac:dyDescent="0.25">
      <c r="B144" s="76"/>
      <c r="C144" s="31" t="s">
        <v>43</v>
      </c>
      <c r="D144" s="30">
        <v>1</v>
      </c>
      <c r="E144" s="29">
        <v>3.003003003003003E-3</v>
      </c>
    </row>
    <row r="145" spans="2:5" ht="15" customHeight="1" x14ac:dyDescent="0.25">
      <c r="B145" s="77"/>
      <c r="C145" s="28" t="s">
        <v>18</v>
      </c>
      <c r="D145" s="27">
        <v>10</v>
      </c>
      <c r="E145" s="26">
        <v>3.003003003003003E-2</v>
      </c>
    </row>
    <row r="146" spans="2:5" ht="15" customHeight="1" x14ac:dyDescent="0.25">
      <c r="B146" s="75" t="s">
        <v>225</v>
      </c>
      <c r="C146" s="31" t="s">
        <v>160</v>
      </c>
      <c r="D146" s="30">
        <v>1</v>
      </c>
      <c r="E146" s="29">
        <v>3.003003003003003E-3</v>
      </c>
    </row>
    <row r="147" spans="2:5" ht="15" customHeight="1" x14ac:dyDescent="0.25">
      <c r="B147" s="76"/>
      <c r="C147" s="31" t="s">
        <v>112</v>
      </c>
      <c r="D147" s="30">
        <v>1</v>
      </c>
      <c r="E147" s="29">
        <v>3.003003003003003E-3</v>
      </c>
    </row>
    <row r="148" spans="2:5" ht="15" customHeight="1" x14ac:dyDescent="0.25">
      <c r="B148" s="77"/>
      <c r="C148" s="28" t="s">
        <v>18</v>
      </c>
      <c r="D148" s="27">
        <v>2</v>
      </c>
      <c r="E148" s="26">
        <v>6.006006006006006E-3</v>
      </c>
    </row>
    <row r="149" spans="2:5" ht="15" customHeight="1" x14ac:dyDescent="0.25">
      <c r="B149" s="73" t="s">
        <v>18</v>
      </c>
      <c r="C149" s="74"/>
      <c r="D149" s="25">
        <v>333</v>
      </c>
      <c r="E149" s="24">
        <v>1</v>
      </c>
    </row>
    <row r="151" spans="2:5" ht="15" customHeight="1" x14ac:dyDescent="0.25">
      <c r="B151" s="21" t="s">
        <v>17</v>
      </c>
    </row>
    <row r="152" spans="2:5" ht="15" customHeight="1" x14ac:dyDescent="0.25">
      <c r="B152" s="23" t="s">
        <v>16</v>
      </c>
    </row>
    <row r="153" spans="2:5" ht="15" customHeight="1" x14ac:dyDescent="0.25">
      <c r="B153" s="22" t="s">
        <v>15</v>
      </c>
    </row>
    <row r="154" spans="2:5" ht="15" customHeight="1" x14ac:dyDescent="0.25">
      <c r="B154" s="21" t="s">
        <v>14</v>
      </c>
    </row>
    <row r="155" spans="2:5" ht="15" customHeight="1" x14ac:dyDescent="0.25">
      <c r="B155" s="21" t="s">
        <v>13</v>
      </c>
    </row>
  </sheetData>
  <mergeCells count="23">
    <mergeCell ref="B29:B32"/>
    <mergeCell ref="B7:E8"/>
    <mergeCell ref="B10:B12"/>
    <mergeCell ref="B13:B16"/>
    <mergeCell ref="B17:B23"/>
    <mergeCell ref="B24:B28"/>
    <mergeCell ref="B127:B140"/>
    <mergeCell ref="B141:B145"/>
    <mergeCell ref="B146:B148"/>
    <mergeCell ref="B149:C149"/>
    <mergeCell ref="B102:B115"/>
    <mergeCell ref="B116:B117"/>
    <mergeCell ref="B118:B119"/>
    <mergeCell ref="B33:B36"/>
    <mergeCell ref="B37:B46"/>
    <mergeCell ref="B47:B57"/>
    <mergeCell ref="B120:B126"/>
    <mergeCell ref="B58:B60"/>
    <mergeCell ref="B61:B66"/>
    <mergeCell ref="B67:B76"/>
    <mergeCell ref="B77:B91"/>
    <mergeCell ref="B92:B93"/>
    <mergeCell ref="B94:B10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3" manualBreakCount="3">
    <brk id="46" max="4" man="1"/>
    <brk id="76" max="4" man="1"/>
    <brk id="119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B1:D20"/>
  <sheetViews>
    <sheetView showGridLines="0" tabSelected="1" zoomScaleNormal="100" zoomScaleSheetLayoutView="115" workbookViewId="0"/>
  </sheetViews>
  <sheetFormatPr baseColWidth="10" defaultRowHeight="15" x14ac:dyDescent="0.25"/>
  <cols>
    <col min="1" max="1" width="9.28515625" style="45" customWidth="1"/>
    <col min="2" max="2" width="21.7109375" style="45" customWidth="1"/>
    <col min="3" max="3" width="17.7109375" style="46" customWidth="1"/>
    <col min="4" max="4" width="17.7109375" style="45" customWidth="1"/>
    <col min="5" max="5" width="9.28515625" style="45" customWidth="1"/>
    <col min="6" max="6" width="5.7109375" style="45" customWidth="1"/>
    <col min="7" max="16384" width="11.42578125" style="45"/>
  </cols>
  <sheetData>
    <row r="1" spans="2:4" s="33" customFormat="1" ht="15" customHeight="1" x14ac:dyDescent="0.2">
      <c r="C1" s="59"/>
    </row>
    <row r="2" spans="2:4" s="33" customFormat="1" ht="15" customHeight="1" x14ac:dyDescent="0.2">
      <c r="C2" s="59"/>
    </row>
    <row r="3" spans="2:4" s="33" customFormat="1" ht="15" customHeight="1" x14ac:dyDescent="0.2">
      <c r="C3" s="59"/>
    </row>
    <row r="4" spans="2:4" s="33" customFormat="1" ht="30" customHeight="1" x14ac:dyDescent="0.2">
      <c r="C4" s="59"/>
      <c r="D4" s="58"/>
    </row>
    <row r="5" spans="2:4" s="33" customFormat="1" ht="15" customHeight="1" x14ac:dyDescent="0.2">
      <c r="C5" s="59"/>
      <c r="D5" s="58"/>
    </row>
    <row r="6" spans="2:4" s="33" customFormat="1" ht="15" customHeight="1" x14ac:dyDescent="0.2">
      <c r="C6" s="59"/>
      <c r="D6" s="58"/>
    </row>
    <row r="7" spans="2:4" s="33" customFormat="1" ht="15" customHeight="1" x14ac:dyDescent="0.2">
      <c r="B7" s="72" t="s">
        <v>213</v>
      </c>
      <c r="C7" s="72"/>
      <c r="D7" s="72"/>
    </row>
    <row r="8" spans="2:4" s="33" customFormat="1" ht="15" customHeight="1" x14ac:dyDescent="0.2">
      <c r="B8" s="72"/>
      <c r="C8" s="72"/>
      <c r="D8" s="72"/>
    </row>
    <row r="9" spans="2:4" s="33" customFormat="1" ht="33" customHeight="1" x14ac:dyDescent="0.2">
      <c r="B9" s="72"/>
      <c r="C9" s="72"/>
      <c r="D9" s="72"/>
    </row>
    <row r="10" spans="2:4" s="33" customFormat="1" ht="4.5" customHeight="1" x14ac:dyDescent="0.2">
      <c r="B10" s="57"/>
      <c r="C10" s="57"/>
      <c r="D10" s="57"/>
    </row>
    <row r="11" spans="2:4" s="33" customFormat="1" ht="33" customHeight="1" x14ac:dyDescent="0.2">
      <c r="B11" s="56" t="s">
        <v>212</v>
      </c>
      <c r="C11" s="55" t="s">
        <v>185</v>
      </c>
      <c r="D11" s="54" t="s">
        <v>184</v>
      </c>
    </row>
    <row r="12" spans="2:4" ht="15" customHeight="1" x14ac:dyDescent="0.25">
      <c r="B12" s="52" t="s">
        <v>211</v>
      </c>
      <c r="C12" s="51">
        <v>240</v>
      </c>
      <c r="D12" s="50">
        <v>0.35820895522388058</v>
      </c>
    </row>
    <row r="13" spans="2:4" ht="15" customHeight="1" x14ac:dyDescent="0.25">
      <c r="B13" s="52" t="s">
        <v>210</v>
      </c>
      <c r="C13" s="51">
        <v>95</v>
      </c>
      <c r="D13" s="50">
        <v>0.1417910447761194</v>
      </c>
    </row>
    <row r="14" spans="2:4" x14ac:dyDescent="0.25">
      <c r="B14" s="49" t="s">
        <v>209</v>
      </c>
      <c r="C14" s="48">
        <v>670</v>
      </c>
      <c r="D14" s="47">
        <v>1</v>
      </c>
    </row>
    <row r="15" spans="2:4" s="53" customFormat="1" ht="15.75" x14ac:dyDescent="0.25">
      <c r="C15" s="62"/>
    </row>
    <row r="16" spans="2:4" s="53" customFormat="1" ht="15.75" x14ac:dyDescent="0.25">
      <c r="B16" s="21" t="s">
        <v>17</v>
      </c>
      <c r="C16" s="62"/>
    </row>
    <row r="17" spans="2:4" x14ac:dyDescent="0.25">
      <c r="B17" s="23" t="s">
        <v>16</v>
      </c>
      <c r="C17" s="61"/>
      <c r="D17" s="61"/>
    </row>
    <row r="18" spans="2:4" x14ac:dyDescent="0.25">
      <c r="B18" s="22" t="s">
        <v>15</v>
      </c>
      <c r="C18" s="60"/>
      <c r="D18" s="60"/>
    </row>
    <row r="19" spans="2:4" x14ac:dyDescent="0.25">
      <c r="B19" s="21" t="s">
        <v>14</v>
      </c>
    </row>
    <row r="20" spans="2:4" x14ac:dyDescent="0.25">
      <c r="B20" s="21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489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40" customFormat="1" ht="12" customHeight="1" x14ac:dyDescent="0.2">
      <c r="B1" s="44"/>
      <c r="C1" s="43"/>
      <c r="D1" s="43"/>
      <c r="E1" s="43"/>
    </row>
    <row r="2" spans="1:5" s="40" customFormat="1" ht="15" customHeight="1" x14ac:dyDescent="0.2">
      <c r="C2" s="42"/>
    </row>
    <row r="3" spans="1:5" s="40" customFormat="1" ht="15" customHeight="1" x14ac:dyDescent="0.2">
      <c r="C3" s="42"/>
    </row>
    <row r="4" spans="1:5" s="40" customFormat="1" ht="30" customHeight="1" x14ac:dyDescent="0.2">
      <c r="C4" s="42"/>
      <c r="D4" s="41"/>
    </row>
    <row r="5" spans="1:5" s="40" customFormat="1" ht="15" customHeight="1" x14ac:dyDescent="0.2">
      <c r="C5" s="42"/>
      <c r="D5" s="41"/>
    </row>
    <row r="6" spans="1:5" s="37" customFormat="1" ht="24" customHeight="1" x14ac:dyDescent="0.2">
      <c r="B6" s="39"/>
      <c r="C6" s="32"/>
      <c r="D6" s="32"/>
      <c r="E6" s="32"/>
    </row>
    <row r="7" spans="1:5" s="37" customFormat="1" ht="26.25" customHeight="1" x14ac:dyDescent="0.3">
      <c r="A7" s="38"/>
      <c r="B7" s="78"/>
      <c r="C7" s="78"/>
      <c r="D7" s="78"/>
      <c r="E7" s="78"/>
    </row>
    <row r="8" spans="1:5" s="37" customFormat="1" ht="33" customHeight="1" x14ac:dyDescent="0.3">
      <c r="A8" s="38"/>
      <c r="B8" s="78"/>
      <c r="C8" s="78"/>
      <c r="D8" s="78"/>
      <c r="E8" s="78"/>
    </row>
    <row r="9" spans="1:5" s="33" customFormat="1" ht="40.5" customHeight="1" x14ac:dyDescent="0.2">
      <c r="B9" s="34" t="s">
        <v>187</v>
      </c>
      <c r="C9" s="36" t="s">
        <v>212</v>
      </c>
      <c r="D9" s="35" t="s">
        <v>185</v>
      </c>
      <c r="E9" s="34" t="s">
        <v>184</v>
      </c>
    </row>
    <row r="10" spans="1:5" ht="15" customHeight="1" x14ac:dyDescent="0.25">
      <c r="B10" s="75" t="s">
        <v>207</v>
      </c>
      <c r="C10" s="31" t="s">
        <v>223</v>
      </c>
      <c r="D10" s="30">
        <v>2</v>
      </c>
      <c r="E10" s="29">
        <v>5.9701492537313433E-3</v>
      </c>
    </row>
    <row r="11" spans="1:5" ht="15" customHeight="1" x14ac:dyDescent="0.25">
      <c r="B11" s="77"/>
      <c r="C11" s="28" t="s">
        <v>18</v>
      </c>
      <c r="D11" s="27">
        <v>2</v>
      </c>
      <c r="E11" s="26">
        <v>5.9701492537313433E-3</v>
      </c>
    </row>
    <row r="12" spans="1:5" ht="15" customHeight="1" x14ac:dyDescent="0.25">
      <c r="B12" s="75" t="s">
        <v>183</v>
      </c>
      <c r="C12" s="31" t="s">
        <v>223</v>
      </c>
      <c r="D12" s="30">
        <v>1</v>
      </c>
      <c r="E12" s="29">
        <v>2.9850746268656717E-3</v>
      </c>
    </row>
    <row r="13" spans="1:5" ht="15" customHeight="1" x14ac:dyDescent="0.25">
      <c r="B13" s="77"/>
      <c r="C13" s="28" t="s">
        <v>18</v>
      </c>
      <c r="D13" s="27">
        <v>1</v>
      </c>
      <c r="E13" s="26">
        <v>2.9850746268656717E-3</v>
      </c>
    </row>
    <row r="14" spans="1:5" ht="15" customHeight="1" x14ac:dyDescent="0.25">
      <c r="B14" s="75" t="s">
        <v>177</v>
      </c>
      <c r="C14" s="31" t="s">
        <v>223</v>
      </c>
      <c r="D14" s="30">
        <v>10</v>
      </c>
      <c r="E14" s="29">
        <v>2.9850746268656716E-2</v>
      </c>
    </row>
    <row r="15" spans="1:5" s="32" customFormat="1" ht="15" customHeight="1" x14ac:dyDescent="0.2">
      <c r="B15" s="76"/>
      <c r="C15" s="31" t="s">
        <v>220</v>
      </c>
      <c r="D15" s="30">
        <v>2</v>
      </c>
      <c r="E15" s="29">
        <v>5.9701492537313433E-3</v>
      </c>
    </row>
    <row r="16" spans="1:5" s="32" customFormat="1" ht="15" customHeight="1" x14ac:dyDescent="0.2">
      <c r="B16" s="77"/>
      <c r="C16" s="28" t="s">
        <v>18</v>
      </c>
      <c r="D16" s="27">
        <v>12</v>
      </c>
      <c r="E16" s="26">
        <v>3.5820895522388062E-2</v>
      </c>
    </row>
    <row r="17" spans="2:5" s="32" customFormat="1" ht="15" customHeight="1" x14ac:dyDescent="0.2">
      <c r="B17" s="75" t="s">
        <v>164</v>
      </c>
      <c r="C17" s="31" t="s">
        <v>223</v>
      </c>
      <c r="D17" s="30">
        <v>2</v>
      </c>
      <c r="E17" s="29">
        <v>5.9701492537313433E-3</v>
      </c>
    </row>
    <row r="18" spans="2:5" s="32" customFormat="1" ht="15" customHeight="1" x14ac:dyDescent="0.2">
      <c r="B18" s="76"/>
      <c r="C18" s="31" t="s">
        <v>220</v>
      </c>
      <c r="D18" s="30">
        <v>1</v>
      </c>
      <c r="E18" s="29">
        <v>2.9850746268656717E-3</v>
      </c>
    </row>
    <row r="19" spans="2:5" s="32" customFormat="1" ht="15" customHeight="1" x14ac:dyDescent="0.2">
      <c r="B19" s="77"/>
      <c r="C19" s="28" t="s">
        <v>18</v>
      </c>
      <c r="D19" s="27">
        <v>3</v>
      </c>
      <c r="E19" s="26">
        <v>8.9552238805970154E-3</v>
      </c>
    </row>
    <row r="20" spans="2:5" ht="15" customHeight="1" x14ac:dyDescent="0.25">
      <c r="B20" s="75" t="s">
        <v>163</v>
      </c>
      <c r="C20" s="31" t="s">
        <v>223</v>
      </c>
      <c r="D20" s="30">
        <v>1</v>
      </c>
      <c r="E20" s="29">
        <v>2.9850746268656717E-3</v>
      </c>
    </row>
    <row r="21" spans="2:5" ht="15" customHeight="1" x14ac:dyDescent="0.25">
      <c r="B21" s="77"/>
      <c r="C21" s="28" t="s">
        <v>18</v>
      </c>
      <c r="D21" s="27">
        <v>1</v>
      </c>
      <c r="E21" s="26">
        <v>2.9850746268656717E-3</v>
      </c>
    </row>
    <row r="22" spans="2:5" ht="15" customHeight="1" x14ac:dyDescent="0.25">
      <c r="B22" s="75" t="s">
        <v>161</v>
      </c>
      <c r="C22" s="31" t="s">
        <v>220</v>
      </c>
      <c r="D22" s="30">
        <v>1</v>
      </c>
      <c r="E22" s="29">
        <v>2.9850746268656717E-3</v>
      </c>
    </row>
    <row r="23" spans="2:5" ht="15" customHeight="1" x14ac:dyDescent="0.25">
      <c r="B23" s="77"/>
      <c r="C23" s="28" t="s">
        <v>18</v>
      </c>
      <c r="D23" s="27">
        <v>1</v>
      </c>
      <c r="E23" s="26">
        <v>2.9850746268656717E-3</v>
      </c>
    </row>
    <row r="24" spans="2:5" ht="15" customHeight="1" x14ac:dyDescent="0.25">
      <c r="B24" s="75" t="s">
        <v>160</v>
      </c>
      <c r="C24" s="31" t="s">
        <v>223</v>
      </c>
      <c r="D24" s="30">
        <v>19</v>
      </c>
      <c r="E24" s="29">
        <v>5.6716417910447764E-2</v>
      </c>
    </row>
    <row r="25" spans="2:5" ht="15" customHeight="1" x14ac:dyDescent="0.25">
      <c r="B25" s="76"/>
      <c r="C25" s="31" t="s">
        <v>220</v>
      </c>
      <c r="D25" s="30">
        <v>10</v>
      </c>
      <c r="E25" s="29">
        <v>2.9850746268656716E-2</v>
      </c>
    </row>
    <row r="26" spans="2:5" ht="15" customHeight="1" x14ac:dyDescent="0.25">
      <c r="B26" s="77"/>
      <c r="C26" s="28" t="s">
        <v>18</v>
      </c>
      <c r="D26" s="27">
        <v>29</v>
      </c>
      <c r="E26" s="26">
        <v>8.6567164179104483E-2</v>
      </c>
    </row>
    <row r="27" spans="2:5" ht="15" customHeight="1" x14ac:dyDescent="0.25">
      <c r="B27" s="75" t="s">
        <v>149</v>
      </c>
      <c r="C27" s="31" t="s">
        <v>223</v>
      </c>
      <c r="D27" s="30">
        <v>1</v>
      </c>
      <c r="E27" s="29">
        <v>2.9850746268656717E-3</v>
      </c>
    </row>
    <row r="28" spans="2:5" ht="15" customHeight="1" x14ac:dyDescent="0.25">
      <c r="B28" s="77"/>
      <c r="C28" s="28" t="s">
        <v>18</v>
      </c>
      <c r="D28" s="27">
        <v>1</v>
      </c>
      <c r="E28" s="26">
        <v>2.9850746268656717E-3</v>
      </c>
    </row>
    <row r="29" spans="2:5" ht="15" customHeight="1" x14ac:dyDescent="0.25">
      <c r="B29" s="75" t="s">
        <v>147</v>
      </c>
      <c r="C29" s="31" t="s">
        <v>223</v>
      </c>
      <c r="D29" s="30">
        <v>15</v>
      </c>
      <c r="E29" s="29">
        <v>4.4776119402985072E-2</v>
      </c>
    </row>
    <row r="30" spans="2:5" ht="15" customHeight="1" x14ac:dyDescent="0.25">
      <c r="B30" s="76"/>
      <c r="C30" s="31" t="s">
        <v>220</v>
      </c>
      <c r="D30" s="30">
        <v>10</v>
      </c>
      <c r="E30" s="29">
        <v>2.9850746268656716E-2</v>
      </c>
    </row>
    <row r="31" spans="2:5" ht="15" customHeight="1" x14ac:dyDescent="0.25">
      <c r="B31" s="77"/>
      <c r="C31" s="28" t="s">
        <v>18</v>
      </c>
      <c r="D31" s="27">
        <v>25</v>
      </c>
      <c r="E31" s="26">
        <v>7.4626865671641784E-2</v>
      </c>
    </row>
    <row r="32" spans="2:5" ht="15" customHeight="1" x14ac:dyDescent="0.25">
      <c r="B32" s="75" t="s">
        <v>137</v>
      </c>
      <c r="C32" s="31" t="s">
        <v>223</v>
      </c>
      <c r="D32" s="30">
        <v>4</v>
      </c>
      <c r="E32" s="29">
        <v>1.1940298507462687E-2</v>
      </c>
    </row>
    <row r="33" spans="2:5" ht="15" customHeight="1" x14ac:dyDescent="0.25">
      <c r="B33" s="76"/>
      <c r="C33" s="31" t="s">
        <v>220</v>
      </c>
      <c r="D33" s="30">
        <v>1</v>
      </c>
      <c r="E33" s="29">
        <v>2.9850746268656717E-3</v>
      </c>
    </row>
    <row r="34" spans="2:5" ht="15" customHeight="1" x14ac:dyDescent="0.25">
      <c r="B34" s="77"/>
      <c r="C34" s="28" t="s">
        <v>18</v>
      </c>
      <c r="D34" s="27">
        <v>5</v>
      </c>
      <c r="E34" s="26">
        <v>1.4925373134328358E-2</v>
      </c>
    </row>
    <row r="35" spans="2:5" ht="15" customHeight="1" x14ac:dyDescent="0.25">
      <c r="B35" s="75" t="s">
        <v>132</v>
      </c>
      <c r="C35" s="31" t="s">
        <v>223</v>
      </c>
      <c r="D35" s="30">
        <v>80</v>
      </c>
      <c r="E35" s="29">
        <v>0.23880597014925373</v>
      </c>
    </row>
    <row r="36" spans="2:5" ht="15" customHeight="1" x14ac:dyDescent="0.25">
      <c r="B36" s="76"/>
      <c r="C36" s="31" t="s">
        <v>220</v>
      </c>
      <c r="D36" s="30">
        <v>26</v>
      </c>
      <c r="E36" s="29">
        <v>7.7611940298507459E-2</v>
      </c>
    </row>
    <row r="37" spans="2:5" ht="15" customHeight="1" x14ac:dyDescent="0.25">
      <c r="B37" s="77"/>
      <c r="C37" s="28" t="s">
        <v>18</v>
      </c>
      <c r="D37" s="27">
        <v>106</v>
      </c>
      <c r="E37" s="26">
        <v>0.31641791044776119</v>
      </c>
    </row>
    <row r="38" spans="2:5" ht="15" customHeight="1" x14ac:dyDescent="0.25">
      <c r="B38" s="75" t="s">
        <v>118</v>
      </c>
      <c r="C38" s="31" t="s">
        <v>223</v>
      </c>
      <c r="D38" s="30">
        <v>5</v>
      </c>
      <c r="E38" s="29">
        <v>1.4925373134328358E-2</v>
      </c>
    </row>
    <row r="39" spans="2:5" ht="15" customHeight="1" x14ac:dyDescent="0.25">
      <c r="B39" s="77"/>
      <c r="C39" s="28" t="s">
        <v>18</v>
      </c>
      <c r="D39" s="27">
        <v>5</v>
      </c>
      <c r="E39" s="26">
        <v>1.4925373134328358E-2</v>
      </c>
    </row>
    <row r="40" spans="2:5" ht="15" customHeight="1" x14ac:dyDescent="0.25">
      <c r="B40" s="75" t="s">
        <v>112</v>
      </c>
      <c r="C40" s="31" t="s">
        <v>223</v>
      </c>
      <c r="D40" s="30">
        <v>4</v>
      </c>
      <c r="E40" s="29">
        <v>1.1940298507462687E-2</v>
      </c>
    </row>
    <row r="41" spans="2:5" ht="15" customHeight="1" x14ac:dyDescent="0.25">
      <c r="B41" s="76"/>
      <c r="C41" s="31" t="s">
        <v>220</v>
      </c>
      <c r="D41" s="30">
        <v>2</v>
      </c>
      <c r="E41" s="29">
        <v>5.9701492537313433E-3</v>
      </c>
    </row>
    <row r="42" spans="2:5" ht="15" customHeight="1" x14ac:dyDescent="0.25">
      <c r="B42" s="77"/>
      <c r="C42" s="28" t="s">
        <v>18</v>
      </c>
      <c r="D42" s="27">
        <v>6</v>
      </c>
      <c r="E42" s="26">
        <v>1.7910447761194031E-2</v>
      </c>
    </row>
    <row r="43" spans="2:5" ht="15" customHeight="1" x14ac:dyDescent="0.25">
      <c r="B43" s="75" t="s">
        <v>107</v>
      </c>
      <c r="C43" s="31" t="s">
        <v>223</v>
      </c>
      <c r="D43" s="30">
        <v>5</v>
      </c>
      <c r="E43" s="29">
        <v>1.4925373134328358E-2</v>
      </c>
    </row>
    <row r="44" spans="2:5" ht="15" customHeight="1" x14ac:dyDescent="0.25">
      <c r="B44" s="76"/>
      <c r="C44" s="31" t="s">
        <v>220</v>
      </c>
      <c r="D44" s="30">
        <v>3</v>
      </c>
      <c r="E44" s="29">
        <v>8.9552238805970154E-3</v>
      </c>
    </row>
    <row r="45" spans="2:5" ht="15" customHeight="1" x14ac:dyDescent="0.25">
      <c r="B45" s="77"/>
      <c r="C45" s="28" t="s">
        <v>18</v>
      </c>
      <c r="D45" s="27">
        <v>8</v>
      </c>
      <c r="E45" s="26">
        <v>2.3880597014925373E-2</v>
      </c>
    </row>
    <row r="46" spans="2:5" ht="15" customHeight="1" x14ac:dyDescent="0.25">
      <c r="B46" s="75" t="s">
        <v>99</v>
      </c>
      <c r="C46" s="31" t="s">
        <v>223</v>
      </c>
      <c r="D46" s="30">
        <v>7</v>
      </c>
      <c r="E46" s="29">
        <v>2.0895522388059702E-2</v>
      </c>
    </row>
    <row r="47" spans="2:5" ht="15" customHeight="1" x14ac:dyDescent="0.25">
      <c r="B47" s="76"/>
      <c r="C47" s="31" t="s">
        <v>220</v>
      </c>
      <c r="D47" s="30">
        <v>6</v>
      </c>
      <c r="E47" s="29">
        <v>1.7910447761194031E-2</v>
      </c>
    </row>
    <row r="48" spans="2:5" ht="15" customHeight="1" x14ac:dyDescent="0.25">
      <c r="B48" s="77"/>
      <c r="C48" s="28" t="s">
        <v>18</v>
      </c>
      <c r="D48" s="27">
        <v>13</v>
      </c>
      <c r="E48" s="26">
        <v>3.880597014925373E-2</v>
      </c>
    </row>
    <row r="49" spans="2:5" ht="15" customHeight="1" x14ac:dyDescent="0.25">
      <c r="B49" s="75" t="s">
        <v>95</v>
      </c>
      <c r="C49" s="31" t="s">
        <v>223</v>
      </c>
      <c r="D49" s="30">
        <v>1</v>
      </c>
      <c r="E49" s="29">
        <v>2.9850746268656717E-3</v>
      </c>
    </row>
    <row r="50" spans="2:5" ht="15" customHeight="1" x14ac:dyDescent="0.25">
      <c r="B50" s="77"/>
      <c r="C50" s="28" t="s">
        <v>18</v>
      </c>
      <c r="D50" s="27">
        <v>1</v>
      </c>
      <c r="E50" s="26">
        <v>2.9850746268656717E-3</v>
      </c>
    </row>
    <row r="51" spans="2:5" ht="15" customHeight="1" x14ac:dyDescent="0.25">
      <c r="B51" s="75" t="s">
        <v>93</v>
      </c>
      <c r="C51" s="31" t="s">
        <v>223</v>
      </c>
      <c r="D51" s="30">
        <v>1</v>
      </c>
      <c r="E51" s="29">
        <v>2.9850746268656717E-3</v>
      </c>
    </row>
    <row r="52" spans="2:5" ht="15" customHeight="1" x14ac:dyDescent="0.25">
      <c r="B52" s="76"/>
      <c r="C52" s="31" t="s">
        <v>220</v>
      </c>
      <c r="D52" s="30">
        <v>1</v>
      </c>
      <c r="E52" s="29">
        <v>2.9850746268656717E-3</v>
      </c>
    </row>
    <row r="53" spans="2:5" ht="15" customHeight="1" x14ac:dyDescent="0.25">
      <c r="B53" s="77"/>
      <c r="C53" s="28" t="s">
        <v>18</v>
      </c>
      <c r="D53" s="27">
        <v>2</v>
      </c>
      <c r="E53" s="26">
        <v>5.9701492537313433E-3</v>
      </c>
    </row>
    <row r="54" spans="2:5" ht="15" customHeight="1" x14ac:dyDescent="0.25">
      <c r="B54" s="75" t="s">
        <v>90</v>
      </c>
      <c r="C54" s="31" t="s">
        <v>223</v>
      </c>
      <c r="D54" s="30">
        <v>11</v>
      </c>
      <c r="E54" s="29">
        <v>3.2835820895522387E-2</v>
      </c>
    </row>
    <row r="55" spans="2:5" ht="15" customHeight="1" x14ac:dyDescent="0.25">
      <c r="B55" s="76"/>
      <c r="C55" s="31" t="s">
        <v>220</v>
      </c>
      <c r="D55" s="30">
        <v>7</v>
      </c>
      <c r="E55" s="29">
        <v>2.0895522388059702E-2</v>
      </c>
    </row>
    <row r="56" spans="2:5" ht="15" customHeight="1" x14ac:dyDescent="0.25">
      <c r="B56" s="77"/>
      <c r="C56" s="28" t="s">
        <v>18</v>
      </c>
      <c r="D56" s="27">
        <v>18</v>
      </c>
      <c r="E56" s="26">
        <v>5.3731343283582089E-2</v>
      </c>
    </row>
    <row r="57" spans="2:5" ht="15" customHeight="1" x14ac:dyDescent="0.25">
      <c r="B57" s="75" t="s">
        <v>67</v>
      </c>
      <c r="C57" s="31" t="s">
        <v>223</v>
      </c>
      <c r="D57" s="30">
        <v>52</v>
      </c>
      <c r="E57" s="29">
        <v>0.15522388059701492</v>
      </c>
    </row>
    <row r="58" spans="2:5" ht="15" customHeight="1" x14ac:dyDescent="0.25">
      <c r="B58" s="76"/>
      <c r="C58" s="31" t="s">
        <v>220</v>
      </c>
      <c r="D58" s="30">
        <v>14</v>
      </c>
      <c r="E58" s="29">
        <v>4.1791044776119404E-2</v>
      </c>
    </row>
    <row r="59" spans="2:5" ht="15" customHeight="1" x14ac:dyDescent="0.25">
      <c r="B59" s="77"/>
      <c r="C59" s="28" t="s">
        <v>18</v>
      </c>
      <c r="D59" s="27">
        <v>66</v>
      </c>
      <c r="E59" s="26">
        <v>0.19701492537313434</v>
      </c>
    </row>
    <row r="60" spans="2:5" ht="15" customHeight="1" x14ac:dyDescent="0.25">
      <c r="B60" s="75" t="s">
        <v>49</v>
      </c>
      <c r="C60" s="31" t="s">
        <v>223</v>
      </c>
      <c r="D60" s="30">
        <v>1</v>
      </c>
      <c r="E60" s="29">
        <v>2.9850746268656717E-3</v>
      </c>
    </row>
    <row r="61" spans="2:5" ht="15" customHeight="1" x14ac:dyDescent="0.25">
      <c r="B61" s="77"/>
      <c r="C61" s="28" t="s">
        <v>18</v>
      </c>
      <c r="D61" s="27">
        <v>1</v>
      </c>
      <c r="E61" s="26">
        <v>2.9850746268656717E-3</v>
      </c>
    </row>
    <row r="62" spans="2:5" ht="15" customHeight="1" x14ac:dyDescent="0.25">
      <c r="B62" s="75" t="s">
        <v>47</v>
      </c>
      <c r="C62" s="31" t="s">
        <v>220</v>
      </c>
      <c r="D62" s="30">
        <v>1</v>
      </c>
      <c r="E62" s="29">
        <v>2.9850746268656717E-3</v>
      </c>
    </row>
    <row r="63" spans="2:5" ht="15" customHeight="1" x14ac:dyDescent="0.25">
      <c r="B63" s="77"/>
      <c r="C63" s="28" t="s">
        <v>18</v>
      </c>
      <c r="D63" s="27">
        <v>1</v>
      </c>
      <c r="E63" s="26">
        <v>2.9850746268656717E-3</v>
      </c>
    </row>
    <row r="64" spans="2:5" ht="15" customHeight="1" x14ac:dyDescent="0.25">
      <c r="B64" s="75" t="s">
        <v>45</v>
      </c>
      <c r="C64" s="31" t="s">
        <v>223</v>
      </c>
      <c r="D64" s="30">
        <v>1</v>
      </c>
      <c r="E64" s="29">
        <v>2.9850746268656717E-3</v>
      </c>
    </row>
    <row r="65" spans="2:5" ht="15" customHeight="1" x14ac:dyDescent="0.25">
      <c r="B65" s="77"/>
      <c r="C65" s="28" t="s">
        <v>18</v>
      </c>
      <c r="D65" s="27">
        <v>1</v>
      </c>
      <c r="E65" s="26">
        <v>2.9850746268656717E-3</v>
      </c>
    </row>
    <row r="66" spans="2:5" ht="15" customHeight="1" x14ac:dyDescent="0.25">
      <c r="B66" s="75" t="s">
        <v>43</v>
      </c>
      <c r="C66" s="31" t="s">
        <v>223</v>
      </c>
      <c r="D66" s="30">
        <v>1</v>
      </c>
      <c r="E66" s="29">
        <v>2.9850746268656717E-3</v>
      </c>
    </row>
    <row r="67" spans="2:5" ht="15" customHeight="1" x14ac:dyDescent="0.25">
      <c r="B67" s="76"/>
      <c r="C67" s="31" t="s">
        <v>220</v>
      </c>
      <c r="D67" s="30">
        <v>1</v>
      </c>
      <c r="E67" s="29">
        <v>2.9850746268656717E-3</v>
      </c>
    </row>
    <row r="68" spans="2:5" ht="15" customHeight="1" x14ac:dyDescent="0.25">
      <c r="B68" s="77"/>
      <c r="C68" s="28" t="s">
        <v>18</v>
      </c>
      <c r="D68" s="27">
        <v>2</v>
      </c>
      <c r="E68" s="26">
        <v>5.9701492537313433E-3</v>
      </c>
    </row>
    <row r="69" spans="2:5" ht="15" customHeight="1" x14ac:dyDescent="0.25">
      <c r="B69" s="75" t="s">
        <v>42</v>
      </c>
      <c r="C69" s="31" t="s">
        <v>223</v>
      </c>
      <c r="D69" s="30">
        <v>1</v>
      </c>
      <c r="E69" s="29">
        <v>2.9850746268656717E-3</v>
      </c>
    </row>
    <row r="70" spans="2:5" ht="15" customHeight="1" x14ac:dyDescent="0.25">
      <c r="B70" s="77"/>
      <c r="C70" s="28" t="s">
        <v>18</v>
      </c>
      <c r="D70" s="27">
        <v>1</v>
      </c>
      <c r="E70" s="26">
        <v>2.9850746268656717E-3</v>
      </c>
    </row>
    <row r="71" spans="2:5" ht="15" customHeight="1" x14ac:dyDescent="0.25">
      <c r="B71" s="75" t="s">
        <v>40</v>
      </c>
      <c r="C71" s="31" t="s">
        <v>220</v>
      </c>
      <c r="D71" s="30">
        <v>1</v>
      </c>
      <c r="E71" s="29">
        <v>2.9850746268656717E-3</v>
      </c>
    </row>
    <row r="72" spans="2:5" ht="15" customHeight="1" x14ac:dyDescent="0.25">
      <c r="B72" s="77"/>
      <c r="C72" s="28" t="s">
        <v>18</v>
      </c>
      <c r="D72" s="27">
        <v>1</v>
      </c>
      <c r="E72" s="26">
        <v>2.9850746268656717E-3</v>
      </c>
    </row>
    <row r="73" spans="2:5" ht="15" customHeight="1" x14ac:dyDescent="0.25">
      <c r="B73" s="75" t="s">
        <v>36</v>
      </c>
      <c r="C73" s="31" t="s">
        <v>223</v>
      </c>
      <c r="D73" s="30">
        <v>1</v>
      </c>
      <c r="E73" s="29">
        <v>2.9850746268656717E-3</v>
      </c>
    </row>
    <row r="74" spans="2:5" ht="15" customHeight="1" x14ac:dyDescent="0.25">
      <c r="B74" s="76"/>
      <c r="C74" s="31" t="s">
        <v>220</v>
      </c>
      <c r="D74" s="30">
        <v>4</v>
      </c>
      <c r="E74" s="29">
        <v>1.1940298507462687E-2</v>
      </c>
    </row>
    <row r="75" spans="2:5" ht="15" customHeight="1" x14ac:dyDescent="0.25">
      <c r="B75" s="77"/>
      <c r="C75" s="28" t="s">
        <v>18</v>
      </c>
      <c r="D75" s="27">
        <v>5</v>
      </c>
      <c r="E75" s="26">
        <v>1.4925373134328358E-2</v>
      </c>
    </row>
    <row r="76" spans="2:5" ht="15" customHeight="1" x14ac:dyDescent="0.25">
      <c r="B76" s="75" t="s">
        <v>35</v>
      </c>
      <c r="C76" s="31" t="s">
        <v>223</v>
      </c>
      <c r="D76" s="30">
        <v>11</v>
      </c>
      <c r="E76" s="29">
        <v>3.2835820895522387E-2</v>
      </c>
    </row>
    <row r="77" spans="2:5" ht="15" customHeight="1" x14ac:dyDescent="0.25">
      <c r="B77" s="76"/>
      <c r="C77" s="31" t="s">
        <v>220</v>
      </c>
      <c r="D77" s="30">
        <v>4</v>
      </c>
      <c r="E77" s="29">
        <v>1.1940298507462687E-2</v>
      </c>
    </row>
    <row r="78" spans="2:5" ht="15" customHeight="1" x14ac:dyDescent="0.25">
      <c r="B78" s="77"/>
      <c r="C78" s="28" t="s">
        <v>18</v>
      </c>
      <c r="D78" s="27">
        <v>15</v>
      </c>
      <c r="E78" s="26">
        <v>4.4776119402985072E-2</v>
      </c>
    </row>
    <row r="79" spans="2:5" ht="15" customHeight="1" x14ac:dyDescent="0.25">
      <c r="B79" s="75" t="s">
        <v>23</v>
      </c>
      <c r="C79" s="31" t="s">
        <v>223</v>
      </c>
      <c r="D79" s="30">
        <v>1</v>
      </c>
      <c r="E79" s="29">
        <v>2.9850746268656717E-3</v>
      </c>
    </row>
    <row r="80" spans="2:5" ht="15" customHeight="1" x14ac:dyDescent="0.25">
      <c r="B80" s="77"/>
      <c r="C80" s="28" t="s">
        <v>18</v>
      </c>
      <c r="D80" s="27">
        <v>1</v>
      </c>
      <c r="E80" s="26">
        <v>2.9850746268656717E-3</v>
      </c>
    </row>
    <row r="81" spans="2:5" ht="15" customHeight="1" x14ac:dyDescent="0.25">
      <c r="B81" s="75" t="s">
        <v>21</v>
      </c>
      <c r="C81" s="31" t="s">
        <v>223</v>
      </c>
      <c r="D81" s="30">
        <v>2</v>
      </c>
      <c r="E81" s="29">
        <v>5.9701492537313433E-3</v>
      </c>
    </row>
    <row r="82" spans="2:5" ht="15" customHeight="1" x14ac:dyDescent="0.25">
      <c r="B82" s="77"/>
      <c r="C82" s="28" t="s">
        <v>18</v>
      </c>
      <c r="D82" s="27">
        <v>2</v>
      </c>
      <c r="E82" s="26">
        <v>5.9701492537313433E-3</v>
      </c>
    </row>
    <row r="83" spans="2:5" ht="15" customHeight="1" x14ac:dyDescent="0.25">
      <c r="B83" s="73" t="s">
        <v>18</v>
      </c>
      <c r="C83" s="74"/>
      <c r="D83" s="25">
        <f>SUMIF(C10:C82,"TOTAL",D10:D82)</f>
        <v>335</v>
      </c>
      <c r="E83" s="24">
        <v>1</v>
      </c>
    </row>
    <row r="85" spans="2:5" ht="15" customHeight="1" x14ac:dyDescent="0.25">
      <c r="B85" s="21" t="s">
        <v>17</v>
      </c>
    </row>
    <row r="86" spans="2:5" ht="15" customHeight="1" x14ac:dyDescent="0.25">
      <c r="B86" s="23" t="s">
        <v>16</v>
      </c>
    </row>
    <row r="87" spans="2:5" ht="15" customHeight="1" x14ac:dyDescent="0.25">
      <c r="B87" s="22" t="s">
        <v>15</v>
      </c>
    </row>
    <row r="88" spans="2:5" ht="15" customHeight="1" x14ac:dyDescent="0.25">
      <c r="B88" s="21" t="s">
        <v>14</v>
      </c>
    </row>
    <row r="89" spans="2:5" ht="15" customHeight="1" x14ac:dyDescent="0.25">
      <c r="B89" s="21" t="s">
        <v>13</v>
      </c>
    </row>
    <row r="485" spans="2:2" s="18" customFormat="1" ht="15" customHeight="1" x14ac:dyDescent="0.25">
      <c r="B485" s="19"/>
    </row>
    <row r="486" spans="2:2" s="18" customFormat="1" ht="15" customHeight="1" x14ac:dyDescent="0.25">
      <c r="B486" s="20"/>
    </row>
    <row r="487" spans="2:2" s="18" customFormat="1" ht="15" customHeight="1" x14ac:dyDescent="0.25">
      <c r="B487" s="20"/>
    </row>
    <row r="488" spans="2:2" s="18" customFormat="1" ht="15" customHeight="1" x14ac:dyDescent="0.25">
      <c r="B488" s="19"/>
    </row>
    <row r="489" spans="2:2" s="18" customFormat="1" ht="15" customHeight="1" x14ac:dyDescent="0.25">
      <c r="B489" s="19"/>
    </row>
  </sheetData>
  <mergeCells count="31">
    <mergeCell ref="B7:E8"/>
    <mergeCell ref="B10:B11"/>
    <mergeCell ref="B12:B13"/>
    <mergeCell ref="B14:B16"/>
    <mergeCell ref="B17:B19"/>
    <mergeCell ref="B60:B61"/>
    <mergeCell ref="B62:B63"/>
    <mergeCell ref="B64:B65"/>
    <mergeCell ref="B66:B68"/>
    <mergeCell ref="B20:B21"/>
    <mergeCell ref="B22:B23"/>
    <mergeCell ref="B24:B26"/>
    <mergeCell ref="B27:B28"/>
    <mergeCell ref="B29:B31"/>
    <mergeCell ref="B32:B34"/>
    <mergeCell ref="B35:B37"/>
    <mergeCell ref="B38:B39"/>
    <mergeCell ref="B40:B42"/>
    <mergeCell ref="B43:B45"/>
    <mergeCell ref="B46:B48"/>
    <mergeCell ref="B49:B50"/>
    <mergeCell ref="B51:B53"/>
    <mergeCell ref="B54:B56"/>
    <mergeCell ref="B57:B59"/>
    <mergeCell ref="B83:C83"/>
    <mergeCell ref="B69:B70"/>
    <mergeCell ref="B71:B72"/>
    <mergeCell ref="B73:B75"/>
    <mergeCell ref="B76:B78"/>
    <mergeCell ref="B79:B80"/>
    <mergeCell ref="B81:B82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50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89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40" customFormat="1" ht="12" customHeight="1" x14ac:dyDescent="0.2">
      <c r="B1" s="44"/>
      <c r="C1" s="43"/>
      <c r="D1" s="43"/>
      <c r="E1" s="43"/>
    </row>
    <row r="2" spans="1:5" s="40" customFormat="1" ht="15" customHeight="1" x14ac:dyDescent="0.2">
      <c r="C2" s="42"/>
    </row>
    <row r="3" spans="1:5" s="40" customFormat="1" ht="15" customHeight="1" x14ac:dyDescent="0.2">
      <c r="C3" s="42"/>
    </row>
    <row r="4" spans="1:5" s="40" customFormat="1" ht="30" customHeight="1" x14ac:dyDescent="0.2">
      <c r="C4" s="42"/>
      <c r="D4" s="41"/>
    </row>
    <row r="5" spans="1:5" s="40" customFormat="1" ht="15" customHeight="1" x14ac:dyDescent="0.2">
      <c r="C5" s="42"/>
      <c r="D5" s="41"/>
    </row>
    <row r="6" spans="1:5" s="37" customFormat="1" ht="24" customHeight="1" x14ac:dyDescent="0.2">
      <c r="B6" s="39"/>
      <c r="C6" s="32"/>
      <c r="D6" s="32"/>
      <c r="E6" s="32"/>
    </row>
    <row r="7" spans="1:5" s="37" customFormat="1" ht="26.25" customHeight="1" x14ac:dyDescent="0.3">
      <c r="A7" s="38"/>
      <c r="B7" s="78"/>
      <c r="C7" s="78"/>
      <c r="D7" s="78"/>
      <c r="E7" s="78"/>
    </row>
    <row r="8" spans="1:5" s="37" customFormat="1" ht="33" customHeight="1" x14ac:dyDescent="0.3">
      <c r="A8" s="38"/>
      <c r="B8" s="78"/>
      <c r="C8" s="78"/>
      <c r="D8" s="78"/>
      <c r="E8" s="78"/>
    </row>
    <row r="9" spans="1:5" s="33" customFormat="1" ht="40.5" customHeight="1" x14ac:dyDescent="0.2">
      <c r="B9" s="34" t="s">
        <v>212</v>
      </c>
      <c r="C9" s="36" t="s">
        <v>224</v>
      </c>
      <c r="D9" s="35" t="s">
        <v>185</v>
      </c>
      <c r="E9" s="34" t="s">
        <v>184</v>
      </c>
    </row>
    <row r="10" spans="1:5" ht="15" customHeight="1" x14ac:dyDescent="0.25">
      <c r="B10" s="75" t="s">
        <v>223</v>
      </c>
      <c r="C10" s="31" t="s">
        <v>222</v>
      </c>
      <c r="D10" s="30">
        <v>2</v>
      </c>
      <c r="E10" s="29">
        <v>5.9701492537313433E-3</v>
      </c>
    </row>
    <row r="11" spans="1:5" ht="15" customHeight="1" x14ac:dyDescent="0.25">
      <c r="B11" s="76"/>
      <c r="C11" s="31" t="s">
        <v>219</v>
      </c>
      <c r="D11" s="30">
        <v>1</v>
      </c>
      <c r="E11" s="29">
        <v>2.9850746268656717E-3</v>
      </c>
    </row>
    <row r="12" spans="1:5" ht="15" customHeight="1" x14ac:dyDescent="0.25">
      <c r="B12" s="76"/>
      <c r="C12" s="31" t="s">
        <v>218</v>
      </c>
      <c r="D12" s="30">
        <v>64</v>
      </c>
      <c r="E12" s="29">
        <v>0.19104477611940299</v>
      </c>
    </row>
    <row r="13" spans="1:5" ht="15" customHeight="1" x14ac:dyDescent="0.25">
      <c r="B13" s="76"/>
      <c r="C13" s="31" t="s">
        <v>217</v>
      </c>
      <c r="D13" s="30">
        <v>111</v>
      </c>
      <c r="E13" s="29">
        <v>0.33134328358208953</v>
      </c>
    </row>
    <row r="14" spans="1:5" ht="15" customHeight="1" x14ac:dyDescent="0.25">
      <c r="B14" s="76"/>
      <c r="C14" s="31" t="s">
        <v>216</v>
      </c>
      <c r="D14" s="30">
        <v>41</v>
      </c>
      <c r="E14" s="29">
        <v>0.12238805970149254</v>
      </c>
    </row>
    <row r="15" spans="1:5" s="32" customFormat="1" ht="15" customHeight="1" x14ac:dyDescent="0.2">
      <c r="B15" s="76"/>
      <c r="C15" s="31" t="s">
        <v>215</v>
      </c>
      <c r="D15" s="30">
        <v>19</v>
      </c>
      <c r="E15" s="29">
        <v>5.6716417910447764E-2</v>
      </c>
    </row>
    <row r="16" spans="1:5" s="32" customFormat="1" ht="15" customHeight="1" x14ac:dyDescent="0.2">
      <c r="B16" s="76"/>
      <c r="C16" s="31" t="s">
        <v>214</v>
      </c>
      <c r="D16" s="30">
        <v>1</v>
      </c>
      <c r="E16" s="29">
        <v>2.9850746268656717E-3</v>
      </c>
    </row>
    <row r="17" spans="2:5" s="32" customFormat="1" ht="15" customHeight="1" x14ac:dyDescent="0.2">
      <c r="B17" s="77"/>
      <c r="C17" s="31" t="s">
        <v>221</v>
      </c>
      <c r="D17" s="30">
        <v>1</v>
      </c>
      <c r="E17" s="29">
        <v>2.9850746268656717E-3</v>
      </c>
    </row>
    <row r="18" spans="2:5" s="32" customFormat="1" ht="15" customHeight="1" x14ac:dyDescent="0.2">
      <c r="B18" s="75" t="s">
        <v>220</v>
      </c>
      <c r="C18" s="31" t="s">
        <v>219</v>
      </c>
      <c r="D18" s="30">
        <v>1</v>
      </c>
      <c r="E18" s="29">
        <v>2.9850746268656717E-3</v>
      </c>
    </row>
    <row r="19" spans="2:5" s="32" customFormat="1" ht="15" customHeight="1" x14ac:dyDescent="0.2">
      <c r="B19" s="76"/>
      <c r="C19" s="31" t="s">
        <v>218</v>
      </c>
      <c r="D19" s="30">
        <v>31</v>
      </c>
      <c r="E19" s="29">
        <v>9.2537313432835819E-2</v>
      </c>
    </row>
    <row r="20" spans="2:5" ht="15" customHeight="1" x14ac:dyDescent="0.25">
      <c r="B20" s="76"/>
      <c r="C20" s="31" t="s">
        <v>217</v>
      </c>
      <c r="D20" s="30">
        <v>32</v>
      </c>
      <c r="E20" s="29">
        <v>9.5522388059701493E-2</v>
      </c>
    </row>
    <row r="21" spans="2:5" ht="15" customHeight="1" x14ac:dyDescent="0.25">
      <c r="B21" s="76"/>
      <c r="C21" s="31" t="s">
        <v>216</v>
      </c>
      <c r="D21" s="30">
        <v>20</v>
      </c>
      <c r="E21" s="29">
        <v>5.9701492537313432E-2</v>
      </c>
    </row>
    <row r="22" spans="2:5" ht="15" customHeight="1" x14ac:dyDescent="0.25">
      <c r="B22" s="76"/>
      <c r="C22" s="31" t="s">
        <v>215</v>
      </c>
      <c r="D22" s="30">
        <v>10</v>
      </c>
      <c r="E22" s="29">
        <v>2.9850746268656716E-2</v>
      </c>
    </row>
    <row r="23" spans="2:5" ht="15" customHeight="1" x14ac:dyDescent="0.25">
      <c r="B23" s="77"/>
      <c r="C23" s="31" t="s">
        <v>214</v>
      </c>
      <c r="D23" s="30">
        <v>1</v>
      </c>
      <c r="E23" s="29">
        <v>2.9850746268656717E-3</v>
      </c>
    </row>
    <row r="24" spans="2:5" ht="15" customHeight="1" x14ac:dyDescent="0.25">
      <c r="B24" s="73" t="s">
        <v>18</v>
      </c>
      <c r="C24" s="74"/>
      <c r="D24" s="25">
        <v>335</v>
      </c>
      <c r="E24" s="24">
        <v>1</v>
      </c>
    </row>
    <row r="26" spans="2:5" ht="15" customHeight="1" x14ac:dyDescent="0.25">
      <c r="B26" s="21" t="s">
        <v>17</v>
      </c>
    </row>
    <row r="27" spans="2:5" ht="15" customHeight="1" x14ac:dyDescent="0.25">
      <c r="B27" s="23" t="s">
        <v>16</v>
      </c>
    </row>
    <row r="28" spans="2:5" ht="15" customHeight="1" x14ac:dyDescent="0.25">
      <c r="B28" s="22" t="s">
        <v>15</v>
      </c>
    </row>
    <row r="29" spans="2:5" ht="15" customHeight="1" x14ac:dyDescent="0.25">
      <c r="B29" s="21" t="s">
        <v>14</v>
      </c>
    </row>
    <row r="30" spans="2:5" ht="15" customHeight="1" x14ac:dyDescent="0.25">
      <c r="B30" s="21" t="s">
        <v>13</v>
      </c>
    </row>
    <row r="485" spans="2:2" s="18" customFormat="1" ht="15" customHeight="1" x14ac:dyDescent="0.25">
      <c r="B485" s="19"/>
    </row>
    <row r="486" spans="2:2" s="18" customFormat="1" ht="15" customHeight="1" x14ac:dyDescent="0.25">
      <c r="B486" s="20"/>
    </row>
    <row r="487" spans="2:2" s="18" customFormat="1" ht="15" customHeight="1" x14ac:dyDescent="0.25">
      <c r="B487" s="20"/>
    </row>
    <row r="488" spans="2:2" s="18" customFormat="1" ht="15" customHeight="1" x14ac:dyDescent="0.25">
      <c r="B488" s="19"/>
    </row>
    <row r="489" spans="2:2" s="18" customFormat="1" ht="15" customHeight="1" x14ac:dyDescent="0.25">
      <c r="B489" s="19"/>
    </row>
  </sheetData>
  <mergeCells count="4">
    <mergeCell ref="B7:E8"/>
    <mergeCell ref="B10:B17"/>
    <mergeCell ref="B18:B23"/>
    <mergeCell ref="B24:C2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35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5" customWidth="1"/>
    <col min="2" max="2" width="21.7109375" style="45" customWidth="1"/>
    <col min="3" max="3" width="17.7109375" style="46" customWidth="1"/>
    <col min="4" max="4" width="17.7109375" style="45" customWidth="1"/>
    <col min="5" max="5" width="9.28515625" style="45" customWidth="1"/>
    <col min="6" max="6" width="5.7109375" style="45" customWidth="1"/>
    <col min="7" max="16384" width="11.42578125" style="45"/>
  </cols>
  <sheetData>
    <row r="1" spans="2:4" s="33" customFormat="1" ht="15" customHeight="1" x14ac:dyDescent="0.2">
      <c r="C1" s="59"/>
    </row>
    <row r="2" spans="2:4" s="33" customFormat="1" ht="15" customHeight="1" x14ac:dyDescent="0.2">
      <c r="C2" s="59"/>
    </row>
    <row r="3" spans="2:4" s="33" customFormat="1" ht="15" customHeight="1" x14ac:dyDescent="0.2">
      <c r="C3" s="59"/>
    </row>
    <row r="4" spans="2:4" s="33" customFormat="1" ht="30" customHeight="1" x14ac:dyDescent="0.2">
      <c r="C4" s="59"/>
      <c r="D4" s="58"/>
    </row>
    <row r="5" spans="2:4" s="33" customFormat="1" ht="15" customHeight="1" x14ac:dyDescent="0.2">
      <c r="C5" s="59"/>
      <c r="D5" s="58"/>
    </row>
    <row r="6" spans="2:4" s="33" customFormat="1" ht="15" customHeight="1" x14ac:dyDescent="0.2">
      <c r="C6" s="59"/>
      <c r="D6" s="58"/>
    </row>
    <row r="7" spans="2:4" s="33" customFormat="1" ht="15" customHeight="1" x14ac:dyDescent="0.2">
      <c r="B7" s="72" t="s">
        <v>206</v>
      </c>
      <c r="C7" s="72"/>
      <c r="D7" s="72"/>
    </row>
    <row r="8" spans="2:4" s="33" customFormat="1" ht="15" customHeight="1" x14ac:dyDescent="0.2">
      <c r="B8" s="72"/>
      <c r="C8" s="72"/>
      <c r="D8" s="72"/>
    </row>
    <row r="9" spans="2:4" s="33" customFormat="1" ht="33" customHeight="1" x14ac:dyDescent="0.2">
      <c r="B9" s="72"/>
      <c r="C9" s="72"/>
      <c r="D9" s="72"/>
    </row>
    <row r="10" spans="2:4" s="33" customFormat="1" ht="4.5" customHeight="1" x14ac:dyDescent="0.2">
      <c r="B10" s="57"/>
      <c r="C10" s="57"/>
      <c r="D10" s="57"/>
    </row>
    <row r="11" spans="2:4" s="33" customFormat="1" ht="33" customHeight="1" x14ac:dyDescent="0.2">
      <c r="B11" s="56" t="s">
        <v>205</v>
      </c>
      <c r="C11" s="55" t="s">
        <v>185</v>
      </c>
      <c r="D11" s="54" t="s">
        <v>184</v>
      </c>
    </row>
    <row r="12" spans="2:4" ht="15" customHeight="1" x14ac:dyDescent="0.25">
      <c r="B12" s="52" t="s">
        <v>204</v>
      </c>
      <c r="C12" s="51">
        <v>75</v>
      </c>
      <c r="D12" s="50">
        <v>0.22388059701492538</v>
      </c>
    </row>
    <row r="13" spans="2:4" x14ac:dyDescent="0.25">
      <c r="B13" s="52" t="s">
        <v>203</v>
      </c>
      <c r="C13" s="51">
        <v>65</v>
      </c>
      <c r="D13" s="50">
        <v>0.19402985074626866</v>
      </c>
    </row>
    <row r="14" spans="2:4" s="53" customFormat="1" ht="15.75" x14ac:dyDescent="0.25">
      <c r="B14" s="52" t="s">
        <v>202</v>
      </c>
      <c r="C14" s="51">
        <v>52</v>
      </c>
      <c r="D14" s="50">
        <v>0.15522388059701492</v>
      </c>
    </row>
    <row r="15" spans="2:4" s="53" customFormat="1" ht="15.75" x14ac:dyDescent="0.25">
      <c r="B15" s="52" t="s">
        <v>201</v>
      </c>
      <c r="C15" s="51">
        <v>40</v>
      </c>
      <c r="D15" s="50">
        <v>0.11940298507462686</v>
      </c>
    </row>
    <row r="16" spans="2:4" x14ac:dyDescent="0.25">
      <c r="B16" s="52" t="s">
        <v>200</v>
      </c>
      <c r="C16" s="51">
        <v>28</v>
      </c>
      <c r="D16" s="50">
        <v>8.3582089552238809E-2</v>
      </c>
    </row>
    <row r="17" spans="2:4" x14ac:dyDescent="0.25">
      <c r="B17" s="52" t="s">
        <v>199</v>
      </c>
      <c r="C17" s="51">
        <v>18</v>
      </c>
      <c r="D17" s="50">
        <v>5.3731343283582089E-2</v>
      </c>
    </row>
    <row r="18" spans="2:4" x14ac:dyDescent="0.25">
      <c r="B18" s="52" t="s">
        <v>198</v>
      </c>
      <c r="C18" s="51">
        <v>17</v>
      </c>
      <c r="D18" s="50">
        <v>5.0746268656716415E-2</v>
      </c>
    </row>
    <row r="19" spans="2:4" x14ac:dyDescent="0.25">
      <c r="B19" s="52" t="s">
        <v>197</v>
      </c>
      <c r="C19" s="51">
        <v>17</v>
      </c>
      <c r="D19" s="50">
        <v>5.0746268656716415E-2</v>
      </c>
    </row>
    <row r="20" spans="2:4" x14ac:dyDescent="0.25">
      <c r="B20" s="52" t="s">
        <v>196</v>
      </c>
      <c r="C20" s="51">
        <v>12</v>
      </c>
      <c r="D20" s="50">
        <v>3.5820895522388062E-2</v>
      </c>
    </row>
    <row r="21" spans="2:4" x14ac:dyDescent="0.25">
      <c r="B21" s="52" t="s">
        <v>195</v>
      </c>
      <c r="C21" s="51">
        <v>2</v>
      </c>
      <c r="D21" s="50">
        <v>5.9701492537313433E-3</v>
      </c>
    </row>
    <row r="22" spans="2:4" x14ac:dyDescent="0.25">
      <c r="B22" s="52" t="s">
        <v>194</v>
      </c>
      <c r="C22" s="51">
        <v>2</v>
      </c>
      <c r="D22" s="50">
        <v>5.9701492537313433E-3</v>
      </c>
    </row>
    <row r="23" spans="2:4" x14ac:dyDescent="0.25">
      <c r="B23" s="52" t="s">
        <v>193</v>
      </c>
      <c r="C23" s="51">
        <v>2</v>
      </c>
      <c r="D23" s="50">
        <v>5.9701492537313433E-3</v>
      </c>
    </row>
    <row r="24" spans="2:4" x14ac:dyDescent="0.25">
      <c r="B24" s="52" t="s">
        <v>192</v>
      </c>
      <c r="C24" s="51">
        <v>1</v>
      </c>
      <c r="D24" s="50">
        <v>2.9850746268656717E-3</v>
      </c>
    </row>
    <row r="25" spans="2:4" x14ac:dyDescent="0.25">
      <c r="B25" s="52" t="s">
        <v>191</v>
      </c>
      <c r="C25" s="51">
        <v>1</v>
      </c>
      <c r="D25" s="50">
        <v>2.9850746268656717E-3</v>
      </c>
    </row>
    <row r="26" spans="2:4" x14ac:dyDescent="0.25">
      <c r="B26" s="52" t="s">
        <v>190</v>
      </c>
      <c r="C26" s="51">
        <v>1</v>
      </c>
      <c r="D26" s="50">
        <v>2.9850746268656717E-3</v>
      </c>
    </row>
    <row r="27" spans="2:4" x14ac:dyDescent="0.25">
      <c r="B27" s="52" t="s">
        <v>189</v>
      </c>
      <c r="C27" s="51">
        <v>1</v>
      </c>
      <c r="D27" s="50">
        <v>2.9850746268656717E-3</v>
      </c>
    </row>
    <row r="28" spans="2:4" x14ac:dyDescent="0.25">
      <c r="B28" s="52" t="s">
        <v>188</v>
      </c>
      <c r="C28" s="51">
        <v>1</v>
      </c>
      <c r="D28" s="50">
        <v>2.9850746268656717E-3</v>
      </c>
    </row>
    <row r="29" spans="2:4" x14ac:dyDescent="0.25">
      <c r="B29" s="49" t="s">
        <v>18</v>
      </c>
      <c r="C29" s="48">
        <v>335</v>
      </c>
      <c r="D29" s="47">
        <v>1</v>
      </c>
    </row>
    <row r="31" spans="2:4" x14ac:dyDescent="0.25">
      <c r="B31" s="21" t="s">
        <v>17</v>
      </c>
    </row>
    <row r="32" spans="2:4" x14ac:dyDescent="0.25">
      <c r="B32" s="23" t="s">
        <v>16</v>
      </c>
    </row>
    <row r="33" spans="2:2" x14ac:dyDescent="0.25">
      <c r="B33" s="22" t="s">
        <v>15</v>
      </c>
    </row>
    <row r="34" spans="2:2" x14ac:dyDescent="0.25">
      <c r="B34" s="21" t="s">
        <v>14</v>
      </c>
    </row>
    <row r="35" spans="2:2" x14ac:dyDescent="0.25">
      <c r="B35" s="21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7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District of Columbia_Edomexgral</vt:lpstr>
      <vt:lpstr>District of Columbia_EDOMEX</vt:lpstr>
      <vt:lpstr>District of Columbia_Educagral</vt:lpstr>
      <vt:lpstr>District of Columbia_Eduedo</vt:lpstr>
      <vt:lpstr>District of Columbia_gengral18</vt:lpstr>
      <vt:lpstr>District of Columbia_edomexgen</vt:lpstr>
      <vt:lpstr>District of Columbia_edadgen</vt:lpstr>
      <vt:lpstr>District of Columbia_ocupgral18</vt:lpstr>
      <vt:lpstr>'District of Columbia_edadgen'!Área_de_impresión</vt:lpstr>
      <vt:lpstr>'District of Columbia_EDOMEX'!Área_de_impresión</vt:lpstr>
      <vt:lpstr>'District of Columbia_edomexgen'!Área_de_impresión</vt:lpstr>
      <vt:lpstr>'District of Columbia_Eduedo'!Área_de_impresión</vt:lpstr>
      <vt:lpstr>'District of Columbia_edadgen'!Títulos_a_imprimir</vt:lpstr>
      <vt:lpstr>'District of Columbia_EDOMEX'!Títulos_a_imprimir</vt:lpstr>
      <vt:lpstr>'District of Columbia_edomexgen'!Títulos_a_imprimir</vt:lpstr>
      <vt:lpstr>'District of Columbia_Edomexgral'!Títulos_a_imprimir</vt:lpstr>
      <vt:lpstr>'District of Columbia_Educagral'!Títulos_a_imprimir</vt:lpstr>
      <vt:lpstr>'District of Columbia_Eduedo'!Títulos_a_imprimir</vt:lpstr>
      <vt:lpstr>'District of Columbia_gengral18'!Títulos_a_imprimir</vt:lpstr>
      <vt:lpstr>'District of Columbia_ocupgral18'!Títulos_a_imprimir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dcterms:created xsi:type="dcterms:W3CDTF">2019-12-17T21:51:29Z</dcterms:created>
  <dcterms:modified xsi:type="dcterms:W3CDTF">2019-12-20T19:38:19Z</dcterms:modified>
</cp:coreProperties>
</file>