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soto\AnálisisInfo2.7\Matrículas\Anual\Matriculas2018\Tablas_estadísticas 2018\USA\Finales\"/>
    </mc:Choice>
  </mc:AlternateContent>
  <bookViews>
    <workbookView xWindow="0" yWindow="0" windowWidth="24000" windowHeight="9345" tabRatio="942"/>
  </bookViews>
  <sheets>
    <sheet name="Índice" sheetId="1" r:id="rId1"/>
    <sheet name="Maine_Edomexgral" sheetId="7" r:id="rId2"/>
    <sheet name="Maine_EDOMEX" sheetId="9" r:id="rId3"/>
    <sheet name="Maine_Educagral" sheetId="4" r:id="rId4"/>
    <sheet name="Maine_Eduedo" sheetId="3" r:id="rId5"/>
    <sheet name="Maine_gengral18" sheetId="6" r:id="rId6"/>
    <sheet name="Maine_edomexgen" sheetId="2" r:id="rId7"/>
    <sheet name="Maine_edadgen" sheetId="5" r:id="rId8"/>
    <sheet name="Maine_ocupgral18" sheetId="8" r:id="rId9"/>
  </sheets>
  <definedNames>
    <definedName name="_xlnm._FilterDatabase" localSheetId="7" hidden="1">Maine_edadgen!$B$9:$E$13</definedName>
    <definedName name="_xlnm._FilterDatabase" localSheetId="2" hidden="1">Maine_EDOMEX!$B$9:$E$13</definedName>
    <definedName name="_xlnm._FilterDatabase" localSheetId="6" hidden="1">Maine_edomexgen!$B$9:$E$13</definedName>
    <definedName name="_xlnm._FilterDatabase" localSheetId="1" hidden="1">Maine_Edomexgral!$B$11:$D$12</definedName>
    <definedName name="_xlnm._FilterDatabase" localSheetId="3" hidden="1">Maine_Educagral!$B$11:$D$12</definedName>
    <definedName name="_xlnm._FilterDatabase" localSheetId="4" hidden="1">Maine_Eduedo!$B$9:$E$13</definedName>
    <definedName name="_xlnm._FilterDatabase" localSheetId="5" hidden="1">Maine_gengral18!$B$11:$D$12</definedName>
    <definedName name="_xlnm._FilterDatabase" localSheetId="8" hidden="1">Maine_ocupgral18!$B$11:$D$12</definedName>
    <definedName name="_xlnm.Print_Area" localSheetId="7">Maine_edadgen!$A$1:$E$23</definedName>
    <definedName name="_xlnm.Print_Area" localSheetId="2">Maine_EDOMEX!$A$1:$E$49</definedName>
    <definedName name="_xlnm.Print_Area" localSheetId="6">Maine_edomexgen!$A$1:$E$42</definedName>
    <definedName name="_xlnm.Print_Area" localSheetId="4">Maine_Eduedo!$A$1:$E$46</definedName>
    <definedName name="_xlnm.Print_Titles" localSheetId="7">Maine_edadgen!$1:$9</definedName>
    <definedName name="_xlnm.Print_Titles" localSheetId="2">Maine_EDOMEX!$1:$9</definedName>
    <definedName name="_xlnm.Print_Titles" localSheetId="6">Maine_edomexgen!$1:$9</definedName>
    <definedName name="_xlnm.Print_Titles" localSheetId="1">Maine_Edomexgral!$1:$11</definedName>
    <definedName name="_xlnm.Print_Titles" localSheetId="3">Maine_Educagral!$1:$11</definedName>
    <definedName name="_xlnm.Print_Titles" localSheetId="4">Maine_Eduedo!$1:$9</definedName>
    <definedName name="_xlnm.Print_Titles" localSheetId="5">Maine_gengral18!$1:$11</definedName>
    <definedName name="_xlnm.Print_Titles" localSheetId="8">Maine_ocupgral18!$1:$11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9" l="1"/>
  <c r="D36" i="2"/>
</calcChain>
</file>

<file path=xl/sharedStrings.xml><?xml version="1.0" encoding="utf-8"?>
<sst xmlns="http://schemas.openxmlformats.org/spreadsheetml/2006/main" count="266" uniqueCount="102">
  <si>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</si>
  <si>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</si>
  <si>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</si>
  <si>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</si>
  <si>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</si>
  <si>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</si>
  <si>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</si>
  <si>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</si>
  <si>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</si>
  <si>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</si>
  <si>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</si>
  <si>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</si>
  <si>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Maine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</si>
  <si>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</si>
  <si>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</si>
  <si>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</si>
  <si>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</si>
  <si>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</si>
  <si>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</si>
  <si>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</si>
  <si>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Hombre</t>
  </si>
  <si>
    <t>Veracruz</t>
  </si>
  <si>
    <t>Tabasco</t>
  </si>
  <si>
    <t>Puebla</t>
  </si>
  <si>
    <t>Nayarit</t>
  </si>
  <si>
    <t>Michoacán</t>
  </si>
  <si>
    <t>Guerrero</t>
  </si>
  <si>
    <t>Guanajuato</t>
  </si>
  <si>
    <t>Estado de México</t>
  </si>
  <si>
    <t>Durango</t>
  </si>
  <si>
    <t>Ciudad de México</t>
  </si>
  <si>
    <t>Chiapas</t>
  </si>
  <si>
    <t>Porcentaje de Matrículas</t>
  </si>
  <si>
    <t>Número de Matrículas</t>
  </si>
  <si>
    <t>Género</t>
  </si>
  <si>
    <t>Estado de Origen</t>
  </si>
  <si>
    <t>Profesional titulado</t>
  </si>
  <si>
    <t>1° Año de profesional</t>
  </si>
  <si>
    <t>Preparatoria con certificado</t>
  </si>
  <si>
    <t>Preparatoria sin certificado</t>
  </si>
  <si>
    <t>Secundaria con certificado</t>
  </si>
  <si>
    <t>3° Secundaria</t>
  </si>
  <si>
    <t>Primaria con certificado</t>
  </si>
  <si>
    <t>6° Primaria</t>
  </si>
  <si>
    <t>5° Primaria</t>
  </si>
  <si>
    <t>4° Primaria</t>
  </si>
  <si>
    <t>Nivel de Estudios</t>
  </si>
  <si>
    <t>Posgrado [Doctorado]</t>
  </si>
  <si>
    <t>Posgrado [Maestría]</t>
  </si>
  <si>
    <t>Profesional Titulado</t>
  </si>
  <si>
    <t>Profesional pasante</t>
  </si>
  <si>
    <t>4° Año de profesional</t>
  </si>
  <si>
    <t>3° Año de profesional</t>
  </si>
  <si>
    <t>2° Año de profesional</t>
  </si>
  <si>
    <t>Capacitación Técnica</t>
  </si>
  <si>
    <t>2° Secundaria</t>
  </si>
  <si>
    <t>1° Secundaria</t>
  </si>
  <si>
    <t>3° Primaria</t>
  </si>
  <si>
    <t>2° Primaria</t>
  </si>
  <si>
    <t>1° Primaria</t>
  </si>
  <si>
    <t>Sin Estudios</t>
  </si>
  <si>
    <t>Menores de edad</t>
  </si>
  <si>
    <t>MATRÍCULAS CONSULARES EXPEDIDAS EN EL ESTADO DE MAINE EN EE.UU. POR NIVEL DE EDUCACIÓN</t>
  </si>
  <si>
    <t>Entre 40 y 49 Años</t>
  </si>
  <si>
    <t>Entre 29 y 39 Años</t>
  </si>
  <si>
    <t>Entre 18 y 28 Años</t>
  </si>
  <si>
    <t>Entre 50 y 65 Años</t>
  </si>
  <si>
    <t>Edad cumplida</t>
  </si>
  <si>
    <t>TOTAL</t>
  </si>
  <si>
    <t>MUJER</t>
  </si>
  <si>
    <t>HOMBRE</t>
  </si>
  <si>
    <t>MATRÍCULAS CONSULARES DE ALTA SEGURIDAD EXPEDIDAS EN EE.UU A MEXICANOS EN EL ESTADO DE MAINE, POR GÉNERO 2018</t>
  </si>
  <si>
    <t>MATRÍCULAS CONSULARES DE ALTA SEGURIDAD EXPEDIDAS EN EL ESTADO DE MAINE EN EE.UU. POR ESTADO DE LA REPÚBLICA MEXICANA DURANTE EL 2018</t>
  </si>
  <si>
    <t>Otro</t>
  </si>
  <si>
    <t>Obrero(a)</t>
  </si>
  <si>
    <t>Campesino(a)</t>
  </si>
  <si>
    <t>Hogar</t>
  </si>
  <si>
    <t>Empleado(a)</t>
  </si>
  <si>
    <t>Ocupación</t>
  </si>
  <si>
    <t>MATRÍCULAS CONSULARES DE ALTA SEGURIDAD EXPEDIDAS EN EE.UU A MEXICANOS EN EL ESTADO DE  MAINE, POR PERFIL OCUPACIONAL 2018</t>
  </si>
  <si>
    <t>Tezonapa</t>
  </si>
  <si>
    <t>Coatzacoalcos</t>
  </si>
  <si>
    <t>Atzalan</t>
  </si>
  <si>
    <t>Huimanguillo</t>
  </si>
  <si>
    <t>Cárdenas</t>
  </si>
  <si>
    <t>Vicente Guerrero</t>
  </si>
  <si>
    <t>Huaquechula</t>
  </si>
  <si>
    <t>Tecuala</t>
  </si>
  <si>
    <t>Santa Ana Maya</t>
  </si>
  <si>
    <t>Atlixtac</t>
  </si>
  <si>
    <t>Santa Cruz de Juventino Rosas</t>
  </si>
  <si>
    <t>Texcaltitlán</t>
  </si>
  <si>
    <t>Luvianos</t>
  </si>
  <si>
    <t>Iztapalapa</t>
  </si>
  <si>
    <t>Gustavo A. Madero</t>
  </si>
  <si>
    <t>Tenejapa</t>
  </si>
  <si>
    <t>Mazapa de Madero</t>
  </si>
  <si>
    <t>Las Margaritas</t>
  </si>
  <si>
    <t>El Porvenir</t>
  </si>
  <si>
    <t>Tijuana</t>
  </si>
  <si>
    <t>Baja California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</si>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</sst>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Montserrat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6" fillId="0" borderId="0" applyFont="0" applyFill="0" applyBorder="0" applyAlignment="0" applyProtection="0"/>
    <xf numFmtId="0" fontId="15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7" fillId="3" borderId="0" xfId="0" applyFont="1" applyFill="1"/>
    <xf numFmtId="0" fontId="8" fillId="3" borderId="0" xfId="0" applyFont="1" applyFill="1"/>
    <xf numFmtId="0" fontId="9" fillId="0" borderId="0" xfId="0" applyFont="1" applyBorder="1"/>
    <xf numFmtId="0" fontId="9" fillId="0" borderId="0" xfId="0" applyFont="1" applyBorder="1" applyAlignment="1">
      <alignment vertical="top"/>
    </xf>
    <xf numFmtId="0" fontId="10" fillId="3" borderId="0" xfId="0" applyFont="1" applyFill="1"/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center"/>
    </xf>
    <xf numFmtId="164" fontId="11" fillId="4" borderId="9" xfId="0" applyNumberFormat="1" applyFont="1" applyFill="1" applyBorder="1" applyAlignment="1">
      <alignment horizontal="right" vertical="center" wrapText="1"/>
    </xf>
    <xf numFmtId="3" fontId="11" fillId="4" borderId="9" xfId="0" applyNumberFormat="1" applyFont="1" applyFill="1" applyBorder="1" applyAlignment="1">
      <alignment horizontal="right" vertical="center" wrapText="1"/>
    </xf>
    <xf numFmtId="165" fontId="11" fillId="5" borderId="9" xfId="3" applyNumberFormat="1" applyFont="1" applyFill="1" applyBorder="1" applyAlignment="1">
      <alignment vertical="center" wrapText="1"/>
    </xf>
    <xf numFmtId="3" fontId="11" fillId="5" borderId="9" xfId="1" applyNumberFormat="1" applyFont="1" applyFill="1" applyBorder="1" applyAlignment="1">
      <alignment horizontal="right" vertical="center" wrapText="1"/>
    </xf>
    <xf numFmtId="49" fontId="11" fillId="5" borderId="9" xfId="1" applyNumberFormat="1" applyFont="1" applyFill="1" applyBorder="1" applyAlignment="1">
      <alignment vertical="center" wrapText="1"/>
    </xf>
    <xf numFmtId="164" fontId="12" fillId="3" borderId="9" xfId="1" applyNumberFormat="1" applyFont="1" applyFill="1" applyBorder="1" applyAlignment="1">
      <alignment horizontal="right" vertical="center" wrapText="1"/>
    </xf>
    <xf numFmtId="166" fontId="12" fillId="3" borderId="9" xfId="1" applyNumberFormat="1" applyFont="1" applyFill="1" applyBorder="1" applyAlignment="1">
      <alignment horizontal="right" vertical="center" wrapText="1"/>
    </xf>
    <xf numFmtId="49" fontId="12" fillId="3" borderId="9" xfId="1" applyNumberFormat="1" applyFont="1" applyFill="1" applyBorder="1" applyAlignment="1">
      <alignment vertical="center" wrapText="1"/>
    </xf>
    <xf numFmtId="0" fontId="13" fillId="3" borderId="0" xfId="0" applyFont="1" applyFill="1"/>
    <xf numFmtId="0" fontId="14" fillId="0" borderId="0" xfId="0" applyFont="1"/>
    <xf numFmtId="0" fontId="16" fillId="2" borderId="14" xfId="4" applyFont="1" applyFill="1" applyBorder="1" applyAlignment="1">
      <alignment horizontal="center" vertical="center" wrapText="1"/>
    </xf>
    <xf numFmtId="1" fontId="16" fillId="2" borderId="14" xfId="4" applyNumberFormat="1" applyFont="1" applyFill="1" applyBorder="1" applyAlignment="1">
      <alignment horizontal="center" vertical="center" wrapText="1"/>
    </xf>
    <xf numFmtId="0" fontId="11" fillId="2" borderId="14" xfId="4" applyFont="1" applyFill="1" applyBorder="1" applyAlignment="1">
      <alignment horizontal="center" vertical="center" wrapText="1"/>
    </xf>
    <xf numFmtId="0" fontId="14" fillId="3" borderId="0" xfId="0" applyFont="1" applyFill="1"/>
    <xf numFmtId="0" fontId="18" fillId="3" borderId="0" xfId="0" applyFont="1" applyFill="1" applyAlignment="1"/>
    <xf numFmtId="0" fontId="13" fillId="3" borderId="0" xfId="0" applyFont="1" applyFill="1" applyAlignment="1">
      <alignment vertical="center"/>
    </xf>
    <xf numFmtId="0" fontId="14" fillId="3" borderId="0" xfId="0" applyFont="1" applyFill="1" applyBorder="1"/>
    <xf numFmtId="3" fontId="14" fillId="3" borderId="0" xfId="0" applyNumberFormat="1" applyFont="1" applyFill="1" applyBorder="1"/>
    <xf numFmtId="1" fontId="14" fillId="3" borderId="0" xfId="0" applyNumberFormat="1" applyFont="1" applyFill="1" applyBorder="1"/>
    <xf numFmtId="0" fontId="13" fillId="3" borderId="0" xfId="0" applyFont="1" applyFill="1" applyBorder="1"/>
    <xf numFmtId="0" fontId="13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1" fillId="6" borderId="9" xfId="0" applyNumberFormat="1" applyFont="1" applyFill="1" applyBorder="1" applyAlignment="1">
      <alignment horizontal="right" vertical="top" wrapText="1"/>
    </xf>
    <xf numFmtId="3" fontId="11" fillId="6" borderId="9" xfId="0" applyNumberFormat="1" applyFont="1" applyFill="1" applyBorder="1" applyAlignment="1">
      <alignment horizontal="right" vertical="top" wrapText="1"/>
    </xf>
    <xf numFmtId="49" fontId="11" fillId="6" borderId="9" xfId="0" applyNumberFormat="1" applyFont="1" applyFill="1" applyBorder="1" applyAlignment="1">
      <alignment vertical="top" wrapText="1"/>
    </xf>
    <xf numFmtId="164" fontId="19" fillId="3" borderId="9" xfId="0" applyNumberFormat="1" applyFont="1" applyFill="1" applyBorder="1" applyAlignment="1">
      <alignment horizontal="right" vertical="top" wrapText="1"/>
    </xf>
    <xf numFmtId="3" fontId="19" fillId="3" borderId="9" xfId="0" applyNumberFormat="1" applyFont="1" applyFill="1" applyBorder="1" applyAlignment="1">
      <alignment horizontal="right" vertical="top" wrapText="1"/>
    </xf>
    <xf numFmtId="49" fontId="20" fillId="3" borderId="9" xfId="0" applyNumberFormat="1" applyFont="1" applyFill="1" applyBorder="1" applyAlignment="1">
      <alignment vertical="top" wrapText="1"/>
    </xf>
    <xf numFmtId="0" fontId="17" fillId="3" borderId="0" xfId="0" applyFont="1" applyFill="1"/>
    <xf numFmtId="0" fontId="11" fillId="2" borderId="14" xfId="0" applyFont="1" applyFill="1" applyBorder="1" applyAlignment="1">
      <alignment horizontal="center" vertical="center" wrapText="1"/>
    </xf>
    <xf numFmtId="1" fontId="11" fillId="2" borderId="14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21" fillId="0" borderId="0" xfId="0" applyFont="1" applyBorder="1" applyAlignment="1">
      <alignment horizontal="center" vertical="center" wrapText="1"/>
    </xf>
    <xf numFmtId="3" fontId="14" fillId="0" borderId="0" xfId="0" applyNumberFormat="1" applyFont="1"/>
    <xf numFmtId="1" fontId="14" fillId="0" borderId="0" xfId="0" applyNumberFormat="1" applyFont="1"/>
    <xf numFmtId="0" fontId="9" fillId="0" borderId="0" xfId="0" applyFont="1" applyAlignment="1">
      <alignment vertical="top"/>
    </xf>
    <xf numFmtId="0" fontId="9" fillId="0" borderId="0" xfId="0" applyFont="1" applyAlignment="1">
      <alignment horizontal="justify" vertical="center"/>
    </xf>
    <xf numFmtId="3" fontId="17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5" fillId="0" borderId="0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2" fillId="0" borderId="0" xfId="0" applyFont="1" applyBorder="1" applyAlignment="1">
      <alignment horizontal="center" vertical="center" wrapText="1"/>
    </xf>
    <xf numFmtId="0" fontId="17" fillId="3" borderId="0" xfId="0" applyFont="1" applyFill="1" applyAlignment="1">
      <alignment horizontal="center" wrapText="1"/>
    </xf>
    <xf numFmtId="49" fontId="12" fillId="3" borderId="14" xfId="1" applyNumberFormat="1" applyFont="1" applyFill="1" applyBorder="1" applyAlignment="1">
      <alignment horizontal="center" vertical="center" wrapText="1"/>
    </xf>
    <xf numFmtId="49" fontId="12" fillId="3" borderId="12" xfId="1" applyNumberFormat="1" applyFont="1" applyFill="1" applyBorder="1" applyAlignment="1">
      <alignment horizontal="center" vertical="center" wrapText="1"/>
    </xf>
    <xf numFmtId="49" fontId="12" fillId="3" borderId="13" xfId="1" applyNumberFormat="1" applyFont="1" applyFill="1" applyBorder="1" applyAlignment="1">
      <alignment horizontal="center" vertical="center" wrapText="1"/>
    </xf>
    <xf numFmtId="49" fontId="11" fillId="4" borderId="11" xfId="0" applyNumberFormat="1" applyFont="1" applyFill="1" applyBorder="1" applyAlignment="1">
      <alignment horizontal="center" vertical="center" wrapText="1"/>
    </xf>
    <xf numFmtId="49" fontId="11" fillId="4" borderId="10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295275</xdr:colOff>
      <xdr:row>5</xdr:row>
      <xdr:rowOff>171450</xdr:rowOff>
    </xdr:from>
    <xdr:to>
      <xdr:col>5</xdr:col>
      <xdr:colOff>340647</xdr:colOff>
      <xdr:row>7</xdr:row>
      <xdr:rowOff>114300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24400" y="1314450"/>
          <a:ext cx="664497" cy="3238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MAINE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5</xdr:row>
      <xdr:rowOff>59121</xdr:rowOff>
    </xdr:from>
    <xdr:to>
      <xdr:col>4</xdr:col>
      <xdr:colOff>1063890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3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314325</xdr:colOff>
      <xdr:row>5</xdr:row>
      <xdr:rowOff>171450</xdr:rowOff>
    </xdr:from>
    <xdr:to>
      <xdr:col>5</xdr:col>
      <xdr:colOff>340647</xdr:colOff>
      <xdr:row>7</xdr:row>
      <xdr:rowOff>57150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343525" y="1314450"/>
          <a:ext cx="645447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MAINE,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558361</xdr:colOff>
      <xdr:row>5</xdr:row>
      <xdr:rowOff>59121</xdr:rowOff>
    </xdr:from>
    <xdr:to>
      <xdr:col>4</xdr:col>
      <xdr:colOff>1070458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96051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314326</xdr:colOff>
      <xdr:row>5</xdr:row>
      <xdr:rowOff>152400</xdr:rowOff>
    </xdr:from>
    <xdr:to>
      <xdr:col>5</xdr:col>
      <xdr:colOff>350173</xdr:colOff>
      <xdr:row>7</xdr:row>
      <xdr:rowOff>47625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43451" y="1295400"/>
          <a:ext cx="654972" cy="27622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MAINE,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584637</xdr:colOff>
      <xdr:row>5</xdr:row>
      <xdr:rowOff>59121</xdr:rowOff>
    </xdr:from>
    <xdr:to>
      <xdr:col>4</xdr:col>
      <xdr:colOff>1096734</xdr:colOff>
      <xdr:row>5</xdr:row>
      <xdr:rowOff>268672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222327" y="1162707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MAINE,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551792</xdr:colOff>
      <xdr:row>5</xdr:row>
      <xdr:rowOff>65690</xdr:rowOff>
    </xdr:from>
    <xdr:to>
      <xdr:col>4</xdr:col>
      <xdr:colOff>1063889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2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MAINE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342900</xdr:colOff>
      <xdr:row>6</xdr:row>
      <xdr:rowOff>9525</xdr:rowOff>
    </xdr:from>
    <xdr:to>
      <xdr:col>5</xdr:col>
      <xdr:colOff>331122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72025" y="1343025"/>
          <a:ext cx="607347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6" t="s">
        <v>12</v>
      </c>
      <c r="B1" s="67"/>
      <c r="C1" s="67"/>
      <c r="D1" s="68"/>
    </row>
    <row r="2" spans="1:4" x14ac:dyDescent="0.35">
      <c r="A2" s="2"/>
      <c r="B2" s="3"/>
      <c r="C2" s="3"/>
      <c r="D2" s="4"/>
    </row>
    <row r="3" spans="1:4" x14ac:dyDescent="0.35">
      <c r="A3" s="69" t="s">
        <v>0</v>
      </c>
      <c r="B3" s="70"/>
      <c r="C3" s="70"/>
      <c r="D3" s="71"/>
    </row>
    <row r="4" spans="1:4" x14ac:dyDescent="0.35">
      <c r="A4" s="69"/>
      <c r="B4" s="70"/>
      <c r="C4" s="70"/>
      <c r="D4" s="71"/>
    </row>
    <row r="5" spans="1:4" x14ac:dyDescent="0.35">
      <c r="A5" s="60"/>
      <c r="B5" s="61"/>
      <c r="C5" s="61"/>
      <c r="D5" s="62"/>
    </row>
    <row r="6" spans="1:4" x14ac:dyDescent="0.35">
      <c r="A6" s="65" t="s">
        <v>1</v>
      </c>
      <c r="B6" s="63"/>
      <c r="C6" s="63"/>
      <c r="D6" s="64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63" t="s">
        <v>7</v>
      </c>
      <c r="C9" s="63"/>
      <c r="D9" s="64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63" t="s">
        <v>8</v>
      </c>
      <c r="C11" s="63"/>
      <c r="D11" s="64"/>
    </row>
    <row r="12" spans="1:4" x14ac:dyDescent="0.35">
      <c r="A12" s="8"/>
      <c r="B12" s="63" t="s">
        <v>9</v>
      </c>
      <c r="C12" s="63"/>
      <c r="D12" s="64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63" t="s">
        <v>10</v>
      </c>
      <c r="C15" s="63"/>
      <c r="D15" s="64"/>
    </row>
    <row r="16" spans="1:4" x14ac:dyDescent="0.35">
      <c r="A16" s="8"/>
      <c r="B16" s="63" t="s">
        <v>11</v>
      </c>
      <c r="C16" s="63"/>
      <c r="D16" s="64"/>
    </row>
    <row r="17" spans="1:4" x14ac:dyDescent="0.35">
      <c r="A17" s="8"/>
      <c r="B17" s="9"/>
      <c r="C17" s="9"/>
      <c r="D17" s="10"/>
    </row>
    <row r="18" spans="1:4" x14ac:dyDescent="0.35">
      <c r="A18" s="65" t="s">
        <v>5</v>
      </c>
      <c r="B18" s="63"/>
      <c r="C18" s="63"/>
      <c r="D18" s="64"/>
    </row>
    <row r="19" spans="1:4" x14ac:dyDescent="0.35">
      <c r="A19" s="8"/>
      <c r="B19" s="9"/>
      <c r="C19" s="9"/>
      <c r="D19" s="10"/>
    </row>
    <row r="20" spans="1:4" x14ac:dyDescent="0.35">
      <c r="A20" s="65" t="s">
        <v>6</v>
      </c>
      <c r="B20" s="63"/>
      <c r="C20" s="63"/>
      <c r="D20" s="64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aine_Edomexgral!A1" display="1. Por Estados de la República Mexicana"/>
    <hyperlink ref="B9" location="Maine_EDOMEX!A1" display="2.1 Por estado de la República Mexicana y municipio de origen"/>
    <hyperlink ref="B11:D11" location="Maine_Educagral!A1" display="3.1 Educación general"/>
    <hyperlink ref="B12:D12" location="Maine_Eduedo!A1" display="3.2 Por Estado de la República Mexicana"/>
    <hyperlink ref="B15:D15" location="Maine_gengral18!A1" display="4.1 Género General"/>
    <hyperlink ref="B16:D16" location="Maine_edomexgen!A1" display="4.2 Por Estados de la República Mexicana"/>
    <hyperlink ref="A18:D18" location="Maine_edadgen!A1" display="5. Por estructura de Edad"/>
    <hyperlink ref="A20:D20" location="Maine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29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72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35</v>
      </c>
      <c r="C11" s="52" t="s">
        <v>33</v>
      </c>
      <c r="D11" s="51" t="s">
        <v>32</v>
      </c>
    </row>
    <row r="12" spans="2:4" ht="15" customHeight="1" x14ac:dyDescent="0.25">
      <c r="B12" s="49" t="s">
        <v>31</v>
      </c>
      <c r="C12" s="48">
        <v>5</v>
      </c>
      <c r="D12" s="47">
        <v>0.18518518518518517</v>
      </c>
    </row>
    <row r="13" spans="2:4" x14ac:dyDescent="0.25">
      <c r="B13" s="49" t="s">
        <v>26</v>
      </c>
      <c r="C13" s="48">
        <v>5</v>
      </c>
      <c r="D13" s="47">
        <v>0.18518518518518517</v>
      </c>
    </row>
    <row r="14" spans="2:4" s="50" customFormat="1" ht="15.75" x14ac:dyDescent="0.25">
      <c r="B14" s="49" t="s">
        <v>21</v>
      </c>
      <c r="C14" s="48">
        <v>4</v>
      </c>
      <c r="D14" s="47">
        <v>0.14814814814814814</v>
      </c>
    </row>
    <row r="15" spans="2:4" s="50" customFormat="1" ht="15.75" x14ac:dyDescent="0.25">
      <c r="B15" s="49" t="s">
        <v>22</v>
      </c>
      <c r="C15" s="48">
        <v>3</v>
      </c>
      <c r="D15" s="47">
        <v>0.1111111111111111</v>
      </c>
    </row>
    <row r="16" spans="2:4" x14ac:dyDescent="0.25">
      <c r="B16" s="49" t="s">
        <v>30</v>
      </c>
      <c r="C16" s="48">
        <v>2</v>
      </c>
      <c r="D16" s="47">
        <v>7.407407407407407E-2</v>
      </c>
    </row>
    <row r="17" spans="2:4" x14ac:dyDescent="0.25">
      <c r="B17" s="49" t="s">
        <v>28</v>
      </c>
      <c r="C17" s="48">
        <v>2</v>
      </c>
      <c r="D17" s="47">
        <v>7.407407407407407E-2</v>
      </c>
    </row>
    <row r="18" spans="2:4" x14ac:dyDescent="0.25">
      <c r="B18" s="49" t="s">
        <v>23</v>
      </c>
      <c r="C18" s="48">
        <v>2</v>
      </c>
      <c r="D18" s="47">
        <v>7.407407407407407E-2</v>
      </c>
    </row>
    <row r="19" spans="2:4" x14ac:dyDescent="0.25">
      <c r="B19" s="49" t="s">
        <v>29</v>
      </c>
      <c r="C19" s="48">
        <v>1</v>
      </c>
      <c r="D19" s="47">
        <v>3.7037037037037035E-2</v>
      </c>
    </row>
    <row r="20" spans="2:4" x14ac:dyDescent="0.25">
      <c r="B20" s="49" t="s">
        <v>27</v>
      </c>
      <c r="C20" s="48">
        <v>1</v>
      </c>
      <c r="D20" s="47">
        <v>3.7037037037037035E-2</v>
      </c>
    </row>
    <row r="21" spans="2:4" x14ac:dyDescent="0.25">
      <c r="B21" s="49" t="s">
        <v>25</v>
      </c>
      <c r="C21" s="48">
        <v>1</v>
      </c>
      <c r="D21" s="47">
        <v>3.7037037037037035E-2</v>
      </c>
    </row>
    <row r="22" spans="2:4" x14ac:dyDescent="0.25">
      <c r="B22" s="49" t="s">
        <v>24</v>
      </c>
      <c r="C22" s="48">
        <v>1</v>
      </c>
      <c r="D22" s="47">
        <v>3.7037037037037035E-2</v>
      </c>
    </row>
    <row r="23" spans="2:4" x14ac:dyDescent="0.25">
      <c r="B23" s="46" t="s">
        <v>18</v>
      </c>
      <c r="C23" s="45">
        <v>27</v>
      </c>
      <c r="D23" s="44">
        <v>1</v>
      </c>
    </row>
    <row r="25" spans="2:4" x14ac:dyDescent="0.25">
      <c r="B25" s="18" t="s">
        <v>17</v>
      </c>
    </row>
    <row r="26" spans="2:4" x14ac:dyDescent="0.25">
      <c r="B26" s="20" t="s">
        <v>16</v>
      </c>
    </row>
    <row r="27" spans="2:4" x14ac:dyDescent="0.25">
      <c r="B27" s="19" t="s">
        <v>15</v>
      </c>
    </row>
    <row r="28" spans="2:4" x14ac:dyDescent="0.25">
      <c r="B28" s="18" t="s">
        <v>14</v>
      </c>
    </row>
    <row r="29" spans="2:4" x14ac:dyDescent="0.25">
      <c r="B29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8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3"/>
      <c r="C7" s="73"/>
      <c r="D7" s="73"/>
      <c r="E7" s="73"/>
    </row>
    <row r="8" spans="1:5" s="34" customFormat="1" ht="33" customHeight="1" x14ac:dyDescent="0.3">
      <c r="A8" s="35"/>
      <c r="B8" s="73"/>
      <c r="C8" s="73"/>
      <c r="D8" s="73"/>
      <c r="E8" s="73"/>
    </row>
    <row r="9" spans="1:5" s="30" customFormat="1" ht="40.5" customHeight="1" x14ac:dyDescent="0.2">
      <c r="B9" s="31" t="s">
        <v>35</v>
      </c>
      <c r="C9" s="33" t="s">
        <v>101</v>
      </c>
      <c r="D9" s="32" t="s">
        <v>33</v>
      </c>
      <c r="E9" s="31" t="s">
        <v>32</v>
      </c>
    </row>
    <row r="10" spans="1:5" ht="15" customHeight="1" x14ac:dyDescent="0.25">
      <c r="B10" s="74" t="s">
        <v>100</v>
      </c>
      <c r="C10" s="28" t="s">
        <v>99</v>
      </c>
      <c r="D10" s="27">
        <v>1</v>
      </c>
      <c r="E10" s="26">
        <v>3.4482758620689655E-2</v>
      </c>
    </row>
    <row r="11" spans="1:5" ht="15" customHeight="1" x14ac:dyDescent="0.25">
      <c r="B11" s="75"/>
      <c r="C11" s="25" t="s">
        <v>18</v>
      </c>
      <c r="D11" s="24">
        <v>1</v>
      </c>
      <c r="E11" s="23">
        <v>3.4482758620689655E-2</v>
      </c>
    </row>
    <row r="12" spans="1:5" ht="15" customHeight="1" x14ac:dyDescent="0.25">
      <c r="B12" s="74" t="s">
        <v>31</v>
      </c>
      <c r="C12" s="28" t="s">
        <v>98</v>
      </c>
      <c r="D12" s="27">
        <v>3</v>
      </c>
      <c r="E12" s="26">
        <v>0.10344827586206896</v>
      </c>
    </row>
    <row r="13" spans="1:5" ht="15" customHeight="1" x14ac:dyDescent="0.25">
      <c r="B13" s="76"/>
      <c r="C13" s="28" t="s">
        <v>97</v>
      </c>
      <c r="D13" s="27">
        <v>1</v>
      </c>
      <c r="E13" s="26">
        <v>3.4482758620689655E-2</v>
      </c>
    </row>
    <row r="14" spans="1:5" ht="15" customHeight="1" x14ac:dyDescent="0.25">
      <c r="B14" s="76"/>
      <c r="C14" s="28" t="s">
        <v>96</v>
      </c>
      <c r="D14" s="27">
        <v>1</v>
      </c>
      <c r="E14" s="26">
        <v>3.4482758620689655E-2</v>
      </c>
    </row>
    <row r="15" spans="1:5" s="29" customFormat="1" ht="15" customHeight="1" x14ac:dyDescent="0.2">
      <c r="B15" s="76"/>
      <c r="C15" s="28" t="s">
        <v>95</v>
      </c>
      <c r="D15" s="27">
        <v>1</v>
      </c>
      <c r="E15" s="26">
        <v>3.4482758620689655E-2</v>
      </c>
    </row>
    <row r="16" spans="1:5" s="29" customFormat="1" ht="15" customHeight="1" x14ac:dyDescent="0.2">
      <c r="B16" s="75"/>
      <c r="C16" s="25" t="s">
        <v>18</v>
      </c>
      <c r="D16" s="24">
        <v>6</v>
      </c>
      <c r="E16" s="23">
        <v>0.20689655172413793</v>
      </c>
    </row>
    <row r="17" spans="2:5" s="29" customFormat="1" ht="15" customHeight="1" x14ac:dyDescent="0.2">
      <c r="B17" s="74" t="s">
        <v>30</v>
      </c>
      <c r="C17" s="28" t="s">
        <v>94</v>
      </c>
      <c r="D17" s="27">
        <v>1</v>
      </c>
      <c r="E17" s="26">
        <v>3.4482758620689655E-2</v>
      </c>
    </row>
    <row r="18" spans="2:5" s="29" customFormat="1" ht="15" customHeight="1" x14ac:dyDescent="0.2">
      <c r="B18" s="76"/>
      <c r="C18" s="28" t="s">
        <v>93</v>
      </c>
      <c r="D18" s="27">
        <v>1</v>
      </c>
      <c r="E18" s="26">
        <v>3.4482758620689655E-2</v>
      </c>
    </row>
    <row r="19" spans="2:5" s="29" customFormat="1" ht="15" customHeight="1" x14ac:dyDescent="0.2">
      <c r="B19" s="75"/>
      <c r="C19" s="25" t="s">
        <v>18</v>
      </c>
      <c r="D19" s="24">
        <v>2</v>
      </c>
      <c r="E19" s="23">
        <v>6.8965517241379309E-2</v>
      </c>
    </row>
    <row r="20" spans="2:5" ht="15" customHeight="1" x14ac:dyDescent="0.25">
      <c r="B20" s="74" t="s">
        <v>29</v>
      </c>
      <c r="C20" s="28" t="s">
        <v>29</v>
      </c>
      <c r="D20" s="27">
        <v>1</v>
      </c>
      <c r="E20" s="26">
        <v>3.4482758620689655E-2</v>
      </c>
    </row>
    <row r="21" spans="2:5" ht="15" customHeight="1" x14ac:dyDescent="0.25">
      <c r="B21" s="75"/>
      <c r="C21" s="25" t="s">
        <v>18</v>
      </c>
      <c r="D21" s="24">
        <v>1</v>
      </c>
      <c r="E21" s="23">
        <v>3.4482758620689655E-2</v>
      </c>
    </row>
    <row r="22" spans="2:5" ht="15" customHeight="1" x14ac:dyDescent="0.25">
      <c r="B22" s="74" t="s">
        <v>28</v>
      </c>
      <c r="C22" s="28" t="s">
        <v>92</v>
      </c>
      <c r="D22" s="27">
        <v>1</v>
      </c>
      <c r="E22" s="26">
        <v>3.4482758620689655E-2</v>
      </c>
    </row>
    <row r="23" spans="2:5" ht="15" customHeight="1" x14ac:dyDescent="0.25">
      <c r="B23" s="76"/>
      <c r="C23" s="28" t="s">
        <v>91</v>
      </c>
      <c r="D23" s="27">
        <v>1</v>
      </c>
      <c r="E23" s="26">
        <v>3.4482758620689655E-2</v>
      </c>
    </row>
    <row r="24" spans="2:5" ht="15" customHeight="1" x14ac:dyDescent="0.25">
      <c r="B24" s="75"/>
      <c r="C24" s="25" t="s">
        <v>18</v>
      </c>
      <c r="D24" s="24">
        <v>2</v>
      </c>
      <c r="E24" s="23">
        <v>6.8965517241379309E-2</v>
      </c>
    </row>
    <row r="25" spans="2:5" ht="15" customHeight="1" x14ac:dyDescent="0.25">
      <c r="B25" s="74" t="s">
        <v>27</v>
      </c>
      <c r="C25" s="28" t="s">
        <v>90</v>
      </c>
      <c r="D25" s="27">
        <v>1</v>
      </c>
      <c r="E25" s="26">
        <v>3.4482758620689655E-2</v>
      </c>
    </row>
    <row r="26" spans="2:5" ht="15" customHeight="1" x14ac:dyDescent="0.25">
      <c r="B26" s="75"/>
      <c r="C26" s="25" t="s">
        <v>18</v>
      </c>
      <c r="D26" s="24">
        <v>1</v>
      </c>
      <c r="E26" s="23">
        <v>3.4482758620689655E-2</v>
      </c>
    </row>
    <row r="27" spans="2:5" ht="15" customHeight="1" x14ac:dyDescent="0.25">
      <c r="B27" s="74" t="s">
        <v>26</v>
      </c>
      <c r="C27" s="28" t="s">
        <v>89</v>
      </c>
      <c r="D27" s="27">
        <v>5</v>
      </c>
      <c r="E27" s="26">
        <v>0.17241379310344829</v>
      </c>
    </row>
    <row r="28" spans="2:5" ht="15" customHeight="1" x14ac:dyDescent="0.25">
      <c r="B28" s="75"/>
      <c r="C28" s="25" t="s">
        <v>18</v>
      </c>
      <c r="D28" s="24">
        <v>5</v>
      </c>
      <c r="E28" s="23">
        <v>0.17241379310344829</v>
      </c>
    </row>
    <row r="29" spans="2:5" ht="15" customHeight="1" x14ac:dyDescent="0.25">
      <c r="B29" s="74" t="s">
        <v>25</v>
      </c>
      <c r="C29" s="28" t="s">
        <v>88</v>
      </c>
      <c r="D29" s="27">
        <v>1</v>
      </c>
      <c r="E29" s="26">
        <v>3.4482758620689655E-2</v>
      </c>
    </row>
    <row r="30" spans="2:5" ht="15" customHeight="1" x14ac:dyDescent="0.25">
      <c r="B30" s="75"/>
      <c r="C30" s="25" t="s">
        <v>18</v>
      </c>
      <c r="D30" s="24">
        <v>1</v>
      </c>
      <c r="E30" s="23">
        <v>3.4482758620689655E-2</v>
      </c>
    </row>
    <row r="31" spans="2:5" ht="15" customHeight="1" x14ac:dyDescent="0.25">
      <c r="B31" s="74" t="s">
        <v>24</v>
      </c>
      <c r="C31" s="28" t="s">
        <v>87</v>
      </c>
      <c r="D31" s="27">
        <v>1</v>
      </c>
      <c r="E31" s="26">
        <v>3.4482758620689655E-2</v>
      </c>
    </row>
    <row r="32" spans="2:5" ht="15" customHeight="1" x14ac:dyDescent="0.25">
      <c r="B32" s="75"/>
      <c r="C32" s="25" t="s">
        <v>18</v>
      </c>
      <c r="D32" s="24">
        <v>1</v>
      </c>
      <c r="E32" s="23">
        <v>3.4482758620689655E-2</v>
      </c>
    </row>
    <row r="33" spans="2:5" ht="15" customHeight="1" x14ac:dyDescent="0.25">
      <c r="B33" s="74" t="s">
        <v>23</v>
      </c>
      <c r="C33" s="28" t="s">
        <v>86</v>
      </c>
      <c r="D33" s="27">
        <v>1</v>
      </c>
      <c r="E33" s="26">
        <v>3.4482758620689655E-2</v>
      </c>
    </row>
    <row r="34" spans="2:5" ht="15" customHeight="1" x14ac:dyDescent="0.25">
      <c r="B34" s="76"/>
      <c r="C34" s="28" t="s">
        <v>85</v>
      </c>
      <c r="D34" s="27">
        <v>1</v>
      </c>
      <c r="E34" s="26">
        <v>3.4482758620689655E-2</v>
      </c>
    </row>
    <row r="35" spans="2:5" ht="15" customHeight="1" x14ac:dyDescent="0.25">
      <c r="B35" s="75"/>
      <c r="C35" s="25" t="s">
        <v>18</v>
      </c>
      <c r="D35" s="24">
        <v>2</v>
      </c>
      <c r="E35" s="23">
        <v>6.8965517241379309E-2</v>
      </c>
    </row>
    <row r="36" spans="2:5" ht="15" customHeight="1" x14ac:dyDescent="0.25">
      <c r="B36" s="74" t="s">
        <v>22</v>
      </c>
      <c r="C36" s="28" t="s">
        <v>84</v>
      </c>
      <c r="D36" s="27">
        <v>1</v>
      </c>
      <c r="E36" s="26">
        <v>3.4482758620689655E-2</v>
      </c>
    </row>
    <row r="37" spans="2:5" ht="15" customHeight="1" x14ac:dyDescent="0.25">
      <c r="B37" s="76"/>
      <c r="C37" s="28" t="s">
        <v>83</v>
      </c>
      <c r="D37" s="27">
        <v>2</v>
      </c>
      <c r="E37" s="26">
        <v>6.8965517241379309E-2</v>
      </c>
    </row>
    <row r="38" spans="2:5" ht="15" customHeight="1" x14ac:dyDescent="0.25">
      <c r="B38" s="75"/>
      <c r="C38" s="25" t="s">
        <v>18</v>
      </c>
      <c r="D38" s="24">
        <v>3</v>
      </c>
      <c r="E38" s="23">
        <v>0.10344827586206896</v>
      </c>
    </row>
    <row r="39" spans="2:5" ht="15" customHeight="1" x14ac:dyDescent="0.25">
      <c r="B39" s="74" t="s">
        <v>21</v>
      </c>
      <c r="C39" s="28" t="s">
        <v>82</v>
      </c>
      <c r="D39" s="27">
        <v>2</v>
      </c>
      <c r="E39" s="26">
        <v>6.8965517241379309E-2</v>
      </c>
    </row>
    <row r="40" spans="2:5" ht="15" customHeight="1" x14ac:dyDescent="0.25">
      <c r="B40" s="76"/>
      <c r="C40" s="28" t="s">
        <v>81</v>
      </c>
      <c r="D40" s="27">
        <v>1</v>
      </c>
      <c r="E40" s="26">
        <v>3.4482758620689655E-2</v>
      </c>
    </row>
    <row r="41" spans="2:5" ht="15" customHeight="1" x14ac:dyDescent="0.25">
      <c r="B41" s="76"/>
      <c r="C41" s="28" t="s">
        <v>80</v>
      </c>
      <c r="D41" s="27">
        <v>1</v>
      </c>
      <c r="E41" s="26">
        <v>3.4482758620689655E-2</v>
      </c>
    </row>
    <row r="42" spans="2:5" ht="15" customHeight="1" x14ac:dyDescent="0.25">
      <c r="B42" s="75"/>
      <c r="C42" s="25" t="s">
        <v>18</v>
      </c>
      <c r="D42" s="24">
        <v>4</v>
      </c>
      <c r="E42" s="23">
        <v>0.13793103448275862</v>
      </c>
    </row>
    <row r="43" spans="2:5" ht="15" customHeight="1" x14ac:dyDescent="0.25">
      <c r="B43" s="77" t="s">
        <v>18</v>
      </c>
      <c r="C43" s="78"/>
      <c r="D43" s="22">
        <f>SUMIF(C$10:C42,"Total",D$10:D42)</f>
        <v>29</v>
      </c>
      <c r="E43" s="21">
        <v>1</v>
      </c>
    </row>
    <row r="45" spans="2:5" ht="15" customHeight="1" x14ac:dyDescent="0.25">
      <c r="B45" s="18" t="s">
        <v>17</v>
      </c>
    </row>
    <row r="46" spans="2:5" ht="15" customHeight="1" x14ac:dyDescent="0.25">
      <c r="B46" s="20" t="s">
        <v>16</v>
      </c>
    </row>
    <row r="47" spans="2:5" ht="15" customHeight="1" x14ac:dyDescent="0.25">
      <c r="B47" s="19" t="s">
        <v>15</v>
      </c>
    </row>
    <row r="48" spans="2:5" ht="15" customHeight="1" x14ac:dyDescent="0.25">
      <c r="B48" s="18" t="s">
        <v>14</v>
      </c>
    </row>
    <row r="49" spans="2:2" ht="15" customHeight="1" x14ac:dyDescent="0.25">
      <c r="B49" s="18" t="s">
        <v>13</v>
      </c>
    </row>
    <row r="484" spans="1:2" s="15" customFormat="1" ht="15" customHeight="1" x14ac:dyDescent="0.25">
      <c r="A484" s="14"/>
      <c r="B484" s="16"/>
    </row>
    <row r="485" spans="1:2" s="15" customFormat="1" ht="15" customHeight="1" x14ac:dyDescent="0.25">
      <c r="A485" s="14"/>
      <c r="B485" s="17"/>
    </row>
    <row r="486" spans="1:2" s="15" customFormat="1" ht="15" customHeight="1" x14ac:dyDescent="0.25">
      <c r="A486" s="14"/>
      <c r="B486" s="17"/>
    </row>
    <row r="487" spans="1:2" s="15" customFormat="1" ht="15" customHeight="1" x14ac:dyDescent="0.25">
      <c r="A487" s="14"/>
      <c r="B487" s="16"/>
    </row>
    <row r="488" spans="1:2" s="15" customFormat="1" ht="15" customHeight="1" x14ac:dyDescent="0.25">
      <c r="A488" s="14"/>
      <c r="B488" s="16"/>
    </row>
  </sheetData>
  <mergeCells count="14">
    <mergeCell ref="B22:B24"/>
    <mergeCell ref="B39:B42"/>
    <mergeCell ref="B43:C43"/>
    <mergeCell ref="B25:B26"/>
    <mergeCell ref="B27:B28"/>
    <mergeCell ref="B29:B30"/>
    <mergeCell ref="B31:B32"/>
    <mergeCell ref="B33:B35"/>
    <mergeCell ref="B36:B38"/>
    <mergeCell ref="B7:E8"/>
    <mergeCell ref="B10:B11"/>
    <mergeCell ref="B12:B16"/>
    <mergeCell ref="B17:B19"/>
    <mergeCell ref="B20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62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46</v>
      </c>
      <c r="C11" s="52" t="s">
        <v>33</v>
      </c>
      <c r="D11" s="51" t="s">
        <v>32</v>
      </c>
    </row>
    <row r="12" spans="2:4" ht="15" customHeight="1" x14ac:dyDescent="0.25">
      <c r="B12" s="49" t="s">
        <v>61</v>
      </c>
      <c r="C12" s="48">
        <v>0</v>
      </c>
      <c r="D12" s="47">
        <v>0</v>
      </c>
    </row>
    <row r="13" spans="2:4" x14ac:dyDescent="0.25">
      <c r="B13" s="49" t="s">
        <v>60</v>
      </c>
      <c r="C13" s="48">
        <v>0</v>
      </c>
      <c r="D13" s="47">
        <v>0</v>
      </c>
    </row>
    <row r="14" spans="2:4" s="50" customFormat="1" ht="15.75" x14ac:dyDescent="0.25">
      <c r="B14" s="49" t="s">
        <v>59</v>
      </c>
      <c r="C14" s="48">
        <v>0</v>
      </c>
      <c r="D14" s="47">
        <v>0</v>
      </c>
    </row>
    <row r="15" spans="2:4" s="50" customFormat="1" ht="15.75" x14ac:dyDescent="0.25">
      <c r="B15" s="49" t="s">
        <v>58</v>
      </c>
      <c r="C15" s="48">
        <v>0</v>
      </c>
      <c r="D15" s="47">
        <v>0</v>
      </c>
    </row>
    <row r="16" spans="2:4" x14ac:dyDescent="0.25">
      <c r="B16" s="49" t="s">
        <v>57</v>
      </c>
      <c r="C16" s="48">
        <v>0</v>
      </c>
      <c r="D16" s="47">
        <v>0</v>
      </c>
    </row>
    <row r="17" spans="2:4" x14ac:dyDescent="0.25">
      <c r="B17" s="49" t="s">
        <v>45</v>
      </c>
      <c r="C17" s="48">
        <v>1</v>
      </c>
      <c r="D17" s="47">
        <v>3.7037037037037035E-2</v>
      </c>
    </row>
    <row r="18" spans="2:4" x14ac:dyDescent="0.25">
      <c r="B18" s="49" t="s">
        <v>44</v>
      </c>
      <c r="C18" s="48">
        <v>1</v>
      </c>
      <c r="D18" s="47">
        <v>3.7037037037037035E-2</v>
      </c>
    </row>
    <row r="19" spans="2:4" x14ac:dyDescent="0.25">
      <c r="B19" s="49" t="s">
        <v>43</v>
      </c>
      <c r="C19" s="48">
        <v>1</v>
      </c>
      <c r="D19" s="47">
        <v>3.7037037037037035E-2</v>
      </c>
    </row>
    <row r="20" spans="2:4" x14ac:dyDescent="0.25">
      <c r="B20" s="49" t="s">
        <v>42</v>
      </c>
      <c r="C20" s="48">
        <v>2</v>
      </c>
      <c r="D20" s="47">
        <v>7.407407407407407E-2</v>
      </c>
    </row>
    <row r="21" spans="2:4" x14ac:dyDescent="0.25">
      <c r="B21" s="49" t="s">
        <v>56</v>
      </c>
      <c r="C21" s="48">
        <v>0</v>
      </c>
      <c r="D21" s="47">
        <v>0</v>
      </c>
    </row>
    <row r="22" spans="2:4" x14ac:dyDescent="0.25">
      <c r="B22" s="49" t="s">
        <v>55</v>
      </c>
      <c r="C22" s="48">
        <v>0</v>
      </c>
      <c r="D22" s="47">
        <v>0</v>
      </c>
    </row>
    <row r="23" spans="2:4" x14ac:dyDescent="0.25">
      <c r="B23" s="49" t="s">
        <v>41</v>
      </c>
      <c r="C23" s="48">
        <v>1</v>
      </c>
      <c r="D23" s="47">
        <v>3.7037037037037035E-2</v>
      </c>
    </row>
    <row r="24" spans="2:4" x14ac:dyDescent="0.25">
      <c r="B24" s="49" t="s">
        <v>40</v>
      </c>
      <c r="C24" s="48">
        <v>12</v>
      </c>
      <c r="D24" s="47">
        <v>0.44444444444444442</v>
      </c>
    </row>
    <row r="25" spans="2:4" x14ac:dyDescent="0.25">
      <c r="B25" s="49" t="s">
        <v>54</v>
      </c>
      <c r="C25" s="48">
        <v>0</v>
      </c>
      <c r="D25" s="47">
        <v>0</v>
      </c>
    </row>
    <row r="26" spans="2:4" x14ac:dyDescent="0.25">
      <c r="B26" s="49" t="s">
        <v>39</v>
      </c>
      <c r="C26" s="48">
        <v>1</v>
      </c>
      <c r="D26" s="47">
        <v>3.7037037037037035E-2</v>
      </c>
    </row>
    <row r="27" spans="2:4" x14ac:dyDescent="0.25">
      <c r="B27" s="49" t="s">
        <v>38</v>
      </c>
      <c r="C27" s="48">
        <v>5</v>
      </c>
      <c r="D27" s="47">
        <v>0.18518518518518517</v>
      </c>
    </row>
    <row r="28" spans="2:4" x14ac:dyDescent="0.25">
      <c r="B28" s="49" t="s">
        <v>37</v>
      </c>
      <c r="C28" s="48">
        <v>1</v>
      </c>
      <c r="D28" s="47">
        <v>3.7037037037037035E-2</v>
      </c>
    </row>
    <row r="29" spans="2:4" x14ac:dyDescent="0.25">
      <c r="B29" s="49" t="s">
        <v>53</v>
      </c>
      <c r="C29" s="48">
        <v>0</v>
      </c>
      <c r="D29" s="47">
        <v>0</v>
      </c>
    </row>
    <row r="30" spans="2:4" x14ac:dyDescent="0.25">
      <c r="B30" s="49" t="s">
        <v>52</v>
      </c>
      <c r="C30" s="48">
        <v>0</v>
      </c>
      <c r="D30" s="47">
        <v>0</v>
      </c>
    </row>
    <row r="31" spans="2:4" x14ac:dyDescent="0.25">
      <c r="B31" s="49" t="s">
        <v>51</v>
      </c>
      <c r="C31" s="48">
        <v>0</v>
      </c>
      <c r="D31" s="47">
        <v>0</v>
      </c>
    </row>
    <row r="32" spans="2:4" x14ac:dyDescent="0.25">
      <c r="B32" s="49" t="s">
        <v>50</v>
      </c>
      <c r="C32" s="48">
        <v>0</v>
      </c>
      <c r="D32" s="47">
        <v>0</v>
      </c>
    </row>
    <row r="33" spans="2:4" x14ac:dyDescent="0.25">
      <c r="B33" s="49" t="s">
        <v>49</v>
      </c>
      <c r="C33" s="48">
        <v>2</v>
      </c>
      <c r="D33" s="47">
        <v>7.407407407407407E-2</v>
      </c>
    </row>
    <row r="34" spans="2:4" x14ac:dyDescent="0.25">
      <c r="B34" s="49" t="s">
        <v>48</v>
      </c>
      <c r="C34" s="48">
        <v>0</v>
      </c>
      <c r="D34" s="47">
        <v>0</v>
      </c>
    </row>
    <row r="35" spans="2:4" x14ac:dyDescent="0.25">
      <c r="B35" s="49" t="s">
        <v>47</v>
      </c>
      <c r="C35" s="48">
        <v>0</v>
      </c>
      <c r="D35" s="47">
        <v>0</v>
      </c>
    </row>
    <row r="36" spans="2:4" x14ac:dyDescent="0.25">
      <c r="B36" s="46" t="s">
        <v>18</v>
      </c>
      <c r="C36" s="45">
        <v>27</v>
      </c>
      <c r="D36" s="44">
        <v>1</v>
      </c>
    </row>
    <row r="38" spans="2:4" x14ac:dyDescent="0.25">
      <c r="B38" s="18" t="s">
        <v>17</v>
      </c>
    </row>
    <row r="39" spans="2:4" x14ac:dyDescent="0.25">
      <c r="B39" s="20" t="s">
        <v>16</v>
      </c>
    </row>
    <row r="40" spans="2:4" x14ac:dyDescent="0.25">
      <c r="B40" s="19" t="s">
        <v>15</v>
      </c>
    </row>
    <row r="41" spans="2:4" x14ac:dyDescent="0.25">
      <c r="B41" s="18" t="s">
        <v>14</v>
      </c>
    </row>
    <row r="42" spans="2:4" x14ac:dyDescent="0.25">
      <c r="B42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6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3"/>
      <c r="C7" s="73"/>
      <c r="D7" s="73"/>
      <c r="E7" s="73"/>
    </row>
    <row r="8" spans="1:5" s="34" customFormat="1" ht="33" customHeight="1" x14ac:dyDescent="0.3">
      <c r="A8" s="35"/>
      <c r="B8" s="73"/>
      <c r="C8" s="73"/>
      <c r="D8" s="73"/>
      <c r="E8" s="73"/>
    </row>
    <row r="9" spans="1:5" s="30" customFormat="1" ht="40.5" customHeight="1" x14ac:dyDescent="0.2">
      <c r="B9" s="31" t="s">
        <v>46</v>
      </c>
      <c r="C9" s="33" t="s">
        <v>35</v>
      </c>
      <c r="D9" s="32" t="s">
        <v>33</v>
      </c>
      <c r="E9" s="31" t="s">
        <v>32</v>
      </c>
    </row>
    <row r="10" spans="1:5" ht="15" customHeight="1" x14ac:dyDescent="0.25">
      <c r="B10" s="74" t="s">
        <v>45</v>
      </c>
      <c r="C10" s="28" t="s">
        <v>26</v>
      </c>
      <c r="D10" s="27">
        <v>1</v>
      </c>
      <c r="E10" s="26">
        <v>3.7037037037037035E-2</v>
      </c>
    </row>
    <row r="11" spans="1:5" ht="15" customHeight="1" x14ac:dyDescent="0.25">
      <c r="B11" s="75"/>
      <c r="C11" s="25" t="s">
        <v>18</v>
      </c>
      <c r="D11" s="24">
        <v>1</v>
      </c>
      <c r="E11" s="23">
        <v>3.7037037037037035E-2</v>
      </c>
    </row>
    <row r="12" spans="1:5" ht="15" customHeight="1" x14ac:dyDescent="0.25">
      <c r="B12" s="74" t="s">
        <v>44</v>
      </c>
      <c r="C12" s="28" t="s">
        <v>21</v>
      </c>
      <c r="D12" s="27">
        <v>1</v>
      </c>
      <c r="E12" s="26">
        <v>3.7037037037037035E-2</v>
      </c>
    </row>
    <row r="13" spans="1:5" ht="15" customHeight="1" x14ac:dyDescent="0.25">
      <c r="B13" s="75"/>
      <c r="C13" s="25" t="s">
        <v>18</v>
      </c>
      <c r="D13" s="24">
        <v>1</v>
      </c>
      <c r="E13" s="23">
        <v>3.7037037037037035E-2</v>
      </c>
    </row>
    <row r="14" spans="1:5" ht="15" customHeight="1" x14ac:dyDescent="0.25">
      <c r="B14" s="74" t="s">
        <v>43</v>
      </c>
      <c r="C14" s="28" t="s">
        <v>25</v>
      </c>
      <c r="D14" s="27">
        <v>1</v>
      </c>
      <c r="E14" s="26">
        <v>3.7037037037037035E-2</v>
      </c>
    </row>
    <row r="15" spans="1:5" s="29" customFormat="1" ht="15" customHeight="1" x14ac:dyDescent="0.25">
      <c r="A15" s="14"/>
      <c r="B15" s="75"/>
      <c r="C15" s="25" t="s">
        <v>18</v>
      </c>
      <c r="D15" s="24">
        <v>1</v>
      </c>
      <c r="E15" s="23">
        <v>3.7037037037037035E-2</v>
      </c>
    </row>
    <row r="16" spans="1:5" s="29" customFormat="1" ht="15" customHeight="1" x14ac:dyDescent="0.25">
      <c r="A16" s="14"/>
      <c r="B16" s="74" t="s">
        <v>42</v>
      </c>
      <c r="C16" s="28" t="s">
        <v>26</v>
      </c>
      <c r="D16" s="27">
        <v>1</v>
      </c>
      <c r="E16" s="26">
        <v>3.7037037037037035E-2</v>
      </c>
    </row>
    <row r="17" spans="1:5" s="29" customFormat="1" ht="15" customHeight="1" x14ac:dyDescent="0.25">
      <c r="A17" s="14"/>
      <c r="B17" s="76"/>
      <c r="C17" s="28" t="s">
        <v>23</v>
      </c>
      <c r="D17" s="27">
        <v>1</v>
      </c>
      <c r="E17" s="26">
        <v>3.7037037037037035E-2</v>
      </c>
    </row>
    <row r="18" spans="1:5" s="29" customFormat="1" ht="15" customHeight="1" x14ac:dyDescent="0.25">
      <c r="A18" s="14"/>
      <c r="B18" s="75"/>
      <c r="C18" s="25" t="s">
        <v>18</v>
      </c>
      <c r="D18" s="24">
        <v>2</v>
      </c>
      <c r="E18" s="23">
        <v>7.407407407407407E-2</v>
      </c>
    </row>
    <row r="19" spans="1:5" s="29" customFormat="1" ht="15" customHeight="1" x14ac:dyDescent="0.25">
      <c r="A19" s="14"/>
      <c r="B19" s="74" t="s">
        <v>41</v>
      </c>
      <c r="C19" s="28" t="s">
        <v>31</v>
      </c>
      <c r="D19" s="27">
        <v>1</v>
      </c>
      <c r="E19" s="26">
        <v>3.7037037037037035E-2</v>
      </c>
    </row>
    <row r="20" spans="1:5" ht="15" customHeight="1" x14ac:dyDescent="0.25">
      <c r="B20" s="75"/>
      <c r="C20" s="25" t="s">
        <v>18</v>
      </c>
      <c r="D20" s="24">
        <v>1</v>
      </c>
      <c r="E20" s="23">
        <v>3.7037037037037035E-2</v>
      </c>
    </row>
    <row r="21" spans="1:5" ht="15" customHeight="1" x14ac:dyDescent="0.25">
      <c r="B21" s="74" t="s">
        <v>40</v>
      </c>
      <c r="C21" s="28" t="s">
        <v>31</v>
      </c>
      <c r="D21" s="27">
        <v>3</v>
      </c>
      <c r="E21" s="26">
        <v>0.1111111111111111</v>
      </c>
    </row>
    <row r="22" spans="1:5" ht="15" customHeight="1" x14ac:dyDescent="0.25">
      <c r="B22" s="76"/>
      <c r="C22" s="28" t="s">
        <v>29</v>
      </c>
      <c r="D22" s="27">
        <v>1</v>
      </c>
      <c r="E22" s="26">
        <v>3.7037037037037035E-2</v>
      </c>
    </row>
    <row r="23" spans="1:5" ht="15" customHeight="1" x14ac:dyDescent="0.25">
      <c r="B23" s="76"/>
      <c r="C23" s="28" t="s">
        <v>28</v>
      </c>
      <c r="D23" s="27">
        <v>2</v>
      </c>
      <c r="E23" s="26">
        <v>7.407407407407407E-2</v>
      </c>
    </row>
    <row r="24" spans="1:5" ht="15" customHeight="1" x14ac:dyDescent="0.25">
      <c r="B24" s="76"/>
      <c r="C24" s="28" t="s">
        <v>26</v>
      </c>
      <c r="D24" s="27">
        <v>3</v>
      </c>
      <c r="E24" s="26">
        <v>0.1111111111111111</v>
      </c>
    </row>
    <row r="25" spans="1:5" ht="15" customHeight="1" x14ac:dyDescent="0.25">
      <c r="B25" s="76"/>
      <c r="C25" s="28" t="s">
        <v>22</v>
      </c>
      <c r="D25" s="27">
        <v>2</v>
      </c>
      <c r="E25" s="26">
        <v>7.407407407407407E-2</v>
      </c>
    </row>
    <row r="26" spans="1:5" ht="15" customHeight="1" x14ac:dyDescent="0.25">
      <c r="B26" s="76"/>
      <c r="C26" s="28" t="s">
        <v>21</v>
      </c>
      <c r="D26" s="27">
        <v>1</v>
      </c>
      <c r="E26" s="26">
        <v>3.7037037037037035E-2</v>
      </c>
    </row>
    <row r="27" spans="1:5" ht="15" customHeight="1" x14ac:dyDescent="0.25">
      <c r="B27" s="75"/>
      <c r="C27" s="25" t="s">
        <v>18</v>
      </c>
      <c r="D27" s="24">
        <v>12</v>
      </c>
      <c r="E27" s="23">
        <v>0.44444444444444442</v>
      </c>
    </row>
    <row r="28" spans="1:5" ht="15" customHeight="1" x14ac:dyDescent="0.25">
      <c r="B28" s="74" t="s">
        <v>39</v>
      </c>
      <c r="C28" s="28" t="s">
        <v>21</v>
      </c>
      <c r="D28" s="27">
        <v>1</v>
      </c>
      <c r="E28" s="26">
        <v>3.7037037037037035E-2</v>
      </c>
    </row>
    <row r="29" spans="1:5" ht="15" customHeight="1" x14ac:dyDescent="0.25">
      <c r="B29" s="75"/>
      <c r="C29" s="25" t="s">
        <v>18</v>
      </c>
      <c r="D29" s="24">
        <v>1</v>
      </c>
      <c r="E29" s="23">
        <v>3.7037037037037035E-2</v>
      </c>
    </row>
    <row r="30" spans="1:5" ht="15" customHeight="1" x14ac:dyDescent="0.25">
      <c r="B30" s="74" t="s">
        <v>38</v>
      </c>
      <c r="C30" s="28" t="s">
        <v>31</v>
      </c>
      <c r="D30" s="27">
        <v>1</v>
      </c>
      <c r="E30" s="26">
        <v>3.7037037037037035E-2</v>
      </c>
    </row>
    <row r="31" spans="1:5" ht="15" customHeight="1" x14ac:dyDescent="0.25">
      <c r="B31" s="76"/>
      <c r="C31" s="28" t="s">
        <v>24</v>
      </c>
      <c r="D31" s="27">
        <v>1</v>
      </c>
      <c r="E31" s="26">
        <v>3.7037037037037035E-2</v>
      </c>
    </row>
    <row r="32" spans="1:5" ht="15" customHeight="1" x14ac:dyDescent="0.25">
      <c r="B32" s="76"/>
      <c r="C32" s="28" t="s">
        <v>23</v>
      </c>
      <c r="D32" s="27">
        <v>1</v>
      </c>
      <c r="E32" s="26">
        <v>3.7037037037037035E-2</v>
      </c>
    </row>
    <row r="33" spans="2:5" ht="15" customHeight="1" x14ac:dyDescent="0.25">
      <c r="B33" s="76"/>
      <c r="C33" s="28" t="s">
        <v>22</v>
      </c>
      <c r="D33" s="27">
        <v>1</v>
      </c>
      <c r="E33" s="26">
        <v>3.7037037037037035E-2</v>
      </c>
    </row>
    <row r="34" spans="2:5" ht="15" customHeight="1" x14ac:dyDescent="0.25">
      <c r="B34" s="76"/>
      <c r="C34" s="28" t="s">
        <v>21</v>
      </c>
      <c r="D34" s="27">
        <v>1</v>
      </c>
      <c r="E34" s="26">
        <v>3.7037037037037035E-2</v>
      </c>
    </row>
    <row r="35" spans="2:5" ht="15" customHeight="1" x14ac:dyDescent="0.25">
      <c r="B35" s="75"/>
      <c r="C35" s="25" t="s">
        <v>18</v>
      </c>
      <c r="D35" s="24">
        <v>5</v>
      </c>
      <c r="E35" s="23">
        <v>0.18518518518518517</v>
      </c>
    </row>
    <row r="36" spans="2:5" ht="15" customHeight="1" x14ac:dyDescent="0.25">
      <c r="B36" s="74" t="s">
        <v>37</v>
      </c>
      <c r="C36" s="28" t="s">
        <v>27</v>
      </c>
      <c r="D36" s="27">
        <v>1</v>
      </c>
      <c r="E36" s="26">
        <v>3.7037037037037035E-2</v>
      </c>
    </row>
    <row r="37" spans="2:5" ht="15" customHeight="1" x14ac:dyDescent="0.25">
      <c r="B37" s="75"/>
      <c r="C37" s="25" t="s">
        <v>18</v>
      </c>
      <c r="D37" s="24">
        <v>1</v>
      </c>
      <c r="E37" s="23">
        <v>3.7037037037037035E-2</v>
      </c>
    </row>
    <row r="38" spans="2:5" ht="15" customHeight="1" x14ac:dyDescent="0.25">
      <c r="B38" s="74" t="s">
        <v>36</v>
      </c>
      <c r="C38" s="28" t="s">
        <v>30</v>
      </c>
      <c r="D38" s="27">
        <v>2</v>
      </c>
      <c r="E38" s="26">
        <v>7.407407407407407E-2</v>
      </c>
    </row>
    <row r="39" spans="2:5" ht="15" customHeight="1" x14ac:dyDescent="0.25">
      <c r="B39" s="75"/>
      <c r="C39" s="25" t="s">
        <v>18</v>
      </c>
      <c r="D39" s="24">
        <v>2</v>
      </c>
      <c r="E39" s="23">
        <v>7.407407407407407E-2</v>
      </c>
    </row>
    <row r="40" spans="2:5" ht="15" customHeight="1" x14ac:dyDescent="0.25">
      <c r="B40" s="77" t="s">
        <v>18</v>
      </c>
      <c r="C40" s="78"/>
      <c r="D40" s="22">
        <v>27</v>
      </c>
      <c r="E40" s="21">
        <v>1</v>
      </c>
    </row>
    <row r="42" spans="2:5" ht="15" customHeight="1" x14ac:dyDescent="0.25">
      <c r="B42" s="18" t="s">
        <v>17</v>
      </c>
    </row>
    <row r="43" spans="2:5" ht="15" customHeight="1" x14ac:dyDescent="0.25">
      <c r="B43" s="20" t="s">
        <v>16</v>
      </c>
    </row>
    <row r="44" spans="2:5" ht="15" customHeight="1" x14ac:dyDescent="0.25">
      <c r="B44" s="19" t="s">
        <v>15</v>
      </c>
    </row>
    <row r="45" spans="2:5" ht="15" customHeight="1" x14ac:dyDescent="0.25">
      <c r="B45" s="18" t="s">
        <v>14</v>
      </c>
    </row>
    <row r="46" spans="2:5" ht="15" customHeight="1" x14ac:dyDescent="0.25">
      <c r="B46" s="18" t="s">
        <v>13</v>
      </c>
    </row>
  </sheetData>
  <mergeCells count="12">
    <mergeCell ref="B38:B39"/>
    <mergeCell ref="B40:C40"/>
    <mergeCell ref="B19:B20"/>
    <mergeCell ref="B21:B27"/>
    <mergeCell ref="B28:B29"/>
    <mergeCell ref="B30:B35"/>
    <mergeCell ref="B36:B37"/>
    <mergeCell ref="B7:E8"/>
    <mergeCell ref="B10:B11"/>
    <mergeCell ref="B12:B13"/>
    <mergeCell ref="B14:B15"/>
    <mergeCell ref="B16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71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34</v>
      </c>
      <c r="C11" s="52" t="s">
        <v>33</v>
      </c>
      <c r="D11" s="51" t="s">
        <v>32</v>
      </c>
    </row>
    <row r="12" spans="2:4" ht="15" customHeight="1" x14ac:dyDescent="0.25">
      <c r="B12" s="49" t="s">
        <v>70</v>
      </c>
      <c r="C12" s="48">
        <v>18</v>
      </c>
      <c r="D12" s="47">
        <v>0.33333333333333331</v>
      </c>
    </row>
    <row r="13" spans="2:4" ht="15" customHeight="1" x14ac:dyDescent="0.25">
      <c r="B13" s="49" t="s">
        <v>69</v>
      </c>
      <c r="C13" s="48">
        <v>9</v>
      </c>
      <c r="D13" s="47">
        <v>0.16666666666666666</v>
      </c>
    </row>
    <row r="14" spans="2:4" x14ac:dyDescent="0.25">
      <c r="B14" s="46" t="s">
        <v>68</v>
      </c>
      <c r="C14" s="45">
        <v>54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8" t="s">
        <v>17</v>
      </c>
      <c r="C16" s="59"/>
    </row>
    <row r="17" spans="2:4" x14ac:dyDescent="0.25">
      <c r="B17" s="20" t="s">
        <v>16</v>
      </c>
      <c r="C17" s="58"/>
      <c r="D17" s="58"/>
    </row>
    <row r="18" spans="2:4" x14ac:dyDescent="0.25">
      <c r="B18" s="19" t="s">
        <v>15</v>
      </c>
      <c r="C18" s="57"/>
      <c r="D18" s="57"/>
    </row>
    <row r="19" spans="2:4" x14ac:dyDescent="0.25">
      <c r="B19" s="18" t="s">
        <v>14</v>
      </c>
    </row>
    <row r="20" spans="2:4" x14ac:dyDescent="0.25">
      <c r="B20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3"/>
      <c r="C7" s="73"/>
      <c r="D7" s="73"/>
      <c r="E7" s="73"/>
    </row>
    <row r="8" spans="1:5" s="34" customFormat="1" ht="33" customHeight="1" x14ac:dyDescent="0.3">
      <c r="A8" s="35"/>
      <c r="B8" s="73"/>
      <c r="C8" s="73"/>
      <c r="D8" s="73"/>
      <c r="E8" s="73"/>
    </row>
    <row r="9" spans="1:5" s="30" customFormat="1" ht="40.5" customHeight="1" x14ac:dyDescent="0.2">
      <c r="B9" s="31" t="s">
        <v>35</v>
      </c>
      <c r="C9" s="33" t="s">
        <v>34</v>
      </c>
      <c r="D9" s="32" t="s">
        <v>33</v>
      </c>
      <c r="E9" s="31" t="s">
        <v>32</v>
      </c>
    </row>
    <row r="10" spans="1:5" ht="15" customHeight="1" x14ac:dyDescent="0.25">
      <c r="B10" s="74" t="s">
        <v>31</v>
      </c>
      <c r="C10" s="28" t="s">
        <v>20</v>
      </c>
      <c r="D10" s="27">
        <v>5</v>
      </c>
      <c r="E10" s="26">
        <v>0.18518518518518517</v>
      </c>
    </row>
    <row r="11" spans="1:5" ht="15" customHeight="1" x14ac:dyDescent="0.25">
      <c r="B11" s="75"/>
      <c r="C11" s="25" t="s">
        <v>18</v>
      </c>
      <c r="D11" s="24">
        <v>5</v>
      </c>
      <c r="E11" s="23">
        <v>0.18518518518518517</v>
      </c>
    </row>
    <row r="12" spans="1:5" ht="15" customHeight="1" x14ac:dyDescent="0.25">
      <c r="B12" s="74" t="s">
        <v>30</v>
      </c>
      <c r="C12" s="28" t="s">
        <v>20</v>
      </c>
      <c r="D12" s="27">
        <v>1</v>
      </c>
      <c r="E12" s="26">
        <v>3.7037037037037035E-2</v>
      </c>
    </row>
    <row r="13" spans="1:5" ht="15" customHeight="1" x14ac:dyDescent="0.25">
      <c r="B13" s="76"/>
      <c r="C13" s="28" t="s">
        <v>19</v>
      </c>
      <c r="D13" s="27">
        <v>1</v>
      </c>
      <c r="E13" s="26">
        <v>3.7037037037037035E-2</v>
      </c>
    </row>
    <row r="14" spans="1:5" ht="15" customHeight="1" x14ac:dyDescent="0.25">
      <c r="B14" s="75"/>
      <c r="C14" s="25" t="s">
        <v>18</v>
      </c>
      <c r="D14" s="24">
        <v>2</v>
      </c>
      <c r="E14" s="23">
        <v>7.407407407407407E-2</v>
      </c>
    </row>
    <row r="15" spans="1:5" s="29" customFormat="1" ht="15" customHeight="1" x14ac:dyDescent="0.2">
      <c r="B15" s="74" t="s">
        <v>29</v>
      </c>
      <c r="C15" s="28" t="s">
        <v>19</v>
      </c>
      <c r="D15" s="27">
        <v>1</v>
      </c>
      <c r="E15" s="26">
        <v>3.7037037037037035E-2</v>
      </c>
    </row>
    <row r="16" spans="1:5" s="29" customFormat="1" ht="15" customHeight="1" x14ac:dyDescent="0.2">
      <c r="B16" s="75"/>
      <c r="C16" s="25" t="s">
        <v>18</v>
      </c>
      <c r="D16" s="24">
        <v>1</v>
      </c>
      <c r="E16" s="23">
        <v>3.7037037037037035E-2</v>
      </c>
    </row>
    <row r="17" spans="2:5" s="29" customFormat="1" ht="15" customHeight="1" x14ac:dyDescent="0.2">
      <c r="B17" s="74" t="s">
        <v>28</v>
      </c>
      <c r="C17" s="28" t="s">
        <v>20</v>
      </c>
      <c r="D17" s="27">
        <v>2</v>
      </c>
      <c r="E17" s="26">
        <v>7.407407407407407E-2</v>
      </c>
    </row>
    <row r="18" spans="2:5" s="29" customFormat="1" ht="15" customHeight="1" x14ac:dyDescent="0.2">
      <c r="B18" s="75"/>
      <c r="C18" s="25" t="s">
        <v>18</v>
      </c>
      <c r="D18" s="24">
        <v>2</v>
      </c>
      <c r="E18" s="23">
        <v>7.407407407407407E-2</v>
      </c>
    </row>
    <row r="19" spans="2:5" s="29" customFormat="1" ht="15" customHeight="1" x14ac:dyDescent="0.2">
      <c r="B19" s="74" t="s">
        <v>27</v>
      </c>
      <c r="C19" s="28" t="s">
        <v>20</v>
      </c>
      <c r="D19" s="27">
        <v>1</v>
      </c>
      <c r="E19" s="26">
        <v>3.7037037037037035E-2</v>
      </c>
    </row>
    <row r="20" spans="2:5" ht="15" customHeight="1" x14ac:dyDescent="0.25">
      <c r="B20" s="75"/>
      <c r="C20" s="25" t="s">
        <v>18</v>
      </c>
      <c r="D20" s="24">
        <v>1</v>
      </c>
      <c r="E20" s="23">
        <v>3.7037037037037035E-2</v>
      </c>
    </row>
    <row r="21" spans="2:5" ht="15" customHeight="1" x14ac:dyDescent="0.25">
      <c r="B21" s="74" t="s">
        <v>26</v>
      </c>
      <c r="C21" s="28" t="s">
        <v>20</v>
      </c>
      <c r="D21" s="27">
        <v>2</v>
      </c>
      <c r="E21" s="26">
        <v>7.407407407407407E-2</v>
      </c>
    </row>
    <row r="22" spans="2:5" ht="15" customHeight="1" x14ac:dyDescent="0.25">
      <c r="B22" s="76"/>
      <c r="C22" s="28" t="s">
        <v>19</v>
      </c>
      <c r="D22" s="27">
        <v>3</v>
      </c>
      <c r="E22" s="26">
        <v>0.1111111111111111</v>
      </c>
    </row>
    <row r="23" spans="2:5" ht="15" customHeight="1" x14ac:dyDescent="0.25">
      <c r="B23" s="75"/>
      <c r="C23" s="25" t="s">
        <v>18</v>
      </c>
      <c r="D23" s="24">
        <v>5</v>
      </c>
      <c r="E23" s="23">
        <v>0.18518518518518517</v>
      </c>
    </row>
    <row r="24" spans="2:5" ht="15" customHeight="1" x14ac:dyDescent="0.25">
      <c r="B24" s="74" t="s">
        <v>25</v>
      </c>
      <c r="C24" s="28" t="s">
        <v>19</v>
      </c>
      <c r="D24" s="27">
        <v>1</v>
      </c>
      <c r="E24" s="26">
        <v>3.7037037037037035E-2</v>
      </c>
    </row>
    <row r="25" spans="2:5" ht="15" customHeight="1" x14ac:dyDescent="0.25">
      <c r="B25" s="75"/>
      <c r="C25" s="25" t="s">
        <v>18</v>
      </c>
      <c r="D25" s="24">
        <v>1</v>
      </c>
      <c r="E25" s="23">
        <v>3.7037037037037035E-2</v>
      </c>
    </row>
    <row r="26" spans="2:5" ht="15" customHeight="1" x14ac:dyDescent="0.25">
      <c r="B26" s="74" t="s">
        <v>24</v>
      </c>
      <c r="C26" s="28" t="s">
        <v>20</v>
      </c>
      <c r="D26" s="27">
        <v>1</v>
      </c>
      <c r="E26" s="26">
        <v>3.7037037037037035E-2</v>
      </c>
    </row>
    <row r="27" spans="2:5" ht="15" customHeight="1" x14ac:dyDescent="0.25">
      <c r="B27" s="75"/>
      <c r="C27" s="25" t="s">
        <v>18</v>
      </c>
      <c r="D27" s="24">
        <v>1</v>
      </c>
      <c r="E27" s="23">
        <v>3.7037037037037035E-2</v>
      </c>
    </row>
    <row r="28" spans="2:5" ht="15" customHeight="1" x14ac:dyDescent="0.25">
      <c r="B28" s="74" t="s">
        <v>23</v>
      </c>
      <c r="C28" s="28" t="s">
        <v>20</v>
      </c>
      <c r="D28" s="27">
        <v>1</v>
      </c>
      <c r="E28" s="26">
        <v>3.7037037037037035E-2</v>
      </c>
    </row>
    <row r="29" spans="2:5" ht="15" customHeight="1" x14ac:dyDescent="0.25">
      <c r="B29" s="76"/>
      <c r="C29" s="28" t="s">
        <v>19</v>
      </c>
      <c r="D29" s="27">
        <v>1</v>
      </c>
      <c r="E29" s="26">
        <v>3.7037037037037035E-2</v>
      </c>
    </row>
    <row r="30" spans="2:5" ht="15" customHeight="1" x14ac:dyDescent="0.25">
      <c r="B30" s="75"/>
      <c r="C30" s="25" t="s">
        <v>18</v>
      </c>
      <c r="D30" s="24">
        <v>2</v>
      </c>
      <c r="E30" s="23">
        <v>7.407407407407407E-2</v>
      </c>
    </row>
    <row r="31" spans="2:5" ht="15" customHeight="1" x14ac:dyDescent="0.25">
      <c r="B31" s="74" t="s">
        <v>22</v>
      </c>
      <c r="C31" s="28" t="s">
        <v>20</v>
      </c>
      <c r="D31" s="27">
        <v>3</v>
      </c>
      <c r="E31" s="26">
        <v>0.1111111111111111</v>
      </c>
    </row>
    <row r="32" spans="2:5" ht="15" customHeight="1" x14ac:dyDescent="0.25">
      <c r="B32" s="75"/>
      <c r="C32" s="25" t="s">
        <v>18</v>
      </c>
      <c r="D32" s="24">
        <v>3</v>
      </c>
      <c r="E32" s="23">
        <v>0.1111111111111111</v>
      </c>
    </row>
    <row r="33" spans="2:5" ht="15" customHeight="1" x14ac:dyDescent="0.25">
      <c r="B33" s="74" t="s">
        <v>21</v>
      </c>
      <c r="C33" s="28" t="s">
        <v>20</v>
      </c>
      <c r="D33" s="27">
        <v>2</v>
      </c>
      <c r="E33" s="26">
        <v>7.407407407407407E-2</v>
      </c>
    </row>
    <row r="34" spans="2:5" ht="15" customHeight="1" x14ac:dyDescent="0.25">
      <c r="B34" s="76"/>
      <c r="C34" s="28" t="s">
        <v>19</v>
      </c>
      <c r="D34" s="27">
        <v>2</v>
      </c>
      <c r="E34" s="26">
        <v>7.407407407407407E-2</v>
      </c>
    </row>
    <row r="35" spans="2:5" ht="15" customHeight="1" x14ac:dyDescent="0.25">
      <c r="B35" s="75"/>
      <c r="C35" s="25" t="s">
        <v>18</v>
      </c>
      <c r="D35" s="24">
        <v>4</v>
      </c>
      <c r="E35" s="23">
        <v>0.14814814814814814</v>
      </c>
    </row>
    <row r="36" spans="2:5" ht="15" customHeight="1" x14ac:dyDescent="0.25">
      <c r="B36" s="77" t="s">
        <v>18</v>
      </c>
      <c r="C36" s="78"/>
      <c r="D36" s="22">
        <f>SUMIF(C10:C35,"TOTAL",D10:D35)</f>
        <v>27</v>
      </c>
      <c r="E36" s="21">
        <v>1</v>
      </c>
    </row>
    <row r="38" spans="2:5" ht="15" customHeight="1" x14ac:dyDescent="0.25">
      <c r="B38" s="18" t="s">
        <v>17</v>
      </c>
    </row>
    <row r="39" spans="2:5" ht="15" customHeight="1" x14ac:dyDescent="0.25">
      <c r="B39" s="20" t="s">
        <v>16</v>
      </c>
    </row>
    <row r="40" spans="2:5" ht="15" customHeight="1" x14ac:dyDescent="0.25">
      <c r="B40" s="19" t="s">
        <v>15</v>
      </c>
    </row>
    <row r="41" spans="2:5" ht="15" customHeight="1" x14ac:dyDescent="0.25">
      <c r="B41" s="18" t="s">
        <v>14</v>
      </c>
    </row>
    <row r="42" spans="2:5" ht="15" customHeight="1" x14ac:dyDescent="0.25">
      <c r="B42" s="18" t="s">
        <v>13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13">
    <mergeCell ref="B19:B20"/>
    <mergeCell ref="B36:C36"/>
    <mergeCell ref="B21:B23"/>
    <mergeCell ref="B24:B25"/>
    <mergeCell ref="B26:B27"/>
    <mergeCell ref="B28:B30"/>
    <mergeCell ref="B31:B32"/>
    <mergeCell ref="B33:B35"/>
    <mergeCell ref="B7:E8"/>
    <mergeCell ref="B10:B11"/>
    <mergeCell ref="B12:B14"/>
    <mergeCell ref="B15:B16"/>
    <mergeCell ref="B17:B1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3"/>
      <c r="C7" s="73"/>
      <c r="D7" s="73"/>
      <c r="E7" s="73"/>
    </row>
    <row r="8" spans="1:5" s="34" customFormat="1" ht="33" customHeight="1" x14ac:dyDescent="0.3">
      <c r="A8" s="35"/>
      <c r="B8" s="73"/>
      <c r="C8" s="73"/>
      <c r="D8" s="73"/>
      <c r="E8" s="73"/>
    </row>
    <row r="9" spans="1:5" s="30" customFormat="1" ht="40.5" customHeight="1" x14ac:dyDescent="0.2">
      <c r="B9" s="31" t="s">
        <v>34</v>
      </c>
      <c r="C9" s="33" t="s">
        <v>67</v>
      </c>
      <c r="D9" s="32" t="s">
        <v>33</v>
      </c>
      <c r="E9" s="31" t="s">
        <v>32</v>
      </c>
    </row>
    <row r="10" spans="1:5" ht="15" customHeight="1" x14ac:dyDescent="0.25">
      <c r="B10" s="74" t="s">
        <v>20</v>
      </c>
      <c r="C10" s="28" t="s">
        <v>65</v>
      </c>
      <c r="D10" s="27">
        <v>13</v>
      </c>
      <c r="E10" s="26">
        <v>0.48148148148148145</v>
      </c>
    </row>
    <row r="11" spans="1:5" ht="15" customHeight="1" x14ac:dyDescent="0.25">
      <c r="B11" s="76"/>
      <c r="C11" s="28" t="s">
        <v>64</v>
      </c>
      <c r="D11" s="27">
        <v>7</v>
      </c>
      <c r="E11" s="26">
        <v>0.25925925925925924</v>
      </c>
    </row>
    <row r="12" spans="1:5" ht="15" customHeight="1" x14ac:dyDescent="0.25">
      <c r="B12" s="76"/>
      <c r="C12" s="28" t="s">
        <v>63</v>
      </c>
      <c r="D12" s="27">
        <v>9</v>
      </c>
      <c r="E12" s="26">
        <v>0.33333333333333331</v>
      </c>
    </row>
    <row r="13" spans="1:5" ht="15" customHeight="1" x14ac:dyDescent="0.25">
      <c r="B13" s="75"/>
      <c r="C13" s="28" t="s">
        <v>66</v>
      </c>
      <c r="D13" s="27">
        <v>1</v>
      </c>
      <c r="E13" s="26">
        <v>3.7037037037037035E-2</v>
      </c>
    </row>
    <row r="14" spans="1:5" ht="15" customHeight="1" x14ac:dyDescent="0.25">
      <c r="B14" s="74" t="s">
        <v>19</v>
      </c>
      <c r="C14" s="28" t="s">
        <v>65</v>
      </c>
      <c r="D14" s="27">
        <v>1</v>
      </c>
      <c r="E14" s="26">
        <v>3.7037037037037035E-2</v>
      </c>
    </row>
    <row r="15" spans="1:5" s="29" customFormat="1" ht="15" customHeight="1" x14ac:dyDescent="0.2">
      <c r="B15" s="76"/>
      <c r="C15" s="28" t="s">
        <v>64</v>
      </c>
      <c r="D15" s="27">
        <v>7</v>
      </c>
      <c r="E15" s="26">
        <v>0.25925925925925924</v>
      </c>
    </row>
    <row r="16" spans="1:5" s="29" customFormat="1" ht="15" customHeight="1" x14ac:dyDescent="0.2">
      <c r="B16" s="75"/>
      <c r="C16" s="28" t="s">
        <v>63</v>
      </c>
      <c r="D16" s="27">
        <v>2</v>
      </c>
      <c r="E16" s="26">
        <v>7.407407407407407E-2</v>
      </c>
    </row>
    <row r="17" spans="2:5" s="29" customFormat="1" ht="15" customHeight="1" x14ac:dyDescent="0.2">
      <c r="B17" s="77" t="s">
        <v>18</v>
      </c>
      <c r="C17" s="78"/>
      <c r="D17" s="22">
        <v>27</v>
      </c>
      <c r="E17" s="21">
        <v>1</v>
      </c>
    </row>
    <row r="18" spans="2:5" s="29" customFormat="1" ht="15" customHeight="1" x14ac:dyDescent="0.2">
      <c r="B18" s="18"/>
    </row>
    <row r="19" spans="2:5" s="29" customFormat="1" ht="15" customHeight="1" x14ac:dyDescent="0.2">
      <c r="B19" s="18" t="s">
        <v>17</v>
      </c>
    </row>
    <row r="20" spans="2:5" ht="15" customHeight="1" x14ac:dyDescent="0.25">
      <c r="B20" s="20" t="s">
        <v>16</v>
      </c>
    </row>
    <row r="21" spans="2:5" ht="15" customHeight="1" x14ac:dyDescent="0.25">
      <c r="B21" s="19" t="s">
        <v>15</v>
      </c>
    </row>
    <row r="22" spans="2:5" ht="15" customHeight="1" x14ac:dyDescent="0.25">
      <c r="B22" s="18" t="s">
        <v>14</v>
      </c>
    </row>
    <row r="23" spans="2:5" ht="15" customHeight="1" x14ac:dyDescent="0.25">
      <c r="B23" s="18" t="s">
        <v>13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4">
    <mergeCell ref="B7:E8"/>
    <mergeCell ref="B10:B13"/>
    <mergeCell ref="B14:B16"/>
    <mergeCell ref="B17:C1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3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2" t="s">
        <v>79</v>
      </c>
      <c r="C7" s="72"/>
      <c r="D7" s="72"/>
    </row>
    <row r="8" spans="2:4" s="30" customFormat="1" ht="15" customHeight="1" x14ac:dyDescent="0.2">
      <c r="B8" s="72"/>
      <c r="C8" s="72"/>
      <c r="D8" s="72"/>
    </row>
    <row r="9" spans="2:4" s="30" customFormat="1" ht="33" customHeight="1" x14ac:dyDescent="0.2">
      <c r="B9" s="72"/>
      <c r="C9" s="72"/>
      <c r="D9" s="72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78</v>
      </c>
      <c r="C11" s="52" t="s">
        <v>33</v>
      </c>
      <c r="D11" s="51" t="s">
        <v>32</v>
      </c>
    </row>
    <row r="12" spans="2:4" ht="15" customHeight="1" x14ac:dyDescent="0.25">
      <c r="B12" s="49" t="s">
        <v>77</v>
      </c>
      <c r="C12" s="48">
        <v>20</v>
      </c>
      <c r="D12" s="47">
        <v>0.7407407407407407</v>
      </c>
    </row>
    <row r="13" spans="2:4" x14ac:dyDescent="0.25">
      <c r="B13" s="49" t="s">
        <v>76</v>
      </c>
      <c r="C13" s="48">
        <v>3</v>
      </c>
      <c r="D13" s="47">
        <v>0.1111111111111111</v>
      </c>
    </row>
    <row r="14" spans="2:4" s="50" customFormat="1" ht="15.75" x14ac:dyDescent="0.25">
      <c r="B14" s="49" t="s">
        <v>75</v>
      </c>
      <c r="C14" s="48">
        <v>2</v>
      </c>
      <c r="D14" s="47">
        <v>7.407407407407407E-2</v>
      </c>
    </row>
    <row r="15" spans="2:4" s="50" customFormat="1" ht="15.75" x14ac:dyDescent="0.25">
      <c r="B15" s="49" t="s">
        <v>74</v>
      </c>
      <c r="C15" s="48">
        <v>1</v>
      </c>
      <c r="D15" s="47">
        <v>3.7037037037037035E-2</v>
      </c>
    </row>
    <row r="16" spans="2:4" x14ac:dyDescent="0.25">
      <c r="B16" s="49" t="s">
        <v>73</v>
      </c>
      <c r="C16" s="48">
        <v>1</v>
      </c>
      <c r="D16" s="47">
        <v>3.7037037037037035E-2</v>
      </c>
    </row>
    <row r="17" spans="2:4" x14ac:dyDescent="0.25">
      <c r="B17" s="46" t="s">
        <v>18</v>
      </c>
      <c r="C17" s="45">
        <v>27</v>
      </c>
      <c r="D17" s="44">
        <v>1</v>
      </c>
    </row>
    <row r="18" spans="2:4" x14ac:dyDescent="0.25">
      <c r="B18" s="18"/>
    </row>
    <row r="19" spans="2:4" x14ac:dyDescent="0.25">
      <c r="B19" s="18" t="s">
        <v>17</v>
      </c>
    </row>
    <row r="20" spans="2:4" x14ac:dyDescent="0.25">
      <c r="B20" s="20" t="s">
        <v>16</v>
      </c>
    </row>
    <row r="21" spans="2:4" x14ac:dyDescent="0.25">
      <c r="B21" s="19" t="s">
        <v>15</v>
      </c>
    </row>
    <row r="22" spans="2:4" x14ac:dyDescent="0.25">
      <c r="B22" s="18" t="s">
        <v>14</v>
      </c>
    </row>
    <row r="23" spans="2:4" x14ac:dyDescent="0.25">
      <c r="B23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Maine_Edomexgral</vt:lpstr>
      <vt:lpstr>Maine_EDOMEX</vt:lpstr>
      <vt:lpstr>Maine_Educagral</vt:lpstr>
      <vt:lpstr>Maine_Eduedo</vt:lpstr>
      <vt:lpstr>Maine_gengral18</vt:lpstr>
      <vt:lpstr>Maine_edomexgen</vt:lpstr>
      <vt:lpstr>Maine_edadgen</vt:lpstr>
      <vt:lpstr>Maine_ocupgral18</vt:lpstr>
      <vt:lpstr>Maine_edadgen!Área_de_impresión</vt:lpstr>
      <vt:lpstr>Maine_EDOMEX!Área_de_impresión</vt:lpstr>
      <vt:lpstr>Maine_edomexgen!Área_de_impresión</vt:lpstr>
      <vt:lpstr>Maine_Eduedo!Área_de_impresión</vt:lpstr>
      <vt:lpstr>Maine_edadgen!Títulos_a_imprimir</vt:lpstr>
      <vt:lpstr>Maine_EDOMEX!Títulos_a_imprimir</vt:lpstr>
      <vt:lpstr>Maine_edomexgen!Títulos_a_imprimir</vt:lpstr>
      <vt:lpstr>Maine_Edomexgral!Títulos_a_imprimir</vt:lpstr>
      <vt:lpstr>Maine_Educagral!Títulos_a_imprimir</vt:lpstr>
      <vt:lpstr>Maine_Eduedo!Títulos_a_imprimir</vt:lpstr>
      <vt:lpstr>Maine_gengral18!Títulos_a_imprimir</vt:lpstr>
      <vt:lpstr>Maine_ocupgral18!Títulos_a_imprimir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García Ayala, Miguel Ángel</cp:lastModifiedBy>
  <dcterms:created xsi:type="dcterms:W3CDTF">2019-12-17T21:51:29Z</dcterms:created>
  <dcterms:modified xsi:type="dcterms:W3CDTF">2019-12-20T23:54:26Z</dcterms:modified>
</cp:coreProperties>
</file>