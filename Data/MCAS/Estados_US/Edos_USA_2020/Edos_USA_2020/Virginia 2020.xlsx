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4000" windowHeight="9735" firstSheet="7" activeTab="8"/>
  </bookViews>
  <sheets>
    <sheet name="Índice" sheetId="10" r:id="rId1"/>
    <sheet name="Virginia_Edomexgral" sheetId="2" r:id="rId2"/>
    <sheet name="Virginia_EDOMEX" sheetId="12" r:id="rId3"/>
    <sheet name="Virginia_Educagral" sheetId="4" r:id="rId4"/>
    <sheet name="Virginia_Eduedo" sheetId="11" r:id="rId5"/>
    <sheet name="Virginia_gengral" sheetId="6" r:id="rId6"/>
    <sheet name="Virginia_edomexgen" sheetId="7" r:id="rId7"/>
    <sheet name="Virginia_edadgen" sheetId="8" r:id="rId8"/>
    <sheet name="Virginia_ocupgral" sheetId="9" r:id="rId9"/>
  </sheets>
  <definedNames>
    <definedName name="_xlnm._FilterDatabase" localSheetId="7" hidden="1">Virginia_edadgen!$B$9:$E$9</definedName>
    <definedName name="_xlnm._FilterDatabase" localSheetId="2" hidden="1">Virginia_EDOMEX!$B$9:$E$9</definedName>
    <definedName name="_xlnm._FilterDatabase" localSheetId="6" hidden="1">Virginia_edomexgen!$B$9:$E$9</definedName>
    <definedName name="_xlnm._FilterDatabase" localSheetId="1" hidden="1">Virginia_Edomexgral!$B$11:$D$11</definedName>
    <definedName name="_xlnm._FilterDatabase" localSheetId="3" hidden="1">Virginia_Educagral!$B$11:$D$11</definedName>
    <definedName name="_xlnm._FilterDatabase" localSheetId="4" hidden="1">Virginia_Eduedo!$B$9:$E$9</definedName>
    <definedName name="_xlnm._FilterDatabase" localSheetId="5" hidden="1">Virginia_gengral!$B$11:$D$11</definedName>
    <definedName name="_xlnm._FilterDatabase" localSheetId="8" hidden="1">Virginia_ocupgral!$B$11:$D$11</definedName>
    <definedName name="_xlnm.Print_Area" localSheetId="0">Índice!$A$1:$D$21</definedName>
    <definedName name="_xlnm.Print_Area" localSheetId="7">Virginia_edadgen!$A$1:$E$9</definedName>
    <definedName name="_xlnm.Print_Area" localSheetId="2">Virginia_EDOMEX!$A$1:$E$9</definedName>
    <definedName name="_xlnm.Print_Area" localSheetId="6">Virginia_edomexgen!$A$1:$E$9</definedName>
    <definedName name="_xlnm.Print_Area" localSheetId="4">Virginia_Eduedo!$A$1:$E$9</definedName>
    <definedName name="_xlnm.Print_Titles" localSheetId="7">Virginia_edadgen!$1:$9</definedName>
    <definedName name="_xlnm.Print_Titles" localSheetId="2">Virginia_EDOMEX!$1:$9</definedName>
    <definedName name="_xlnm.Print_Titles" localSheetId="6">Virginia_edomexgen!$1:$9</definedName>
    <definedName name="_xlnm.Print_Titles" localSheetId="1">Virginia_Edomexgral!$1:$11</definedName>
    <definedName name="_xlnm.Print_Titles" localSheetId="3">Virginia_Educagral!$1:$11</definedName>
    <definedName name="_xlnm.Print_Titles" localSheetId="4">Virginia_Eduedo!$1:$9</definedName>
    <definedName name="_xlnm.Print_Titles" localSheetId="5">Virginia_gengral!$1:$11</definedName>
    <definedName name="_xlnm.Print_Titles" localSheetId="8">Virginia_ocupgral!$1:$11</definedName>
  </definedNames>
  <calcPr calcId="152511"/>
</workbook>
</file>

<file path=xl/calcChain.xml><?xml version="1.0" encoding="utf-8"?>
<calcChain xmlns="http://schemas.openxmlformats.org/spreadsheetml/2006/main">
  <c r="D98" i="7" l="1"/>
  <c r="D732" i="12" l="1"/>
</calcChain>
</file>

<file path=xl/sharedStrings.xml><?xml version="1.0" encoding="utf-8"?>
<sst xmlns="http://schemas.openxmlformats.org/spreadsheetml/2006/main" count="1405" uniqueCount="784">
  <si>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</si>
  <si>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</si>
  <si>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</si>
  <si>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</si>
  <si>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Sonora</t>
  </si>
  <si>
    <t>Colima</t>
  </si>
  <si>
    <t>Campeche</t>
  </si>
  <si>
    <t>Baja California</t>
  </si>
  <si>
    <t>Quintana Roo</t>
  </si>
  <si>
    <t>Sinaloa</t>
  </si>
  <si>
    <t>Coahuila</t>
  </si>
  <si>
    <t>Aguascalientes</t>
  </si>
  <si>
    <t>Nuevo León</t>
  </si>
  <si>
    <t>Chihuahua</t>
  </si>
  <si>
    <t>Tlaxcala</t>
  </si>
  <si>
    <t>Nayarit</t>
  </si>
  <si>
    <t>Durango</t>
  </si>
  <si>
    <t>Tabasco</t>
  </si>
  <si>
    <t>Querétaro</t>
  </si>
  <si>
    <t>Tamaulipas</t>
  </si>
  <si>
    <t>Morelos</t>
  </si>
  <si>
    <t>San Luis Potosí</t>
  </si>
  <si>
    <t>Zacatecas</t>
  </si>
  <si>
    <t>Hidalgo</t>
  </si>
  <si>
    <t>Ciudad de México</t>
  </si>
  <si>
    <t>Michoacán</t>
  </si>
  <si>
    <t>Chiapas</t>
  </si>
  <si>
    <t>Jalisco</t>
  </si>
  <si>
    <t>Guanajuato</t>
  </si>
  <si>
    <t>Guerrero</t>
  </si>
  <si>
    <t>Puebla</t>
  </si>
  <si>
    <t>Estado de México</t>
  </si>
  <si>
    <t>Oaxaca</t>
  </si>
  <si>
    <t>Veracruz</t>
  </si>
  <si>
    <t>Porcentaje de Matrículas</t>
  </si>
  <si>
    <t>Número de Matrículas</t>
  </si>
  <si>
    <t>Estado de Origen</t>
  </si>
  <si>
    <t>Villa de Cos</t>
  </si>
  <si>
    <t>Valparaíso</t>
  </si>
  <si>
    <t>Tlaltenango de Sánchez Román</t>
  </si>
  <si>
    <t>Teúl de González Ortega</t>
  </si>
  <si>
    <t>Tepechitlán</t>
  </si>
  <si>
    <t>Sombrerete</t>
  </si>
  <si>
    <t>Sain Alto</t>
  </si>
  <si>
    <t>Río Grande</t>
  </si>
  <si>
    <t>Pinos</t>
  </si>
  <si>
    <t>Ojocaliente</t>
  </si>
  <si>
    <t>Noria de Ángeles</t>
  </si>
  <si>
    <t>Mezquital del Oro</t>
  </si>
  <si>
    <t>Loreto</t>
  </si>
  <si>
    <t>Guadalupe</t>
  </si>
  <si>
    <t>General Pánfilo Natera</t>
  </si>
  <si>
    <t>General Francisco R. Murguía</t>
  </si>
  <si>
    <t>Fresnillo</t>
  </si>
  <si>
    <t>Benito Juárez</t>
  </si>
  <si>
    <t>Zongolica</t>
  </si>
  <si>
    <t>Zentla</t>
  </si>
  <si>
    <t>Zacualpan</t>
  </si>
  <si>
    <t>Yecuatla</t>
  </si>
  <si>
    <t>Xoxocotla</t>
  </si>
  <si>
    <t>Xalapa</t>
  </si>
  <si>
    <t>Vega de Alatorre</t>
  </si>
  <si>
    <t>Tuxpan</t>
  </si>
  <si>
    <t>Tlapacoyan</t>
  </si>
  <si>
    <t>Tierra Blanca</t>
  </si>
  <si>
    <t>Tezonapa</t>
  </si>
  <si>
    <t>Tampico Alto</t>
  </si>
  <si>
    <t>Soteapan</t>
  </si>
  <si>
    <t>Soledad de Doblado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</si>
  <si>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</si>
  <si>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</si>
  <si>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</si>
  <si>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</si>
  <si>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</si>
  <si>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</si>
  <si>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Playa Vicente</t>
  </si>
  <si>
    <t>Paso del Macho</t>
  </si>
  <si>
    <t>Papantla</t>
  </si>
  <si>
    <t>Orizaba</t>
  </si>
  <si>
    <t>Omealca</t>
  </si>
  <si>
    <t>Misantla</t>
  </si>
  <si>
    <t>Minatitlán</t>
  </si>
  <si>
    <t>Martínez de la Torre</t>
  </si>
  <si>
    <t>Lerdo de Tejada</t>
  </si>
  <si>
    <t>Las Choapas</t>
  </si>
  <si>
    <t>La Antigua</t>
  </si>
  <si>
    <t>Juchique de Ferrer</t>
  </si>
  <si>
    <t>José Azueta</t>
  </si>
  <si>
    <t>Jilotepec</t>
  </si>
  <si>
    <t>Jesús Carranza</t>
  </si>
  <si>
    <t>Isla</t>
  </si>
  <si>
    <t>Hueyapan de Ocampo</t>
  </si>
  <si>
    <t>Huayacocotla</t>
  </si>
  <si>
    <t>Huatusco</t>
  </si>
  <si>
    <t>Hidalgotitlán</t>
  </si>
  <si>
    <t>Cuitláhuac</t>
  </si>
  <si>
    <t>Cuichapa</t>
  </si>
  <si>
    <t>Coyutla</t>
  </si>
  <si>
    <t>Cotaxtla</t>
  </si>
  <si>
    <t>Coscomatepec</t>
  </si>
  <si>
    <t>Cosamaloapan de Carpio</t>
  </si>
  <si>
    <t>Córdoba</t>
  </si>
  <si>
    <t>Comapa</t>
  </si>
  <si>
    <t>Coatzacoalcos</t>
  </si>
  <si>
    <t>Catemaco</t>
  </si>
  <si>
    <t>Carrillo Puerto</t>
  </si>
  <si>
    <t>Camarón de Tejeda</t>
  </si>
  <si>
    <t>Calcahualco</t>
  </si>
  <si>
    <t>Atzalan</t>
  </si>
  <si>
    <t>Atoyac</t>
  </si>
  <si>
    <t>Angel R. Cabada</t>
  </si>
  <si>
    <t>Amatlán de los Reyes</t>
  </si>
  <si>
    <t>Alvarado</t>
  </si>
  <si>
    <t>Alpatláhuac</t>
  </si>
  <si>
    <t>Acayucan</t>
  </si>
  <si>
    <t>Acajete</t>
  </si>
  <si>
    <t>Tzompantepec</t>
  </si>
  <si>
    <t>Tlaxco</t>
  </si>
  <si>
    <t>Huamantla</t>
  </si>
  <si>
    <t>Españita</t>
  </si>
  <si>
    <t>Chiautempan</t>
  </si>
  <si>
    <t>Calpulalpan</t>
  </si>
  <si>
    <t>Atlangatepec</t>
  </si>
  <si>
    <t>Apizaco</t>
  </si>
  <si>
    <t>Victoria</t>
  </si>
  <si>
    <t>Tampico</t>
  </si>
  <si>
    <t>Soto la Marina</t>
  </si>
  <si>
    <t>Río Bravo</t>
  </si>
  <si>
    <t>Nuevo Laredo</t>
  </si>
  <si>
    <t>Matamoros</t>
  </si>
  <si>
    <t>Güémez</t>
  </si>
  <si>
    <t>González</t>
  </si>
  <si>
    <t>El Mante</t>
  </si>
  <si>
    <t>Ciudad Madero</t>
  </si>
  <si>
    <t>Bustamante</t>
  </si>
  <si>
    <t>Altamira</t>
  </si>
  <si>
    <t>Aldama</t>
  </si>
  <si>
    <t>Tenosique</t>
  </si>
  <si>
    <t>Macuspana</t>
  </si>
  <si>
    <t>Jalpa de Méndez</t>
  </si>
  <si>
    <t>Huimanguillo</t>
  </si>
  <si>
    <t>Cunduacán</t>
  </si>
  <si>
    <t>Comalcalco</t>
  </si>
  <si>
    <t>Centro</t>
  </si>
  <si>
    <t>Centla</t>
  </si>
  <si>
    <t>Cárdenas</t>
  </si>
  <si>
    <t>San Luis Río Colorado</t>
  </si>
  <si>
    <t>Nogales</t>
  </si>
  <si>
    <t>Magdalena</t>
  </si>
  <si>
    <t>Hermosillo</t>
  </si>
  <si>
    <t>Guasave</t>
  </si>
  <si>
    <t>Culiacán</t>
  </si>
  <si>
    <t>Xilitla</t>
  </si>
  <si>
    <t>Villa de Ramos</t>
  </si>
  <si>
    <t>Tierra Nueva</t>
  </si>
  <si>
    <t>Tanquián de Escobedo</t>
  </si>
  <si>
    <t>Tamazunchale</t>
  </si>
  <si>
    <t>Tamasopo</t>
  </si>
  <si>
    <t>Santa María del Río</t>
  </si>
  <si>
    <t>Santa Catarina</t>
  </si>
  <si>
    <t>San Nicolás Tolentino</t>
  </si>
  <si>
    <t>Salinas</t>
  </si>
  <si>
    <t>Rioverde</t>
  </si>
  <si>
    <t>Rayón</t>
  </si>
  <si>
    <t>Moctezuma</t>
  </si>
  <si>
    <t>Matehuala</t>
  </si>
  <si>
    <t>Lagunillas</t>
  </si>
  <si>
    <t>Guadalcázar</t>
  </si>
  <si>
    <t>Ebano</t>
  </si>
  <si>
    <t>Ciudad Valles</t>
  </si>
  <si>
    <t>Ciudad Fernández</t>
  </si>
  <si>
    <t>Ciudad del Maíz</t>
  </si>
  <si>
    <t>Charcas</t>
  </si>
  <si>
    <t>Catorce</t>
  </si>
  <si>
    <t>Aquismón</t>
  </si>
  <si>
    <t>Othón P. Blanco</t>
  </si>
  <si>
    <t>San Juan del Río</t>
  </si>
  <si>
    <t>Pinal de Amoles</t>
  </si>
  <si>
    <t>Pedro Escobedo</t>
  </si>
  <si>
    <t>Landa de Matamoros</t>
  </si>
  <si>
    <t>Jalpan de Serra</t>
  </si>
  <si>
    <t>Huimilpan</t>
  </si>
  <si>
    <t>El Marqués</t>
  </si>
  <si>
    <t>Corregidora</t>
  </si>
  <si>
    <t>Cadereyta de Montes</t>
  </si>
  <si>
    <t>Arroyo Seco</t>
  </si>
  <si>
    <t>Amealco de Bonfil</t>
  </si>
  <si>
    <t>Zacatlán</t>
  </si>
  <si>
    <t>Xicotepec</t>
  </si>
  <si>
    <t>Tochimilco</t>
  </si>
  <si>
    <t>Tlapacoya</t>
  </si>
  <si>
    <t>Tlaola</t>
  </si>
  <si>
    <t>Tlacuilotepec</t>
  </si>
  <si>
    <t>Tlacotepec de Benito Juárez</t>
  </si>
  <si>
    <t>Teziutlán</t>
  </si>
  <si>
    <t>Tetela de Ocampo</t>
  </si>
  <si>
    <t>Tepexi de Rodríguez</t>
  </si>
  <si>
    <t>Tepeojuma</t>
  </si>
  <si>
    <t>Tepanco de López</t>
  </si>
  <si>
    <t>Tenampulco</t>
  </si>
  <si>
    <t>Tehuitzingo</t>
  </si>
  <si>
    <t>Tehuacán</t>
  </si>
  <si>
    <t>Tecamachalco</t>
  </si>
  <si>
    <t>San Salvador el Verde</t>
  </si>
  <si>
    <t>San Pedro Cholula</t>
  </si>
  <si>
    <t>San Martín Texmelucan</t>
  </si>
  <si>
    <t>Quimixtlán</t>
  </si>
  <si>
    <t>Quecholac</t>
  </si>
  <si>
    <t>Palmar de Bravo</t>
  </si>
  <si>
    <t>Pahuatlán</t>
  </si>
  <si>
    <t>Nauzontla</t>
  </si>
  <si>
    <t>Libres</t>
  </si>
  <si>
    <t>Jopala</t>
  </si>
  <si>
    <t>Jolalpan</t>
  </si>
  <si>
    <t>Izúcar de Matamoros</t>
  </si>
  <si>
    <t>Ixtacamaxtitlán</t>
  </si>
  <si>
    <t>Hueytamalco</t>
  </si>
  <si>
    <t>Huejotzingo</t>
  </si>
  <si>
    <t>Huauchinango</t>
  </si>
  <si>
    <t>Honey</t>
  </si>
  <si>
    <t>Chila</t>
  </si>
  <si>
    <t>Chietla</t>
  </si>
  <si>
    <t>Chiautzingo</t>
  </si>
  <si>
    <t>Chiautla</t>
  </si>
  <si>
    <t>Atzitzintla</t>
  </si>
  <si>
    <t>Atlixco</t>
  </si>
  <si>
    <t>Aquixtla</t>
  </si>
  <si>
    <t>Acatlán</t>
  </si>
  <si>
    <t>Zapotitlán Palmas</t>
  </si>
  <si>
    <t>Villa de Zaachila</t>
  </si>
  <si>
    <t>Unión Hidalgo</t>
  </si>
  <si>
    <t>Tlacolula de Matamoros</t>
  </si>
  <si>
    <t>Tezoatlán de Segura y Luna</t>
  </si>
  <si>
    <t>Silacayoápam</t>
  </si>
  <si>
    <t>Santos Reyes Nopala</t>
  </si>
  <si>
    <t>Santo Tomás Ocotepec</t>
  </si>
  <si>
    <t>Santo Domingo Zanatepec</t>
  </si>
  <si>
    <t>Santiago Pinotepa Nacional</t>
  </si>
  <si>
    <t>Santiago Nuyoó</t>
  </si>
  <si>
    <t>Santiago Matatlán</t>
  </si>
  <si>
    <t>Santiago Juxtlahuaca</t>
  </si>
  <si>
    <t>Santiago Jocotepec</t>
  </si>
  <si>
    <t>Santa María Zacatepec</t>
  </si>
  <si>
    <t>Santa María Yucuhiti</t>
  </si>
  <si>
    <t>Santa María Yosoyúa</t>
  </si>
  <si>
    <t>Santa María Jacatepec</t>
  </si>
  <si>
    <t>Santa María Huatulco</t>
  </si>
  <si>
    <t>Santa María Colotepec</t>
  </si>
  <si>
    <t>Santa María Apazco</t>
  </si>
  <si>
    <t>Santa Lucía Monteverde</t>
  </si>
  <si>
    <t>Santa Inés del Monte</t>
  </si>
  <si>
    <t>Santa Cruz Itundujia</t>
  </si>
  <si>
    <t>Santa Catarina Quiané</t>
  </si>
  <si>
    <t>San Pedro Pochutla</t>
  </si>
  <si>
    <t>San Pedro Nopala</t>
  </si>
  <si>
    <t>San Pedro Mixtepec - Distr. 22 -</t>
  </si>
  <si>
    <t>San Pedro Mártir Quiechapa</t>
  </si>
  <si>
    <t>San Pablo Coatlán</t>
  </si>
  <si>
    <t>San Miguel del Puerto</t>
  </si>
  <si>
    <t>San Mateo Tlapiltepec</t>
  </si>
  <si>
    <t>San Martín Peras</t>
  </si>
  <si>
    <t>San Juan Quiahije</t>
  </si>
  <si>
    <t>San Juan Mixtepec - Distr. 08 -</t>
  </si>
  <si>
    <t>San Juan Mazatlán</t>
  </si>
  <si>
    <t>San Juan Juquila Vijanos</t>
  </si>
  <si>
    <t>San Juan Guichicovi</t>
  </si>
  <si>
    <t>San Juan Cotzocón</t>
  </si>
  <si>
    <t>San Juan Bautista Valle Nacional</t>
  </si>
  <si>
    <t>San Juan Bautista Tuxtepec</t>
  </si>
  <si>
    <t>San José Ayuquila</t>
  </si>
  <si>
    <t>San Francisco del Mar</t>
  </si>
  <si>
    <t>San Cristóbal Amoltepec</t>
  </si>
  <si>
    <t>San Antonio Huitepec</t>
  </si>
  <si>
    <t>San Agustín Loxicha</t>
  </si>
  <si>
    <t>Oaxaca de Juárez</t>
  </si>
  <si>
    <t>Miahuatlán de Porfirio Díaz</t>
  </si>
  <si>
    <t>Heroica Ciudad de Juchitán de Zaragoza</t>
  </si>
  <si>
    <t>Ixtlán de Juárez</t>
  </si>
  <si>
    <t>Heroica Ciudad de Tlaxiaco</t>
  </si>
  <si>
    <t>Heroica Ciudad de Huajuapan de León</t>
  </si>
  <si>
    <t>Cosolapa</t>
  </si>
  <si>
    <t>Ayotzintepec</t>
  </si>
  <si>
    <t>Acatlán de Pérez Figueroa</t>
  </si>
  <si>
    <t>Monterrey</t>
  </si>
  <si>
    <t>Mier y Noriega</t>
  </si>
  <si>
    <t>Linares</t>
  </si>
  <si>
    <t>Doctor Arroyo</t>
  </si>
  <si>
    <t>Santiago Ixcuintla</t>
  </si>
  <si>
    <t>San Blas</t>
  </si>
  <si>
    <t>Ruíz</t>
  </si>
  <si>
    <t>La Yesca</t>
  </si>
  <si>
    <t>Compostela</t>
  </si>
  <si>
    <t>Zacatepec</t>
  </si>
  <si>
    <t>Yautepec</t>
  </si>
  <si>
    <t>Tlaquiltenango</t>
  </si>
  <si>
    <t>Tlaltizapán de Zapata</t>
  </si>
  <si>
    <t>Tepoztlán</t>
  </si>
  <si>
    <t>Ocuituco</t>
  </si>
  <si>
    <t>Miacatlán</t>
  </si>
  <si>
    <t>Mazatepec</t>
  </si>
  <si>
    <t>Jojutla</t>
  </si>
  <si>
    <t>Cuernavaca</t>
  </si>
  <si>
    <t>Cuautla</t>
  </si>
  <si>
    <t>Amacuzac</t>
  </si>
  <si>
    <t>Zamora</t>
  </si>
  <si>
    <t>Zacapu</t>
  </si>
  <si>
    <t>Uruapan</t>
  </si>
  <si>
    <t>Tzintzuntzan</t>
  </si>
  <si>
    <t>Tuzantla</t>
  </si>
  <si>
    <t>Tarímbaro</t>
  </si>
  <si>
    <t>Tangancícuaro</t>
  </si>
  <si>
    <t>Tacámbaro</t>
  </si>
  <si>
    <t>Senguio</t>
  </si>
  <si>
    <t>San Lucas</t>
  </si>
  <si>
    <t>Quiroga</t>
  </si>
  <si>
    <t>Queréndaro</t>
  </si>
  <si>
    <t>Puruándiro</t>
  </si>
  <si>
    <t>Pátzcuaro</t>
  </si>
  <si>
    <t>Morelia</t>
  </si>
  <si>
    <t>Maravatío</t>
  </si>
  <si>
    <t>Madero</t>
  </si>
  <si>
    <t>Lázaro Cárdenas</t>
  </si>
  <si>
    <t>La Piedad</t>
  </si>
  <si>
    <t>Jungapeo</t>
  </si>
  <si>
    <t>Jiménez</t>
  </si>
  <si>
    <t>Jacona</t>
  </si>
  <si>
    <t>Irimbo</t>
  </si>
  <si>
    <t>Huetamo</t>
  </si>
  <si>
    <t>Huaniqueo</t>
  </si>
  <si>
    <t>Epitacio Huerta</t>
  </si>
  <si>
    <t>Contepec</t>
  </si>
  <si>
    <t>Coeneo</t>
  </si>
  <si>
    <t>Chilchota</t>
  </si>
  <si>
    <t>Cherán</t>
  </si>
  <si>
    <t>Carácuaro</t>
  </si>
  <si>
    <t>Buenavista</t>
  </si>
  <si>
    <t>Apatzingán</t>
  </si>
  <si>
    <t>Angangueo</t>
  </si>
  <si>
    <t>Álvaro Obregón</t>
  </si>
  <si>
    <t>Zapotlanejo</t>
  </si>
  <si>
    <t>Zapotlán el Grande</t>
  </si>
  <si>
    <t>Zapotiltic</t>
  </si>
  <si>
    <t>Zapopan</t>
  </si>
  <si>
    <t>Villa Hidalgo</t>
  </si>
  <si>
    <t>Tonalá</t>
  </si>
  <si>
    <t>San Pedro Tlaquepaque</t>
  </si>
  <si>
    <t>Tlajomulco de Zúñiga</t>
  </si>
  <si>
    <t>Tizapán el Alto</t>
  </si>
  <si>
    <t>Tepatitlán de Morelos</t>
  </si>
  <si>
    <t>Teocaltiche</t>
  </si>
  <si>
    <t>Tecalitlán</t>
  </si>
  <si>
    <t>Tala</t>
  </si>
  <si>
    <t>Sayula</t>
  </si>
  <si>
    <t>San Martín de Bolaños</t>
  </si>
  <si>
    <t>San Cristóbal de la Barranca</t>
  </si>
  <si>
    <t>Quitupan</t>
  </si>
  <si>
    <t>Ojuelos de Jalisco</t>
  </si>
  <si>
    <t>Mascota</t>
  </si>
  <si>
    <t>Lagos de Moreno</t>
  </si>
  <si>
    <t>Jesús María</t>
  </si>
  <si>
    <t>Hostotipaquillo</t>
  </si>
  <si>
    <t>Guadalajara</t>
  </si>
  <si>
    <t>Encarnación de Díaz</t>
  </si>
  <si>
    <t>El Grullo</t>
  </si>
  <si>
    <t>El Arenal</t>
  </si>
  <si>
    <t>Degollado</t>
  </si>
  <si>
    <t>Cuquío</t>
  </si>
  <si>
    <t>Colotlán</t>
  </si>
  <si>
    <t>Atotonilco el Alto</t>
  </si>
  <si>
    <t>Arandas</t>
  </si>
  <si>
    <t>Zimapán</t>
  </si>
  <si>
    <t>Zacualtipán de Ángeles</t>
  </si>
  <si>
    <t>Yahualica</t>
  </si>
  <si>
    <t>Tulancingo de Bravo</t>
  </si>
  <si>
    <t>Tula de Allende</t>
  </si>
  <si>
    <t>Tlaxcoapan</t>
  </si>
  <si>
    <t>Tezontepec de Aldama</t>
  </si>
  <si>
    <t>Tepeapulco</t>
  </si>
  <si>
    <t>Tenango de Doria</t>
  </si>
  <si>
    <t>Tecozautla</t>
  </si>
  <si>
    <t>Tasquillo</t>
  </si>
  <si>
    <t>San Bartolo Tutotepec</t>
  </si>
  <si>
    <t>Progreso de Obregón</t>
  </si>
  <si>
    <t>Pisaflores</t>
  </si>
  <si>
    <t>Pachuca de Soto</t>
  </si>
  <si>
    <t>Mixquiahuala de Juárez</t>
  </si>
  <si>
    <t>Metepec</t>
  </si>
  <si>
    <t>La Misión</t>
  </si>
  <si>
    <t>Jacala de Ledezma</t>
  </si>
  <si>
    <t>Ixmiquilpan</t>
  </si>
  <si>
    <t>Huichapan</t>
  </si>
  <si>
    <t>Huejutla de Reyes</t>
  </si>
  <si>
    <t>Huasca de Ocampo</t>
  </si>
  <si>
    <t>Francisco I. Madero</t>
  </si>
  <si>
    <t>Cuautepec de Hinojosa</t>
  </si>
  <si>
    <t>Chapulhuacán</t>
  </si>
  <si>
    <t>Atotonilco el Grande</t>
  </si>
  <si>
    <t>Acaxochitlán</t>
  </si>
  <si>
    <t>Zitlala</t>
  </si>
  <si>
    <t>Zirándaro</t>
  </si>
  <si>
    <t>Tlapehuala</t>
  </si>
  <si>
    <t>Tlapa de Comonfort</t>
  </si>
  <si>
    <t>Tlalchapa</t>
  </si>
  <si>
    <t>Teloloapan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</si>
  <si>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</si>
  <si>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</si>
  <si>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</si>
  <si>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</si>
  <si>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</si>
  <si>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</si>
  <si>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</si>
  <si>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Ometepec</t>
  </si>
  <si>
    <t>Olinalá</t>
  </si>
  <si>
    <t>Metlatónoc</t>
  </si>
  <si>
    <t>Malinaltepec</t>
  </si>
  <si>
    <t>Leonardo Bravo</t>
  </si>
  <si>
    <t>Iguala de la Independencia</t>
  </si>
  <si>
    <t>Huitzuco de los Figueroa</t>
  </si>
  <si>
    <t>Cutzamala de Pinzón</t>
  </si>
  <si>
    <t>Cuautepec</t>
  </si>
  <si>
    <t>Cuajinicuilapa</t>
  </si>
  <si>
    <t>Coyuca de Catalán</t>
  </si>
  <si>
    <t>Copala</t>
  </si>
  <si>
    <t>Cocula</t>
  </si>
  <si>
    <t>Chilpancingo de los Bravo</t>
  </si>
  <si>
    <t>Chilapa de Álvarez</t>
  </si>
  <si>
    <t>Azoyú</t>
  </si>
  <si>
    <t>Ayutla de los Libres</t>
  </si>
  <si>
    <t>Atoyac de Álvarez</t>
  </si>
  <si>
    <t>Atenango del Río</t>
  </si>
  <si>
    <t>Arcelia</t>
  </si>
  <si>
    <t>Apaxtla</t>
  </si>
  <si>
    <t>Alpoyeca</t>
  </si>
  <si>
    <t>Ahuacuotzingo</t>
  </si>
  <si>
    <t>Acapulco de Juárez</t>
  </si>
  <si>
    <t>Yuriria</t>
  </si>
  <si>
    <t>Tarimoro</t>
  </si>
  <si>
    <t>Silao de la Victoria</t>
  </si>
  <si>
    <t>San Luis de la Paz</t>
  </si>
  <si>
    <t>San José Iturbide</t>
  </si>
  <si>
    <t>San Felipe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</si>
  <si>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</si>
  <si>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</si>
  <si>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</si>
  <si>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</si>
  <si>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</si>
  <si>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</si>
  <si>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</si>
  <si>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</si>
  <si>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</si>
  <si>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</si>
  <si>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</si>
  <si>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</si>
  <si>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</si>
  <si>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</si>
  <si>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Apaseo el Grande</t>
  </si>
  <si>
    <t>Apaseo el Alto</t>
  </si>
  <si>
    <t>Acámbaro</t>
  </si>
  <si>
    <t>Zacazonapan</t>
  </si>
  <si>
    <t>Toluca</t>
  </si>
  <si>
    <t>Tlatlaya</t>
  </si>
  <si>
    <t>Tlalnepantla de Baz</t>
  </si>
  <si>
    <t>Texcoco</t>
  </si>
  <si>
    <t>Texcaltitlán</t>
  </si>
  <si>
    <t>Tenango del Valle</t>
  </si>
  <si>
    <t>Tenancingo</t>
  </si>
  <si>
    <t>Temascaltepec</t>
  </si>
  <si>
    <t>Temascalcingo</t>
  </si>
  <si>
    <t>Tejupilco</t>
  </si>
  <si>
    <t>Tecámac</t>
  </si>
  <si>
    <t>Sultepec</t>
  </si>
  <si>
    <t>San Felipe del Progreso</t>
  </si>
  <si>
    <t>Nicolás Romero</t>
  </si>
  <si>
    <t>Nezahualcóyotl</t>
  </si>
  <si>
    <t>Naucalpan de Juárez</t>
  </si>
  <si>
    <t>Malinalco</t>
  </si>
  <si>
    <t>Luvianos</t>
  </si>
  <si>
    <t>La Paz</t>
  </si>
  <si>
    <t>Jocotitlán</t>
  </si>
  <si>
    <t>Ixtlahuaca</t>
  </si>
  <si>
    <t>Ixtapan de la Sal</t>
  </si>
  <si>
    <t>Ixtapaluca</t>
  </si>
  <si>
    <t>Ecatepec de Morelos</t>
  </si>
  <si>
    <t>Coatepec Harinas</t>
  </si>
  <si>
    <t>Chimalhuacán</t>
  </si>
  <si>
    <t>Chalco</t>
  </si>
  <si>
    <t>Atlacomulco</t>
  </si>
  <si>
    <t>Atizapán de Zaragoza</t>
  </si>
  <si>
    <t>Amatepec</t>
  </si>
  <si>
    <t>Almoloya de Juárez</t>
  </si>
  <si>
    <t>Acambay de Ruíz Castañeda</t>
  </si>
  <si>
    <t>Poanas</t>
  </si>
  <si>
    <t>Mezquital</t>
  </si>
  <si>
    <t>Lerdo</t>
  </si>
  <si>
    <t>Guadalupe Victoria</t>
  </si>
  <si>
    <t>Gómez Palacio</t>
  </si>
  <si>
    <t>Cuencamé</t>
  </si>
  <si>
    <t>Xochimilco</t>
  </si>
  <si>
    <t>Venustiano Carranza</t>
  </si>
  <si>
    <t>Tlalpan</t>
  </si>
  <si>
    <t>Tláhuac</t>
  </si>
  <si>
    <t>Miguel Hidalgo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</si>
  <si>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</si>
  <si>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</si>
  <si>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</si>
  <si>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</si>
  <si>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</si>
  <si>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</si>
  <si>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</si>
  <si>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Manzanillo</t>
  </si>
  <si>
    <t>Torreón</t>
  </si>
  <si>
    <t>San Pedro</t>
  </si>
  <si>
    <t>Saltillo</t>
  </si>
  <si>
    <t>Juárez</t>
  </si>
  <si>
    <t>Hidalgo del Parral</t>
  </si>
  <si>
    <t>El Tule</t>
  </si>
  <si>
    <t>Delicias</t>
  </si>
  <si>
    <t>Ahumada</t>
  </si>
  <si>
    <t>Villaflores</t>
  </si>
  <si>
    <t>Villa Corzo</t>
  </si>
  <si>
    <t>Villa Comaltitlán</t>
  </si>
  <si>
    <t>Tuxtla Gutiérrez</t>
  </si>
  <si>
    <t>Tecpatán</t>
  </si>
  <si>
    <t>Tapachula</t>
  </si>
  <si>
    <t>Suchiate</t>
  </si>
  <si>
    <t>Siltepec</t>
  </si>
  <si>
    <t>Reforma</t>
  </si>
  <si>
    <t>Pijijiapan</t>
  </si>
  <si>
    <t>Pichucalco</t>
  </si>
  <si>
    <t>Palenque</t>
  </si>
  <si>
    <t>Ocozocoautla de Espinosa</t>
  </si>
  <si>
    <t>Ocosingo</t>
  </si>
  <si>
    <t>Motozintla</t>
  </si>
  <si>
    <t>Mazapa de Madero</t>
  </si>
  <si>
    <t>Mapastepec</t>
  </si>
  <si>
    <t>Las Margaritas</t>
  </si>
  <si>
    <t>La Trinitaria</t>
  </si>
  <si>
    <t>La Independencia</t>
  </si>
  <si>
    <t>La Grandeza</t>
  </si>
  <si>
    <t>La Concordia</t>
  </si>
  <si>
    <t>Huehuetán</t>
  </si>
  <si>
    <t>Frontera Hidalgo</t>
  </si>
  <si>
    <t>Frontera Comalapa</t>
  </si>
  <si>
    <t>Escuintla</t>
  </si>
  <si>
    <t>Copainalá</t>
  </si>
  <si>
    <t>Comitán de Domínguez</t>
  </si>
  <si>
    <t>Chiapa de Corzo</t>
  </si>
  <si>
    <t>Chamula</t>
  </si>
  <si>
    <t>Bella Vista</t>
  </si>
  <si>
    <t>Bejucal de Ocampo</t>
  </si>
  <si>
    <t>Arriaga</t>
  </si>
  <si>
    <t>Amatenango de la Frontera</t>
  </si>
  <si>
    <t>Acapetahua</t>
  </si>
  <si>
    <t>Escárcega</t>
  </si>
  <si>
    <t>Champotón</t>
  </si>
  <si>
    <t>Carmen</t>
  </si>
  <si>
    <t>Tijuana</t>
  </si>
  <si>
    <t>Rincón de Romos</t>
  </si>
  <si>
    <t>El Llano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</si>
  <si>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</si>
  <si>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</si>
  <si>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</si>
  <si>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</si>
  <si>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</si>
  <si>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</si>
  <si>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</si>
  <si>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</si>
  <si>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</si>
  <si>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</si>
  <si>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</si>
  <si>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</si>
  <si>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</si>
  <si>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</si>
  <si>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</si>
  <si>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</si>
  <si>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</si>
  <si>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</si>
  <si>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</si>
  <si>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</si>
  <si>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</si>
  <si>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</si>
  <si>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</si>
  <si>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</si>
  <si>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</si>
  <si>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</si>
  <si>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VIRGINIA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</si>
  <si>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</si>
  <si>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</si>
  <si>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</si>
  <si>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</si>
  <si>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</si>
  <si>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</si>
  <si>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</si>
  <si>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</si>
  <si>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</si>
  <si>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</si>
  <si>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</si>
  <si>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</si>
  <si>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</si>
  <si>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</si>
  <si>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</si>
  <si>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</si>
  <si>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Panadero(a)</t>
  </si>
  <si>
    <t>Jubilado(a)</t>
  </si>
  <si>
    <t>Cajero(a)</t>
  </si>
  <si>
    <t>Comerciante</t>
  </si>
  <si>
    <t>Chofer</t>
  </si>
  <si>
    <t>Profesionista</t>
  </si>
  <si>
    <t>Operario(a)</t>
  </si>
  <si>
    <t>Mesero(a)</t>
  </si>
  <si>
    <t>Pintor(a)</t>
  </si>
  <si>
    <t>Campesino(a)</t>
  </si>
  <si>
    <t>Jardinero(a)</t>
  </si>
  <si>
    <t>Cocinero(a)</t>
  </si>
  <si>
    <t>Estudiante</t>
  </si>
  <si>
    <t>Albañil</t>
  </si>
  <si>
    <t>Otro</t>
  </si>
  <si>
    <t>Obrero(a)</t>
  </si>
  <si>
    <t>Hogar</t>
  </si>
  <si>
    <t>Empleado(a)</t>
  </si>
  <si>
    <t>Ocupación</t>
  </si>
  <si>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</si>
  <si>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</si>
  <si>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</si>
  <si>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</si>
  <si>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</si>
  <si>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</si>
  <si>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</si>
  <si>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</si>
  <si>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</si>
  <si>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</si>
  <si>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</si>
  <si>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</si>
  <si>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>Menores De Edad</t>
  </si>
  <si>
    <t>Profesional titulado</t>
  </si>
  <si>
    <t>Capacitación técnica</t>
  </si>
  <si>
    <t>Matrículas consulares expedidas a mexicanos  en el estado de Virginia en el 2020</t>
  </si>
  <si>
    <t>MATRÍCULAS CONSULARES DE ALTA SEGURIDAD EXPEDIDAS EN EL ESTADO DE VIRGINIA EN EE.UU. POR ESTADO DE LA REPÚBLICA MEXICANA DURANTE EL 2020</t>
  </si>
  <si>
    <t>Tamaño de la muestra: 497,795</t>
  </si>
  <si>
    <t>Octubre de 2021</t>
  </si>
  <si>
    <t>Angel Albino Corzo</t>
  </si>
  <si>
    <t>Chicoasén</t>
  </si>
  <si>
    <t>Chilón</t>
  </si>
  <si>
    <t>Huitiupán</t>
  </si>
  <si>
    <t>Ocotepec</t>
  </si>
  <si>
    <t>Teopisca</t>
  </si>
  <si>
    <t>Madera</t>
  </si>
  <si>
    <t>Cuatro Ciénegas</t>
  </si>
  <si>
    <t>General Cepeda</t>
  </si>
  <si>
    <t>Parras</t>
  </si>
  <si>
    <t>Coneto de Comonfort</t>
  </si>
  <si>
    <t>Mapimí</t>
  </si>
  <si>
    <t>Nombre de Dios</t>
  </si>
  <si>
    <t>Vicente Guerero</t>
  </si>
  <si>
    <t>Amanalco</t>
  </si>
  <si>
    <t>Atizapán</t>
  </si>
  <si>
    <t>Mexicaltzingo</t>
  </si>
  <si>
    <t>Otzoloapan</t>
  </si>
  <si>
    <t>Otzolotepec</t>
  </si>
  <si>
    <t>Valle de Chalco Solidaridad</t>
  </si>
  <si>
    <t>Villa Guerero</t>
  </si>
  <si>
    <t>GUANAJUATO</t>
  </si>
  <si>
    <t>Santiago Maravatío</t>
  </si>
  <si>
    <t>Guerero</t>
  </si>
  <si>
    <t>Ajuchitlán del Progreso</t>
  </si>
  <si>
    <t>Copalillo</t>
  </si>
  <si>
    <t>Coyuca de Benítez</t>
  </si>
  <si>
    <t>Florencio Villarreal</t>
  </si>
  <si>
    <t>Tecoanapa</t>
  </si>
  <si>
    <t>Técpan de Galeana</t>
  </si>
  <si>
    <t>Alfajayucan</t>
  </si>
  <si>
    <t>Calnali</t>
  </si>
  <si>
    <t>Tepeji del Río de Ocampo</t>
  </si>
  <si>
    <t>Tlanalapa</t>
  </si>
  <si>
    <t>Ameca</t>
  </si>
  <si>
    <t>Autlán de Navarro</t>
  </si>
  <si>
    <t>Chapala</t>
  </si>
  <si>
    <t>Ixtlahuacán del Río</t>
  </si>
  <si>
    <t>Juchitlán</t>
  </si>
  <si>
    <t>San Martín Hidalgo</t>
  </si>
  <si>
    <t>Teocuitatlán de Corona</t>
  </si>
  <si>
    <t>Tototlán</t>
  </si>
  <si>
    <t>Villa Corona</t>
  </si>
  <si>
    <t>Aguililla</t>
  </si>
  <si>
    <t>Chucándiro</t>
  </si>
  <si>
    <t>Gabriel Zamora</t>
  </si>
  <si>
    <t>Huandacareo</t>
  </si>
  <si>
    <t>Jiquilpan</t>
  </si>
  <si>
    <t>Nahuatzen</t>
  </si>
  <si>
    <t>Nocupétaro</t>
  </si>
  <si>
    <t>Nuevo Parangaricutiro</t>
  </si>
  <si>
    <t>Parácuaro</t>
  </si>
  <si>
    <t>Tangamandapio</t>
  </si>
  <si>
    <t>Tiquicheo de Nicolás Romero</t>
  </si>
  <si>
    <t>Puente de Ixtla</t>
  </si>
  <si>
    <t>Temoac</t>
  </si>
  <si>
    <t>Tlalnepantla</t>
  </si>
  <si>
    <t>General Zuazua</t>
  </si>
  <si>
    <t>San Nicolás de los Garza</t>
  </si>
  <si>
    <t>Candelaria Loxicha</t>
  </si>
  <si>
    <t>Chahuites</t>
  </si>
  <si>
    <t>Guadalupe de Ramírez</t>
  </si>
  <si>
    <t>Matías Romero Avendaño</t>
  </si>
  <si>
    <t>Mesones Hidalgo</t>
  </si>
  <si>
    <t>Pluma Hidalgo</t>
  </si>
  <si>
    <t>Putla Villa de Guerero</t>
  </si>
  <si>
    <t>San Bartolomé Zoogocho</t>
  </si>
  <si>
    <t>San Francisco Ozolotepec</t>
  </si>
  <si>
    <t>San Jerónimo Sosola</t>
  </si>
  <si>
    <t>San Juan Bautista Tlachichilco</t>
  </si>
  <si>
    <t>San Juan Mixtepec - Distr. 26 -</t>
  </si>
  <si>
    <t>San Juan Ozolotepec</t>
  </si>
  <si>
    <t>San Lorenzo</t>
  </si>
  <si>
    <t>San Lucas Ojitlán</t>
  </si>
  <si>
    <t>San Mateo del Mar</t>
  </si>
  <si>
    <t>San Pablo Tijaltepec</t>
  </si>
  <si>
    <t>San Pedro Apóstol</t>
  </si>
  <si>
    <t>San Pedro el Alto</t>
  </si>
  <si>
    <t>Santa Ana Tlapacoyan</t>
  </si>
  <si>
    <t>Santa María Mixtequilla</t>
  </si>
  <si>
    <t>Santa María Tlalixtac</t>
  </si>
  <si>
    <t>Santiago Ayuquililla</t>
  </si>
  <si>
    <t>Santiago Huajolotitlán</t>
  </si>
  <si>
    <t>Santiago Ixtayutla</t>
  </si>
  <si>
    <t>Santiago Tilantongo</t>
  </si>
  <si>
    <t>Santiago Yosondúa</t>
  </si>
  <si>
    <t>Santiago Zacatepec</t>
  </si>
  <si>
    <t>Santo Domingo Armenta</t>
  </si>
  <si>
    <t>Santo Domingo Yanhuitlán</t>
  </si>
  <si>
    <t>Santo Domingo Yodohino</t>
  </si>
  <si>
    <t>Santos Reyes Pápalo</t>
  </si>
  <si>
    <t>Taniche</t>
  </si>
  <si>
    <t>Amixtlán</t>
  </si>
  <si>
    <t>Calpan</t>
  </si>
  <si>
    <t>Caltepec</t>
  </si>
  <si>
    <t>Chichiquila</t>
  </si>
  <si>
    <t>Chinantla</t>
  </si>
  <si>
    <t>Domingo Arenas</t>
  </si>
  <si>
    <t>Epatlán</t>
  </si>
  <si>
    <t>San Gabriel Chilac</t>
  </si>
  <si>
    <t>Tecali de Herrera</t>
  </si>
  <si>
    <t>Tepango de Rodríguez</t>
  </si>
  <si>
    <t>Tepeaca</t>
  </si>
  <si>
    <t>Teteles de Avila Castillo</t>
  </si>
  <si>
    <t>Tlaltenango</t>
  </si>
  <si>
    <t>Alaquines</t>
  </si>
  <si>
    <t>Cerritos</t>
  </si>
  <si>
    <t>San Ciro de Acosta</t>
  </si>
  <si>
    <t>Tamuín</t>
  </si>
  <si>
    <t>Tanlajás</t>
  </si>
  <si>
    <t>Badiraguato</t>
  </si>
  <si>
    <t>El Fuerte</t>
  </si>
  <si>
    <t>Bácum</t>
  </si>
  <si>
    <t>Cananea</t>
  </si>
  <si>
    <t>Guaymas</t>
  </si>
  <si>
    <t>Huatabampo</t>
  </si>
  <si>
    <t>Balancán</t>
  </si>
  <si>
    <t>Muñoz de Domingo Arenas</t>
  </si>
  <si>
    <t>San Pablo del Monte</t>
  </si>
  <si>
    <t>Tetlatlahuca</t>
  </si>
  <si>
    <t>Agua Dulce</t>
  </si>
  <si>
    <t>Chacaltianguis</t>
  </si>
  <si>
    <t>Chinameca</t>
  </si>
  <si>
    <t>El Higo</t>
  </si>
  <si>
    <t>Fortín</t>
  </si>
  <si>
    <t>Gutiérrez Zamora</t>
  </si>
  <si>
    <t>Mariano Escobedo</t>
  </si>
  <si>
    <t>Mecatlán</t>
  </si>
  <si>
    <t>Mixtla de Altamirano</t>
  </si>
  <si>
    <t>Nanchital de Lázaro Cárdenas del Río</t>
  </si>
  <si>
    <t>Nautla</t>
  </si>
  <si>
    <t>Ozuluama de Mascareñas</t>
  </si>
  <si>
    <t>Platón Sánchez</t>
  </si>
  <si>
    <t>Tamiahua</t>
  </si>
  <si>
    <t>Tantoyuca</t>
  </si>
  <si>
    <t>Álamo Temapache</t>
  </si>
  <si>
    <t>Tihuatlán</t>
  </si>
  <si>
    <t>Zontecomatlán de López y Fuentes</t>
  </si>
  <si>
    <t>Monte Escobedo</t>
  </si>
  <si>
    <t>Susticacán</t>
  </si>
  <si>
    <t>Tepetongo</t>
  </si>
  <si>
    <t>MATRÍCULAS CONSULARES DE ALTA SEGURIDAD EXPEDIDAS EN EE.UU A MEXICANOS EN EL ESTADO DE VIRGINIA, POR GÉNERO 2020</t>
  </si>
  <si>
    <t>MATRÍCULAS CONSULARES DE ALTA SEGURIDAD EXPEDIDAS EN EE.UU A MEXICANOS EN EL ESTADO DE  VIRGINIA, POR PERFIL OCUPACIONAL 2020</t>
  </si>
  <si>
    <t>Ministro(a)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</si>
</sst>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5" fillId="0" borderId="0"/>
    <xf numFmtId="0" fontId="21" fillId="0" borderId="0" applyNumberFormat="0" applyFill="0" applyBorder="0" applyAlignment="0" applyProtection="0"/>
  </cellStyleXfs>
  <cellXfs count="79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164" fontId="4" fillId="4" borderId="1" xfId="0" applyNumberFormat="1" applyFont="1" applyFill="1" applyBorder="1" applyAlignment="1">
      <alignment horizontal="right" vertical="top" wrapText="1"/>
    </xf>
    <xf numFmtId="3" fontId="4" fillId="4" borderId="1" xfId="0" applyNumberFormat="1" applyFont="1" applyFill="1" applyBorder="1" applyAlignment="1">
      <alignment horizontal="right" vertical="top" wrapText="1"/>
    </xf>
    <xf numFmtId="49" fontId="4" fillId="4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horizontal="right" vertical="top" wrapText="1"/>
    </xf>
    <xf numFmtId="3" fontId="5" fillId="3" borderId="1" xfId="0" applyNumberFormat="1" applyFont="1" applyFill="1" applyBorder="1" applyAlignment="1">
      <alignment horizontal="right" vertical="top" wrapText="1"/>
    </xf>
    <xf numFmtId="49" fontId="6" fillId="3" borderId="1" xfId="0" applyNumberFormat="1" applyFont="1" applyFill="1" applyBorder="1" applyAlignment="1">
      <alignment vertical="top" wrapText="1"/>
    </xf>
    <xf numFmtId="0" fontId="7" fillId="3" borderId="0" xfId="0" applyFont="1" applyFill="1"/>
    <xf numFmtId="0" fontId="8" fillId="0" borderId="0" xfId="0" applyFont="1"/>
    <xf numFmtId="0" fontId="4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3" fontId="8" fillId="0" borderId="0" xfId="0" applyNumberFormat="1" applyFont="1"/>
    <xf numFmtId="1" fontId="8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164" fontId="4" fillId="5" borderId="1" xfId="0" applyNumberFormat="1" applyFont="1" applyFill="1" applyBorder="1" applyAlignment="1">
      <alignment horizontal="right"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165" fontId="4" fillId="6" borderId="1" xfId="1" applyNumberFormat="1" applyFont="1" applyFill="1" applyBorder="1" applyAlignment="1">
      <alignment vertical="center" wrapText="1"/>
    </xf>
    <xf numFmtId="3" fontId="4" fillId="6" borderId="1" xfId="2" applyNumberFormat="1" applyFont="1" applyFill="1" applyBorder="1" applyAlignment="1">
      <alignment horizontal="right" vertical="center" wrapText="1"/>
    </xf>
    <xf numFmtId="49" fontId="4" fillId="6" borderId="1" xfId="2" applyNumberFormat="1" applyFont="1" applyFill="1" applyBorder="1" applyAlignment="1">
      <alignment vertical="center" wrapText="1"/>
    </xf>
    <xf numFmtId="164" fontId="13" fillId="3" borderId="1" xfId="2" applyNumberFormat="1" applyFont="1" applyFill="1" applyBorder="1" applyAlignment="1">
      <alignment horizontal="right" vertical="center" wrapText="1"/>
    </xf>
    <xf numFmtId="166" fontId="13" fillId="3" borderId="1" xfId="2" applyNumberFormat="1" applyFont="1" applyFill="1" applyBorder="1" applyAlignment="1">
      <alignment horizontal="right" vertical="center" wrapText="1"/>
    </xf>
    <xf numFmtId="49" fontId="13" fillId="3" borderId="1" xfId="2" applyNumberFormat="1" applyFont="1" applyFill="1" applyBorder="1" applyAlignment="1">
      <alignment vertical="center" wrapText="1"/>
    </xf>
    <xf numFmtId="0" fontId="14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8" fillId="3" borderId="0" xfId="0" applyFont="1" applyFill="1"/>
    <xf numFmtId="0" fontId="17" fillId="3" borderId="0" xfId="0" applyFont="1" applyFill="1" applyAlignment="1"/>
    <xf numFmtId="0" fontId="14" fillId="3" borderId="0" xfId="0" applyFont="1" applyFill="1" applyAlignment="1">
      <alignment vertical="center"/>
    </xf>
    <xf numFmtId="0" fontId="8" fillId="3" borderId="0" xfId="0" applyFont="1" applyFill="1" applyBorder="1"/>
    <xf numFmtId="3" fontId="8" fillId="3" borderId="0" xfId="0" applyNumberFormat="1" applyFont="1" applyFill="1" applyBorder="1"/>
    <xf numFmtId="1" fontId="8" fillId="3" borderId="0" xfId="0" applyNumberFormat="1" applyFont="1" applyFill="1" applyBorder="1"/>
    <xf numFmtId="0" fontId="14" fillId="3" borderId="0" xfId="0" applyFont="1" applyFill="1" applyBorder="1"/>
    <xf numFmtId="0" fontId="14" fillId="3" borderId="0" xfId="0" applyFont="1" applyFill="1" applyBorder="1" applyAlignment="1">
      <alignment vertical="center"/>
    </xf>
    <xf numFmtId="3" fontId="7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19" fillId="0" borderId="0" xfId="0" applyFont="1"/>
    <xf numFmtId="0" fontId="20" fillId="0" borderId="0" xfId="0" applyFont="1"/>
    <xf numFmtId="0" fontId="20" fillId="0" borderId="8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1" xfId="0" applyFont="1" applyBorder="1"/>
    <xf numFmtId="0" fontId="20" fillId="0" borderId="0" xfId="0" applyFont="1" applyBorder="1"/>
    <xf numFmtId="0" fontId="20" fillId="0" borderId="12" xfId="0" applyFont="1" applyBorder="1"/>
    <xf numFmtId="0" fontId="20" fillId="0" borderId="11" xfId="0" applyFont="1" applyBorder="1" applyAlignment="1"/>
    <xf numFmtId="0" fontId="20" fillId="0" borderId="0" xfId="0" applyFont="1" applyBorder="1" applyAlignment="1"/>
    <xf numFmtId="0" fontId="20" fillId="0" borderId="12" xfId="0" applyFont="1" applyBorder="1" applyAlignment="1"/>
    <xf numFmtId="0" fontId="20" fillId="0" borderId="11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1" xfId="0" applyFont="1" applyBorder="1" applyAlignment="1">
      <alignment horizontal="left"/>
    </xf>
    <xf numFmtId="0" fontId="20" fillId="0" borderId="0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49" fontId="13" fillId="3" borderId="1" xfId="2" applyNumberFormat="1" applyFont="1" applyFill="1" applyBorder="1" applyAlignment="1">
      <alignment horizontal="center" vertical="center" wrapText="1"/>
    </xf>
    <xf numFmtId="0" fontId="22" fillId="0" borderId="0" xfId="4" applyFont="1" applyBorder="1" applyAlignment="1">
      <alignment horizontal="left"/>
    </xf>
    <xf numFmtId="0" fontId="22" fillId="0" borderId="11" xfId="4" applyFont="1" applyBorder="1" applyAlignment="1">
      <alignment horizontal="left"/>
    </xf>
    <xf numFmtId="0" fontId="22" fillId="0" borderId="12" xfId="4" applyFont="1" applyBorder="1" applyAlignment="1">
      <alignment horizontal="left"/>
    </xf>
    <xf numFmtId="0" fontId="23" fillId="2" borderId="15" xfId="0" applyFont="1" applyFill="1" applyBorder="1" applyAlignment="1">
      <alignment horizontal="center" wrapText="1"/>
    </xf>
    <xf numFmtId="0" fontId="23" fillId="2" borderId="14" xfId="0" applyFont="1" applyFill="1" applyBorder="1" applyAlignment="1">
      <alignment horizontal="center" wrapText="1"/>
    </xf>
    <xf numFmtId="0" fontId="23" fillId="2" borderId="13" xfId="0" applyFont="1" applyFill="1" applyBorder="1" applyAlignment="1">
      <alignment horizontal="center" wrapText="1"/>
    </xf>
    <xf numFmtId="0" fontId="20" fillId="0" borderId="12" xfId="0" applyFont="1" applyBorder="1" applyAlignment="1">
      <alignment horizontal="left" wrapText="1"/>
    </xf>
    <xf numFmtId="0" fontId="20" fillId="0" borderId="0" xfId="0" applyFont="1" applyBorder="1" applyAlignment="1">
      <alignment horizontal="left" wrapText="1"/>
    </xf>
    <xf numFmtId="0" fontId="20" fillId="0" borderId="11" xfId="0" applyFont="1" applyBorder="1" applyAlignment="1">
      <alignment horizontal="left" wrapText="1"/>
    </xf>
    <xf numFmtId="0" fontId="10" fillId="0" borderId="0" xfId="0" applyFont="1" applyBorder="1" applyAlignment="1">
      <alignment horizontal="center" vertical="center" wrapText="1"/>
    </xf>
    <xf numFmtId="49" fontId="13" fillId="3" borderId="2" xfId="2" applyNumberFormat="1" applyFont="1" applyFill="1" applyBorder="1" applyAlignment="1">
      <alignment horizontal="center" vertical="center" wrapText="1"/>
    </xf>
    <xf numFmtId="49" fontId="13" fillId="3" borderId="7" xfId="2" applyNumberFormat="1" applyFont="1" applyFill="1" applyBorder="1" applyAlignment="1">
      <alignment horizontal="center" vertical="center" wrapText="1"/>
    </xf>
    <xf numFmtId="49" fontId="13" fillId="3" borderId="6" xfId="2" applyNumberFormat="1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2562171" y="400379"/>
          <a:ext cx="48352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286000" y="2980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19442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161925</xdr:rowOff>
    </xdr:from>
    <xdr:to>
      <xdr:col>5</xdr:col>
      <xdr:colOff>83472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VIRGINIA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591207</xdr:colOff>
      <xdr:row>7</xdr:row>
      <xdr:rowOff>137948</xdr:rowOff>
    </xdr:from>
    <xdr:to>
      <xdr:col>4</xdr:col>
      <xdr:colOff>1077311</xdr:colOff>
      <xdr:row>7</xdr:row>
      <xdr:rowOff>317243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29882" y="1881023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200025</xdr:rowOff>
    </xdr:from>
    <xdr:to>
      <xdr:col>4</xdr:col>
      <xdr:colOff>512097</xdr:colOff>
      <xdr:row>8</xdr:row>
      <xdr:rowOff>390526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9145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VIRGINIA,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564931</xdr:colOff>
      <xdr:row>7</xdr:row>
      <xdr:rowOff>164224</xdr:rowOff>
    </xdr:from>
    <xdr:to>
      <xdr:col>4</xdr:col>
      <xdr:colOff>1077028</xdr:colOff>
      <xdr:row>7</xdr:row>
      <xdr:rowOff>354725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2621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VIRGINIA,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610914</xdr:colOff>
      <xdr:row>7</xdr:row>
      <xdr:rowOff>157655</xdr:rowOff>
    </xdr:from>
    <xdr:to>
      <xdr:col>4</xdr:col>
      <xdr:colOff>1123011</xdr:colOff>
      <xdr:row>7</xdr:row>
      <xdr:rowOff>348156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8604" y="1898431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VIRGINIA,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VIRGINIA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47625</xdr:colOff>
      <xdr:row>8</xdr:row>
      <xdr:rowOff>161925</xdr:rowOff>
    </xdr:from>
    <xdr:to>
      <xdr:col>4</xdr:col>
      <xdr:colOff>559722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76750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45" customWidth="1"/>
    <col min="2" max="2" width="20" style="45" customWidth="1"/>
    <col min="3" max="3" width="24.7109375" style="45" customWidth="1"/>
    <col min="4" max="4" width="28.85546875" style="45" customWidth="1"/>
    <col min="5" max="16384" width="11.42578125" style="45"/>
  </cols>
  <sheetData>
    <row r="1" spans="1:4" ht="42" customHeight="1" thickBot="1">
      <c r="A1" s="66" t="s">
        <v>636</v>
      </c>
      <c r="B1" s="67"/>
      <c r="C1" s="67"/>
      <c r="D1" s="68"/>
    </row>
    <row r="2" spans="1:4" ht="18.75">
      <c r="A2" s="61"/>
      <c r="B2" s="60"/>
      <c r="C2" s="60"/>
      <c r="D2" s="59"/>
    </row>
    <row r="3" spans="1:4">
      <c r="A3" s="69" t="s">
        <v>632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58"/>
      <c r="B5" s="57"/>
      <c r="C5" s="57"/>
      <c r="D5" s="56"/>
    </row>
    <row r="6" spans="1:4" ht="18.75">
      <c r="A6" s="65" t="s">
        <v>631</v>
      </c>
      <c r="B6" s="63"/>
      <c r="C6" s="63"/>
      <c r="D6" s="64"/>
    </row>
    <row r="7" spans="1:4" ht="18.75">
      <c r="A7" s="55"/>
      <c r="B7" s="54"/>
      <c r="C7" s="54"/>
      <c r="D7" s="53"/>
    </row>
    <row r="8" spans="1:4" ht="18.75">
      <c r="A8" s="52" t="s">
        <v>630</v>
      </c>
      <c r="B8" s="51"/>
      <c r="C8" s="51"/>
      <c r="D8" s="50"/>
    </row>
    <row r="9" spans="1:4" ht="18.75">
      <c r="A9" s="52"/>
      <c r="B9" s="63" t="s">
        <v>629</v>
      </c>
      <c r="C9" s="63"/>
      <c r="D9" s="64"/>
    </row>
    <row r="10" spans="1:4" ht="18.75">
      <c r="A10" s="52" t="s">
        <v>628</v>
      </c>
      <c r="B10" s="51"/>
      <c r="C10" s="51"/>
      <c r="D10" s="50"/>
    </row>
    <row r="11" spans="1:4" ht="18.75">
      <c r="A11" s="52"/>
      <c r="B11" s="63" t="s">
        <v>627</v>
      </c>
      <c r="C11" s="63"/>
      <c r="D11" s="64"/>
    </row>
    <row r="12" spans="1:4" ht="18.75">
      <c r="A12" s="52"/>
      <c r="B12" s="63" t="s">
        <v>626</v>
      </c>
      <c r="C12" s="63"/>
      <c r="D12" s="64"/>
    </row>
    <row r="13" spans="1:4" ht="18.75">
      <c r="A13" s="52"/>
      <c r="B13" s="51"/>
      <c r="C13" s="51"/>
      <c r="D13" s="50"/>
    </row>
    <row r="14" spans="1:4" ht="18.75">
      <c r="A14" s="52" t="s">
        <v>625</v>
      </c>
      <c r="B14" s="51"/>
      <c r="C14" s="51"/>
      <c r="D14" s="50"/>
    </row>
    <row r="15" spans="1:4" ht="18.75">
      <c r="A15" s="52"/>
      <c r="B15" s="63" t="s">
        <v>624</v>
      </c>
      <c r="C15" s="63"/>
      <c r="D15" s="64"/>
    </row>
    <row r="16" spans="1:4" ht="18.75">
      <c r="A16" s="52"/>
      <c r="B16" s="63" t="s">
        <v>623</v>
      </c>
      <c r="C16" s="63"/>
      <c r="D16" s="64"/>
    </row>
    <row r="17" spans="1:4" ht="18.75">
      <c r="A17" s="52"/>
      <c r="B17" s="51"/>
      <c r="C17" s="51"/>
      <c r="D17" s="50"/>
    </row>
    <row r="18" spans="1:4" ht="18.75">
      <c r="A18" s="65" t="s">
        <v>622</v>
      </c>
      <c r="B18" s="63"/>
      <c r="C18" s="63"/>
      <c r="D18" s="64"/>
    </row>
    <row r="19" spans="1:4" ht="18.75">
      <c r="A19" s="52"/>
      <c r="B19" s="51"/>
      <c r="C19" s="51"/>
      <c r="D19" s="50"/>
    </row>
    <row r="20" spans="1:4" ht="18.75">
      <c r="A20" s="65" t="s">
        <v>621</v>
      </c>
      <c r="B20" s="63"/>
      <c r="C20" s="63"/>
      <c r="D20" s="64"/>
    </row>
    <row r="21" spans="1:4" ht="19.5" thickBot="1">
      <c r="A21" s="49"/>
      <c r="B21" s="48"/>
      <c r="C21" s="48"/>
      <c r="D21" s="47"/>
    </row>
    <row r="22" spans="1:4" ht="18.75">
      <c r="A22" s="46"/>
      <c r="B22" s="46"/>
      <c r="C22" s="46"/>
      <c r="D22" s="4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Virginia_Edomexgral!A1" display="1. Por Estados de la República Mexicana"/>
    <hyperlink ref="B9" location="'New Jersey_EDOMEX'!A1" display="2.1 Por estado de la República Mexicana y municipio de origen"/>
    <hyperlink ref="B11:D11" location="Virginia_Educagral!A1" display="3.1 Educación general"/>
    <hyperlink ref="B12:D12" location="Virginia_Eduedo!A1" display="3.2 Por Estado de la República Mexicana"/>
    <hyperlink ref="B15:D15" location="Virginia_gengral!A1" display="4.1 Género General"/>
    <hyperlink ref="B16:D16" location="Virginia_edomexgen!A1" display="4.2 Por Estados de la República Mexicana"/>
    <hyperlink ref="A18:D18" location="Virginia_edadgen!A1" display="5. Por estructura de Edad"/>
    <hyperlink ref="A20:D20" location="Virginia_ocupgral!A1" display="6. Por Ocupación"/>
    <hyperlink ref="B9:D9" location="Virgini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48"/>
  <sheetViews>
    <sheetView showGridLines="0" topLeftCell="A12" zoomScaleNormal="100" zoomScaleSheetLayoutView="115" workbookViewId="0">
      <selection activeCell="C42" sqref="C42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637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36</v>
      </c>
      <c r="C11" s="15" t="s">
        <v>35</v>
      </c>
      <c r="D11" s="14" t="s">
        <v>34</v>
      </c>
    </row>
    <row r="12" spans="1:5">
      <c r="B12" s="11" t="s">
        <v>33</v>
      </c>
      <c r="C12" s="10">
        <v>238</v>
      </c>
      <c r="D12" s="9">
        <v>0.11436809226333494</v>
      </c>
    </row>
    <row r="13" spans="1:5">
      <c r="B13" s="11" t="s">
        <v>32</v>
      </c>
      <c r="C13" s="10">
        <v>198</v>
      </c>
      <c r="D13" s="9">
        <v>9.5146564151850077E-2</v>
      </c>
    </row>
    <row r="14" spans="1:5">
      <c r="A14" s="12"/>
      <c r="B14" s="11" t="s">
        <v>31</v>
      </c>
      <c r="C14" s="10">
        <v>187</v>
      </c>
      <c r="D14" s="9">
        <v>8.9860643921191738E-2</v>
      </c>
      <c r="E14" s="12"/>
    </row>
    <row r="15" spans="1:5">
      <c r="A15" s="12"/>
      <c r="B15" s="11" t="s">
        <v>30</v>
      </c>
      <c r="C15" s="10">
        <v>177</v>
      </c>
      <c r="D15" s="9">
        <v>8.5055261893320522E-2</v>
      </c>
      <c r="E15" s="12"/>
    </row>
    <row r="16" spans="1:5">
      <c r="B16" s="11" t="s">
        <v>25</v>
      </c>
      <c r="C16" s="10">
        <v>140</v>
      </c>
      <c r="D16" s="9">
        <v>6.7275348390197026E-2</v>
      </c>
    </row>
    <row r="17" spans="2:4">
      <c r="B17" s="11" t="s">
        <v>29</v>
      </c>
      <c r="C17" s="10">
        <v>139</v>
      </c>
      <c r="D17" s="9">
        <v>6.6794810187409903E-2</v>
      </c>
    </row>
    <row r="18" spans="2:4">
      <c r="B18" s="11" t="s">
        <v>24</v>
      </c>
      <c r="C18" s="10">
        <v>126</v>
      </c>
      <c r="D18" s="9">
        <v>6.0547813551177318E-2</v>
      </c>
    </row>
    <row r="19" spans="2:4">
      <c r="B19" s="11" t="s">
        <v>27</v>
      </c>
      <c r="C19" s="10">
        <v>122</v>
      </c>
      <c r="D19" s="9">
        <v>5.8625660740028833E-2</v>
      </c>
    </row>
    <row r="20" spans="2:4">
      <c r="B20" s="11" t="s">
        <v>26</v>
      </c>
      <c r="C20" s="10">
        <v>119</v>
      </c>
      <c r="D20" s="9">
        <v>5.7184046131667471E-2</v>
      </c>
    </row>
    <row r="21" spans="2:4">
      <c r="B21" s="11" t="s">
        <v>23</v>
      </c>
      <c r="C21" s="10">
        <v>91</v>
      </c>
      <c r="D21" s="9">
        <v>4.3728976453628061E-2</v>
      </c>
    </row>
    <row r="22" spans="2:4">
      <c r="B22" s="11" t="s">
        <v>21</v>
      </c>
      <c r="C22" s="10">
        <v>85</v>
      </c>
      <c r="D22" s="9">
        <v>4.0845747236905337E-2</v>
      </c>
    </row>
    <row r="23" spans="2:4">
      <c r="B23" s="11" t="s">
        <v>28</v>
      </c>
      <c r="C23" s="10">
        <v>75</v>
      </c>
      <c r="D23" s="9">
        <v>3.6040365209034121E-2</v>
      </c>
    </row>
    <row r="24" spans="2:4">
      <c r="B24" s="11" t="s">
        <v>22</v>
      </c>
      <c r="C24" s="10">
        <v>75</v>
      </c>
      <c r="D24" s="9">
        <v>3.6040365209034121E-2</v>
      </c>
    </row>
    <row r="25" spans="2:4">
      <c r="B25" s="11" t="s">
        <v>20</v>
      </c>
      <c r="C25" s="10">
        <v>49</v>
      </c>
      <c r="D25" s="9">
        <v>2.3546371936568958E-2</v>
      </c>
    </row>
    <row r="26" spans="2:4">
      <c r="B26" s="11" t="s">
        <v>17</v>
      </c>
      <c r="C26" s="10">
        <v>39</v>
      </c>
      <c r="D26" s="9">
        <v>1.8740989908697742E-2</v>
      </c>
    </row>
    <row r="27" spans="2:4">
      <c r="B27" s="11" t="s">
        <v>18</v>
      </c>
      <c r="C27" s="10">
        <v>37</v>
      </c>
      <c r="D27" s="9">
        <v>1.7779913503123499E-2</v>
      </c>
    </row>
    <row r="28" spans="2:4">
      <c r="B28" s="11" t="s">
        <v>19</v>
      </c>
      <c r="C28" s="10">
        <v>31</v>
      </c>
      <c r="D28" s="9">
        <v>1.4896684286400768E-2</v>
      </c>
    </row>
    <row r="29" spans="2:4">
      <c r="B29" s="11" t="s">
        <v>10</v>
      </c>
      <c r="C29" s="10">
        <v>23</v>
      </c>
      <c r="D29" s="9">
        <v>1.1052378664103796E-2</v>
      </c>
    </row>
    <row r="30" spans="2:4">
      <c r="B30" s="11" t="s">
        <v>16</v>
      </c>
      <c r="C30" s="10">
        <v>23</v>
      </c>
      <c r="D30" s="9">
        <v>1.1052378664103796E-2</v>
      </c>
    </row>
    <row r="31" spans="2:4">
      <c r="B31" s="11" t="s">
        <v>11</v>
      </c>
      <c r="C31" s="10">
        <v>16</v>
      </c>
      <c r="D31" s="9">
        <v>7.6886112445939455E-3</v>
      </c>
    </row>
    <row r="32" spans="2:4">
      <c r="B32" s="11" t="s">
        <v>14</v>
      </c>
      <c r="C32" s="10">
        <v>16</v>
      </c>
      <c r="D32" s="9">
        <v>7.6886112445939455E-3</v>
      </c>
    </row>
    <row r="33" spans="2:4">
      <c r="B33" s="11" t="s">
        <v>13</v>
      </c>
      <c r="C33" s="10">
        <v>15</v>
      </c>
      <c r="D33" s="9">
        <v>7.2080730418068234E-3</v>
      </c>
    </row>
    <row r="34" spans="2:4">
      <c r="B34" s="11" t="s">
        <v>12</v>
      </c>
      <c r="C34" s="10">
        <v>13</v>
      </c>
      <c r="D34" s="9">
        <v>6.2469966362325808E-3</v>
      </c>
    </row>
    <row r="35" spans="2:4">
      <c r="B35" s="11" t="s">
        <v>9</v>
      </c>
      <c r="C35" s="10">
        <v>11</v>
      </c>
      <c r="D35" s="9">
        <v>5.2859202306583374E-3</v>
      </c>
    </row>
    <row r="36" spans="2:4">
      <c r="B36" s="11" t="s">
        <v>15</v>
      </c>
      <c r="C36" s="10">
        <v>10</v>
      </c>
      <c r="D36" s="9">
        <v>4.8053820278712162E-3</v>
      </c>
    </row>
    <row r="37" spans="2:4">
      <c r="B37" s="11" t="s">
        <v>4</v>
      </c>
      <c r="C37" s="10">
        <v>9</v>
      </c>
      <c r="D37" s="9">
        <v>4.324843825084094E-3</v>
      </c>
    </row>
    <row r="38" spans="2:4">
      <c r="B38" s="11" t="s">
        <v>6</v>
      </c>
      <c r="C38" s="10">
        <v>8</v>
      </c>
      <c r="D38" s="9">
        <v>3.8443056222969728E-3</v>
      </c>
    </row>
    <row r="39" spans="2:4">
      <c r="B39" s="11" t="s">
        <v>8</v>
      </c>
      <c r="C39" s="10">
        <v>7</v>
      </c>
      <c r="D39" s="9">
        <v>3.363767419509851E-3</v>
      </c>
    </row>
    <row r="40" spans="2:4">
      <c r="B40" s="11" t="s">
        <v>7</v>
      </c>
      <c r="C40" s="10">
        <v>1</v>
      </c>
      <c r="D40" s="9">
        <v>4.8053820278712159E-4</v>
      </c>
    </row>
    <row r="41" spans="2:4">
      <c r="B41" s="11" t="s">
        <v>5</v>
      </c>
      <c r="C41" s="10">
        <v>1</v>
      </c>
      <c r="D41" s="9">
        <v>4.8053820278712159E-4</v>
      </c>
    </row>
    <row r="42" spans="2:4">
      <c r="B42" s="8" t="s">
        <v>3</v>
      </c>
      <c r="C42" s="7">
        <v>2081</v>
      </c>
      <c r="D42" s="6">
        <v>1</v>
      </c>
    </row>
    <row r="44" spans="2:4">
      <c r="B44" s="3" t="s">
        <v>638</v>
      </c>
      <c r="C44"/>
      <c r="D44"/>
    </row>
    <row r="45" spans="2:4">
      <c r="B45" s="5" t="s">
        <v>2</v>
      </c>
      <c r="C45"/>
      <c r="D45"/>
    </row>
    <row r="46" spans="2:4">
      <c r="B46" s="4" t="s">
        <v>1</v>
      </c>
      <c r="C46"/>
      <c r="D46"/>
    </row>
    <row r="47" spans="2:4">
      <c r="B47" s="3" t="s">
        <v>0</v>
      </c>
      <c r="C47"/>
      <c r="D47"/>
    </row>
    <row r="48" spans="2:4">
      <c r="B48" s="3" t="s">
        <v>639</v>
      </c>
      <c r="C48"/>
      <c r="D4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738"/>
  <sheetViews>
    <sheetView zoomScaleNormal="100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36</v>
      </c>
      <c r="C9" s="33" t="s">
        <v>560</v>
      </c>
      <c r="D9" s="32" t="s">
        <v>35</v>
      </c>
      <c r="E9" s="31" t="s">
        <v>34</v>
      </c>
    </row>
    <row r="10" spans="1:5" ht="15" customHeight="1">
      <c r="B10" s="73" t="s">
        <v>11</v>
      </c>
      <c r="C10" s="29" t="s">
        <v>11</v>
      </c>
      <c r="D10" s="28">
        <v>7</v>
      </c>
      <c r="E10" s="27">
        <v>3.363767419509851E-3</v>
      </c>
    </row>
    <row r="11" spans="1:5" ht="15" customHeight="1">
      <c r="B11" s="74"/>
      <c r="C11" s="29" t="s">
        <v>559</v>
      </c>
      <c r="D11" s="28">
        <v>3</v>
      </c>
      <c r="E11" s="27">
        <v>1.4416146083613647E-3</v>
      </c>
    </row>
    <row r="12" spans="1:5" ht="15" customHeight="1">
      <c r="B12" s="74"/>
      <c r="C12" s="29" t="s">
        <v>558</v>
      </c>
      <c r="D12" s="28">
        <v>1</v>
      </c>
      <c r="E12" s="27">
        <v>4.8053820278712159E-4</v>
      </c>
    </row>
    <row r="13" spans="1:5" ht="15" customHeight="1">
      <c r="B13" s="74"/>
      <c r="C13" s="29" t="s">
        <v>359</v>
      </c>
      <c r="D13" s="28">
        <v>3</v>
      </c>
      <c r="E13" s="27">
        <v>1.4416146083613647E-3</v>
      </c>
    </row>
    <row r="14" spans="1:5" ht="15" customHeight="1">
      <c r="B14" s="74"/>
      <c r="C14" s="29" t="s">
        <v>557</v>
      </c>
      <c r="D14" s="28">
        <v>2</v>
      </c>
      <c r="E14" s="27">
        <v>9.6107640557424319E-4</v>
      </c>
    </row>
    <row r="15" spans="1:5" ht="15" customHeight="1">
      <c r="B15" s="75"/>
      <c r="C15" s="26" t="s">
        <v>3</v>
      </c>
      <c r="D15" s="25">
        <v>16</v>
      </c>
      <c r="E15" s="24">
        <v>7.6886112445939455E-3</v>
      </c>
    </row>
    <row r="16" spans="1:5" ht="15" customHeight="1">
      <c r="B16" s="73" t="s">
        <v>7</v>
      </c>
      <c r="C16" s="29" t="s">
        <v>556</v>
      </c>
      <c r="D16" s="28">
        <v>1</v>
      </c>
      <c r="E16" s="27">
        <v>4.8053820278712159E-4</v>
      </c>
    </row>
    <row r="17" spans="2:5" ht="15" customHeight="1">
      <c r="B17" s="75"/>
      <c r="C17" s="26" t="s">
        <v>3</v>
      </c>
      <c r="D17" s="25">
        <v>1</v>
      </c>
      <c r="E17" s="24">
        <v>4.8053820278712159E-4</v>
      </c>
    </row>
    <row r="18" spans="2:5" ht="15" customHeight="1">
      <c r="B18" s="73" t="s">
        <v>6</v>
      </c>
      <c r="C18" s="29" t="s">
        <v>6</v>
      </c>
      <c r="D18" s="28">
        <v>2</v>
      </c>
      <c r="E18" s="27">
        <v>9.6107640557424319E-4</v>
      </c>
    </row>
    <row r="19" spans="2:5" ht="15" customHeight="1">
      <c r="B19" s="74"/>
      <c r="C19" s="29" t="s">
        <v>555</v>
      </c>
      <c r="D19" s="28">
        <v>4</v>
      </c>
      <c r="E19" s="27">
        <v>1.9221528111484864E-3</v>
      </c>
    </row>
    <row r="20" spans="2:5" ht="15" customHeight="1">
      <c r="B20" s="74"/>
      <c r="C20" s="29" t="s">
        <v>554</v>
      </c>
      <c r="D20" s="28">
        <v>1</v>
      </c>
      <c r="E20" s="27">
        <v>4.8053820278712159E-4</v>
      </c>
    </row>
    <row r="21" spans="2:5" ht="15" customHeight="1">
      <c r="B21" s="74"/>
      <c r="C21" s="29" t="s">
        <v>553</v>
      </c>
      <c r="D21" s="28">
        <v>1</v>
      </c>
      <c r="E21" s="27">
        <v>4.8053820278712159E-4</v>
      </c>
    </row>
    <row r="22" spans="2:5" ht="15" customHeight="1">
      <c r="B22" s="75"/>
      <c r="C22" s="26" t="s">
        <v>3</v>
      </c>
      <c r="D22" s="25">
        <v>8</v>
      </c>
      <c r="E22" s="24">
        <v>3.8443056222969728E-3</v>
      </c>
    </row>
    <row r="23" spans="2:5" ht="15" customHeight="1">
      <c r="B23" s="73" t="s">
        <v>26</v>
      </c>
      <c r="C23" s="29" t="s">
        <v>552</v>
      </c>
      <c r="D23" s="28">
        <v>1</v>
      </c>
      <c r="E23" s="27">
        <v>4.8053820278712159E-4</v>
      </c>
    </row>
    <row r="24" spans="2:5" ht="15" customHeight="1">
      <c r="B24" s="74"/>
      <c r="C24" s="29" t="s">
        <v>551</v>
      </c>
      <c r="D24" s="28">
        <v>2</v>
      </c>
      <c r="E24" s="27">
        <v>9.6107640557424319E-4</v>
      </c>
    </row>
    <row r="25" spans="2:5" ht="15" customHeight="1">
      <c r="B25" s="74"/>
      <c r="C25" s="29" t="s">
        <v>640</v>
      </c>
      <c r="D25" s="28">
        <v>1</v>
      </c>
      <c r="E25" s="27">
        <v>4.8053820278712159E-4</v>
      </c>
    </row>
    <row r="26" spans="2:5" ht="15" customHeight="1">
      <c r="B26" s="74"/>
      <c r="C26" s="29" t="s">
        <v>550</v>
      </c>
      <c r="D26" s="28">
        <v>1</v>
      </c>
      <c r="E26" s="27">
        <v>4.8053820278712159E-4</v>
      </c>
    </row>
    <row r="27" spans="2:5" ht="15" customHeight="1">
      <c r="B27" s="74"/>
      <c r="C27" s="29" t="s">
        <v>549</v>
      </c>
      <c r="D27" s="28">
        <v>1</v>
      </c>
      <c r="E27" s="27">
        <v>4.8053820278712159E-4</v>
      </c>
    </row>
    <row r="28" spans="2:5" ht="15" customHeight="1">
      <c r="B28" s="74"/>
      <c r="C28" s="29" t="s">
        <v>548</v>
      </c>
      <c r="D28" s="28">
        <v>3</v>
      </c>
      <c r="E28" s="27">
        <v>1.4416146083613647E-3</v>
      </c>
    </row>
    <row r="29" spans="2:5" ht="15" customHeight="1">
      <c r="B29" s="74"/>
      <c r="C29" s="29" t="s">
        <v>547</v>
      </c>
      <c r="D29" s="28">
        <v>1</v>
      </c>
      <c r="E29" s="27">
        <v>4.8053820278712159E-4</v>
      </c>
    </row>
    <row r="30" spans="2:5" ht="15" customHeight="1">
      <c r="B30" s="74"/>
      <c r="C30" s="29" t="s">
        <v>546</v>
      </c>
      <c r="D30" s="28">
        <v>1</v>
      </c>
      <c r="E30" s="27">
        <v>4.8053820278712159E-4</v>
      </c>
    </row>
    <row r="31" spans="2:5" ht="15" customHeight="1">
      <c r="B31" s="74"/>
      <c r="C31" s="29" t="s">
        <v>641</v>
      </c>
      <c r="D31" s="28">
        <v>1</v>
      </c>
      <c r="E31" s="27">
        <v>4.8053820278712159E-4</v>
      </c>
    </row>
    <row r="32" spans="2:5" ht="15" customHeight="1">
      <c r="B32" s="74"/>
      <c r="C32" s="29" t="s">
        <v>642</v>
      </c>
      <c r="D32" s="28">
        <v>2</v>
      </c>
      <c r="E32" s="27">
        <v>9.6107640557424319E-4</v>
      </c>
    </row>
    <row r="33" spans="2:5" ht="15" customHeight="1">
      <c r="B33" s="74"/>
      <c r="C33" s="29" t="s">
        <v>545</v>
      </c>
      <c r="D33" s="28">
        <v>1</v>
      </c>
      <c r="E33" s="27">
        <v>4.8053820278712159E-4</v>
      </c>
    </row>
    <row r="34" spans="2:5" ht="15" customHeight="1">
      <c r="B34" s="74"/>
      <c r="C34" s="29" t="s">
        <v>544</v>
      </c>
      <c r="D34" s="28">
        <v>2</v>
      </c>
      <c r="E34" s="27">
        <v>9.6107640557424319E-4</v>
      </c>
    </row>
    <row r="35" spans="2:5" ht="15" customHeight="1">
      <c r="B35" s="74"/>
      <c r="C35" s="29" t="s">
        <v>543</v>
      </c>
      <c r="D35" s="28">
        <v>1</v>
      </c>
      <c r="E35" s="27">
        <v>4.8053820278712159E-4</v>
      </c>
    </row>
    <row r="36" spans="2:5" ht="15" customHeight="1">
      <c r="B36" s="74"/>
      <c r="C36" s="29" t="s">
        <v>542</v>
      </c>
      <c r="D36" s="28">
        <v>10</v>
      </c>
      <c r="E36" s="27">
        <v>4.8053820278712162E-3</v>
      </c>
    </row>
    <row r="37" spans="2:5" ht="15" customHeight="1">
      <c r="B37" s="74"/>
      <c r="C37" s="29" t="s">
        <v>541</v>
      </c>
      <c r="D37" s="28">
        <v>2</v>
      </c>
      <c r="E37" s="27">
        <v>9.6107640557424319E-4</v>
      </c>
    </row>
    <row r="38" spans="2:5" ht="15" customHeight="1">
      <c r="B38" s="74"/>
      <c r="C38" s="29" t="s">
        <v>540</v>
      </c>
      <c r="D38" s="28">
        <v>3</v>
      </c>
      <c r="E38" s="27">
        <v>1.4416146083613647E-3</v>
      </c>
    </row>
    <row r="39" spans="2:5" ht="15" customHeight="1">
      <c r="B39" s="74"/>
      <c r="C39" s="29" t="s">
        <v>643</v>
      </c>
      <c r="D39" s="28">
        <v>1</v>
      </c>
      <c r="E39" s="27">
        <v>4.8053820278712159E-4</v>
      </c>
    </row>
    <row r="40" spans="2:5" ht="15" customHeight="1">
      <c r="B40" s="74"/>
      <c r="C40" s="29" t="s">
        <v>513</v>
      </c>
      <c r="D40" s="28">
        <v>2</v>
      </c>
      <c r="E40" s="27">
        <v>9.6107640557424319E-4</v>
      </c>
    </row>
    <row r="41" spans="2:5" ht="15" customHeight="1">
      <c r="B41" s="74"/>
      <c r="C41" s="29" t="s">
        <v>539</v>
      </c>
      <c r="D41" s="28">
        <v>3</v>
      </c>
      <c r="E41" s="27">
        <v>1.4416146083613647E-3</v>
      </c>
    </row>
    <row r="42" spans="2:5" ht="15" customHeight="1">
      <c r="B42" s="74"/>
      <c r="C42" s="29" t="s">
        <v>538</v>
      </c>
      <c r="D42" s="28">
        <v>2</v>
      </c>
      <c r="E42" s="27">
        <v>9.6107640557424319E-4</v>
      </c>
    </row>
    <row r="43" spans="2:5" ht="15" customHeight="1">
      <c r="B43" s="74"/>
      <c r="C43" s="29" t="s">
        <v>537</v>
      </c>
      <c r="D43" s="28">
        <v>1</v>
      </c>
      <c r="E43" s="27">
        <v>4.8053820278712159E-4</v>
      </c>
    </row>
    <row r="44" spans="2:5" ht="15" customHeight="1">
      <c r="B44" s="74"/>
      <c r="C44" s="29" t="s">
        <v>536</v>
      </c>
      <c r="D44" s="28">
        <v>7</v>
      </c>
      <c r="E44" s="27">
        <v>3.363767419509851E-3</v>
      </c>
    </row>
    <row r="45" spans="2:5" ht="15" customHeight="1">
      <c r="B45" s="74"/>
      <c r="C45" s="29" t="s">
        <v>535</v>
      </c>
      <c r="D45" s="28">
        <v>12</v>
      </c>
      <c r="E45" s="27">
        <v>5.7664584334454587E-3</v>
      </c>
    </row>
    <row r="46" spans="2:5" ht="15" customHeight="1">
      <c r="B46" s="74"/>
      <c r="C46" s="29" t="s">
        <v>534</v>
      </c>
      <c r="D46" s="28">
        <v>3</v>
      </c>
      <c r="E46" s="27">
        <v>1.4416146083613647E-3</v>
      </c>
    </row>
    <row r="47" spans="2:5" ht="15" customHeight="1">
      <c r="B47" s="74"/>
      <c r="C47" s="29" t="s">
        <v>533</v>
      </c>
      <c r="D47" s="28">
        <v>1</v>
      </c>
      <c r="E47" s="27">
        <v>4.8053820278712159E-4</v>
      </c>
    </row>
    <row r="48" spans="2:5" ht="15" customHeight="1">
      <c r="B48" s="74"/>
      <c r="C48" s="29" t="s">
        <v>532</v>
      </c>
      <c r="D48" s="28">
        <v>4</v>
      </c>
      <c r="E48" s="27">
        <v>1.9221528111484864E-3</v>
      </c>
    </row>
    <row r="49" spans="2:5" ht="15" customHeight="1">
      <c r="B49" s="74"/>
      <c r="C49" s="29" t="s">
        <v>531</v>
      </c>
      <c r="D49" s="28">
        <v>1</v>
      </c>
      <c r="E49" s="27">
        <v>4.8053820278712159E-4</v>
      </c>
    </row>
    <row r="50" spans="2:5" ht="15" customHeight="1">
      <c r="B50" s="74"/>
      <c r="C50" s="29" t="s">
        <v>644</v>
      </c>
      <c r="D50" s="28">
        <v>1</v>
      </c>
      <c r="E50" s="27">
        <v>4.8053820278712159E-4</v>
      </c>
    </row>
    <row r="51" spans="2:5" ht="15" customHeight="1">
      <c r="B51" s="74"/>
      <c r="C51" s="29" t="s">
        <v>530</v>
      </c>
      <c r="D51" s="28">
        <v>1</v>
      </c>
      <c r="E51" s="27">
        <v>4.8053820278712159E-4</v>
      </c>
    </row>
    <row r="52" spans="2:5" ht="15" customHeight="1">
      <c r="B52" s="74"/>
      <c r="C52" s="29" t="s">
        <v>529</v>
      </c>
      <c r="D52" s="28">
        <v>3</v>
      </c>
      <c r="E52" s="27">
        <v>1.4416146083613647E-3</v>
      </c>
    </row>
    <row r="53" spans="2:5" ht="15" customHeight="1">
      <c r="B53" s="74"/>
      <c r="C53" s="29" t="s">
        <v>528</v>
      </c>
      <c r="D53" s="28">
        <v>1</v>
      </c>
      <c r="E53" s="27">
        <v>4.8053820278712159E-4</v>
      </c>
    </row>
    <row r="54" spans="2:5" ht="15" customHeight="1">
      <c r="B54" s="74"/>
      <c r="C54" s="29" t="s">
        <v>527</v>
      </c>
      <c r="D54" s="28">
        <v>6</v>
      </c>
      <c r="E54" s="27">
        <v>2.8832292167227293E-3</v>
      </c>
    </row>
    <row r="55" spans="2:5" ht="15" customHeight="1">
      <c r="B55" s="74"/>
      <c r="C55" s="29" t="s">
        <v>526</v>
      </c>
      <c r="D55" s="28">
        <v>1</v>
      </c>
      <c r="E55" s="27">
        <v>4.8053820278712159E-4</v>
      </c>
    </row>
    <row r="56" spans="2:5" ht="15" customHeight="1">
      <c r="B56" s="74"/>
      <c r="C56" s="29" t="s">
        <v>525</v>
      </c>
      <c r="D56" s="28">
        <v>11</v>
      </c>
      <c r="E56" s="27">
        <v>5.2859202306583374E-3</v>
      </c>
    </row>
    <row r="57" spans="2:5" ht="15" customHeight="1">
      <c r="B57" s="74"/>
      <c r="C57" s="29" t="s">
        <v>524</v>
      </c>
      <c r="D57" s="28">
        <v>2</v>
      </c>
      <c r="E57" s="27">
        <v>9.6107640557424319E-4</v>
      </c>
    </row>
    <row r="58" spans="2:5" ht="15" customHeight="1">
      <c r="B58" s="74"/>
      <c r="C58" s="29" t="s">
        <v>523</v>
      </c>
      <c r="D58" s="28">
        <v>6</v>
      </c>
      <c r="E58" s="27">
        <v>2.8832292167227293E-3</v>
      </c>
    </row>
    <row r="59" spans="2:5" ht="15" customHeight="1">
      <c r="B59" s="74"/>
      <c r="C59" s="29" t="s">
        <v>522</v>
      </c>
      <c r="D59" s="28">
        <v>3</v>
      </c>
      <c r="E59" s="27">
        <v>1.4416146083613647E-3</v>
      </c>
    </row>
    <row r="60" spans="2:5" ht="15" customHeight="1">
      <c r="B60" s="74"/>
      <c r="C60" s="29" t="s">
        <v>645</v>
      </c>
      <c r="D60" s="28">
        <v>4</v>
      </c>
      <c r="E60" s="27">
        <v>1.9221528111484864E-3</v>
      </c>
    </row>
    <row r="61" spans="2:5" ht="15" customHeight="1">
      <c r="B61" s="74"/>
      <c r="C61" s="29" t="s">
        <v>344</v>
      </c>
      <c r="D61" s="28">
        <v>1</v>
      </c>
      <c r="E61" s="27">
        <v>4.8053820278712159E-4</v>
      </c>
    </row>
    <row r="62" spans="2:5" ht="15" customHeight="1">
      <c r="B62" s="74"/>
      <c r="C62" s="29" t="s">
        <v>521</v>
      </c>
      <c r="D62" s="28">
        <v>4</v>
      </c>
      <c r="E62" s="27">
        <v>1.9221528111484864E-3</v>
      </c>
    </row>
    <row r="63" spans="2:5" ht="15" customHeight="1">
      <c r="B63" s="74"/>
      <c r="C63" s="29" t="s">
        <v>520</v>
      </c>
      <c r="D63" s="28">
        <v>2</v>
      </c>
      <c r="E63" s="27">
        <v>9.6107640557424319E-4</v>
      </c>
    </row>
    <row r="64" spans="2:5" ht="15" customHeight="1">
      <c r="B64" s="74"/>
      <c r="C64" s="29" t="s">
        <v>519</v>
      </c>
      <c r="D64" s="28">
        <v>1</v>
      </c>
      <c r="E64" s="27">
        <v>4.8053820278712159E-4</v>
      </c>
    </row>
    <row r="65" spans="2:5" ht="15" customHeight="1">
      <c r="B65" s="74"/>
      <c r="C65" s="29" t="s">
        <v>518</v>
      </c>
      <c r="D65" s="28">
        <v>2</v>
      </c>
      <c r="E65" s="27">
        <v>9.6107640557424319E-4</v>
      </c>
    </row>
    <row r="66" spans="2:5" ht="15" customHeight="1">
      <c r="B66" s="75"/>
      <c r="C66" s="26" t="s">
        <v>3</v>
      </c>
      <c r="D66" s="25">
        <v>119</v>
      </c>
      <c r="E66" s="24">
        <v>5.7184046131667471E-2</v>
      </c>
    </row>
    <row r="67" spans="2:5" ht="15" customHeight="1">
      <c r="B67" s="73" t="s">
        <v>13</v>
      </c>
      <c r="C67" s="29" t="s">
        <v>517</v>
      </c>
      <c r="D67" s="28">
        <v>1</v>
      </c>
      <c r="E67" s="27">
        <v>4.8053820278712159E-4</v>
      </c>
    </row>
    <row r="68" spans="2:5" ht="15" customHeight="1">
      <c r="B68" s="74"/>
      <c r="C68" s="29" t="s">
        <v>13</v>
      </c>
      <c r="D68" s="28">
        <v>3</v>
      </c>
      <c r="E68" s="27">
        <v>1.4416146083613647E-3</v>
      </c>
    </row>
    <row r="69" spans="2:5" ht="15" customHeight="1">
      <c r="B69" s="74"/>
      <c r="C69" s="29" t="s">
        <v>516</v>
      </c>
      <c r="D69" s="28">
        <v>1</v>
      </c>
      <c r="E69" s="27">
        <v>4.8053820278712159E-4</v>
      </c>
    </row>
    <row r="70" spans="2:5" ht="15" customHeight="1">
      <c r="B70" s="74"/>
      <c r="C70" s="29" t="s">
        <v>515</v>
      </c>
      <c r="D70" s="28">
        <v>1</v>
      </c>
      <c r="E70" s="27">
        <v>4.8053820278712159E-4</v>
      </c>
    </row>
    <row r="71" spans="2:5" ht="15" customHeight="1">
      <c r="B71" s="74"/>
      <c r="C71" s="29" t="s">
        <v>514</v>
      </c>
      <c r="D71" s="28">
        <v>3</v>
      </c>
      <c r="E71" s="27">
        <v>1.4416146083613647E-3</v>
      </c>
    </row>
    <row r="72" spans="2:5" ht="15" customHeight="1">
      <c r="B72" s="74"/>
      <c r="C72" s="29" t="s">
        <v>513</v>
      </c>
      <c r="D72" s="28">
        <v>3</v>
      </c>
      <c r="E72" s="27">
        <v>1.4416146083613647E-3</v>
      </c>
    </row>
    <row r="73" spans="2:5" ht="15" customHeight="1">
      <c r="B73" s="74"/>
      <c r="C73" s="29" t="s">
        <v>646</v>
      </c>
      <c r="D73" s="28">
        <v>2</v>
      </c>
      <c r="E73" s="27">
        <v>9.6107640557424319E-4</v>
      </c>
    </row>
    <row r="74" spans="2:5" ht="15" customHeight="1">
      <c r="B74" s="74"/>
      <c r="C74" s="29" t="s">
        <v>129</v>
      </c>
      <c r="D74" s="28">
        <v>1</v>
      </c>
      <c r="E74" s="27">
        <v>4.8053820278712159E-4</v>
      </c>
    </row>
    <row r="75" spans="2:5" ht="15" customHeight="1">
      <c r="B75" s="75"/>
      <c r="C75" s="26" t="s">
        <v>3</v>
      </c>
      <c r="D75" s="25">
        <v>15</v>
      </c>
      <c r="E75" s="24">
        <v>7.2080730418068234E-3</v>
      </c>
    </row>
    <row r="76" spans="2:5" ht="15" customHeight="1">
      <c r="B76" s="73" t="s">
        <v>10</v>
      </c>
      <c r="C76" s="29" t="s">
        <v>647</v>
      </c>
      <c r="D76" s="28">
        <v>1</v>
      </c>
      <c r="E76" s="27">
        <v>4.8053820278712159E-4</v>
      </c>
    </row>
    <row r="77" spans="2:5" ht="15" customHeight="1">
      <c r="B77" s="74"/>
      <c r="C77" s="29" t="s">
        <v>393</v>
      </c>
      <c r="D77" s="28">
        <v>2</v>
      </c>
      <c r="E77" s="27">
        <v>9.6107640557424319E-4</v>
      </c>
    </row>
    <row r="78" spans="2:5" ht="15" customHeight="1">
      <c r="B78" s="74"/>
      <c r="C78" s="29" t="s">
        <v>648</v>
      </c>
      <c r="D78" s="28">
        <v>1</v>
      </c>
      <c r="E78" s="27">
        <v>4.8053820278712159E-4</v>
      </c>
    </row>
    <row r="79" spans="2:5" ht="15" customHeight="1">
      <c r="B79" s="74"/>
      <c r="C79" s="29" t="s">
        <v>129</v>
      </c>
      <c r="D79" s="28">
        <v>1</v>
      </c>
      <c r="E79" s="27">
        <v>4.8053820278712159E-4</v>
      </c>
    </row>
    <row r="80" spans="2:5" ht="15" customHeight="1">
      <c r="B80" s="74"/>
      <c r="C80" s="29" t="s">
        <v>649</v>
      </c>
      <c r="D80" s="28">
        <v>1</v>
      </c>
      <c r="E80" s="27">
        <v>4.8053820278712159E-4</v>
      </c>
    </row>
    <row r="81" spans="2:5" ht="15" customHeight="1">
      <c r="B81" s="74"/>
      <c r="C81" s="29" t="s">
        <v>512</v>
      </c>
      <c r="D81" s="28">
        <v>2</v>
      </c>
      <c r="E81" s="27">
        <v>9.6107640557424319E-4</v>
      </c>
    </row>
    <row r="82" spans="2:5" ht="15" customHeight="1">
      <c r="B82" s="74"/>
      <c r="C82" s="29" t="s">
        <v>511</v>
      </c>
      <c r="D82" s="28">
        <v>3</v>
      </c>
      <c r="E82" s="27">
        <v>1.4416146083613647E-3</v>
      </c>
    </row>
    <row r="83" spans="2:5" ht="15" customHeight="1">
      <c r="B83" s="74"/>
      <c r="C83" s="29" t="s">
        <v>510</v>
      </c>
      <c r="D83" s="28">
        <v>12</v>
      </c>
      <c r="E83" s="27">
        <v>5.7664584334454587E-3</v>
      </c>
    </row>
    <row r="84" spans="2:5" ht="15" customHeight="1">
      <c r="B84" s="75"/>
      <c r="C84" s="26" t="s">
        <v>3</v>
      </c>
      <c r="D84" s="25">
        <v>23</v>
      </c>
      <c r="E84" s="24">
        <v>1.1052378664103796E-2</v>
      </c>
    </row>
    <row r="85" spans="2:5" ht="15" customHeight="1">
      <c r="B85" s="73" t="s">
        <v>5</v>
      </c>
      <c r="C85" s="29" t="s">
        <v>509</v>
      </c>
      <c r="D85" s="28">
        <v>1</v>
      </c>
      <c r="E85" s="27">
        <v>4.8053820278712159E-4</v>
      </c>
    </row>
    <row r="86" spans="2:5" ht="15" customHeight="1">
      <c r="B86" s="75"/>
      <c r="C86" s="26" t="s">
        <v>3</v>
      </c>
      <c r="D86" s="25">
        <v>1</v>
      </c>
      <c r="E86" s="24">
        <v>4.8053820278712159E-4</v>
      </c>
    </row>
    <row r="87" spans="2:5" ht="15" customHeight="1">
      <c r="B87" s="73" t="s">
        <v>24</v>
      </c>
      <c r="C87" s="29" t="s">
        <v>338</v>
      </c>
      <c r="D87" s="28">
        <v>11</v>
      </c>
      <c r="E87" s="27">
        <v>5.2859202306583374E-3</v>
      </c>
    </row>
    <row r="88" spans="2:5" ht="15" customHeight="1">
      <c r="B88" s="74"/>
      <c r="C88" s="29" t="s">
        <v>508</v>
      </c>
      <c r="D88" s="28">
        <v>5</v>
      </c>
      <c r="E88" s="27">
        <v>2.4026910139356081E-3</v>
      </c>
    </row>
    <row r="89" spans="2:5" ht="15" customHeight="1">
      <c r="B89" s="74"/>
      <c r="C89" s="29" t="s">
        <v>54</v>
      </c>
      <c r="D89" s="28">
        <v>9</v>
      </c>
      <c r="E89" s="27">
        <v>4.324843825084094E-3</v>
      </c>
    </row>
    <row r="90" spans="2:5" ht="15" customHeight="1">
      <c r="B90" s="74"/>
      <c r="C90" s="29" t="s">
        <v>507</v>
      </c>
      <c r="D90" s="28">
        <v>9</v>
      </c>
      <c r="E90" s="27">
        <v>4.324843825084094E-3</v>
      </c>
    </row>
    <row r="91" spans="2:5" ht="15" customHeight="1">
      <c r="B91" s="74"/>
      <c r="C91" s="29" t="s">
        <v>506</v>
      </c>
      <c r="D91" s="28">
        <v>2</v>
      </c>
      <c r="E91" s="27">
        <v>9.6107640557424319E-4</v>
      </c>
    </row>
    <row r="92" spans="2:5" ht="15" customHeight="1">
      <c r="B92" s="74"/>
      <c r="C92" s="29" t="s">
        <v>505</v>
      </c>
      <c r="D92" s="28">
        <v>10</v>
      </c>
      <c r="E92" s="27">
        <v>4.8053820278712162E-3</v>
      </c>
    </row>
    <row r="93" spans="2:5" ht="15" customHeight="1">
      <c r="B93" s="74"/>
      <c r="C93" s="29" t="s">
        <v>504</v>
      </c>
      <c r="D93" s="28">
        <v>17</v>
      </c>
      <c r="E93" s="27">
        <v>8.1691494473810668E-3</v>
      </c>
    </row>
    <row r="94" spans="2:5" ht="15" customHeight="1">
      <c r="B94" s="74"/>
      <c r="C94" s="29" t="s">
        <v>503</v>
      </c>
      <c r="D94" s="28">
        <v>4</v>
      </c>
      <c r="E94" s="27">
        <v>1.9221528111484864E-3</v>
      </c>
    </row>
    <row r="95" spans="2:5" ht="15" customHeight="1">
      <c r="B95" s="74"/>
      <c r="C95" s="29" t="s">
        <v>502</v>
      </c>
      <c r="D95" s="28">
        <v>16</v>
      </c>
      <c r="E95" s="27">
        <v>7.6886112445939455E-3</v>
      </c>
    </row>
    <row r="96" spans="2:5" ht="15" customHeight="1">
      <c r="B96" s="74"/>
      <c r="C96" s="29" t="s">
        <v>501</v>
      </c>
      <c r="D96" s="28">
        <v>9</v>
      </c>
      <c r="E96" s="27">
        <v>4.324843825084094E-3</v>
      </c>
    </row>
    <row r="97" spans="2:5" ht="15" customHeight="1">
      <c r="B97" s="74"/>
      <c r="C97" s="29" t="s">
        <v>500</v>
      </c>
      <c r="D97" s="28">
        <v>2</v>
      </c>
      <c r="E97" s="27">
        <v>9.6107640557424319E-4</v>
      </c>
    </row>
    <row r="98" spans="2:5" ht="15" customHeight="1">
      <c r="B98" s="74"/>
      <c r="C98" s="29" t="s">
        <v>499</v>
      </c>
      <c r="D98" s="28">
        <v>2</v>
      </c>
      <c r="E98" s="27">
        <v>9.6107640557424319E-4</v>
      </c>
    </row>
    <row r="99" spans="2:5" ht="15" customHeight="1">
      <c r="B99" s="74"/>
      <c r="C99" s="29" t="s">
        <v>498</v>
      </c>
      <c r="D99" s="28">
        <v>27</v>
      </c>
      <c r="E99" s="27">
        <v>1.2974531475252283E-2</v>
      </c>
    </row>
    <row r="100" spans="2:5" ht="15" customHeight="1">
      <c r="B100" s="74"/>
      <c r="C100" s="29" t="s">
        <v>497</v>
      </c>
      <c r="D100" s="28">
        <v>3</v>
      </c>
      <c r="E100" s="27">
        <v>1.4416146083613647E-3</v>
      </c>
    </row>
    <row r="101" spans="2:5" ht="15" customHeight="1">
      <c r="B101" s="75"/>
      <c r="C101" s="26" t="s">
        <v>3</v>
      </c>
      <c r="D101" s="25">
        <v>126</v>
      </c>
      <c r="E101" s="24">
        <v>6.0547813551177318E-2</v>
      </c>
    </row>
    <row r="102" spans="2:5" ht="15" customHeight="1">
      <c r="B102" s="73" t="s">
        <v>16</v>
      </c>
      <c r="C102" s="29" t="s">
        <v>650</v>
      </c>
      <c r="D102" s="28">
        <v>1</v>
      </c>
      <c r="E102" s="27">
        <v>4.8053820278712159E-4</v>
      </c>
    </row>
    <row r="103" spans="2:5" ht="15" customHeight="1">
      <c r="B103" s="74"/>
      <c r="C103" s="29" t="s">
        <v>496</v>
      </c>
      <c r="D103" s="28">
        <v>1</v>
      </c>
      <c r="E103" s="27">
        <v>4.8053820278712159E-4</v>
      </c>
    </row>
    <row r="104" spans="2:5" ht="15" customHeight="1">
      <c r="B104" s="74"/>
      <c r="C104" s="29" t="s">
        <v>16</v>
      </c>
      <c r="D104" s="28">
        <v>4</v>
      </c>
      <c r="E104" s="27">
        <v>1.9221528111484864E-3</v>
      </c>
    </row>
    <row r="105" spans="2:5" ht="15" customHeight="1">
      <c r="B105" s="74"/>
      <c r="C105" s="29" t="s">
        <v>495</v>
      </c>
      <c r="D105" s="28">
        <v>3</v>
      </c>
      <c r="E105" s="27">
        <v>1.4416146083613647E-3</v>
      </c>
    </row>
    <row r="106" spans="2:5" ht="15" customHeight="1">
      <c r="B106" s="74"/>
      <c r="C106" s="29" t="s">
        <v>494</v>
      </c>
      <c r="D106" s="28">
        <v>2</v>
      </c>
      <c r="E106" s="27">
        <v>9.6107640557424319E-4</v>
      </c>
    </row>
    <row r="107" spans="2:5" ht="15" customHeight="1">
      <c r="B107" s="74"/>
      <c r="C107" s="29" t="s">
        <v>493</v>
      </c>
      <c r="D107" s="28">
        <v>4</v>
      </c>
      <c r="E107" s="27">
        <v>1.9221528111484864E-3</v>
      </c>
    </row>
    <row r="108" spans="2:5" ht="15" customHeight="1">
      <c r="B108" s="74"/>
      <c r="C108" s="29" t="s">
        <v>651</v>
      </c>
      <c r="D108" s="28">
        <v>1</v>
      </c>
      <c r="E108" s="27">
        <v>4.8053820278712159E-4</v>
      </c>
    </row>
    <row r="109" spans="2:5" ht="15" customHeight="1">
      <c r="B109" s="74"/>
      <c r="C109" s="29" t="s">
        <v>492</v>
      </c>
      <c r="D109" s="28">
        <v>2</v>
      </c>
      <c r="E109" s="27">
        <v>9.6107640557424319E-4</v>
      </c>
    </row>
    <row r="110" spans="2:5" ht="15" customHeight="1">
      <c r="B110" s="74"/>
      <c r="C110" s="29" t="s">
        <v>652</v>
      </c>
      <c r="D110" s="28">
        <v>1</v>
      </c>
      <c r="E110" s="27">
        <v>4.8053820278712159E-4</v>
      </c>
    </row>
    <row r="111" spans="2:5" ht="15" customHeight="1">
      <c r="B111" s="74"/>
      <c r="C111" s="29" t="s">
        <v>491</v>
      </c>
      <c r="D111" s="28">
        <v>2</v>
      </c>
      <c r="E111" s="27">
        <v>9.6107640557424319E-4</v>
      </c>
    </row>
    <row r="112" spans="2:5" ht="15" customHeight="1">
      <c r="B112" s="74"/>
      <c r="C112" s="29" t="s">
        <v>176</v>
      </c>
      <c r="D112" s="28">
        <v>1</v>
      </c>
      <c r="E112" s="27">
        <v>4.8053820278712159E-4</v>
      </c>
    </row>
    <row r="113" spans="2:5" ht="15" customHeight="1">
      <c r="B113" s="74"/>
      <c r="C113" s="29" t="s">
        <v>653</v>
      </c>
      <c r="D113" s="28">
        <v>1</v>
      </c>
      <c r="E113" s="27">
        <v>4.8053820278712159E-4</v>
      </c>
    </row>
    <row r="114" spans="2:5" ht="15" customHeight="1">
      <c r="B114" s="75"/>
      <c r="C114" s="26" t="s">
        <v>3</v>
      </c>
      <c r="D114" s="25">
        <v>23</v>
      </c>
      <c r="E114" s="24">
        <v>1.1052378664103796E-2</v>
      </c>
    </row>
    <row r="115" spans="2:5" ht="15" customHeight="1">
      <c r="B115" s="73" t="s">
        <v>31</v>
      </c>
      <c r="C115" s="29" t="s">
        <v>490</v>
      </c>
      <c r="D115" s="28">
        <v>2</v>
      </c>
      <c r="E115" s="27">
        <v>9.6107640557424319E-4</v>
      </c>
    </row>
    <row r="116" spans="2:5" ht="15" customHeight="1">
      <c r="B116" s="74"/>
      <c r="C116" s="29" t="s">
        <v>489</v>
      </c>
      <c r="D116" s="28">
        <v>1</v>
      </c>
      <c r="E116" s="27">
        <v>4.8053820278712159E-4</v>
      </c>
    </row>
    <row r="117" spans="2:5" ht="15" customHeight="1">
      <c r="B117" s="74"/>
      <c r="C117" s="29" t="s">
        <v>654</v>
      </c>
      <c r="D117" s="28">
        <v>3</v>
      </c>
      <c r="E117" s="27">
        <v>1.4416146083613647E-3</v>
      </c>
    </row>
    <row r="118" spans="2:5" ht="15" customHeight="1">
      <c r="B118" s="74"/>
      <c r="C118" s="29" t="s">
        <v>488</v>
      </c>
      <c r="D118" s="28">
        <v>3</v>
      </c>
      <c r="E118" s="27">
        <v>1.4416146083613647E-3</v>
      </c>
    </row>
    <row r="119" spans="2:5" ht="15" customHeight="1">
      <c r="B119" s="74"/>
      <c r="C119" s="29" t="s">
        <v>655</v>
      </c>
      <c r="D119" s="28">
        <v>1</v>
      </c>
      <c r="E119" s="27">
        <v>4.8053820278712159E-4</v>
      </c>
    </row>
    <row r="120" spans="2:5" ht="15" customHeight="1">
      <c r="B120" s="74"/>
      <c r="C120" s="29" t="s">
        <v>487</v>
      </c>
      <c r="D120" s="28">
        <v>2</v>
      </c>
      <c r="E120" s="27">
        <v>9.6107640557424319E-4</v>
      </c>
    </row>
    <row r="121" spans="2:5" ht="15" customHeight="1">
      <c r="B121" s="74"/>
      <c r="C121" s="29" t="s">
        <v>486</v>
      </c>
      <c r="D121" s="28">
        <v>1</v>
      </c>
      <c r="E121" s="27">
        <v>4.8053820278712159E-4</v>
      </c>
    </row>
    <row r="122" spans="2:5" ht="15" customHeight="1">
      <c r="B122" s="74"/>
      <c r="C122" s="29" t="s">
        <v>485</v>
      </c>
      <c r="D122" s="28">
        <v>4</v>
      </c>
      <c r="E122" s="27">
        <v>1.9221528111484864E-3</v>
      </c>
    </row>
    <row r="123" spans="2:5" ht="15" customHeight="1">
      <c r="B123" s="74"/>
      <c r="C123" s="29" t="s">
        <v>484</v>
      </c>
      <c r="D123" s="28">
        <v>2</v>
      </c>
      <c r="E123" s="27">
        <v>9.6107640557424319E-4</v>
      </c>
    </row>
    <row r="124" spans="2:5" ht="15" customHeight="1">
      <c r="B124" s="74"/>
      <c r="C124" s="29" t="s">
        <v>483</v>
      </c>
      <c r="D124" s="28">
        <v>6</v>
      </c>
      <c r="E124" s="27">
        <v>2.8832292167227293E-3</v>
      </c>
    </row>
    <row r="125" spans="2:5" ht="15" customHeight="1">
      <c r="B125" s="74"/>
      <c r="C125" s="29" t="s">
        <v>482</v>
      </c>
      <c r="D125" s="28">
        <v>7</v>
      </c>
      <c r="E125" s="27">
        <v>3.363767419509851E-3</v>
      </c>
    </row>
    <row r="126" spans="2:5" ht="15" customHeight="1">
      <c r="B126" s="74"/>
      <c r="C126" s="29" t="s">
        <v>481</v>
      </c>
      <c r="D126" s="28">
        <v>1</v>
      </c>
      <c r="E126" s="27">
        <v>4.8053820278712159E-4</v>
      </c>
    </row>
    <row r="127" spans="2:5" ht="15" customHeight="1">
      <c r="B127" s="74"/>
      <c r="C127" s="29" t="s">
        <v>480</v>
      </c>
      <c r="D127" s="28">
        <v>1</v>
      </c>
      <c r="E127" s="27">
        <v>4.8053820278712159E-4</v>
      </c>
    </row>
    <row r="128" spans="2:5" ht="15" customHeight="1">
      <c r="B128" s="74"/>
      <c r="C128" s="29" t="s">
        <v>479</v>
      </c>
      <c r="D128" s="28">
        <v>1</v>
      </c>
      <c r="E128" s="27">
        <v>4.8053820278712159E-4</v>
      </c>
    </row>
    <row r="129" spans="2:5" ht="15" customHeight="1">
      <c r="B129" s="74"/>
      <c r="C129" s="29" t="s">
        <v>478</v>
      </c>
      <c r="D129" s="28">
        <v>4</v>
      </c>
      <c r="E129" s="27">
        <v>1.9221528111484864E-3</v>
      </c>
    </row>
    <row r="130" spans="2:5" ht="15" customHeight="1">
      <c r="B130" s="74"/>
      <c r="C130" s="29" t="s">
        <v>477</v>
      </c>
      <c r="D130" s="28">
        <v>5</v>
      </c>
      <c r="E130" s="27">
        <v>2.4026910139356081E-3</v>
      </c>
    </row>
    <row r="131" spans="2:5" ht="15" customHeight="1">
      <c r="B131" s="74"/>
      <c r="C131" s="29" t="s">
        <v>476</v>
      </c>
      <c r="D131" s="28">
        <v>2</v>
      </c>
      <c r="E131" s="27">
        <v>9.6107640557424319E-4</v>
      </c>
    </row>
    <row r="132" spans="2:5" ht="15" customHeight="1">
      <c r="B132" s="74"/>
      <c r="C132" s="29" t="s">
        <v>475</v>
      </c>
      <c r="D132" s="28">
        <v>1</v>
      </c>
      <c r="E132" s="27">
        <v>4.8053820278712159E-4</v>
      </c>
    </row>
    <row r="133" spans="2:5" ht="15" customHeight="1">
      <c r="B133" s="74"/>
      <c r="C133" s="29" t="s">
        <v>656</v>
      </c>
      <c r="D133" s="28">
        <v>1</v>
      </c>
      <c r="E133" s="27">
        <v>4.8053820278712159E-4</v>
      </c>
    </row>
    <row r="134" spans="2:5" ht="15" customHeight="1">
      <c r="B134" s="74"/>
      <c r="C134" s="29" t="s">
        <v>474</v>
      </c>
      <c r="D134" s="28">
        <v>12</v>
      </c>
      <c r="E134" s="27">
        <v>5.7664584334454587E-3</v>
      </c>
    </row>
    <row r="135" spans="2:5" ht="15" customHeight="1">
      <c r="B135" s="74"/>
      <c r="C135" s="29" t="s">
        <v>473</v>
      </c>
      <c r="D135" s="28">
        <v>13</v>
      </c>
      <c r="E135" s="27">
        <v>6.2469966362325808E-3</v>
      </c>
    </row>
    <row r="136" spans="2:5" ht="15" customHeight="1">
      <c r="B136" s="74"/>
      <c r="C136" s="29" t="s">
        <v>472</v>
      </c>
      <c r="D136" s="28">
        <v>1</v>
      </c>
      <c r="E136" s="27">
        <v>4.8053820278712159E-4</v>
      </c>
    </row>
    <row r="137" spans="2:5" ht="15" customHeight="1">
      <c r="B137" s="74"/>
      <c r="C137" s="29" t="s">
        <v>657</v>
      </c>
      <c r="D137" s="28">
        <v>2</v>
      </c>
      <c r="E137" s="27">
        <v>9.6107640557424319E-4</v>
      </c>
    </row>
    <row r="138" spans="2:5" ht="15" customHeight="1">
      <c r="B138" s="74"/>
      <c r="C138" s="29" t="s">
        <v>658</v>
      </c>
      <c r="D138" s="28">
        <v>1</v>
      </c>
      <c r="E138" s="27">
        <v>4.8053820278712159E-4</v>
      </c>
    </row>
    <row r="139" spans="2:5" ht="15" customHeight="1">
      <c r="B139" s="74"/>
      <c r="C139" s="29" t="s">
        <v>471</v>
      </c>
      <c r="D139" s="28">
        <v>2</v>
      </c>
      <c r="E139" s="27">
        <v>9.6107640557424319E-4</v>
      </c>
    </row>
    <row r="140" spans="2:5" ht="15" customHeight="1">
      <c r="B140" s="74"/>
      <c r="C140" s="29" t="s">
        <v>470</v>
      </c>
      <c r="D140" s="28">
        <v>3</v>
      </c>
      <c r="E140" s="27">
        <v>1.4416146083613647E-3</v>
      </c>
    </row>
    <row r="141" spans="2:5" ht="15" customHeight="1">
      <c r="B141" s="74"/>
      <c r="C141" s="29" t="s">
        <v>469</v>
      </c>
      <c r="D141" s="28">
        <v>1</v>
      </c>
      <c r="E141" s="27">
        <v>4.8053820278712159E-4</v>
      </c>
    </row>
    <row r="142" spans="2:5" ht="15" customHeight="1">
      <c r="B142" s="74"/>
      <c r="C142" s="29" t="s">
        <v>468</v>
      </c>
      <c r="D142" s="28">
        <v>59</v>
      </c>
      <c r="E142" s="27">
        <v>2.8351753964440174E-2</v>
      </c>
    </row>
    <row r="143" spans="2:5" ht="15" customHeight="1">
      <c r="B143" s="74"/>
      <c r="C143" s="29" t="s">
        <v>467</v>
      </c>
      <c r="D143" s="28">
        <v>9</v>
      </c>
      <c r="E143" s="27">
        <v>4.324843825084094E-3</v>
      </c>
    </row>
    <row r="144" spans="2:5" ht="15" customHeight="1">
      <c r="B144" s="74"/>
      <c r="C144" s="29" t="s">
        <v>466</v>
      </c>
      <c r="D144" s="28">
        <v>4</v>
      </c>
      <c r="E144" s="27">
        <v>1.9221528111484864E-3</v>
      </c>
    </row>
    <row r="145" spans="2:5" ht="15" customHeight="1">
      <c r="B145" s="74"/>
      <c r="C145" s="29" t="s">
        <v>465</v>
      </c>
      <c r="D145" s="28">
        <v>2</v>
      </c>
      <c r="E145" s="27">
        <v>9.6107640557424319E-4</v>
      </c>
    </row>
    <row r="146" spans="2:5" ht="15" customHeight="1">
      <c r="B146" s="74"/>
      <c r="C146" s="29" t="s">
        <v>464</v>
      </c>
      <c r="D146" s="28">
        <v>1</v>
      </c>
      <c r="E146" s="27">
        <v>4.8053820278712159E-4</v>
      </c>
    </row>
    <row r="147" spans="2:5" ht="15" customHeight="1">
      <c r="B147" s="74"/>
      <c r="C147" s="29" t="s">
        <v>463</v>
      </c>
      <c r="D147" s="28">
        <v>3</v>
      </c>
      <c r="E147" s="27">
        <v>1.4416146083613647E-3</v>
      </c>
    </row>
    <row r="148" spans="2:5" ht="15" customHeight="1">
      <c r="B148" s="74"/>
      <c r="C148" s="29" t="s">
        <v>462</v>
      </c>
      <c r="D148" s="28">
        <v>2</v>
      </c>
      <c r="E148" s="27">
        <v>9.6107640557424319E-4</v>
      </c>
    </row>
    <row r="149" spans="2:5" ht="15" customHeight="1">
      <c r="B149" s="74"/>
      <c r="C149" s="29" t="s">
        <v>461</v>
      </c>
      <c r="D149" s="28">
        <v>6</v>
      </c>
      <c r="E149" s="27">
        <v>2.8832292167227293E-3</v>
      </c>
    </row>
    <row r="150" spans="2:5" ht="15" customHeight="1">
      <c r="B150" s="74"/>
      <c r="C150" s="29" t="s">
        <v>460</v>
      </c>
      <c r="D150" s="28">
        <v>7</v>
      </c>
      <c r="E150" s="27">
        <v>3.363767419509851E-3</v>
      </c>
    </row>
    <row r="151" spans="2:5" ht="15" customHeight="1">
      <c r="B151" s="74"/>
      <c r="C151" s="29" t="s">
        <v>459</v>
      </c>
      <c r="D151" s="28">
        <v>4</v>
      </c>
      <c r="E151" s="27">
        <v>1.9221528111484864E-3</v>
      </c>
    </row>
    <row r="152" spans="2:5" ht="15" customHeight="1">
      <c r="B152" s="74"/>
      <c r="C152" s="29" t="s">
        <v>659</v>
      </c>
      <c r="D152" s="28">
        <v>1</v>
      </c>
      <c r="E152" s="27">
        <v>4.8053820278712159E-4</v>
      </c>
    </row>
    <row r="153" spans="2:5" ht="15" customHeight="1">
      <c r="B153" s="74"/>
      <c r="C153" s="29" t="s">
        <v>660</v>
      </c>
      <c r="D153" s="28">
        <v>2</v>
      </c>
      <c r="E153" s="27">
        <v>9.6107640557424319E-4</v>
      </c>
    </row>
    <row r="154" spans="2:5" ht="15" customHeight="1">
      <c r="B154" s="74"/>
      <c r="C154" s="29" t="s">
        <v>458</v>
      </c>
      <c r="D154" s="28">
        <v>3</v>
      </c>
      <c r="E154" s="27">
        <v>1.4416146083613647E-3</v>
      </c>
    </row>
    <row r="155" spans="2:5" ht="15" customHeight="1">
      <c r="B155" s="74"/>
      <c r="C155" s="29" t="s">
        <v>57</v>
      </c>
      <c r="D155" s="28">
        <v>1</v>
      </c>
      <c r="E155" s="27">
        <v>4.8053820278712159E-4</v>
      </c>
    </row>
    <row r="156" spans="2:5" ht="15" customHeight="1">
      <c r="B156" s="75"/>
      <c r="C156" s="26" t="s">
        <v>3</v>
      </c>
      <c r="D156" s="25">
        <v>187</v>
      </c>
      <c r="E156" s="24">
        <v>8.9860643921191738E-2</v>
      </c>
    </row>
    <row r="157" spans="2:5" ht="15" customHeight="1">
      <c r="B157" s="73" t="s">
        <v>661</v>
      </c>
      <c r="C157" s="29" t="s">
        <v>457</v>
      </c>
      <c r="D157" s="28">
        <v>4</v>
      </c>
      <c r="E157" s="27">
        <v>1.9221528111484864E-3</v>
      </c>
    </row>
    <row r="158" spans="2:5" ht="15" customHeight="1">
      <c r="B158" s="74"/>
      <c r="C158" s="29" t="s">
        <v>456</v>
      </c>
      <c r="D158" s="28">
        <v>6</v>
      </c>
      <c r="E158" s="27">
        <v>2.8832292167227293E-3</v>
      </c>
    </row>
    <row r="159" spans="2:5" ht="15" customHeight="1">
      <c r="B159" s="74"/>
      <c r="C159" s="29" t="s">
        <v>455</v>
      </c>
      <c r="D159" s="28">
        <v>1</v>
      </c>
      <c r="E159" s="27">
        <v>4.8053820278712159E-4</v>
      </c>
    </row>
    <row r="160" spans="2:5" ht="15" customHeight="1">
      <c r="B160" s="74"/>
      <c r="C160" s="29" t="s">
        <v>454</v>
      </c>
      <c r="D160" s="28">
        <v>11</v>
      </c>
      <c r="E160" s="27">
        <v>5.2859202306583374E-3</v>
      </c>
    </row>
    <row r="161" spans="2:5" ht="15" customHeight="1">
      <c r="B161" s="74"/>
      <c r="C161" s="29" t="s">
        <v>453</v>
      </c>
      <c r="D161" s="28">
        <v>1</v>
      </c>
      <c r="E161" s="27">
        <v>4.8053820278712159E-4</v>
      </c>
    </row>
    <row r="162" spans="2:5" ht="15" customHeight="1">
      <c r="B162" s="74"/>
      <c r="C162" s="29" t="s">
        <v>452</v>
      </c>
      <c r="D162" s="28">
        <v>2</v>
      </c>
      <c r="E162" s="27">
        <v>9.6107640557424319E-4</v>
      </c>
    </row>
    <row r="163" spans="2:5" ht="15" customHeight="1">
      <c r="B163" s="74"/>
      <c r="C163" s="29" t="s">
        <v>451</v>
      </c>
      <c r="D163" s="28">
        <v>2</v>
      </c>
      <c r="E163" s="27">
        <v>9.6107640557424319E-4</v>
      </c>
    </row>
    <row r="164" spans="2:5" ht="15" customHeight="1">
      <c r="B164" s="74"/>
      <c r="C164" s="29" t="s">
        <v>450</v>
      </c>
      <c r="D164" s="28">
        <v>2</v>
      </c>
      <c r="E164" s="27">
        <v>9.6107640557424319E-4</v>
      </c>
    </row>
    <row r="165" spans="2:5" ht="15" customHeight="1">
      <c r="B165" s="74"/>
      <c r="C165" s="29" t="s">
        <v>449</v>
      </c>
      <c r="D165" s="28">
        <v>4</v>
      </c>
      <c r="E165" s="27">
        <v>1.9221528111484864E-3</v>
      </c>
    </row>
    <row r="166" spans="2:5" ht="15" customHeight="1">
      <c r="B166" s="74"/>
      <c r="C166" s="29" t="s">
        <v>28</v>
      </c>
      <c r="D166" s="28">
        <v>1</v>
      </c>
      <c r="E166" s="27">
        <v>4.8053820278712159E-4</v>
      </c>
    </row>
    <row r="167" spans="2:5" ht="15" customHeight="1">
      <c r="B167" s="74"/>
      <c r="C167" s="29" t="s">
        <v>448</v>
      </c>
      <c r="D167" s="28">
        <v>1</v>
      </c>
      <c r="E167" s="27">
        <v>4.8053820278712159E-4</v>
      </c>
    </row>
    <row r="168" spans="2:5" ht="15" customHeight="1">
      <c r="B168" s="74"/>
      <c r="C168" s="29" t="s">
        <v>447</v>
      </c>
      <c r="D168" s="28">
        <v>3</v>
      </c>
      <c r="E168" s="27">
        <v>1.4416146083613647E-3</v>
      </c>
    </row>
    <row r="169" spans="2:5" ht="15" customHeight="1">
      <c r="B169" s="74"/>
      <c r="C169" s="29" t="s">
        <v>446</v>
      </c>
      <c r="D169" s="28">
        <v>7</v>
      </c>
      <c r="E169" s="27">
        <v>3.363767419509851E-3</v>
      </c>
    </row>
    <row r="170" spans="2:5" ht="15" customHeight="1">
      <c r="B170" s="74"/>
      <c r="C170" s="29" t="s">
        <v>445</v>
      </c>
      <c r="D170" s="28">
        <v>1</v>
      </c>
      <c r="E170" s="27">
        <v>4.8053820278712159E-4</v>
      </c>
    </row>
    <row r="171" spans="2:5" ht="15" customHeight="1">
      <c r="B171" s="74"/>
      <c r="C171" s="29" t="s">
        <v>444</v>
      </c>
      <c r="D171" s="28">
        <v>3</v>
      </c>
      <c r="E171" s="27">
        <v>1.4416146083613647E-3</v>
      </c>
    </row>
    <row r="172" spans="2:5" ht="15" customHeight="1">
      <c r="B172" s="74"/>
      <c r="C172" s="29" t="s">
        <v>443</v>
      </c>
      <c r="D172" s="28">
        <v>2</v>
      </c>
      <c r="E172" s="27">
        <v>9.6107640557424319E-4</v>
      </c>
    </row>
    <row r="173" spans="2:5" ht="15" customHeight="1">
      <c r="B173" s="74"/>
      <c r="C173" s="29" t="s">
        <v>442</v>
      </c>
      <c r="D173" s="28">
        <v>7</v>
      </c>
      <c r="E173" s="27">
        <v>3.363767419509851E-3</v>
      </c>
    </row>
    <row r="174" spans="2:5" ht="15" customHeight="1">
      <c r="B174" s="74"/>
      <c r="C174" s="29" t="s">
        <v>441</v>
      </c>
      <c r="D174" s="28">
        <v>3</v>
      </c>
      <c r="E174" s="27">
        <v>1.4416146083613647E-3</v>
      </c>
    </row>
    <row r="175" spans="2:5" ht="15" customHeight="1">
      <c r="B175" s="74"/>
      <c r="C175" s="29" t="s">
        <v>440</v>
      </c>
      <c r="D175" s="28">
        <v>3</v>
      </c>
      <c r="E175" s="27">
        <v>1.4416146083613647E-3</v>
      </c>
    </row>
    <row r="176" spans="2:5" ht="15" customHeight="1">
      <c r="B176" s="74"/>
      <c r="C176" s="29" t="s">
        <v>439</v>
      </c>
      <c r="D176" s="28">
        <v>1</v>
      </c>
      <c r="E176" s="27">
        <v>4.8053820278712159E-4</v>
      </c>
    </row>
    <row r="177" spans="2:5" ht="15" customHeight="1">
      <c r="B177" s="74"/>
      <c r="C177" s="29" t="s">
        <v>438</v>
      </c>
      <c r="D177" s="28">
        <v>1</v>
      </c>
      <c r="E177" s="27">
        <v>4.8053820278712159E-4</v>
      </c>
    </row>
    <row r="178" spans="2:5" ht="15" customHeight="1">
      <c r="B178" s="74"/>
      <c r="C178" s="29" t="s">
        <v>662</v>
      </c>
      <c r="D178" s="28">
        <v>2</v>
      </c>
      <c r="E178" s="27">
        <v>9.6107640557424319E-4</v>
      </c>
    </row>
    <row r="179" spans="2:5" ht="15" customHeight="1">
      <c r="B179" s="74"/>
      <c r="C179" s="29" t="s">
        <v>437</v>
      </c>
      <c r="D179" s="28">
        <v>1</v>
      </c>
      <c r="E179" s="27">
        <v>4.8053820278712159E-4</v>
      </c>
    </row>
    <row r="180" spans="2:5" ht="15" customHeight="1">
      <c r="B180" s="74"/>
      <c r="C180" s="29" t="s">
        <v>436</v>
      </c>
      <c r="D180" s="28">
        <v>1</v>
      </c>
      <c r="E180" s="27">
        <v>4.8053820278712159E-4</v>
      </c>
    </row>
    <row r="181" spans="2:5" ht="15" customHeight="1">
      <c r="B181" s="75"/>
      <c r="C181" s="29" t="s">
        <v>435</v>
      </c>
      <c r="D181" s="28">
        <v>5</v>
      </c>
      <c r="E181" s="27">
        <v>2.4026910139356081E-3</v>
      </c>
    </row>
    <row r="182" spans="2:5" ht="15" customHeight="1">
      <c r="B182" s="62" t="s">
        <v>28</v>
      </c>
      <c r="C182" s="26" t="s">
        <v>3</v>
      </c>
      <c r="D182" s="25">
        <v>75</v>
      </c>
      <c r="E182" s="24">
        <v>3.6040365209034121E-2</v>
      </c>
    </row>
    <row r="183" spans="2:5" ht="15" customHeight="1">
      <c r="B183" s="73" t="s">
        <v>663</v>
      </c>
      <c r="C183" s="29" t="s">
        <v>434</v>
      </c>
      <c r="D183" s="28">
        <v>15</v>
      </c>
      <c r="E183" s="27">
        <v>7.2080730418068234E-3</v>
      </c>
    </row>
    <row r="184" spans="2:5" ht="15" customHeight="1">
      <c r="B184" s="74"/>
      <c r="C184" s="29" t="s">
        <v>433</v>
      </c>
      <c r="D184" s="28">
        <v>1</v>
      </c>
      <c r="E184" s="27">
        <v>4.8053820278712159E-4</v>
      </c>
    </row>
    <row r="185" spans="2:5" ht="15" customHeight="1">
      <c r="B185" s="74"/>
      <c r="C185" s="29" t="s">
        <v>664</v>
      </c>
      <c r="D185" s="28">
        <v>3</v>
      </c>
      <c r="E185" s="27">
        <v>1.4416146083613647E-3</v>
      </c>
    </row>
    <row r="186" spans="2:5" ht="15" customHeight="1">
      <c r="B186" s="74"/>
      <c r="C186" s="29" t="s">
        <v>432</v>
      </c>
      <c r="D186" s="28">
        <v>1</v>
      </c>
      <c r="E186" s="27">
        <v>4.8053820278712159E-4</v>
      </c>
    </row>
    <row r="187" spans="2:5" ht="15" customHeight="1">
      <c r="B187" s="74"/>
      <c r="C187" s="29" t="s">
        <v>431</v>
      </c>
      <c r="D187" s="28">
        <v>1</v>
      </c>
      <c r="E187" s="27">
        <v>4.8053820278712159E-4</v>
      </c>
    </row>
    <row r="188" spans="2:5" ht="15" customHeight="1">
      <c r="B188" s="74"/>
      <c r="C188" s="29" t="s">
        <v>430</v>
      </c>
      <c r="D188" s="28">
        <v>2</v>
      </c>
      <c r="E188" s="27">
        <v>9.6107640557424319E-4</v>
      </c>
    </row>
    <row r="189" spans="2:5" ht="15" customHeight="1">
      <c r="B189" s="74"/>
      <c r="C189" s="29" t="s">
        <v>429</v>
      </c>
      <c r="D189" s="28">
        <v>2</v>
      </c>
      <c r="E189" s="27">
        <v>9.6107640557424319E-4</v>
      </c>
    </row>
    <row r="190" spans="2:5" ht="15" customHeight="1">
      <c r="B190" s="74"/>
      <c r="C190" s="29" t="s">
        <v>428</v>
      </c>
      <c r="D190" s="28">
        <v>1</v>
      </c>
      <c r="E190" s="27">
        <v>4.8053820278712159E-4</v>
      </c>
    </row>
    <row r="191" spans="2:5" ht="15" customHeight="1">
      <c r="B191" s="74"/>
      <c r="C191" s="29" t="s">
        <v>427</v>
      </c>
      <c r="D191" s="28">
        <v>2</v>
      </c>
      <c r="E191" s="27">
        <v>9.6107640557424319E-4</v>
      </c>
    </row>
    <row r="192" spans="2:5" ht="15" customHeight="1">
      <c r="B192" s="74"/>
      <c r="C192" s="29" t="s">
        <v>426</v>
      </c>
      <c r="D192" s="28">
        <v>1</v>
      </c>
      <c r="E192" s="27">
        <v>4.8053820278712159E-4</v>
      </c>
    </row>
    <row r="193" spans="2:5" ht="15" customHeight="1">
      <c r="B193" s="74"/>
      <c r="C193" s="29" t="s">
        <v>425</v>
      </c>
      <c r="D193" s="28">
        <v>2</v>
      </c>
      <c r="E193" s="27">
        <v>9.6107640557424319E-4</v>
      </c>
    </row>
    <row r="194" spans="2:5" ht="15" customHeight="1">
      <c r="B194" s="74"/>
      <c r="C194" s="29" t="s">
        <v>424</v>
      </c>
      <c r="D194" s="28">
        <v>4</v>
      </c>
      <c r="E194" s="27">
        <v>1.9221528111484864E-3</v>
      </c>
    </row>
    <row r="195" spans="2:5" ht="15" customHeight="1">
      <c r="B195" s="74"/>
      <c r="C195" s="29" t="s">
        <v>423</v>
      </c>
      <c r="D195" s="28">
        <v>1</v>
      </c>
      <c r="E195" s="27">
        <v>4.8053820278712159E-4</v>
      </c>
    </row>
    <row r="196" spans="2:5" ht="15" customHeight="1">
      <c r="B196" s="74"/>
      <c r="C196" s="29" t="s">
        <v>422</v>
      </c>
      <c r="D196" s="28">
        <v>2</v>
      </c>
      <c r="E196" s="27">
        <v>9.6107640557424319E-4</v>
      </c>
    </row>
    <row r="197" spans="2:5" ht="15" customHeight="1">
      <c r="B197" s="74"/>
      <c r="C197" s="29" t="s">
        <v>665</v>
      </c>
      <c r="D197" s="28">
        <v>1</v>
      </c>
      <c r="E197" s="27">
        <v>4.8053820278712159E-4</v>
      </c>
    </row>
    <row r="198" spans="2:5" ht="15" customHeight="1">
      <c r="B198" s="74"/>
      <c r="C198" s="29" t="s">
        <v>666</v>
      </c>
      <c r="D198" s="28">
        <v>1</v>
      </c>
      <c r="E198" s="27">
        <v>4.8053820278712159E-4</v>
      </c>
    </row>
    <row r="199" spans="2:5" ht="15" customHeight="1">
      <c r="B199" s="74"/>
      <c r="C199" s="29" t="s">
        <v>421</v>
      </c>
      <c r="D199" s="28">
        <v>3</v>
      </c>
      <c r="E199" s="27">
        <v>1.4416146083613647E-3</v>
      </c>
    </row>
    <row r="200" spans="2:5" ht="15" customHeight="1">
      <c r="B200" s="74"/>
      <c r="C200" s="29" t="s">
        <v>420</v>
      </c>
      <c r="D200" s="28">
        <v>8</v>
      </c>
      <c r="E200" s="27">
        <v>3.8443056222969728E-3</v>
      </c>
    </row>
    <row r="201" spans="2:5" ht="15" customHeight="1">
      <c r="B201" s="74"/>
      <c r="C201" s="29" t="s">
        <v>419</v>
      </c>
      <c r="D201" s="28">
        <v>1</v>
      </c>
      <c r="E201" s="27">
        <v>4.8053820278712159E-4</v>
      </c>
    </row>
    <row r="202" spans="2:5" ht="15" customHeight="1">
      <c r="B202" s="74"/>
      <c r="C202" s="29" t="s">
        <v>418</v>
      </c>
      <c r="D202" s="28">
        <v>10</v>
      </c>
      <c r="E202" s="27">
        <v>4.8053820278712162E-3</v>
      </c>
    </row>
    <row r="203" spans="2:5" ht="15" customHeight="1">
      <c r="B203" s="74"/>
      <c r="C203" s="29" t="s">
        <v>667</v>
      </c>
      <c r="D203" s="28">
        <v>1</v>
      </c>
      <c r="E203" s="27">
        <v>4.8053820278712159E-4</v>
      </c>
    </row>
    <row r="204" spans="2:5" ht="15" customHeight="1">
      <c r="B204" s="74"/>
      <c r="C204" s="29" t="s">
        <v>417</v>
      </c>
      <c r="D204" s="28">
        <v>1</v>
      </c>
      <c r="E204" s="27">
        <v>4.8053820278712159E-4</v>
      </c>
    </row>
    <row r="205" spans="2:5" ht="15" customHeight="1">
      <c r="B205" s="74"/>
      <c r="C205" s="29" t="s">
        <v>416</v>
      </c>
      <c r="D205" s="28">
        <v>3</v>
      </c>
      <c r="E205" s="27">
        <v>1.4416146083613647E-3</v>
      </c>
    </row>
    <row r="206" spans="2:5" ht="15" customHeight="1">
      <c r="B206" s="74"/>
      <c r="C206" s="29" t="s">
        <v>415</v>
      </c>
      <c r="D206" s="28">
        <v>2</v>
      </c>
      <c r="E206" s="27">
        <v>9.6107640557424319E-4</v>
      </c>
    </row>
    <row r="207" spans="2:5" ht="15" customHeight="1">
      <c r="B207" s="74"/>
      <c r="C207" s="29" t="s">
        <v>414</v>
      </c>
      <c r="D207" s="28">
        <v>3</v>
      </c>
      <c r="E207" s="27">
        <v>1.4416146083613647E-3</v>
      </c>
    </row>
    <row r="208" spans="2:5" ht="15" customHeight="1">
      <c r="B208" s="74"/>
      <c r="C208" s="29" t="s">
        <v>413</v>
      </c>
      <c r="D208" s="28">
        <v>25</v>
      </c>
      <c r="E208" s="27">
        <v>1.2013455069678039E-2</v>
      </c>
    </row>
    <row r="209" spans="2:5" ht="15" customHeight="1">
      <c r="B209" s="74"/>
      <c r="C209" s="29" t="s">
        <v>412</v>
      </c>
      <c r="D209" s="28">
        <v>2</v>
      </c>
      <c r="E209" s="27">
        <v>9.6107640557424319E-4</v>
      </c>
    </row>
    <row r="210" spans="2:5" ht="15" customHeight="1">
      <c r="B210" s="74"/>
      <c r="C210" s="29" t="s">
        <v>411</v>
      </c>
      <c r="D210" s="28">
        <v>3</v>
      </c>
      <c r="E210" s="27">
        <v>1.4416146083613647E-3</v>
      </c>
    </row>
    <row r="211" spans="2:5" ht="15" customHeight="1">
      <c r="B211" s="74"/>
      <c r="C211" s="29" t="s">
        <v>410</v>
      </c>
      <c r="D211" s="28">
        <v>1</v>
      </c>
      <c r="E211" s="27">
        <v>4.8053820278712159E-4</v>
      </c>
    </row>
    <row r="212" spans="2:5" ht="15" customHeight="1">
      <c r="B212" s="74"/>
      <c r="C212" s="29" t="s">
        <v>409</v>
      </c>
      <c r="D212" s="28">
        <v>7</v>
      </c>
      <c r="E212" s="27">
        <v>3.363767419509851E-3</v>
      </c>
    </row>
    <row r="213" spans="2:5" ht="15" customHeight="1">
      <c r="B213" s="74"/>
      <c r="C213" s="29" t="s">
        <v>408</v>
      </c>
      <c r="D213" s="28">
        <v>1</v>
      </c>
      <c r="E213" s="27">
        <v>4.8053820278712159E-4</v>
      </c>
    </row>
    <row r="214" spans="2:5" ht="15" customHeight="1">
      <c r="B214" s="74"/>
      <c r="C214" s="29" t="s">
        <v>407</v>
      </c>
      <c r="D214" s="28">
        <v>2</v>
      </c>
      <c r="E214" s="27">
        <v>9.6107640557424319E-4</v>
      </c>
    </row>
    <row r="215" spans="2:5" ht="15" customHeight="1">
      <c r="B215" s="74"/>
      <c r="C215" s="29" t="s">
        <v>406</v>
      </c>
      <c r="D215" s="28">
        <v>1</v>
      </c>
      <c r="E215" s="27">
        <v>4.8053820278712159E-4</v>
      </c>
    </row>
    <row r="216" spans="2:5" ht="15" customHeight="1">
      <c r="B216" s="74"/>
      <c r="C216" s="29" t="s">
        <v>405</v>
      </c>
      <c r="D216" s="28">
        <v>1</v>
      </c>
      <c r="E216" s="27">
        <v>4.8053820278712159E-4</v>
      </c>
    </row>
    <row r="217" spans="2:5" ht="15" customHeight="1">
      <c r="B217" s="74"/>
      <c r="C217" s="29" t="s">
        <v>404</v>
      </c>
      <c r="D217" s="28">
        <v>7</v>
      </c>
      <c r="E217" s="27">
        <v>3.363767419509851E-3</v>
      </c>
    </row>
    <row r="218" spans="2:5" ht="15" customHeight="1">
      <c r="B218" s="74"/>
      <c r="C218" s="29" t="s">
        <v>668</v>
      </c>
      <c r="D218" s="28">
        <v>1</v>
      </c>
      <c r="E218" s="27">
        <v>4.8053820278712159E-4</v>
      </c>
    </row>
    <row r="219" spans="2:5" ht="15" customHeight="1">
      <c r="B219" s="74"/>
      <c r="C219" s="29" t="s">
        <v>669</v>
      </c>
      <c r="D219" s="28">
        <v>2</v>
      </c>
      <c r="E219" s="27">
        <v>9.6107640557424319E-4</v>
      </c>
    </row>
    <row r="220" spans="2:5" ht="15" customHeight="1">
      <c r="B220" s="74"/>
      <c r="C220" s="29" t="s">
        <v>403</v>
      </c>
      <c r="D220" s="28">
        <v>6</v>
      </c>
      <c r="E220" s="27">
        <v>2.8832292167227293E-3</v>
      </c>
    </row>
    <row r="221" spans="2:5" ht="15" customHeight="1">
      <c r="B221" s="74"/>
      <c r="C221" s="29" t="s">
        <v>402</v>
      </c>
      <c r="D221" s="28">
        <v>1</v>
      </c>
      <c r="E221" s="27">
        <v>4.8053820278712159E-4</v>
      </c>
    </row>
    <row r="222" spans="2:5" ht="15" customHeight="1">
      <c r="B222" s="74"/>
      <c r="C222" s="29" t="s">
        <v>401</v>
      </c>
      <c r="D222" s="28">
        <v>1</v>
      </c>
      <c r="E222" s="27">
        <v>4.8053820278712159E-4</v>
      </c>
    </row>
    <row r="223" spans="2:5" ht="15" customHeight="1">
      <c r="B223" s="74"/>
      <c r="C223" s="29" t="s">
        <v>400</v>
      </c>
      <c r="D223" s="28">
        <v>1</v>
      </c>
      <c r="E223" s="27">
        <v>4.8053820278712159E-4</v>
      </c>
    </row>
    <row r="224" spans="2:5" ht="15" customHeight="1">
      <c r="B224" s="74"/>
      <c r="C224" s="29" t="s">
        <v>399</v>
      </c>
      <c r="D224" s="28">
        <v>3</v>
      </c>
      <c r="E224" s="27">
        <v>1.4416146083613647E-3</v>
      </c>
    </row>
    <row r="225" spans="2:5" ht="15" customHeight="1">
      <c r="B225" s="74"/>
      <c r="C225" s="29" t="s">
        <v>398</v>
      </c>
      <c r="D225" s="28">
        <v>2</v>
      </c>
      <c r="E225" s="27">
        <v>9.6107640557424319E-4</v>
      </c>
    </row>
    <row r="226" spans="2:5" ht="15" customHeight="1">
      <c r="B226" s="75"/>
      <c r="C226" s="26" t="s">
        <v>3</v>
      </c>
      <c r="D226" s="25">
        <v>139</v>
      </c>
      <c r="E226" s="24">
        <v>6.6794810187409903E-2</v>
      </c>
    </row>
    <row r="227" spans="2:5" ht="15" customHeight="1">
      <c r="B227" s="73" t="s">
        <v>23</v>
      </c>
      <c r="C227" s="29" t="s">
        <v>397</v>
      </c>
      <c r="D227" s="28">
        <v>3</v>
      </c>
      <c r="E227" s="27">
        <v>1.4416146083613647E-3</v>
      </c>
    </row>
    <row r="228" spans="2:5" ht="15" customHeight="1">
      <c r="B228" s="74"/>
      <c r="C228" s="29" t="s">
        <v>670</v>
      </c>
      <c r="D228" s="28">
        <v>1</v>
      </c>
      <c r="E228" s="27">
        <v>4.8053820278712159E-4</v>
      </c>
    </row>
    <row r="229" spans="2:5" ht="15" customHeight="1">
      <c r="B229" s="74"/>
      <c r="C229" s="29" t="s">
        <v>396</v>
      </c>
      <c r="D229" s="28">
        <v>1</v>
      </c>
      <c r="E229" s="27">
        <v>4.8053820278712159E-4</v>
      </c>
    </row>
    <row r="230" spans="2:5" ht="15" customHeight="1">
      <c r="B230" s="74"/>
      <c r="C230" s="29" t="s">
        <v>671</v>
      </c>
      <c r="D230" s="28">
        <v>1</v>
      </c>
      <c r="E230" s="27">
        <v>4.8053820278712159E-4</v>
      </c>
    </row>
    <row r="231" spans="2:5" ht="15" customHeight="1">
      <c r="B231" s="74"/>
      <c r="C231" s="29" t="s">
        <v>395</v>
      </c>
      <c r="D231" s="28">
        <v>4</v>
      </c>
      <c r="E231" s="27">
        <v>1.9221528111484864E-3</v>
      </c>
    </row>
    <row r="232" spans="2:5" ht="15" customHeight="1">
      <c r="B232" s="74"/>
      <c r="C232" s="29" t="s">
        <v>394</v>
      </c>
      <c r="D232" s="28">
        <v>2</v>
      </c>
      <c r="E232" s="27">
        <v>9.6107640557424319E-4</v>
      </c>
    </row>
    <row r="233" spans="2:5" ht="15" customHeight="1">
      <c r="B233" s="74"/>
      <c r="C233" s="29" t="s">
        <v>392</v>
      </c>
      <c r="D233" s="28">
        <v>2</v>
      </c>
      <c r="E233" s="27">
        <v>9.6107640557424319E-4</v>
      </c>
    </row>
    <row r="234" spans="2:5" ht="15" customHeight="1">
      <c r="B234" s="74"/>
      <c r="C234" s="29" t="s">
        <v>391</v>
      </c>
      <c r="D234" s="28">
        <v>3</v>
      </c>
      <c r="E234" s="27">
        <v>1.4416146083613647E-3</v>
      </c>
    </row>
    <row r="235" spans="2:5" ht="15" customHeight="1">
      <c r="B235" s="74"/>
      <c r="C235" s="29" t="s">
        <v>390</v>
      </c>
      <c r="D235" s="28">
        <v>2</v>
      </c>
      <c r="E235" s="27">
        <v>9.6107640557424319E-4</v>
      </c>
    </row>
    <row r="236" spans="2:5" ht="15" customHeight="1">
      <c r="B236" s="74"/>
      <c r="C236" s="29" t="s">
        <v>389</v>
      </c>
      <c r="D236" s="28">
        <v>4</v>
      </c>
      <c r="E236" s="27">
        <v>1.9221528111484864E-3</v>
      </c>
    </row>
    <row r="237" spans="2:5" ht="15" customHeight="1">
      <c r="B237" s="74"/>
      <c r="C237" s="29" t="s">
        <v>388</v>
      </c>
      <c r="D237" s="28">
        <v>3</v>
      </c>
      <c r="E237" s="27">
        <v>1.4416146083613647E-3</v>
      </c>
    </row>
    <row r="238" spans="2:5" ht="15" customHeight="1">
      <c r="B238" s="74"/>
      <c r="C238" s="29" t="s">
        <v>387</v>
      </c>
      <c r="D238" s="28">
        <v>3</v>
      </c>
      <c r="E238" s="27">
        <v>1.4416146083613647E-3</v>
      </c>
    </row>
    <row r="239" spans="2:5" ht="15" customHeight="1">
      <c r="B239" s="74"/>
      <c r="C239" s="29" t="s">
        <v>386</v>
      </c>
      <c r="D239" s="28">
        <v>3</v>
      </c>
      <c r="E239" s="27">
        <v>1.4416146083613647E-3</v>
      </c>
    </row>
    <row r="240" spans="2:5" ht="15" customHeight="1">
      <c r="B240" s="74"/>
      <c r="C240" s="29" t="s">
        <v>385</v>
      </c>
      <c r="D240" s="28">
        <v>1</v>
      </c>
      <c r="E240" s="27">
        <v>4.8053820278712159E-4</v>
      </c>
    </row>
    <row r="241" spans="2:5" ht="15" customHeight="1">
      <c r="B241" s="74"/>
      <c r="C241" s="29" t="s">
        <v>384</v>
      </c>
      <c r="D241" s="28">
        <v>4</v>
      </c>
      <c r="E241" s="27">
        <v>1.9221528111484864E-3</v>
      </c>
    </row>
    <row r="242" spans="2:5" ht="15" customHeight="1">
      <c r="B242" s="74"/>
      <c r="C242" s="29" t="s">
        <v>383</v>
      </c>
      <c r="D242" s="28">
        <v>6</v>
      </c>
      <c r="E242" s="27">
        <v>2.8832292167227293E-3</v>
      </c>
    </row>
    <row r="243" spans="2:5" ht="15" customHeight="1">
      <c r="B243" s="74"/>
      <c r="C243" s="29" t="s">
        <v>382</v>
      </c>
      <c r="D243" s="28">
        <v>1</v>
      </c>
      <c r="E243" s="27">
        <v>4.8053820278712159E-4</v>
      </c>
    </row>
    <row r="244" spans="2:5" ht="15" customHeight="1">
      <c r="B244" s="74"/>
      <c r="C244" s="29" t="s">
        <v>381</v>
      </c>
      <c r="D244" s="28">
        <v>5</v>
      </c>
      <c r="E244" s="27">
        <v>2.4026910139356081E-3</v>
      </c>
    </row>
    <row r="245" spans="2:5" ht="15" customHeight="1">
      <c r="B245" s="74"/>
      <c r="C245" s="29" t="s">
        <v>380</v>
      </c>
      <c r="D245" s="28">
        <v>1</v>
      </c>
      <c r="E245" s="27">
        <v>4.8053820278712159E-4</v>
      </c>
    </row>
    <row r="246" spans="2:5" ht="15" customHeight="1">
      <c r="B246" s="74"/>
      <c r="C246" s="29" t="s">
        <v>379</v>
      </c>
      <c r="D246" s="28">
        <v>2</v>
      </c>
      <c r="E246" s="27">
        <v>9.6107640557424319E-4</v>
      </c>
    </row>
    <row r="247" spans="2:5" ht="15" customHeight="1">
      <c r="B247" s="74"/>
      <c r="C247" s="29" t="s">
        <v>378</v>
      </c>
      <c r="D247" s="28">
        <v>20</v>
      </c>
      <c r="E247" s="27">
        <v>9.6107640557424323E-3</v>
      </c>
    </row>
    <row r="248" spans="2:5" ht="15" customHeight="1">
      <c r="B248" s="74"/>
      <c r="C248" s="29" t="s">
        <v>377</v>
      </c>
      <c r="D248" s="28">
        <v>1</v>
      </c>
      <c r="E248" s="27">
        <v>4.8053820278712159E-4</v>
      </c>
    </row>
    <row r="249" spans="2:5" ht="15" customHeight="1">
      <c r="B249" s="74"/>
      <c r="C249" s="29" t="s">
        <v>672</v>
      </c>
      <c r="D249" s="28">
        <v>1</v>
      </c>
      <c r="E249" s="27">
        <v>4.8053820278712159E-4</v>
      </c>
    </row>
    <row r="250" spans="2:5" ht="15" customHeight="1">
      <c r="B250" s="74"/>
      <c r="C250" s="29" t="s">
        <v>376</v>
      </c>
      <c r="D250" s="28">
        <v>1</v>
      </c>
      <c r="E250" s="27">
        <v>4.8053820278712159E-4</v>
      </c>
    </row>
    <row r="251" spans="2:5" ht="15" customHeight="1">
      <c r="B251" s="74"/>
      <c r="C251" s="29" t="s">
        <v>673</v>
      </c>
      <c r="D251" s="28">
        <v>1</v>
      </c>
      <c r="E251" s="27">
        <v>4.8053820278712159E-4</v>
      </c>
    </row>
    <row r="252" spans="2:5" ht="15" customHeight="1">
      <c r="B252" s="74"/>
      <c r="C252" s="29" t="s">
        <v>375</v>
      </c>
      <c r="D252" s="28">
        <v>2</v>
      </c>
      <c r="E252" s="27">
        <v>9.6107640557424319E-4</v>
      </c>
    </row>
    <row r="253" spans="2:5" ht="15" customHeight="1">
      <c r="B253" s="74"/>
      <c r="C253" s="29" t="s">
        <v>374</v>
      </c>
      <c r="D253" s="28">
        <v>1</v>
      </c>
      <c r="E253" s="27">
        <v>4.8053820278712159E-4</v>
      </c>
    </row>
    <row r="254" spans="2:5" ht="15" customHeight="1">
      <c r="B254" s="74"/>
      <c r="C254" s="29" t="s">
        <v>373</v>
      </c>
      <c r="D254" s="28">
        <v>5</v>
      </c>
      <c r="E254" s="27">
        <v>2.4026910139356081E-3</v>
      </c>
    </row>
    <row r="255" spans="2:5" ht="15" customHeight="1">
      <c r="B255" s="74"/>
      <c r="C255" s="29" t="s">
        <v>372</v>
      </c>
      <c r="D255" s="28">
        <v>2</v>
      </c>
      <c r="E255" s="27">
        <v>9.6107640557424319E-4</v>
      </c>
    </row>
    <row r="256" spans="2:5" ht="15" customHeight="1">
      <c r="B256" s="74"/>
      <c r="C256" s="29" t="s">
        <v>371</v>
      </c>
      <c r="D256" s="28">
        <v>1</v>
      </c>
      <c r="E256" s="27">
        <v>4.8053820278712159E-4</v>
      </c>
    </row>
    <row r="257" spans="2:5" ht="15" customHeight="1">
      <c r="B257" s="74"/>
      <c r="C257" s="29" t="s">
        <v>370</v>
      </c>
      <c r="D257" s="28">
        <v>4</v>
      </c>
      <c r="E257" s="27">
        <v>1.9221528111484864E-3</v>
      </c>
    </row>
    <row r="258" spans="2:5" ht="15" customHeight="1">
      <c r="B258" s="75"/>
      <c r="C258" s="26" t="s">
        <v>3</v>
      </c>
      <c r="D258" s="25">
        <v>91</v>
      </c>
      <c r="E258" s="24">
        <v>4.3728976453628061E-2</v>
      </c>
    </row>
    <row r="259" spans="2:5" ht="15" customHeight="1">
      <c r="B259" s="73" t="s">
        <v>27</v>
      </c>
      <c r="C259" s="29" t="s">
        <v>674</v>
      </c>
      <c r="D259" s="28">
        <v>1</v>
      </c>
      <c r="E259" s="27">
        <v>4.8053820278712159E-4</v>
      </c>
    </row>
    <row r="260" spans="2:5" ht="15" customHeight="1">
      <c r="B260" s="74"/>
      <c r="C260" s="29" t="s">
        <v>369</v>
      </c>
      <c r="D260" s="28">
        <v>1</v>
      </c>
      <c r="E260" s="27">
        <v>4.8053820278712159E-4</v>
      </c>
    </row>
    <row r="261" spans="2:5" ht="15" customHeight="1">
      <c r="B261" s="74"/>
      <c r="C261" s="29" t="s">
        <v>368</v>
      </c>
      <c r="D261" s="28">
        <v>1</v>
      </c>
      <c r="E261" s="27">
        <v>4.8053820278712159E-4</v>
      </c>
    </row>
    <row r="262" spans="2:5" ht="15" customHeight="1">
      <c r="B262" s="74"/>
      <c r="C262" s="29" t="s">
        <v>675</v>
      </c>
      <c r="D262" s="28">
        <v>1</v>
      </c>
      <c r="E262" s="27">
        <v>4.8053820278712159E-4</v>
      </c>
    </row>
    <row r="263" spans="2:5" ht="15" customHeight="1">
      <c r="B263" s="74"/>
      <c r="C263" s="29" t="s">
        <v>676</v>
      </c>
      <c r="D263" s="28">
        <v>2</v>
      </c>
      <c r="E263" s="27">
        <v>9.6107640557424319E-4</v>
      </c>
    </row>
    <row r="264" spans="2:5" ht="15" customHeight="1">
      <c r="B264" s="74"/>
      <c r="C264" s="29" t="s">
        <v>423</v>
      </c>
      <c r="D264" s="28">
        <v>1</v>
      </c>
      <c r="E264" s="27">
        <v>4.8053820278712159E-4</v>
      </c>
    </row>
    <row r="265" spans="2:5" ht="15" customHeight="1">
      <c r="B265" s="74"/>
      <c r="C265" s="29" t="s">
        <v>367</v>
      </c>
      <c r="D265" s="28">
        <v>2</v>
      </c>
      <c r="E265" s="27">
        <v>9.6107640557424319E-4</v>
      </c>
    </row>
    <row r="266" spans="2:5" ht="15" customHeight="1">
      <c r="B266" s="74"/>
      <c r="C266" s="29" t="s">
        <v>366</v>
      </c>
      <c r="D266" s="28">
        <v>1</v>
      </c>
      <c r="E266" s="27">
        <v>4.8053820278712159E-4</v>
      </c>
    </row>
    <row r="267" spans="2:5" ht="15" customHeight="1">
      <c r="B267" s="74"/>
      <c r="C267" s="29" t="s">
        <v>365</v>
      </c>
      <c r="D267" s="28">
        <v>15</v>
      </c>
      <c r="E267" s="27">
        <v>7.2080730418068234E-3</v>
      </c>
    </row>
    <row r="268" spans="2:5" ht="15" customHeight="1">
      <c r="B268" s="74"/>
      <c r="C268" s="29" t="s">
        <v>364</v>
      </c>
      <c r="D268" s="28">
        <v>1</v>
      </c>
      <c r="E268" s="27">
        <v>4.8053820278712159E-4</v>
      </c>
    </row>
    <row r="269" spans="2:5" ht="15" customHeight="1">
      <c r="B269" s="74"/>
      <c r="C269" s="29" t="s">
        <v>363</v>
      </c>
      <c r="D269" s="28">
        <v>1</v>
      </c>
      <c r="E269" s="27">
        <v>4.8053820278712159E-4</v>
      </c>
    </row>
    <row r="270" spans="2:5" ht="15" customHeight="1">
      <c r="B270" s="74"/>
      <c r="C270" s="29" t="s">
        <v>362</v>
      </c>
      <c r="D270" s="28">
        <v>2</v>
      </c>
      <c r="E270" s="27">
        <v>9.6107640557424319E-4</v>
      </c>
    </row>
    <row r="271" spans="2:5" ht="15" customHeight="1">
      <c r="B271" s="74"/>
      <c r="C271" s="29" t="s">
        <v>361</v>
      </c>
      <c r="D271" s="28">
        <v>26</v>
      </c>
      <c r="E271" s="27">
        <v>1.2493993272465162E-2</v>
      </c>
    </row>
    <row r="272" spans="2:5" ht="15" customHeight="1">
      <c r="B272" s="74"/>
      <c r="C272" s="29" t="s">
        <v>360</v>
      </c>
      <c r="D272" s="28">
        <v>1</v>
      </c>
      <c r="E272" s="27">
        <v>4.8053820278712159E-4</v>
      </c>
    </row>
    <row r="273" spans="2:5" ht="15" customHeight="1">
      <c r="B273" s="74"/>
      <c r="C273" s="29" t="s">
        <v>677</v>
      </c>
      <c r="D273" s="28">
        <v>1</v>
      </c>
      <c r="E273" s="27">
        <v>4.8053820278712159E-4</v>
      </c>
    </row>
    <row r="274" spans="2:5" ht="15" customHeight="1">
      <c r="B274" s="74"/>
      <c r="C274" s="29" t="s">
        <v>359</v>
      </c>
      <c r="D274" s="28">
        <v>2</v>
      </c>
      <c r="E274" s="27">
        <v>9.6107640557424319E-4</v>
      </c>
    </row>
    <row r="275" spans="2:5" ht="15" customHeight="1">
      <c r="B275" s="74"/>
      <c r="C275" s="29" t="s">
        <v>678</v>
      </c>
      <c r="D275" s="28">
        <v>1</v>
      </c>
      <c r="E275" s="27">
        <v>4.8053820278712159E-4</v>
      </c>
    </row>
    <row r="276" spans="2:5" ht="15" customHeight="1">
      <c r="B276" s="74"/>
      <c r="C276" s="29" t="s">
        <v>358</v>
      </c>
      <c r="D276" s="28">
        <v>3</v>
      </c>
      <c r="E276" s="27">
        <v>1.4416146083613647E-3</v>
      </c>
    </row>
    <row r="277" spans="2:5" ht="15" customHeight="1">
      <c r="B277" s="74"/>
      <c r="C277" s="29" t="s">
        <v>148</v>
      </c>
      <c r="D277" s="28">
        <v>1</v>
      </c>
      <c r="E277" s="27">
        <v>4.8053820278712159E-4</v>
      </c>
    </row>
    <row r="278" spans="2:5" ht="15" customHeight="1">
      <c r="B278" s="74"/>
      <c r="C278" s="29" t="s">
        <v>357</v>
      </c>
      <c r="D278" s="28">
        <v>1</v>
      </c>
      <c r="E278" s="27">
        <v>4.8053820278712159E-4</v>
      </c>
    </row>
    <row r="279" spans="2:5" ht="15" customHeight="1">
      <c r="B279" s="74"/>
      <c r="C279" s="29" t="s">
        <v>356</v>
      </c>
      <c r="D279" s="28">
        <v>1</v>
      </c>
      <c r="E279" s="27">
        <v>4.8053820278712159E-4</v>
      </c>
    </row>
    <row r="280" spans="2:5" ht="15" customHeight="1">
      <c r="B280" s="74"/>
      <c r="C280" s="29" t="s">
        <v>355</v>
      </c>
      <c r="D280" s="28">
        <v>1</v>
      </c>
      <c r="E280" s="27">
        <v>4.8053820278712159E-4</v>
      </c>
    </row>
    <row r="281" spans="2:5" ht="15" customHeight="1">
      <c r="B281" s="74"/>
      <c r="C281" s="29" t="s">
        <v>354</v>
      </c>
      <c r="D281" s="28">
        <v>1</v>
      </c>
      <c r="E281" s="27">
        <v>4.8053820278712159E-4</v>
      </c>
    </row>
    <row r="282" spans="2:5" ht="15" customHeight="1">
      <c r="B282" s="74"/>
      <c r="C282" s="29" t="s">
        <v>353</v>
      </c>
      <c r="D282" s="28">
        <v>2</v>
      </c>
      <c r="E282" s="27">
        <v>9.6107640557424319E-4</v>
      </c>
    </row>
    <row r="283" spans="2:5" ht="15" customHeight="1">
      <c r="B283" s="74"/>
      <c r="C283" s="29" t="s">
        <v>679</v>
      </c>
      <c r="D283" s="28">
        <v>2</v>
      </c>
      <c r="E283" s="27">
        <v>9.6107640557424319E-4</v>
      </c>
    </row>
    <row r="284" spans="2:5" ht="15" customHeight="1">
      <c r="B284" s="74"/>
      <c r="C284" s="29" t="s">
        <v>352</v>
      </c>
      <c r="D284" s="28">
        <v>1</v>
      </c>
      <c r="E284" s="27">
        <v>4.8053820278712159E-4</v>
      </c>
    </row>
    <row r="285" spans="2:5" ht="15" customHeight="1">
      <c r="B285" s="74"/>
      <c r="C285" s="29" t="s">
        <v>351</v>
      </c>
      <c r="D285" s="28">
        <v>5</v>
      </c>
      <c r="E285" s="27">
        <v>2.4026910139356081E-3</v>
      </c>
    </row>
    <row r="286" spans="2:5" ht="15" customHeight="1">
      <c r="B286" s="74"/>
      <c r="C286" s="29" t="s">
        <v>350</v>
      </c>
      <c r="D286" s="28">
        <v>1</v>
      </c>
      <c r="E286" s="27">
        <v>4.8053820278712159E-4</v>
      </c>
    </row>
    <row r="287" spans="2:5" ht="15" customHeight="1">
      <c r="B287" s="74"/>
      <c r="C287" s="29" t="s">
        <v>349</v>
      </c>
      <c r="D287" s="28">
        <v>3</v>
      </c>
      <c r="E287" s="27">
        <v>1.4416146083613647E-3</v>
      </c>
    </row>
    <row r="288" spans="2:5" ht="15" customHeight="1">
      <c r="B288" s="74"/>
      <c r="C288" s="29" t="s">
        <v>680</v>
      </c>
      <c r="D288" s="28">
        <v>1</v>
      </c>
      <c r="E288" s="27">
        <v>4.8053820278712159E-4</v>
      </c>
    </row>
    <row r="289" spans="2:5" ht="15" customHeight="1">
      <c r="B289" s="74"/>
      <c r="C289" s="29" t="s">
        <v>348</v>
      </c>
      <c r="D289" s="28">
        <v>1</v>
      </c>
      <c r="E289" s="27">
        <v>4.8053820278712159E-4</v>
      </c>
    </row>
    <row r="290" spans="2:5" ht="15" customHeight="1">
      <c r="B290" s="74"/>
      <c r="C290" s="29" t="s">
        <v>347</v>
      </c>
      <c r="D290" s="28">
        <v>1</v>
      </c>
      <c r="E290" s="27">
        <v>4.8053820278712159E-4</v>
      </c>
    </row>
    <row r="291" spans="2:5" ht="15" customHeight="1">
      <c r="B291" s="74"/>
      <c r="C291" s="29" t="s">
        <v>346</v>
      </c>
      <c r="D291" s="28">
        <v>1</v>
      </c>
      <c r="E291" s="27">
        <v>4.8053820278712159E-4</v>
      </c>
    </row>
    <row r="292" spans="2:5" ht="15" customHeight="1">
      <c r="B292" s="74"/>
      <c r="C292" s="29" t="s">
        <v>345</v>
      </c>
      <c r="D292" s="28">
        <v>1</v>
      </c>
      <c r="E292" s="27">
        <v>4.8053820278712159E-4</v>
      </c>
    </row>
    <row r="293" spans="2:5" ht="15" customHeight="1">
      <c r="B293" s="74"/>
      <c r="C293" s="29" t="s">
        <v>681</v>
      </c>
      <c r="D293" s="28">
        <v>1</v>
      </c>
      <c r="E293" s="27">
        <v>4.8053820278712159E-4</v>
      </c>
    </row>
    <row r="294" spans="2:5" ht="15" customHeight="1">
      <c r="B294" s="74"/>
      <c r="C294" s="29" t="s">
        <v>682</v>
      </c>
      <c r="D294" s="28">
        <v>1</v>
      </c>
      <c r="E294" s="27">
        <v>4.8053820278712159E-4</v>
      </c>
    </row>
    <row r="295" spans="2:5" ht="15" customHeight="1">
      <c r="B295" s="74"/>
      <c r="C295" s="29" t="s">
        <v>343</v>
      </c>
      <c r="D295" s="28">
        <v>2</v>
      </c>
      <c r="E295" s="27">
        <v>9.6107640557424319E-4</v>
      </c>
    </row>
    <row r="296" spans="2:5" ht="15" customHeight="1">
      <c r="B296" s="74"/>
      <c r="C296" s="29" t="s">
        <v>342</v>
      </c>
      <c r="D296" s="28">
        <v>28</v>
      </c>
      <c r="E296" s="27">
        <v>1.3455069678039404E-2</v>
      </c>
    </row>
    <row r="297" spans="2:5" ht="15" customHeight="1">
      <c r="B297" s="74"/>
      <c r="C297" s="29" t="s">
        <v>341</v>
      </c>
      <c r="D297" s="28">
        <v>1</v>
      </c>
      <c r="E297" s="27">
        <v>4.8053820278712159E-4</v>
      </c>
    </row>
    <row r="298" spans="2:5" ht="15" customHeight="1">
      <c r="B298" s="74"/>
      <c r="C298" s="29" t="s">
        <v>340</v>
      </c>
      <c r="D298" s="28">
        <v>1</v>
      </c>
      <c r="E298" s="27">
        <v>4.8053820278712159E-4</v>
      </c>
    </row>
    <row r="299" spans="2:5" ht="15" customHeight="1">
      <c r="B299" s="74"/>
      <c r="C299" s="29" t="s">
        <v>339</v>
      </c>
      <c r="D299" s="28">
        <v>1</v>
      </c>
      <c r="E299" s="27">
        <v>4.8053820278712159E-4</v>
      </c>
    </row>
    <row r="300" spans="2:5" ht="15" customHeight="1">
      <c r="B300" s="75"/>
      <c r="C300" s="26" t="s">
        <v>3</v>
      </c>
      <c r="D300" s="25">
        <v>122</v>
      </c>
      <c r="E300" s="24">
        <v>5.8625660740028833E-2</v>
      </c>
    </row>
    <row r="301" spans="2:5" ht="15" customHeight="1">
      <c r="B301" s="73" t="s">
        <v>25</v>
      </c>
      <c r="C301" s="29" t="s">
        <v>683</v>
      </c>
      <c r="D301" s="28">
        <v>1</v>
      </c>
      <c r="E301" s="27">
        <v>4.8053820278712159E-4</v>
      </c>
    </row>
    <row r="302" spans="2:5" ht="15" customHeight="1">
      <c r="B302" s="74"/>
      <c r="C302" s="29" t="s">
        <v>337</v>
      </c>
      <c r="D302" s="28">
        <v>1</v>
      </c>
      <c r="E302" s="27">
        <v>4.8053820278712159E-4</v>
      </c>
    </row>
    <row r="303" spans="2:5" ht="15" customHeight="1">
      <c r="B303" s="74"/>
      <c r="C303" s="29" t="s">
        <v>336</v>
      </c>
      <c r="D303" s="28">
        <v>2</v>
      </c>
      <c r="E303" s="27">
        <v>9.6107640557424319E-4</v>
      </c>
    </row>
    <row r="304" spans="2:5" ht="15" customHeight="1">
      <c r="B304" s="74"/>
      <c r="C304" s="29" t="s">
        <v>335</v>
      </c>
      <c r="D304" s="28">
        <v>1</v>
      </c>
      <c r="E304" s="27">
        <v>4.8053820278712159E-4</v>
      </c>
    </row>
    <row r="305" spans="2:5" ht="15" customHeight="1">
      <c r="B305" s="74"/>
      <c r="C305" s="29" t="s">
        <v>334</v>
      </c>
      <c r="D305" s="28">
        <v>1</v>
      </c>
      <c r="E305" s="27">
        <v>4.8053820278712159E-4</v>
      </c>
    </row>
    <row r="306" spans="2:5" ht="15" customHeight="1">
      <c r="B306" s="74"/>
      <c r="C306" s="29" t="s">
        <v>333</v>
      </c>
      <c r="D306" s="28">
        <v>1</v>
      </c>
      <c r="E306" s="27">
        <v>4.8053820278712159E-4</v>
      </c>
    </row>
    <row r="307" spans="2:5" ht="15" customHeight="1">
      <c r="B307" s="74"/>
      <c r="C307" s="29" t="s">
        <v>332</v>
      </c>
      <c r="D307" s="28">
        <v>1</v>
      </c>
      <c r="E307" s="27">
        <v>4.8053820278712159E-4</v>
      </c>
    </row>
    <row r="308" spans="2:5" ht="15" customHeight="1">
      <c r="B308" s="74"/>
      <c r="C308" s="29" t="s">
        <v>684</v>
      </c>
      <c r="D308" s="28">
        <v>1</v>
      </c>
      <c r="E308" s="27">
        <v>4.8053820278712159E-4</v>
      </c>
    </row>
    <row r="309" spans="2:5" ht="15" customHeight="1">
      <c r="B309" s="74"/>
      <c r="C309" s="29" t="s">
        <v>331</v>
      </c>
      <c r="D309" s="28">
        <v>4</v>
      </c>
      <c r="E309" s="27">
        <v>1.9221528111484864E-3</v>
      </c>
    </row>
    <row r="310" spans="2:5" ht="15" customHeight="1">
      <c r="B310" s="74"/>
      <c r="C310" s="29" t="s">
        <v>330</v>
      </c>
      <c r="D310" s="28">
        <v>11</v>
      </c>
      <c r="E310" s="27">
        <v>5.2859202306583374E-3</v>
      </c>
    </row>
    <row r="311" spans="2:5" ht="15" customHeight="1">
      <c r="B311" s="74"/>
      <c r="C311" s="29" t="s">
        <v>329</v>
      </c>
      <c r="D311" s="28">
        <v>2</v>
      </c>
      <c r="E311" s="27">
        <v>9.6107640557424319E-4</v>
      </c>
    </row>
    <row r="312" spans="2:5" ht="15" customHeight="1">
      <c r="B312" s="74"/>
      <c r="C312" s="29" t="s">
        <v>685</v>
      </c>
      <c r="D312" s="28">
        <v>1</v>
      </c>
      <c r="E312" s="27">
        <v>4.8053820278712159E-4</v>
      </c>
    </row>
    <row r="313" spans="2:5" ht="15" customHeight="1">
      <c r="B313" s="74"/>
      <c r="C313" s="29" t="s">
        <v>23</v>
      </c>
      <c r="D313" s="28">
        <v>6</v>
      </c>
      <c r="E313" s="27">
        <v>2.8832292167227293E-3</v>
      </c>
    </row>
    <row r="314" spans="2:5" ht="15" customHeight="1">
      <c r="B314" s="74"/>
      <c r="C314" s="29" t="s">
        <v>686</v>
      </c>
      <c r="D314" s="28">
        <v>1</v>
      </c>
      <c r="E314" s="27">
        <v>4.8053820278712159E-4</v>
      </c>
    </row>
    <row r="315" spans="2:5" ht="15" customHeight="1">
      <c r="B315" s="74"/>
      <c r="C315" s="29" t="s">
        <v>328</v>
      </c>
      <c r="D315" s="28">
        <v>5</v>
      </c>
      <c r="E315" s="27">
        <v>2.4026910139356081E-3</v>
      </c>
    </row>
    <row r="316" spans="2:5" ht="15" customHeight="1">
      <c r="B316" s="74"/>
      <c r="C316" s="29" t="s">
        <v>327</v>
      </c>
      <c r="D316" s="28">
        <v>3</v>
      </c>
      <c r="E316" s="27">
        <v>1.4416146083613647E-3</v>
      </c>
    </row>
    <row r="317" spans="2:5" ht="15" customHeight="1">
      <c r="B317" s="74"/>
      <c r="C317" s="29" t="s">
        <v>326</v>
      </c>
      <c r="D317" s="28">
        <v>2</v>
      </c>
      <c r="E317" s="27">
        <v>9.6107640557424319E-4</v>
      </c>
    </row>
    <row r="318" spans="2:5" ht="15" customHeight="1">
      <c r="B318" s="74"/>
      <c r="C318" s="29" t="s">
        <v>325</v>
      </c>
      <c r="D318" s="28">
        <v>3</v>
      </c>
      <c r="E318" s="27">
        <v>1.4416146083613647E-3</v>
      </c>
    </row>
    <row r="319" spans="2:5" ht="15" customHeight="1">
      <c r="B319" s="74"/>
      <c r="C319" s="29" t="s">
        <v>324</v>
      </c>
      <c r="D319" s="28">
        <v>4</v>
      </c>
      <c r="E319" s="27">
        <v>1.9221528111484864E-3</v>
      </c>
    </row>
    <row r="320" spans="2:5" ht="15" customHeight="1">
      <c r="B320" s="74"/>
      <c r="C320" s="29" t="s">
        <v>687</v>
      </c>
      <c r="D320" s="28">
        <v>1</v>
      </c>
      <c r="E320" s="27">
        <v>4.8053820278712159E-4</v>
      </c>
    </row>
    <row r="321" spans="2:5" ht="15" customHeight="1">
      <c r="B321" s="74"/>
      <c r="C321" s="29" t="s">
        <v>323</v>
      </c>
      <c r="D321" s="28">
        <v>1</v>
      </c>
      <c r="E321" s="27">
        <v>4.8053820278712159E-4</v>
      </c>
    </row>
    <row r="322" spans="2:5" ht="15" customHeight="1">
      <c r="B322" s="74"/>
      <c r="C322" s="29" t="s">
        <v>322</v>
      </c>
      <c r="D322" s="28">
        <v>6</v>
      </c>
      <c r="E322" s="27">
        <v>2.8832292167227293E-3</v>
      </c>
    </row>
    <row r="323" spans="2:5" ht="15" customHeight="1">
      <c r="B323" s="74"/>
      <c r="C323" s="29" t="s">
        <v>166</v>
      </c>
      <c r="D323" s="28">
        <v>1</v>
      </c>
      <c r="E323" s="27">
        <v>4.8053820278712159E-4</v>
      </c>
    </row>
    <row r="324" spans="2:5" ht="15" customHeight="1">
      <c r="B324" s="74"/>
      <c r="C324" s="29" t="s">
        <v>321</v>
      </c>
      <c r="D324" s="28">
        <v>1</v>
      </c>
      <c r="E324" s="27">
        <v>4.8053820278712159E-4</v>
      </c>
    </row>
    <row r="325" spans="2:5" ht="15" customHeight="1">
      <c r="B325" s="74"/>
      <c r="C325" s="29" t="s">
        <v>320</v>
      </c>
      <c r="D325" s="28">
        <v>1</v>
      </c>
      <c r="E325" s="27">
        <v>4.8053820278712159E-4</v>
      </c>
    </row>
    <row r="326" spans="2:5" ht="15" customHeight="1">
      <c r="B326" s="74"/>
      <c r="C326" s="29" t="s">
        <v>319</v>
      </c>
      <c r="D326" s="28">
        <v>7</v>
      </c>
      <c r="E326" s="27">
        <v>3.363767419509851E-3</v>
      </c>
    </row>
    <row r="327" spans="2:5" ht="15" customHeight="1">
      <c r="B327" s="74"/>
      <c r="C327" s="29" t="s">
        <v>318</v>
      </c>
      <c r="D327" s="28">
        <v>11</v>
      </c>
      <c r="E327" s="27">
        <v>5.2859202306583374E-3</v>
      </c>
    </row>
    <row r="328" spans="2:5" ht="15" customHeight="1">
      <c r="B328" s="74"/>
      <c r="C328" s="29" t="s">
        <v>20</v>
      </c>
      <c r="D328" s="28">
        <v>1</v>
      </c>
      <c r="E328" s="27">
        <v>4.8053820278712159E-4</v>
      </c>
    </row>
    <row r="329" spans="2:5" ht="15" customHeight="1">
      <c r="B329" s="74"/>
      <c r="C329" s="29" t="s">
        <v>688</v>
      </c>
      <c r="D329" s="28">
        <v>1</v>
      </c>
      <c r="E329" s="27">
        <v>4.8053820278712159E-4</v>
      </c>
    </row>
    <row r="330" spans="2:5" ht="15" customHeight="1">
      <c r="B330" s="74"/>
      <c r="C330" s="29" t="s">
        <v>689</v>
      </c>
      <c r="D330" s="28">
        <v>1</v>
      </c>
      <c r="E330" s="27">
        <v>4.8053820278712159E-4</v>
      </c>
    </row>
    <row r="331" spans="2:5" ht="15" customHeight="1">
      <c r="B331" s="74"/>
      <c r="C331" s="29" t="s">
        <v>690</v>
      </c>
      <c r="D331" s="28">
        <v>1</v>
      </c>
      <c r="E331" s="27">
        <v>4.8053820278712159E-4</v>
      </c>
    </row>
    <row r="332" spans="2:5" ht="15" customHeight="1">
      <c r="B332" s="74"/>
      <c r="C332" s="29" t="s">
        <v>691</v>
      </c>
      <c r="D332" s="28">
        <v>1</v>
      </c>
      <c r="E332" s="27">
        <v>4.8053820278712159E-4</v>
      </c>
    </row>
    <row r="333" spans="2:5" ht="15" customHeight="1">
      <c r="B333" s="74"/>
      <c r="C333" s="29" t="s">
        <v>317</v>
      </c>
      <c r="D333" s="28">
        <v>2</v>
      </c>
      <c r="E333" s="27">
        <v>9.6107640557424319E-4</v>
      </c>
    </row>
    <row r="334" spans="2:5" ht="15" customHeight="1">
      <c r="B334" s="74"/>
      <c r="C334" s="29" t="s">
        <v>316</v>
      </c>
      <c r="D334" s="28">
        <v>2</v>
      </c>
      <c r="E334" s="27">
        <v>9.6107640557424319E-4</v>
      </c>
    </row>
    <row r="335" spans="2:5" ht="15" customHeight="1">
      <c r="B335" s="74"/>
      <c r="C335" s="29" t="s">
        <v>315</v>
      </c>
      <c r="D335" s="28">
        <v>4</v>
      </c>
      <c r="E335" s="27">
        <v>1.9221528111484864E-3</v>
      </c>
    </row>
    <row r="336" spans="2:5" ht="15" customHeight="1">
      <c r="B336" s="74"/>
      <c r="C336" s="29" t="s">
        <v>314</v>
      </c>
      <c r="D336" s="28">
        <v>7</v>
      </c>
      <c r="E336" s="27">
        <v>3.363767419509851E-3</v>
      </c>
    </row>
    <row r="337" spans="2:5" ht="15" customHeight="1">
      <c r="B337" s="74"/>
      <c r="C337" s="29" t="s">
        <v>313</v>
      </c>
      <c r="D337" s="28">
        <v>5</v>
      </c>
      <c r="E337" s="27">
        <v>2.4026910139356081E-3</v>
      </c>
    </row>
    <row r="338" spans="2:5" ht="15" customHeight="1">
      <c r="B338" s="74"/>
      <c r="C338" s="29" t="s">
        <v>312</v>
      </c>
      <c r="D338" s="28">
        <v>3</v>
      </c>
      <c r="E338" s="27">
        <v>1.4416146083613647E-3</v>
      </c>
    </row>
    <row r="339" spans="2:5" ht="15" customHeight="1">
      <c r="B339" s="74"/>
      <c r="C339" s="29" t="s">
        <v>311</v>
      </c>
      <c r="D339" s="28">
        <v>2</v>
      </c>
      <c r="E339" s="27">
        <v>9.6107640557424319E-4</v>
      </c>
    </row>
    <row r="340" spans="2:5" ht="15" customHeight="1">
      <c r="B340" s="74"/>
      <c r="C340" s="29" t="s">
        <v>692</v>
      </c>
      <c r="D340" s="28">
        <v>1</v>
      </c>
      <c r="E340" s="27">
        <v>4.8053820278712159E-4</v>
      </c>
    </row>
    <row r="341" spans="2:5" ht="15" customHeight="1">
      <c r="B341" s="74"/>
      <c r="C341" s="29" t="s">
        <v>310</v>
      </c>
      <c r="D341" s="28">
        <v>3</v>
      </c>
      <c r="E341" s="27">
        <v>1.4416146083613647E-3</v>
      </c>
    </row>
    <row r="342" spans="2:5" ht="15" customHeight="1">
      <c r="B342" s="74"/>
      <c r="C342" s="29" t="s">
        <v>309</v>
      </c>
      <c r="D342" s="28">
        <v>1</v>
      </c>
      <c r="E342" s="27">
        <v>4.8053820278712159E-4</v>
      </c>
    </row>
    <row r="343" spans="2:5" ht="15" customHeight="1">
      <c r="B343" s="74"/>
      <c r="C343" s="29" t="s">
        <v>693</v>
      </c>
      <c r="D343" s="28">
        <v>1</v>
      </c>
      <c r="E343" s="27">
        <v>4.8053820278712159E-4</v>
      </c>
    </row>
    <row r="344" spans="2:5" ht="15" customHeight="1">
      <c r="B344" s="74"/>
      <c r="C344" s="29" t="s">
        <v>62</v>
      </c>
      <c r="D344" s="28">
        <v>3</v>
      </c>
      <c r="E344" s="27">
        <v>1.4416146083613647E-3</v>
      </c>
    </row>
    <row r="345" spans="2:5" ht="15" customHeight="1">
      <c r="B345" s="74"/>
      <c r="C345" s="29" t="s">
        <v>308</v>
      </c>
      <c r="D345" s="28">
        <v>1</v>
      </c>
      <c r="E345" s="27">
        <v>4.8053820278712159E-4</v>
      </c>
    </row>
    <row r="346" spans="2:5" ht="15" customHeight="1">
      <c r="B346" s="74"/>
      <c r="C346" s="29" t="s">
        <v>307</v>
      </c>
      <c r="D346" s="28">
        <v>3</v>
      </c>
      <c r="E346" s="27">
        <v>1.4416146083613647E-3</v>
      </c>
    </row>
    <row r="347" spans="2:5" ht="15" customHeight="1">
      <c r="B347" s="74"/>
      <c r="C347" s="29" t="s">
        <v>306</v>
      </c>
      <c r="D347" s="28">
        <v>8</v>
      </c>
      <c r="E347" s="27">
        <v>3.8443056222969728E-3</v>
      </c>
    </row>
    <row r="348" spans="2:5" ht="15" customHeight="1">
      <c r="B348" s="74"/>
      <c r="C348" s="29" t="s">
        <v>498</v>
      </c>
      <c r="D348" s="28">
        <v>1</v>
      </c>
      <c r="E348" s="27">
        <v>4.8053820278712159E-4</v>
      </c>
    </row>
    <row r="349" spans="2:5" ht="15" customHeight="1">
      <c r="B349" s="74"/>
      <c r="C349" s="29" t="s">
        <v>305</v>
      </c>
      <c r="D349" s="28">
        <v>4</v>
      </c>
      <c r="E349" s="27">
        <v>1.9221528111484864E-3</v>
      </c>
    </row>
    <row r="350" spans="2:5" ht="15" customHeight="1">
      <c r="B350" s="74"/>
      <c r="C350" s="29" t="s">
        <v>304</v>
      </c>
      <c r="D350" s="28">
        <v>4</v>
      </c>
      <c r="E350" s="27">
        <v>1.9221528111484864E-3</v>
      </c>
    </row>
    <row r="351" spans="2:5" ht="15" customHeight="1">
      <c r="B351" s="75"/>
      <c r="C351" s="26" t="s">
        <v>3</v>
      </c>
      <c r="D351" s="25">
        <v>140</v>
      </c>
      <c r="E351" s="24">
        <v>6.7275348390197026E-2</v>
      </c>
    </row>
    <row r="352" spans="2:5" ht="15" customHeight="1">
      <c r="B352" s="73" t="s">
        <v>20</v>
      </c>
      <c r="C352" s="29" t="s">
        <v>303</v>
      </c>
      <c r="D352" s="28">
        <v>1</v>
      </c>
      <c r="E352" s="27">
        <v>4.8053820278712159E-4</v>
      </c>
    </row>
    <row r="353" spans="2:5" ht="15" customHeight="1">
      <c r="B353" s="74"/>
      <c r="C353" s="29" t="s">
        <v>302</v>
      </c>
      <c r="D353" s="28">
        <v>2</v>
      </c>
      <c r="E353" s="27">
        <v>9.6107640557424319E-4</v>
      </c>
    </row>
    <row r="354" spans="2:5" ht="15" customHeight="1">
      <c r="B354" s="74"/>
      <c r="C354" s="29" t="s">
        <v>301</v>
      </c>
      <c r="D354" s="28">
        <v>12</v>
      </c>
      <c r="E354" s="27">
        <v>5.7664584334454587E-3</v>
      </c>
    </row>
    <row r="355" spans="2:5" ht="15" customHeight="1">
      <c r="B355" s="74"/>
      <c r="C355" s="29" t="s">
        <v>300</v>
      </c>
      <c r="D355" s="28">
        <v>2</v>
      </c>
      <c r="E355" s="27">
        <v>9.6107640557424319E-4</v>
      </c>
    </row>
    <row r="356" spans="2:5" ht="15" customHeight="1">
      <c r="B356" s="74"/>
      <c r="C356" s="29" t="s">
        <v>299</v>
      </c>
      <c r="D356" s="28">
        <v>1</v>
      </c>
      <c r="E356" s="27">
        <v>4.8053820278712159E-4</v>
      </c>
    </row>
    <row r="357" spans="2:5" ht="15" customHeight="1">
      <c r="B357" s="74"/>
      <c r="C357" s="29" t="s">
        <v>298</v>
      </c>
      <c r="D357" s="28">
        <v>12</v>
      </c>
      <c r="E357" s="27">
        <v>5.7664584334454587E-3</v>
      </c>
    </row>
    <row r="358" spans="2:5" ht="15" customHeight="1">
      <c r="B358" s="74"/>
      <c r="C358" s="29" t="s">
        <v>297</v>
      </c>
      <c r="D358" s="28">
        <v>2</v>
      </c>
      <c r="E358" s="27">
        <v>9.6107640557424319E-4</v>
      </c>
    </row>
    <row r="359" spans="2:5" ht="15" customHeight="1">
      <c r="B359" s="74"/>
      <c r="C359" s="29" t="s">
        <v>694</v>
      </c>
      <c r="D359" s="28">
        <v>1</v>
      </c>
      <c r="E359" s="27">
        <v>4.8053820278712159E-4</v>
      </c>
    </row>
    <row r="360" spans="2:5" ht="15" customHeight="1">
      <c r="B360" s="74"/>
      <c r="C360" s="29" t="s">
        <v>695</v>
      </c>
      <c r="D360" s="28">
        <v>1</v>
      </c>
      <c r="E360" s="27">
        <v>4.8053820278712159E-4</v>
      </c>
    </row>
    <row r="361" spans="2:5" ht="15" customHeight="1">
      <c r="B361" s="74"/>
      <c r="C361" s="29" t="s">
        <v>296</v>
      </c>
      <c r="D361" s="28">
        <v>1</v>
      </c>
      <c r="E361" s="27">
        <v>4.8053820278712159E-4</v>
      </c>
    </row>
    <row r="362" spans="2:5" ht="15" customHeight="1">
      <c r="B362" s="74"/>
      <c r="C362" s="29" t="s">
        <v>696</v>
      </c>
      <c r="D362" s="28">
        <v>1</v>
      </c>
      <c r="E362" s="27">
        <v>4.8053820278712159E-4</v>
      </c>
    </row>
    <row r="363" spans="2:5" ht="15" customHeight="1">
      <c r="B363" s="74"/>
      <c r="C363" s="29" t="s">
        <v>295</v>
      </c>
      <c r="D363" s="28">
        <v>7</v>
      </c>
      <c r="E363" s="27">
        <v>3.363767419509851E-3</v>
      </c>
    </row>
    <row r="364" spans="2:5" ht="15" customHeight="1">
      <c r="B364" s="74"/>
      <c r="C364" s="29" t="s">
        <v>294</v>
      </c>
      <c r="D364" s="28">
        <v>1</v>
      </c>
      <c r="E364" s="27">
        <v>4.8053820278712159E-4</v>
      </c>
    </row>
    <row r="365" spans="2:5" ht="15" customHeight="1">
      <c r="B365" s="74"/>
      <c r="C365" s="29" t="s">
        <v>293</v>
      </c>
      <c r="D365" s="28">
        <v>1</v>
      </c>
      <c r="E365" s="27">
        <v>4.8053820278712159E-4</v>
      </c>
    </row>
    <row r="366" spans="2:5" ht="15" customHeight="1">
      <c r="B366" s="74"/>
      <c r="C366" s="29" t="s">
        <v>292</v>
      </c>
      <c r="D366" s="28">
        <v>4</v>
      </c>
      <c r="E366" s="27">
        <v>1.9221528111484864E-3</v>
      </c>
    </row>
    <row r="367" spans="2:5" ht="15" customHeight="1">
      <c r="B367" s="75"/>
      <c r="C367" s="26" t="s">
        <v>3</v>
      </c>
      <c r="D367" s="25">
        <v>49</v>
      </c>
      <c r="E367" s="24">
        <v>2.3546371936568958E-2</v>
      </c>
    </row>
    <row r="368" spans="2:5" ht="15" customHeight="1">
      <c r="B368" s="73" t="s">
        <v>15</v>
      </c>
      <c r="C368" s="29" t="s">
        <v>291</v>
      </c>
      <c r="D368" s="28">
        <v>1</v>
      </c>
      <c r="E368" s="27">
        <v>4.8053820278712159E-4</v>
      </c>
    </row>
    <row r="369" spans="2:5" ht="15" customHeight="1">
      <c r="B369" s="74"/>
      <c r="C369" s="29" t="s">
        <v>290</v>
      </c>
      <c r="D369" s="28">
        <v>1</v>
      </c>
      <c r="E369" s="27">
        <v>4.8053820278712159E-4</v>
      </c>
    </row>
    <row r="370" spans="2:5" ht="15" customHeight="1">
      <c r="B370" s="74"/>
      <c r="C370" s="29" t="s">
        <v>289</v>
      </c>
      <c r="D370" s="28">
        <v>2</v>
      </c>
      <c r="E370" s="27">
        <v>9.6107640557424319E-4</v>
      </c>
    </row>
    <row r="371" spans="2:5" ht="15" customHeight="1">
      <c r="B371" s="74"/>
      <c r="C371" s="29" t="s">
        <v>288</v>
      </c>
      <c r="D371" s="28">
        <v>1</v>
      </c>
      <c r="E371" s="27">
        <v>4.8053820278712159E-4</v>
      </c>
    </row>
    <row r="372" spans="2:5" ht="15" customHeight="1">
      <c r="B372" s="74"/>
      <c r="C372" s="29" t="s">
        <v>287</v>
      </c>
      <c r="D372" s="28">
        <v>2</v>
      </c>
      <c r="E372" s="27">
        <v>9.6107640557424319E-4</v>
      </c>
    </row>
    <row r="373" spans="2:5" ht="15" customHeight="1">
      <c r="B373" s="74"/>
      <c r="C373" s="29" t="s">
        <v>62</v>
      </c>
      <c r="D373" s="28">
        <v>3</v>
      </c>
      <c r="E373" s="27">
        <v>1.4416146083613647E-3</v>
      </c>
    </row>
    <row r="374" spans="2:5" ht="15" customHeight="1">
      <c r="B374" s="75"/>
      <c r="C374" s="26" t="s">
        <v>3</v>
      </c>
      <c r="D374" s="25">
        <v>10</v>
      </c>
      <c r="E374" s="24">
        <v>4.8053820278712162E-3</v>
      </c>
    </row>
    <row r="375" spans="2:5" ht="15" customHeight="1">
      <c r="B375" s="73" t="s">
        <v>12</v>
      </c>
      <c r="C375" s="29" t="s">
        <v>286</v>
      </c>
      <c r="D375" s="28">
        <v>1</v>
      </c>
      <c r="E375" s="27">
        <v>4.8053820278712159E-4</v>
      </c>
    </row>
    <row r="376" spans="2:5" ht="15" customHeight="1">
      <c r="B376" s="74"/>
      <c r="C376" s="29" t="s">
        <v>697</v>
      </c>
      <c r="D376" s="28">
        <v>1</v>
      </c>
      <c r="E376" s="27">
        <v>4.8053820278712159E-4</v>
      </c>
    </row>
    <row r="377" spans="2:5" ht="15" customHeight="1">
      <c r="B377" s="74"/>
      <c r="C377" s="29" t="s">
        <v>285</v>
      </c>
      <c r="D377" s="28">
        <v>1</v>
      </c>
      <c r="E377" s="27">
        <v>4.8053820278712159E-4</v>
      </c>
    </row>
    <row r="378" spans="2:5" ht="15" customHeight="1">
      <c r="B378" s="74"/>
      <c r="C378" s="29" t="s">
        <v>284</v>
      </c>
      <c r="D378" s="28">
        <v>1</v>
      </c>
      <c r="E378" s="27">
        <v>4.8053820278712159E-4</v>
      </c>
    </row>
    <row r="379" spans="2:5" ht="15" customHeight="1">
      <c r="B379" s="74"/>
      <c r="C379" s="29" t="s">
        <v>283</v>
      </c>
      <c r="D379" s="28">
        <v>8</v>
      </c>
      <c r="E379" s="27">
        <v>3.8443056222969728E-3</v>
      </c>
    </row>
    <row r="380" spans="2:5" ht="15" customHeight="1">
      <c r="B380" s="74"/>
      <c r="C380" s="29" t="s">
        <v>698</v>
      </c>
      <c r="D380" s="28">
        <v>1</v>
      </c>
      <c r="E380" s="27">
        <v>4.8053820278712159E-4</v>
      </c>
    </row>
    <row r="381" spans="2:5" ht="15" customHeight="1">
      <c r="B381" s="75"/>
      <c r="C381" s="26" t="s">
        <v>3</v>
      </c>
      <c r="D381" s="25">
        <v>13</v>
      </c>
      <c r="E381" s="24">
        <v>6.2469966362325808E-3</v>
      </c>
    </row>
    <row r="382" spans="2:5" ht="15" customHeight="1">
      <c r="B382" s="73" t="s">
        <v>32</v>
      </c>
      <c r="C382" s="29" t="s">
        <v>282</v>
      </c>
      <c r="D382" s="28">
        <v>2</v>
      </c>
      <c r="E382" s="27">
        <v>9.6107640557424319E-4</v>
      </c>
    </row>
    <row r="383" spans="2:5" ht="15" customHeight="1">
      <c r="B383" s="74"/>
      <c r="C383" s="29" t="s">
        <v>281</v>
      </c>
      <c r="D383" s="28">
        <v>5</v>
      </c>
      <c r="E383" s="27">
        <v>2.4026910139356081E-3</v>
      </c>
    </row>
    <row r="384" spans="2:5" ht="15" customHeight="1">
      <c r="B384" s="74"/>
      <c r="C384" s="29" t="s">
        <v>699</v>
      </c>
      <c r="D384" s="28">
        <v>1</v>
      </c>
      <c r="E384" s="27">
        <v>4.8053820278712159E-4</v>
      </c>
    </row>
    <row r="385" spans="2:5" ht="15" customHeight="1">
      <c r="B385" s="74"/>
      <c r="C385" s="29" t="s">
        <v>700</v>
      </c>
      <c r="D385" s="28">
        <v>1</v>
      </c>
      <c r="E385" s="27">
        <v>4.8053820278712159E-4</v>
      </c>
    </row>
    <row r="386" spans="2:5" ht="15" customHeight="1">
      <c r="B386" s="74"/>
      <c r="C386" s="29" t="s">
        <v>280</v>
      </c>
      <c r="D386" s="28">
        <v>2</v>
      </c>
      <c r="E386" s="27">
        <v>9.6107640557424319E-4</v>
      </c>
    </row>
    <row r="387" spans="2:5" ht="15" customHeight="1">
      <c r="B387" s="74"/>
      <c r="C387" s="29" t="s">
        <v>701</v>
      </c>
      <c r="D387" s="28">
        <v>1</v>
      </c>
      <c r="E387" s="27">
        <v>4.8053820278712159E-4</v>
      </c>
    </row>
    <row r="388" spans="2:5" ht="15" customHeight="1">
      <c r="B388" s="74"/>
      <c r="C388" s="29" t="s">
        <v>279</v>
      </c>
      <c r="D388" s="28">
        <v>3</v>
      </c>
      <c r="E388" s="27">
        <v>1.4416146083613647E-3</v>
      </c>
    </row>
    <row r="389" spans="2:5" ht="15" customHeight="1">
      <c r="B389" s="74"/>
      <c r="C389" s="29" t="s">
        <v>278</v>
      </c>
      <c r="D389" s="28">
        <v>6</v>
      </c>
      <c r="E389" s="27">
        <v>2.8832292167227293E-3</v>
      </c>
    </row>
    <row r="390" spans="2:5" ht="15" customHeight="1">
      <c r="B390" s="74"/>
      <c r="C390" s="29" t="s">
        <v>277</v>
      </c>
      <c r="D390" s="28">
        <v>2</v>
      </c>
      <c r="E390" s="27">
        <v>9.6107640557424319E-4</v>
      </c>
    </row>
    <row r="391" spans="2:5" ht="15" customHeight="1">
      <c r="B391" s="74"/>
      <c r="C391" s="29" t="s">
        <v>276</v>
      </c>
      <c r="D391" s="28">
        <v>4</v>
      </c>
      <c r="E391" s="27">
        <v>1.9221528111484864E-3</v>
      </c>
    </row>
    <row r="392" spans="2:5" ht="15" customHeight="1">
      <c r="B392" s="74"/>
      <c r="C392" s="29" t="s">
        <v>702</v>
      </c>
      <c r="D392" s="28">
        <v>2</v>
      </c>
      <c r="E392" s="27">
        <v>9.6107640557424319E-4</v>
      </c>
    </row>
    <row r="393" spans="2:5" ht="15" customHeight="1">
      <c r="B393" s="74"/>
      <c r="C393" s="29" t="s">
        <v>703</v>
      </c>
      <c r="D393" s="28">
        <v>1</v>
      </c>
      <c r="E393" s="27">
        <v>4.8053820278712159E-4</v>
      </c>
    </row>
    <row r="394" spans="2:5" ht="15" customHeight="1">
      <c r="B394" s="74"/>
      <c r="C394" s="29" t="s">
        <v>275</v>
      </c>
      <c r="D394" s="28">
        <v>2</v>
      </c>
      <c r="E394" s="27">
        <v>9.6107640557424319E-4</v>
      </c>
    </row>
    <row r="395" spans="2:5" ht="15" customHeight="1">
      <c r="B395" s="74"/>
      <c r="C395" s="29" t="s">
        <v>274</v>
      </c>
      <c r="D395" s="28">
        <v>17</v>
      </c>
      <c r="E395" s="27">
        <v>8.1691494473810668E-3</v>
      </c>
    </row>
    <row r="396" spans="2:5" ht="15" customHeight="1">
      <c r="B396" s="74"/>
      <c r="C396" s="29" t="s">
        <v>704</v>
      </c>
      <c r="D396" s="28">
        <v>1</v>
      </c>
      <c r="E396" s="27">
        <v>4.8053820278712159E-4</v>
      </c>
    </row>
    <row r="397" spans="2:5" ht="15" customHeight="1">
      <c r="B397" s="74"/>
      <c r="C397" s="29" t="s">
        <v>705</v>
      </c>
      <c r="D397" s="28">
        <v>5</v>
      </c>
      <c r="E397" s="27">
        <v>2.4026910139356081E-3</v>
      </c>
    </row>
    <row r="398" spans="2:5" ht="15" customHeight="1">
      <c r="B398" s="74"/>
      <c r="C398" s="29" t="s">
        <v>273</v>
      </c>
      <c r="D398" s="28">
        <v>1</v>
      </c>
      <c r="E398" s="27">
        <v>4.8053820278712159E-4</v>
      </c>
    </row>
    <row r="399" spans="2:5" ht="15" customHeight="1">
      <c r="B399" s="74"/>
      <c r="C399" s="29" t="s">
        <v>272</v>
      </c>
      <c r="D399" s="28">
        <v>1</v>
      </c>
      <c r="E399" s="27">
        <v>4.8053820278712159E-4</v>
      </c>
    </row>
    <row r="400" spans="2:5" ht="15" customHeight="1">
      <c r="B400" s="74"/>
      <c r="C400" s="29" t="s">
        <v>706</v>
      </c>
      <c r="D400" s="28">
        <v>1</v>
      </c>
      <c r="E400" s="27">
        <v>4.8053820278712159E-4</v>
      </c>
    </row>
    <row r="401" spans="2:5" ht="15" customHeight="1">
      <c r="B401" s="74"/>
      <c r="C401" s="29" t="s">
        <v>271</v>
      </c>
      <c r="D401" s="28">
        <v>1</v>
      </c>
      <c r="E401" s="27">
        <v>4.8053820278712159E-4</v>
      </c>
    </row>
    <row r="402" spans="2:5" ht="15" customHeight="1">
      <c r="B402" s="74"/>
      <c r="C402" s="29" t="s">
        <v>270</v>
      </c>
      <c r="D402" s="28">
        <v>1</v>
      </c>
      <c r="E402" s="27">
        <v>4.8053820278712159E-4</v>
      </c>
    </row>
    <row r="403" spans="2:5" ht="15" customHeight="1">
      <c r="B403" s="74"/>
      <c r="C403" s="29" t="s">
        <v>707</v>
      </c>
      <c r="D403" s="28">
        <v>1</v>
      </c>
      <c r="E403" s="27">
        <v>4.8053820278712159E-4</v>
      </c>
    </row>
    <row r="404" spans="2:5" ht="15" customHeight="1">
      <c r="B404" s="74"/>
      <c r="C404" s="29" t="s">
        <v>708</v>
      </c>
      <c r="D404" s="28">
        <v>1</v>
      </c>
      <c r="E404" s="27">
        <v>4.8053820278712159E-4</v>
      </c>
    </row>
    <row r="405" spans="2:5" ht="15" customHeight="1">
      <c r="B405" s="74"/>
      <c r="C405" s="29" t="s">
        <v>269</v>
      </c>
      <c r="D405" s="28">
        <v>3</v>
      </c>
      <c r="E405" s="27">
        <v>1.4416146083613647E-3</v>
      </c>
    </row>
    <row r="406" spans="2:5" ht="15" customHeight="1">
      <c r="B406" s="74"/>
      <c r="C406" s="29" t="s">
        <v>709</v>
      </c>
      <c r="D406" s="28">
        <v>1</v>
      </c>
      <c r="E406" s="27">
        <v>4.8053820278712159E-4</v>
      </c>
    </row>
    <row r="407" spans="2:5" ht="15" customHeight="1">
      <c r="B407" s="74"/>
      <c r="C407" s="29" t="s">
        <v>268</v>
      </c>
      <c r="D407" s="28">
        <v>1</v>
      </c>
      <c r="E407" s="27">
        <v>4.8053820278712159E-4</v>
      </c>
    </row>
    <row r="408" spans="2:5" ht="15" customHeight="1">
      <c r="B408" s="74"/>
      <c r="C408" s="29" t="s">
        <v>267</v>
      </c>
      <c r="D408" s="28">
        <v>1</v>
      </c>
      <c r="E408" s="27">
        <v>4.8053820278712159E-4</v>
      </c>
    </row>
    <row r="409" spans="2:5" ht="15" customHeight="1">
      <c r="B409" s="74"/>
      <c r="C409" s="29" t="s">
        <v>266</v>
      </c>
      <c r="D409" s="28">
        <v>3</v>
      </c>
      <c r="E409" s="27">
        <v>1.4416146083613647E-3</v>
      </c>
    </row>
    <row r="410" spans="2:5" ht="15" customHeight="1">
      <c r="B410" s="74"/>
      <c r="C410" s="29" t="s">
        <v>265</v>
      </c>
      <c r="D410" s="28">
        <v>4</v>
      </c>
      <c r="E410" s="27">
        <v>1.9221528111484864E-3</v>
      </c>
    </row>
    <row r="411" spans="2:5" ht="15" customHeight="1">
      <c r="B411" s="74"/>
      <c r="C411" s="29" t="s">
        <v>264</v>
      </c>
      <c r="D411" s="28">
        <v>1</v>
      </c>
      <c r="E411" s="27">
        <v>4.8053820278712159E-4</v>
      </c>
    </row>
    <row r="412" spans="2:5" ht="15" customHeight="1">
      <c r="B412" s="74"/>
      <c r="C412" s="29" t="s">
        <v>263</v>
      </c>
      <c r="D412" s="28">
        <v>1</v>
      </c>
      <c r="E412" s="27">
        <v>4.8053820278712159E-4</v>
      </c>
    </row>
    <row r="413" spans="2:5" ht="15" customHeight="1">
      <c r="B413" s="74"/>
      <c r="C413" s="29" t="s">
        <v>262</v>
      </c>
      <c r="D413" s="28">
        <v>2</v>
      </c>
      <c r="E413" s="27">
        <v>9.6107640557424319E-4</v>
      </c>
    </row>
    <row r="414" spans="2:5" ht="15" customHeight="1">
      <c r="B414" s="74"/>
      <c r="C414" s="29" t="s">
        <v>710</v>
      </c>
      <c r="D414" s="28">
        <v>1</v>
      </c>
      <c r="E414" s="27">
        <v>4.8053820278712159E-4</v>
      </c>
    </row>
    <row r="415" spans="2:5" ht="15" customHeight="1">
      <c r="B415" s="74"/>
      <c r="C415" s="29" t="s">
        <v>711</v>
      </c>
      <c r="D415" s="28">
        <v>1</v>
      </c>
      <c r="E415" s="27">
        <v>4.8053820278712159E-4</v>
      </c>
    </row>
    <row r="416" spans="2:5" ht="15" customHeight="1">
      <c r="B416" s="74"/>
      <c r="C416" s="29" t="s">
        <v>261</v>
      </c>
      <c r="D416" s="28">
        <v>1</v>
      </c>
      <c r="E416" s="27">
        <v>4.8053820278712159E-4</v>
      </c>
    </row>
    <row r="417" spans="2:5" ht="15" customHeight="1">
      <c r="B417" s="74"/>
      <c r="C417" s="29" t="s">
        <v>712</v>
      </c>
      <c r="D417" s="28">
        <v>1</v>
      </c>
      <c r="E417" s="27">
        <v>4.8053820278712159E-4</v>
      </c>
    </row>
    <row r="418" spans="2:5" ht="15" customHeight="1">
      <c r="B418" s="74"/>
      <c r="C418" s="29" t="s">
        <v>713</v>
      </c>
      <c r="D418" s="28">
        <v>1</v>
      </c>
      <c r="E418" s="27">
        <v>4.8053820278712159E-4</v>
      </c>
    </row>
    <row r="419" spans="2:5" ht="15" customHeight="1">
      <c r="B419" s="74"/>
      <c r="C419" s="29" t="s">
        <v>260</v>
      </c>
      <c r="D419" s="28">
        <v>4</v>
      </c>
      <c r="E419" s="27">
        <v>1.9221528111484864E-3</v>
      </c>
    </row>
    <row r="420" spans="2:5" ht="15" customHeight="1">
      <c r="B420" s="74"/>
      <c r="C420" s="29" t="s">
        <v>714</v>
      </c>
      <c r="D420" s="28">
        <v>1</v>
      </c>
      <c r="E420" s="27">
        <v>4.8053820278712159E-4</v>
      </c>
    </row>
    <row r="421" spans="2:5" ht="15" customHeight="1">
      <c r="B421" s="74"/>
      <c r="C421" s="29" t="s">
        <v>259</v>
      </c>
      <c r="D421" s="28">
        <v>1</v>
      </c>
      <c r="E421" s="27">
        <v>4.8053820278712159E-4</v>
      </c>
    </row>
    <row r="422" spans="2:5" ht="15" customHeight="1">
      <c r="B422" s="74"/>
      <c r="C422" s="29" t="s">
        <v>258</v>
      </c>
      <c r="D422" s="28">
        <v>1</v>
      </c>
      <c r="E422" s="27">
        <v>4.8053820278712159E-4</v>
      </c>
    </row>
    <row r="423" spans="2:5" ht="15" customHeight="1">
      <c r="B423" s="74"/>
      <c r="C423" s="29" t="s">
        <v>257</v>
      </c>
      <c r="D423" s="28">
        <v>2</v>
      </c>
      <c r="E423" s="27">
        <v>9.6107640557424319E-4</v>
      </c>
    </row>
    <row r="424" spans="2:5" ht="15" customHeight="1">
      <c r="B424" s="74"/>
      <c r="C424" s="29" t="s">
        <v>715</v>
      </c>
      <c r="D424" s="28">
        <v>2</v>
      </c>
      <c r="E424" s="27">
        <v>9.6107640557424319E-4</v>
      </c>
    </row>
    <row r="425" spans="2:5" ht="15" customHeight="1">
      <c r="B425" s="74"/>
      <c r="C425" s="29" t="s">
        <v>716</v>
      </c>
      <c r="D425" s="28">
        <v>1</v>
      </c>
      <c r="E425" s="27">
        <v>4.8053820278712159E-4</v>
      </c>
    </row>
    <row r="426" spans="2:5" ht="15" customHeight="1">
      <c r="B426" s="74"/>
      <c r="C426" s="29" t="s">
        <v>717</v>
      </c>
      <c r="D426" s="28">
        <v>1</v>
      </c>
      <c r="E426" s="27">
        <v>4.8053820278712159E-4</v>
      </c>
    </row>
    <row r="427" spans="2:5" ht="15" customHeight="1">
      <c r="B427" s="74"/>
      <c r="C427" s="29" t="s">
        <v>256</v>
      </c>
      <c r="D427" s="28">
        <v>1</v>
      </c>
      <c r="E427" s="27">
        <v>4.8053820278712159E-4</v>
      </c>
    </row>
    <row r="428" spans="2:5" ht="15" customHeight="1">
      <c r="B428" s="74"/>
      <c r="C428" s="29" t="s">
        <v>255</v>
      </c>
      <c r="D428" s="28">
        <v>1</v>
      </c>
      <c r="E428" s="27">
        <v>4.8053820278712159E-4</v>
      </c>
    </row>
    <row r="429" spans="2:5" ht="15" customHeight="1">
      <c r="B429" s="74"/>
      <c r="C429" s="29" t="s">
        <v>254</v>
      </c>
      <c r="D429" s="28">
        <v>1</v>
      </c>
      <c r="E429" s="27">
        <v>4.8053820278712159E-4</v>
      </c>
    </row>
    <row r="430" spans="2:5" ht="15" customHeight="1">
      <c r="B430" s="74"/>
      <c r="C430" s="29" t="s">
        <v>253</v>
      </c>
      <c r="D430" s="28">
        <v>2</v>
      </c>
      <c r="E430" s="27">
        <v>9.6107640557424319E-4</v>
      </c>
    </row>
    <row r="431" spans="2:5" ht="15" customHeight="1">
      <c r="B431" s="74"/>
      <c r="C431" s="29" t="s">
        <v>718</v>
      </c>
      <c r="D431" s="28">
        <v>1</v>
      </c>
      <c r="E431" s="27">
        <v>4.8053820278712159E-4</v>
      </c>
    </row>
    <row r="432" spans="2:5" ht="15" customHeight="1">
      <c r="B432" s="74"/>
      <c r="C432" s="29" t="s">
        <v>252</v>
      </c>
      <c r="D432" s="28">
        <v>3</v>
      </c>
      <c r="E432" s="27">
        <v>1.4416146083613647E-3</v>
      </c>
    </row>
    <row r="433" spans="2:5" ht="15" customHeight="1">
      <c r="B433" s="74"/>
      <c r="C433" s="29" t="s">
        <v>251</v>
      </c>
      <c r="D433" s="28">
        <v>1</v>
      </c>
      <c r="E433" s="27">
        <v>4.8053820278712159E-4</v>
      </c>
    </row>
    <row r="434" spans="2:5" ht="15" customHeight="1">
      <c r="B434" s="74"/>
      <c r="C434" s="29" t="s">
        <v>250</v>
      </c>
      <c r="D434" s="28">
        <v>1</v>
      </c>
      <c r="E434" s="27">
        <v>4.8053820278712159E-4</v>
      </c>
    </row>
    <row r="435" spans="2:5" ht="15" customHeight="1">
      <c r="B435" s="74"/>
      <c r="C435" s="29" t="s">
        <v>249</v>
      </c>
      <c r="D435" s="28">
        <v>1</v>
      </c>
      <c r="E435" s="27">
        <v>4.8053820278712159E-4</v>
      </c>
    </row>
    <row r="436" spans="2:5" ht="15" customHeight="1">
      <c r="B436" s="74"/>
      <c r="C436" s="29" t="s">
        <v>248</v>
      </c>
      <c r="D436" s="28">
        <v>1</v>
      </c>
      <c r="E436" s="27">
        <v>4.8053820278712159E-4</v>
      </c>
    </row>
    <row r="437" spans="2:5" ht="15" customHeight="1">
      <c r="B437" s="74"/>
      <c r="C437" s="29" t="s">
        <v>247</v>
      </c>
      <c r="D437" s="28">
        <v>2</v>
      </c>
      <c r="E437" s="27">
        <v>9.6107640557424319E-4</v>
      </c>
    </row>
    <row r="438" spans="2:5" ht="15" customHeight="1">
      <c r="B438" s="74"/>
      <c r="C438" s="29" t="s">
        <v>246</v>
      </c>
      <c r="D438" s="28">
        <v>2</v>
      </c>
      <c r="E438" s="27">
        <v>9.6107640557424319E-4</v>
      </c>
    </row>
    <row r="439" spans="2:5" ht="15" customHeight="1">
      <c r="B439" s="74"/>
      <c r="C439" s="29" t="s">
        <v>245</v>
      </c>
      <c r="D439" s="28">
        <v>2</v>
      </c>
      <c r="E439" s="27">
        <v>9.6107640557424319E-4</v>
      </c>
    </row>
    <row r="440" spans="2:5" ht="15" customHeight="1">
      <c r="B440" s="74"/>
      <c r="C440" s="29" t="s">
        <v>719</v>
      </c>
      <c r="D440" s="28">
        <v>1</v>
      </c>
      <c r="E440" s="27">
        <v>4.8053820278712159E-4</v>
      </c>
    </row>
    <row r="441" spans="2:5" ht="15" customHeight="1">
      <c r="B441" s="74"/>
      <c r="C441" s="29" t="s">
        <v>720</v>
      </c>
      <c r="D441" s="28">
        <v>1</v>
      </c>
      <c r="E441" s="27">
        <v>4.8053820278712159E-4</v>
      </c>
    </row>
    <row r="442" spans="2:5" ht="15" customHeight="1">
      <c r="B442" s="74"/>
      <c r="C442" s="29" t="s">
        <v>244</v>
      </c>
      <c r="D442" s="28">
        <v>1</v>
      </c>
      <c r="E442" s="27">
        <v>4.8053820278712159E-4</v>
      </c>
    </row>
    <row r="443" spans="2:5" ht="15" customHeight="1">
      <c r="B443" s="74"/>
      <c r="C443" s="29" t="s">
        <v>243</v>
      </c>
      <c r="D443" s="28">
        <v>1</v>
      </c>
      <c r="E443" s="27">
        <v>4.8053820278712159E-4</v>
      </c>
    </row>
    <row r="444" spans="2:5" ht="15" customHeight="1">
      <c r="B444" s="74"/>
      <c r="C444" s="29" t="s">
        <v>242</v>
      </c>
      <c r="D444" s="28">
        <v>2</v>
      </c>
      <c r="E444" s="27">
        <v>9.6107640557424319E-4</v>
      </c>
    </row>
    <row r="445" spans="2:5" ht="15" customHeight="1">
      <c r="B445" s="74"/>
      <c r="C445" s="29" t="s">
        <v>721</v>
      </c>
      <c r="D445" s="28">
        <v>1</v>
      </c>
      <c r="E445" s="27">
        <v>4.8053820278712159E-4</v>
      </c>
    </row>
    <row r="446" spans="2:5" ht="15" customHeight="1">
      <c r="B446" s="74"/>
      <c r="C446" s="29" t="s">
        <v>722</v>
      </c>
      <c r="D446" s="28">
        <v>4</v>
      </c>
      <c r="E446" s="27">
        <v>1.9221528111484864E-3</v>
      </c>
    </row>
    <row r="447" spans="2:5" ht="15" customHeight="1">
      <c r="B447" s="74"/>
      <c r="C447" s="29" t="s">
        <v>723</v>
      </c>
      <c r="D447" s="28">
        <v>4</v>
      </c>
      <c r="E447" s="27">
        <v>1.9221528111484864E-3</v>
      </c>
    </row>
    <row r="448" spans="2:5" ht="15" customHeight="1">
      <c r="B448" s="74"/>
      <c r="C448" s="29" t="s">
        <v>241</v>
      </c>
      <c r="D448" s="28">
        <v>5</v>
      </c>
      <c r="E448" s="27">
        <v>2.4026910139356081E-3</v>
      </c>
    </row>
    <row r="449" spans="2:5" ht="15" customHeight="1">
      <c r="B449" s="74"/>
      <c r="C449" s="29" t="s">
        <v>240</v>
      </c>
      <c r="D449" s="28">
        <v>13</v>
      </c>
      <c r="E449" s="27">
        <v>6.2469966362325808E-3</v>
      </c>
    </row>
    <row r="450" spans="2:5" ht="15" customHeight="1">
      <c r="B450" s="74"/>
      <c r="C450" s="29" t="s">
        <v>239</v>
      </c>
      <c r="D450" s="28">
        <v>1</v>
      </c>
      <c r="E450" s="27">
        <v>4.8053820278712159E-4</v>
      </c>
    </row>
    <row r="451" spans="2:5" ht="15" customHeight="1">
      <c r="B451" s="74"/>
      <c r="C451" s="29" t="s">
        <v>238</v>
      </c>
      <c r="D451" s="28">
        <v>1</v>
      </c>
      <c r="E451" s="27">
        <v>4.8053820278712159E-4</v>
      </c>
    </row>
    <row r="452" spans="2:5" ht="15" customHeight="1">
      <c r="B452" s="74"/>
      <c r="C452" s="29" t="s">
        <v>237</v>
      </c>
      <c r="D452" s="28">
        <v>2</v>
      </c>
      <c r="E452" s="27">
        <v>9.6107640557424319E-4</v>
      </c>
    </row>
    <row r="453" spans="2:5" ht="15" customHeight="1">
      <c r="B453" s="74"/>
      <c r="C453" s="29" t="s">
        <v>724</v>
      </c>
      <c r="D453" s="28">
        <v>1</v>
      </c>
      <c r="E453" s="27">
        <v>4.8053820278712159E-4</v>
      </c>
    </row>
    <row r="454" spans="2:5" ht="15" customHeight="1">
      <c r="B454" s="74"/>
      <c r="C454" s="29" t="s">
        <v>725</v>
      </c>
      <c r="D454" s="28">
        <v>6</v>
      </c>
      <c r="E454" s="27">
        <v>2.8832292167227293E-3</v>
      </c>
    </row>
    <row r="455" spans="2:5" ht="15" customHeight="1">
      <c r="B455" s="74"/>
      <c r="C455" s="29" t="s">
        <v>726</v>
      </c>
      <c r="D455" s="28">
        <v>1</v>
      </c>
      <c r="E455" s="27">
        <v>4.8053820278712159E-4</v>
      </c>
    </row>
    <row r="456" spans="2:5" ht="15" customHeight="1">
      <c r="B456" s="74"/>
      <c r="C456" s="29" t="s">
        <v>727</v>
      </c>
      <c r="D456" s="28">
        <v>1</v>
      </c>
      <c r="E456" s="27">
        <v>4.8053820278712159E-4</v>
      </c>
    </row>
    <row r="457" spans="2:5" ht="15" customHeight="1">
      <c r="B457" s="74"/>
      <c r="C457" s="29" t="s">
        <v>728</v>
      </c>
      <c r="D457" s="28">
        <v>1</v>
      </c>
      <c r="E457" s="27">
        <v>4.8053820278712159E-4</v>
      </c>
    </row>
    <row r="458" spans="2:5" ht="15" customHeight="1">
      <c r="B458" s="74"/>
      <c r="C458" s="29" t="s">
        <v>729</v>
      </c>
      <c r="D458" s="28">
        <v>2</v>
      </c>
      <c r="E458" s="27">
        <v>9.6107640557424319E-4</v>
      </c>
    </row>
    <row r="459" spans="2:5" ht="15" customHeight="1">
      <c r="B459" s="74"/>
      <c r="C459" s="29" t="s">
        <v>236</v>
      </c>
      <c r="D459" s="28">
        <v>3</v>
      </c>
      <c r="E459" s="27">
        <v>1.4416146083613647E-3</v>
      </c>
    </row>
    <row r="460" spans="2:5" ht="15" customHeight="1">
      <c r="B460" s="74"/>
      <c r="C460" s="29" t="s">
        <v>235</v>
      </c>
      <c r="D460" s="28">
        <v>1</v>
      </c>
      <c r="E460" s="27">
        <v>4.8053820278712159E-4</v>
      </c>
    </row>
    <row r="461" spans="2:5" ht="15" customHeight="1">
      <c r="B461" s="74"/>
      <c r="C461" s="29" t="s">
        <v>234</v>
      </c>
      <c r="D461" s="28">
        <v>4</v>
      </c>
      <c r="E461" s="27">
        <v>1.9221528111484864E-3</v>
      </c>
    </row>
    <row r="462" spans="2:5" ht="15" customHeight="1">
      <c r="B462" s="74"/>
      <c r="C462" s="29" t="s">
        <v>730</v>
      </c>
      <c r="D462" s="28">
        <v>2</v>
      </c>
      <c r="E462" s="27">
        <v>9.6107640557424319E-4</v>
      </c>
    </row>
    <row r="463" spans="2:5" ht="15" customHeight="1">
      <c r="B463" s="74"/>
      <c r="C463" s="29" t="s">
        <v>233</v>
      </c>
      <c r="D463" s="28">
        <v>1</v>
      </c>
      <c r="E463" s="27">
        <v>4.8053820278712159E-4</v>
      </c>
    </row>
    <row r="464" spans="2:5" ht="15" customHeight="1">
      <c r="B464" s="74"/>
      <c r="C464" s="29" t="s">
        <v>731</v>
      </c>
      <c r="D464" s="28">
        <v>1</v>
      </c>
      <c r="E464" s="27">
        <v>4.8053820278712159E-4</v>
      </c>
    </row>
    <row r="465" spans="2:5" ht="15" customHeight="1">
      <c r="B465" s="74"/>
      <c r="C465" s="29" t="s">
        <v>232</v>
      </c>
      <c r="D465" s="28">
        <v>3</v>
      </c>
      <c r="E465" s="27">
        <v>1.4416146083613647E-3</v>
      </c>
    </row>
    <row r="466" spans="2:5" ht="15" customHeight="1">
      <c r="B466" s="74"/>
      <c r="C466" s="29" t="s">
        <v>231</v>
      </c>
      <c r="D466" s="28">
        <v>7</v>
      </c>
      <c r="E466" s="27">
        <v>3.363767419509851E-3</v>
      </c>
    </row>
    <row r="467" spans="2:5" ht="15" customHeight="1">
      <c r="B467" s="74"/>
      <c r="C467" s="29" t="s">
        <v>230</v>
      </c>
      <c r="D467" s="28">
        <v>1</v>
      </c>
      <c r="E467" s="27">
        <v>4.8053820278712159E-4</v>
      </c>
    </row>
    <row r="468" spans="2:5" ht="15" customHeight="1">
      <c r="B468" s="74"/>
      <c r="C468" s="29" t="s">
        <v>229</v>
      </c>
      <c r="D468" s="28">
        <v>1</v>
      </c>
      <c r="E468" s="27">
        <v>4.8053820278712159E-4</v>
      </c>
    </row>
    <row r="469" spans="2:5" ht="15" customHeight="1">
      <c r="B469" s="74"/>
      <c r="C469" s="29" t="s">
        <v>343</v>
      </c>
      <c r="D469" s="28">
        <v>7</v>
      </c>
      <c r="E469" s="27">
        <v>3.363767419509851E-3</v>
      </c>
    </row>
    <row r="470" spans="2:5" ht="15" customHeight="1">
      <c r="B470" s="74"/>
      <c r="C470" s="29" t="s">
        <v>228</v>
      </c>
      <c r="D470" s="28">
        <v>2</v>
      </c>
      <c r="E470" s="27">
        <v>9.6107640557424319E-4</v>
      </c>
    </row>
    <row r="471" spans="2:5" ht="15" customHeight="1">
      <c r="B471" s="75"/>
      <c r="C471" s="26" t="s">
        <v>3</v>
      </c>
      <c r="D471" s="25">
        <v>198</v>
      </c>
      <c r="E471" s="24">
        <v>9.5146564151850077E-2</v>
      </c>
    </row>
    <row r="472" spans="2:5" ht="15" customHeight="1">
      <c r="B472" s="73" t="s">
        <v>30</v>
      </c>
      <c r="C472" s="29" t="s">
        <v>115</v>
      </c>
      <c r="D472" s="28">
        <v>4</v>
      </c>
      <c r="E472" s="27">
        <v>1.9221528111484864E-3</v>
      </c>
    </row>
    <row r="473" spans="2:5" ht="15" customHeight="1">
      <c r="B473" s="74"/>
      <c r="C473" s="29" t="s">
        <v>227</v>
      </c>
      <c r="D473" s="28">
        <v>23</v>
      </c>
      <c r="E473" s="27">
        <v>1.1052378664103796E-2</v>
      </c>
    </row>
    <row r="474" spans="2:5" ht="15" customHeight="1">
      <c r="B474" s="74"/>
      <c r="C474" s="29" t="s">
        <v>732</v>
      </c>
      <c r="D474" s="28">
        <v>3</v>
      </c>
      <c r="E474" s="27">
        <v>1.4416146083613647E-3</v>
      </c>
    </row>
    <row r="475" spans="2:5" ht="15" customHeight="1">
      <c r="B475" s="74"/>
      <c r="C475" s="29" t="s">
        <v>226</v>
      </c>
      <c r="D475" s="28">
        <v>1</v>
      </c>
      <c r="E475" s="27">
        <v>4.8053820278712159E-4</v>
      </c>
    </row>
    <row r="476" spans="2:5" ht="15" customHeight="1">
      <c r="B476" s="74"/>
      <c r="C476" s="29" t="s">
        <v>225</v>
      </c>
      <c r="D476" s="28">
        <v>3</v>
      </c>
      <c r="E476" s="27">
        <v>1.4416146083613647E-3</v>
      </c>
    </row>
    <row r="477" spans="2:5" ht="15" customHeight="1">
      <c r="B477" s="74"/>
      <c r="C477" s="29" t="s">
        <v>224</v>
      </c>
      <c r="D477" s="28">
        <v>2</v>
      </c>
      <c r="E477" s="27">
        <v>9.6107640557424319E-4</v>
      </c>
    </row>
    <row r="478" spans="2:5" ht="15" customHeight="1">
      <c r="B478" s="74"/>
      <c r="C478" s="29" t="s">
        <v>733</v>
      </c>
      <c r="D478" s="28">
        <v>1</v>
      </c>
      <c r="E478" s="27">
        <v>4.8053820278712159E-4</v>
      </c>
    </row>
    <row r="479" spans="2:5" ht="15" customHeight="1">
      <c r="B479" s="74"/>
      <c r="C479" s="29" t="s">
        <v>734</v>
      </c>
      <c r="D479" s="28">
        <v>1</v>
      </c>
      <c r="E479" s="27">
        <v>4.8053820278712159E-4</v>
      </c>
    </row>
    <row r="480" spans="2:5" ht="15" customHeight="1">
      <c r="B480" s="74"/>
      <c r="C480" s="29" t="s">
        <v>223</v>
      </c>
      <c r="D480" s="28">
        <v>1</v>
      </c>
      <c r="E480" s="27">
        <v>4.8053820278712159E-4</v>
      </c>
    </row>
    <row r="481" spans="2:5" ht="15" customHeight="1">
      <c r="B481" s="74"/>
      <c r="C481" s="29" t="s">
        <v>222</v>
      </c>
      <c r="D481" s="28">
        <v>1</v>
      </c>
      <c r="E481" s="27">
        <v>4.8053820278712159E-4</v>
      </c>
    </row>
    <row r="482" spans="2:5" ht="15" customHeight="1">
      <c r="B482" s="74"/>
      <c r="C482" s="29" t="s">
        <v>735</v>
      </c>
      <c r="D482" s="28">
        <v>1</v>
      </c>
      <c r="E482" s="27">
        <v>4.8053820278712159E-4</v>
      </c>
    </row>
    <row r="483" spans="2:5" ht="15" customHeight="1">
      <c r="B483" s="74"/>
      <c r="C483" s="29" t="s">
        <v>221</v>
      </c>
      <c r="D483" s="28">
        <v>3</v>
      </c>
      <c r="E483" s="27">
        <v>1.4416146083613647E-3</v>
      </c>
    </row>
    <row r="484" spans="2:5" ht="15" customHeight="1">
      <c r="B484" s="74"/>
      <c r="C484" s="29" t="s">
        <v>220</v>
      </c>
      <c r="D484" s="28">
        <v>1</v>
      </c>
      <c r="E484" s="27">
        <v>4.8053820278712159E-4</v>
      </c>
    </row>
    <row r="485" spans="2:5" ht="15" customHeight="1">
      <c r="B485" s="74"/>
      <c r="C485" s="29" t="s">
        <v>736</v>
      </c>
      <c r="D485" s="28">
        <v>1</v>
      </c>
      <c r="E485" s="27">
        <v>4.8053820278712159E-4</v>
      </c>
    </row>
    <row r="486" spans="2:5" ht="15" customHeight="1">
      <c r="B486" s="74"/>
      <c r="C486" s="29" t="s">
        <v>737</v>
      </c>
      <c r="D486" s="28">
        <v>1</v>
      </c>
      <c r="E486" s="27">
        <v>4.8053820278712159E-4</v>
      </c>
    </row>
    <row r="487" spans="2:5" ht="15" customHeight="1">
      <c r="B487" s="74"/>
      <c r="C487" s="29" t="s">
        <v>738</v>
      </c>
      <c r="D487" s="28">
        <v>1</v>
      </c>
      <c r="E487" s="27">
        <v>4.8053820278712159E-4</v>
      </c>
    </row>
    <row r="488" spans="2:5" ht="15" customHeight="1">
      <c r="B488" s="74"/>
      <c r="C488" s="29" t="s">
        <v>50</v>
      </c>
      <c r="D488" s="28">
        <v>2</v>
      </c>
      <c r="E488" s="27">
        <v>9.6107640557424319E-4</v>
      </c>
    </row>
    <row r="489" spans="2:5" ht="15" customHeight="1">
      <c r="B489" s="74"/>
      <c r="C489" s="29" t="s">
        <v>219</v>
      </c>
      <c r="D489" s="28">
        <v>2</v>
      </c>
      <c r="E489" s="27">
        <v>9.6107640557424319E-4</v>
      </c>
    </row>
    <row r="490" spans="2:5" ht="15" customHeight="1">
      <c r="B490" s="74"/>
      <c r="C490" s="29" t="s">
        <v>218</v>
      </c>
      <c r="D490" s="28">
        <v>1</v>
      </c>
      <c r="E490" s="27">
        <v>4.8053820278712159E-4</v>
      </c>
    </row>
    <row r="491" spans="2:5" ht="15" customHeight="1">
      <c r="B491" s="74"/>
      <c r="C491" s="29" t="s">
        <v>217</v>
      </c>
      <c r="D491" s="28">
        <v>2</v>
      </c>
      <c r="E491" s="27">
        <v>9.6107640557424319E-4</v>
      </c>
    </row>
    <row r="492" spans="2:5" ht="15" customHeight="1">
      <c r="B492" s="74"/>
      <c r="C492" s="29" t="s">
        <v>216</v>
      </c>
      <c r="D492" s="28">
        <v>1</v>
      </c>
      <c r="E492" s="27">
        <v>4.8053820278712159E-4</v>
      </c>
    </row>
    <row r="493" spans="2:5" ht="15" customHeight="1">
      <c r="B493" s="74"/>
      <c r="C493" s="29" t="s">
        <v>215</v>
      </c>
      <c r="D493" s="28">
        <v>5</v>
      </c>
      <c r="E493" s="27">
        <v>2.4026910139356081E-3</v>
      </c>
    </row>
    <row r="494" spans="2:5" ht="15" customHeight="1">
      <c r="B494" s="74"/>
      <c r="C494" s="29" t="s">
        <v>214</v>
      </c>
      <c r="D494" s="28">
        <v>16</v>
      </c>
      <c r="E494" s="27">
        <v>7.6886112445939455E-3</v>
      </c>
    </row>
    <row r="495" spans="2:5" ht="15" customHeight="1">
      <c r="B495" s="74"/>
      <c r="C495" s="29" t="s">
        <v>213</v>
      </c>
      <c r="D495" s="28">
        <v>1</v>
      </c>
      <c r="E495" s="27">
        <v>4.8053820278712159E-4</v>
      </c>
    </row>
    <row r="496" spans="2:5" ht="15" customHeight="1">
      <c r="B496" s="74"/>
      <c r="C496" s="29" t="s">
        <v>212</v>
      </c>
      <c r="D496" s="28">
        <v>10</v>
      </c>
      <c r="E496" s="27">
        <v>4.8053820278712162E-3</v>
      </c>
    </row>
    <row r="497" spans="2:5" ht="15" customHeight="1">
      <c r="B497" s="74"/>
      <c r="C497" s="29" t="s">
        <v>211</v>
      </c>
      <c r="D497" s="28">
        <v>3</v>
      </c>
      <c r="E497" s="27">
        <v>1.4416146083613647E-3</v>
      </c>
    </row>
    <row r="498" spans="2:5" ht="15" customHeight="1">
      <c r="B498" s="74"/>
      <c r="C498" s="29" t="s">
        <v>210</v>
      </c>
      <c r="D498" s="28">
        <v>1</v>
      </c>
      <c r="E498" s="27">
        <v>4.8053820278712159E-4</v>
      </c>
    </row>
    <row r="499" spans="2:5" ht="15" customHeight="1">
      <c r="B499" s="74"/>
      <c r="C499" s="29" t="s">
        <v>209</v>
      </c>
      <c r="D499" s="28">
        <v>10</v>
      </c>
      <c r="E499" s="27">
        <v>4.8053820278712162E-3</v>
      </c>
    </row>
    <row r="500" spans="2:5" ht="15" customHeight="1">
      <c r="B500" s="74"/>
      <c r="C500" s="29" t="s">
        <v>208</v>
      </c>
      <c r="D500" s="28">
        <v>8</v>
      </c>
      <c r="E500" s="27">
        <v>3.8443056222969728E-3</v>
      </c>
    </row>
    <row r="501" spans="2:5" ht="15" customHeight="1">
      <c r="B501" s="74"/>
      <c r="C501" s="29" t="s">
        <v>30</v>
      </c>
      <c r="D501" s="28">
        <v>9</v>
      </c>
      <c r="E501" s="27">
        <v>4.324843825084094E-3</v>
      </c>
    </row>
    <row r="502" spans="2:5" ht="15" customHeight="1">
      <c r="B502" s="74"/>
      <c r="C502" s="29" t="s">
        <v>207</v>
      </c>
      <c r="D502" s="28">
        <v>3</v>
      </c>
      <c r="E502" s="27">
        <v>1.4416146083613647E-3</v>
      </c>
    </row>
    <row r="503" spans="2:5" ht="15" customHeight="1">
      <c r="B503" s="74"/>
      <c r="C503" s="29" t="s">
        <v>206</v>
      </c>
      <c r="D503" s="28">
        <v>2</v>
      </c>
      <c r="E503" s="27">
        <v>9.6107640557424319E-4</v>
      </c>
    </row>
    <row r="504" spans="2:5" ht="15" customHeight="1">
      <c r="B504" s="74"/>
      <c r="C504" s="29" t="s">
        <v>739</v>
      </c>
      <c r="D504" s="28">
        <v>1</v>
      </c>
      <c r="E504" s="27">
        <v>4.8053820278712159E-4</v>
      </c>
    </row>
    <row r="505" spans="2:5" ht="15" customHeight="1">
      <c r="B505" s="74"/>
      <c r="C505" s="29" t="s">
        <v>205</v>
      </c>
      <c r="D505" s="28">
        <v>1</v>
      </c>
      <c r="E505" s="27">
        <v>4.8053820278712159E-4</v>
      </c>
    </row>
    <row r="506" spans="2:5" ht="15" customHeight="1">
      <c r="B506" s="74"/>
      <c r="C506" s="29" t="s">
        <v>204</v>
      </c>
      <c r="D506" s="28">
        <v>5</v>
      </c>
      <c r="E506" s="27">
        <v>2.4026910139356081E-3</v>
      </c>
    </row>
    <row r="507" spans="2:5" ht="15" customHeight="1">
      <c r="B507" s="74"/>
      <c r="C507" s="29" t="s">
        <v>203</v>
      </c>
      <c r="D507" s="28">
        <v>1</v>
      </c>
      <c r="E507" s="27">
        <v>4.8053820278712159E-4</v>
      </c>
    </row>
    <row r="508" spans="2:5" ht="15" customHeight="1">
      <c r="B508" s="74"/>
      <c r="C508" s="29" t="s">
        <v>740</v>
      </c>
      <c r="D508" s="28">
        <v>1</v>
      </c>
      <c r="E508" s="27">
        <v>4.8053820278712159E-4</v>
      </c>
    </row>
    <row r="509" spans="2:5" ht="15" customHeight="1">
      <c r="B509" s="74"/>
      <c r="C509" s="29" t="s">
        <v>202</v>
      </c>
      <c r="D509" s="28">
        <v>1</v>
      </c>
      <c r="E509" s="27">
        <v>4.8053820278712159E-4</v>
      </c>
    </row>
    <row r="510" spans="2:5" ht="15" customHeight="1">
      <c r="B510" s="74"/>
      <c r="C510" s="29" t="s">
        <v>201</v>
      </c>
      <c r="D510" s="28">
        <v>5</v>
      </c>
      <c r="E510" s="27">
        <v>2.4026910139356081E-3</v>
      </c>
    </row>
    <row r="511" spans="2:5" ht="15" customHeight="1">
      <c r="B511" s="74"/>
      <c r="C511" s="29" t="s">
        <v>200</v>
      </c>
      <c r="D511" s="28">
        <v>2</v>
      </c>
      <c r="E511" s="27">
        <v>9.6107640557424319E-4</v>
      </c>
    </row>
    <row r="512" spans="2:5" ht="15" customHeight="1">
      <c r="B512" s="74"/>
      <c r="C512" s="29" t="s">
        <v>199</v>
      </c>
      <c r="D512" s="28">
        <v>1</v>
      </c>
      <c r="E512" s="27">
        <v>4.8053820278712159E-4</v>
      </c>
    </row>
    <row r="513" spans="2:5" ht="15" customHeight="1">
      <c r="B513" s="74"/>
      <c r="C513" s="29" t="s">
        <v>198</v>
      </c>
      <c r="D513" s="28">
        <v>6</v>
      </c>
      <c r="E513" s="27">
        <v>2.8832292167227293E-3</v>
      </c>
    </row>
    <row r="514" spans="2:5" ht="15" customHeight="1">
      <c r="B514" s="74"/>
      <c r="C514" s="29" t="s">
        <v>741</v>
      </c>
      <c r="D514" s="28">
        <v>1</v>
      </c>
      <c r="E514" s="27">
        <v>4.8053820278712159E-4</v>
      </c>
    </row>
    <row r="515" spans="2:5" ht="15" customHeight="1">
      <c r="B515" s="74"/>
      <c r="C515" s="29" t="s">
        <v>742</v>
      </c>
      <c r="D515" s="28">
        <v>1</v>
      </c>
      <c r="E515" s="27">
        <v>4.8053820278712159E-4</v>
      </c>
    </row>
    <row r="516" spans="2:5" ht="15" customHeight="1">
      <c r="B516" s="74"/>
      <c r="C516" s="29" t="s">
        <v>197</v>
      </c>
      <c r="D516" s="28">
        <v>2</v>
      </c>
      <c r="E516" s="27">
        <v>9.6107640557424319E-4</v>
      </c>
    </row>
    <row r="517" spans="2:5" ht="15" customHeight="1">
      <c r="B517" s="74"/>
      <c r="C517" s="29" t="s">
        <v>196</v>
      </c>
      <c r="D517" s="28">
        <v>1</v>
      </c>
      <c r="E517" s="27">
        <v>4.8053820278712159E-4</v>
      </c>
    </row>
    <row r="518" spans="2:5" ht="15" customHeight="1">
      <c r="B518" s="74"/>
      <c r="C518" s="29" t="s">
        <v>195</v>
      </c>
      <c r="D518" s="28">
        <v>1</v>
      </c>
      <c r="E518" s="27">
        <v>4.8053820278712159E-4</v>
      </c>
    </row>
    <row r="519" spans="2:5" ht="15" customHeight="1">
      <c r="B519" s="74"/>
      <c r="C519" s="29" t="s">
        <v>743</v>
      </c>
      <c r="D519" s="28">
        <v>1</v>
      </c>
      <c r="E519" s="27">
        <v>4.8053820278712159E-4</v>
      </c>
    </row>
    <row r="520" spans="2:5" ht="15" customHeight="1">
      <c r="B520" s="74"/>
      <c r="C520" s="29" t="s">
        <v>194</v>
      </c>
      <c r="D520" s="28">
        <v>4</v>
      </c>
      <c r="E520" s="27">
        <v>1.9221528111484864E-3</v>
      </c>
    </row>
    <row r="521" spans="2:5" ht="15" customHeight="1">
      <c r="B521" s="74"/>
      <c r="C521" s="29" t="s">
        <v>193</v>
      </c>
      <c r="D521" s="28">
        <v>1</v>
      </c>
      <c r="E521" s="27">
        <v>4.8053820278712159E-4</v>
      </c>
    </row>
    <row r="522" spans="2:5" ht="15" customHeight="1">
      <c r="B522" s="74"/>
      <c r="C522" s="29" t="s">
        <v>192</v>
      </c>
      <c r="D522" s="28">
        <v>1</v>
      </c>
      <c r="E522" s="27">
        <v>4.8053820278712159E-4</v>
      </c>
    </row>
    <row r="523" spans="2:5" ht="15" customHeight="1">
      <c r="B523" s="74"/>
      <c r="C523" s="29" t="s">
        <v>744</v>
      </c>
      <c r="D523" s="28">
        <v>1</v>
      </c>
      <c r="E523" s="27">
        <v>4.8053820278712159E-4</v>
      </c>
    </row>
    <row r="524" spans="2:5" ht="15" customHeight="1">
      <c r="B524" s="74"/>
      <c r="C524" s="29" t="s">
        <v>191</v>
      </c>
      <c r="D524" s="28">
        <v>3</v>
      </c>
      <c r="E524" s="27">
        <v>1.4416146083613647E-3</v>
      </c>
    </row>
    <row r="525" spans="2:5" ht="15" customHeight="1">
      <c r="B525" s="74"/>
      <c r="C525" s="29" t="s">
        <v>190</v>
      </c>
      <c r="D525" s="28">
        <v>2</v>
      </c>
      <c r="E525" s="27">
        <v>9.6107640557424319E-4</v>
      </c>
    </row>
    <row r="526" spans="2:5" ht="15" customHeight="1">
      <c r="B526" s="74"/>
      <c r="C526" s="29" t="s">
        <v>189</v>
      </c>
      <c r="D526" s="28">
        <v>3</v>
      </c>
      <c r="E526" s="27">
        <v>1.4416146083613647E-3</v>
      </c>
    </row>
    <row r="527" spans="2:5" ht="15" customHeight="1">
      <c r="B527" s="74"/>
      <c r="C527" s="29" t="s">
        <v>188</v>
      </c>
      <c r="D527" s="28">
        <v>2</v>
      </c>
      <c r="E527" s="27">
        <v>9.6107640557424319E-4</v>
      </c>
    </row>
    <row r="528" spans="2:5" ht="15" customHeight="1">
      <c r="B528" s="74"/>
      <c r="C528" s="29" t="s">
        <v>187</v>
      </c>
      <c r="D528" s="28">
        <v>5</v>
      </c>
      <c r="E528" s="27">
        <v>2.4026910139356081E-3</v>
      </c>
    </row>
    <row r="529" spans="2:5" ht="15" customHeight="1">
      <c r="B529" s="75"/>
      <c r="C529" s="26" t="s">
        <v>3</v>
      </c>
      <c r="D529" s="25">
        <v>177</v>
      </c>
      <c r="E529" s="24">
        <v>8.5055261893320522E-2</v>
      </c>
    </row>
    <row r="530" spans="2:5" ht="15" customHeight="1">
      <c r="B530" s="73" t="s">
        <v>18</v>
      </c>
      <c r="C530" s="29" t="s">
        <v>186</v>
      </c>
      <c r="D530" s="28">
        <v>5</v>
      </c>
      <c r="E530" s="27">
        <v>2.4026910139356081E-3</v>
      </c>
    </row>
    <row r="531" spans="2:5" ht="15" customHeight="1">
      <c r="B531" s="74"/>
      <c r="C531" s="29" t="s">
        <v>185</v>
      </c>
      <c r="D531" s="28">
        <v>2</v>
      </c>
      <c r="E531" s="27">
        <v>9.6107640557424319E-4</v>
      </c>
    </row>
    <row r="532" spans="2:5" ht="15" customHeight="1">
      <c r="B532" s="74"/>
      <c r="C532" s="29" t="s">
        <v>184</v>
      </c>
      <c r="D532" s="28">
        <v>1</v>
      </c>
      <c r="E532" s="27">
        <v>4.8053820278712159E-4</v>
      </c>
    </row>
    <row r="533" spans="2:5" ht="15" customHeight="1">
      <c r="B533" s="74"/>
      <c r="C533" s="29" t="s">
        <v>183</v>
      </c>
      <c r="D533" s="28">
        <v>1</v>
      </c>
      <c r="E533" s="27">
        <v>4.8053820278712159E-4</v>
      </c>
    </row>
    <row r="534" spans="2:5" ht="15" customHeight="1">
      <c r="B534" s="74"/>
      <c r="C534" s="29" t="s">
        <v>182</v>
      </c>
      <c r="D534" s="28">
        <v>1</v>
      </c>
      <c r="E534" s="27">
        <v>4.8053820278712159E-4</v>
      </c>
    </row>
    <row r="535" spans="2:5" ht="15" customHeight="1">
      <c r="B535" s="74"/>
      <c r="C535" s="29" t="s">
        <v>181</v>
      </c>
      <c r="D535" s="28">
        <v>2</v>
      </c>
      <c r="E535" s="27">
        <v>9.6107640557424319E-4</v>
      </c>
    </row>
    <row r="536" spans="2:5" ht="15" customHeight="1">
      <c r="B536" s="74"/>
      <c r="C536" s="29" t="s">
        <v>180</v>
      </c>
      <c r="D536" s="28">
        <v>1</v>
      </c>
      <c r="E536" s="27">
        <v>4.8053820278712159E-4</v>
      </c>
    </row>
    <row r="537" spans="2:5" ht="15" customHeight="1">
      <c r="B537" s="74"/>
      <c r="C537" s="29" t="s">
        <v>179</v>
      </c>
      <c r="D537" s="28">
        <v>1</v>
      </c>
      <c r="E537" s="27">
        <v>4.8053820278712159E-4</v>
      </c>
    </row>
    <row r="538" spans="2:5" ht="15" customHeight="1">
      <c r="B538" s="74"/>
      <c r="C538" s="29" t="s">
        <v>178</v>
      </c>
      <c r="D538" s="28">
        <v>3</v>
      </c>
      <c r="E538" s="27">
        <v>1.4416146083613647E-3</v>
      </c>
    </row>
    <row r="539" spans="2:5" ht="15" customHeight="1">
      <c r="B539" s="74"/>
      <c r="C539" s="29" t="s">
        <v>177</v>
      </c>
      <c r="D539" s="28">
        <v>9</v>
      </c>
      <c r="E539" s="27">
        <v>4.324843825084094E-3</v>
      </c>
    </row>
    <row r="540" spans="2:5" ht="15" customHeight="1">
      <c r="B540" s="74"/>
      <c r="C540" s="29" t="s">
        <v>18</v>
      </c>
      <c r="D540" s="28">
        <v>8</v>
      </c>
      <c r="E540" s="27">
        <v>3.8443056222969728E-3</v>
      </c>
    </row>
    <row r="541" spans="2:5" ht="15" customHeight="1">
      <c r="B541" s="74"/>
      <c r="C541" s="29" t="s">
        <v>176</v>
      </c>
      <c r="D541" s="28">
        <v>3</v>
      </c>
      <c r="E541" s="27">
        <v>1.4416146083613647E-3</v>
      </c>
    </row>
    <row r="542" spans="2:5" ht="15" customHeight="1">
      <c r="B542" s="75"/>
      <c r="C542" s="26" t="s">
        <v>3</v>
      </c>
      <c r="D542" s="25">
        <v>37</v>
      </c>
      <c r="E542" s="24">
        <v>1.7779913503123499E-2</v>
      </c>
    </row>
    <row r="543" spans="2:5" ht="15" customHeight="1">
      <c r="B543" s="73" t="s">
        <v>8</v>
      </c>
      <c r="C543" s="29" t="s">
        <v>54</v>
      </c>
      <c r="D543" s="28">
        <v>1</v>
      </c>
      <c r="E543" s="27">
        <v>4.8053820278712159E-4</v>
      </c>
    </row>
    <row r="544" spans="2:5" ht="15" customHeight="1">
      <c r="B544" s="74"/>
      <c r="C544" s="29" t="s">
        <v>175</v>
      </c>
      <c r="D544" s="28">
        <v>6</v>
      </c>
      <c r="E544" s="27">
        <v>2.8832292167227293E-3</v>
      </c>
    </row>
    <row r="545" spans="2:5" ht="15" customHeight="1">
      <c r="B545" s="75"/>
      <c r="C545" s="26" t="s">
        <v>3</v>
      </c>
      <c r="D545" s="25">
        <v>7</v>
      </c>
      <c r="E545" s="24">
        <v>3.363767419509851E-3</v>
      </c>
    </row>
    <row r="546" spans="2:5" ht="15" customHeight="1">
      <c r="B546" s="73" t="s">
        <v>21</v>
      </c>
      <c r="C546" s="29" t="s">
        <v>745</v>
      </c>
      <c r="D546" s="28">
        <v>1</v>
      </c>
      <c r="E546" s="27">
        <v>4.8053820278712159E-4</v>
      </c>
    </row>
    <row r="547" spans="2:5" ht="15" customHeight="1">
      <c r="B547" s="74"/>
      <c r="C547" s="29" t="s">
        <v>174</v>
      </c>
      <c r="D547" s="28">
        <v>3</v>
      </c>
      <c r="E547" s="27">
        <v>1.4416146083613647E-3</v>
      </c>
    </row>
    <row r="548" spans="2:5" ht="15" customHeight="1">
      <c r="B548" s="74"/>
      <c r="C548" s="29" t="s">
        <v>145</v>
      </c>
      <c r="D548" s="28">
        <v>3</v>
      </c>
      <c r="E548" s="27">
        <v>1.4416146083613647E-3</v>
      </c>
    </row>
    <row r="549" spans="2:5" ht="15" customHeight="1">
      <c r="B549" s="74"/>
      <c r="C549" s="29" t="s">
        <v>173</v>
      </c>
      <c r="D549" s="28">
        <v>1</v>
      </c>
      <c r="E549" s="27">
        <v>4.8053820278712159E-4</v>
      </c>
    </row>
    <row r="550" spans="2:5" ht="15" customHeight="1">
      <c r="B550" s="74"/>
      <c r="C550" s="29" t="s">
        <v>746</v>
      </c>
      <c r="D550" s="28">
        <v>1</v>
      </c>
      <c r="E550" s="27">
        <v>4.8053820278712159E-4</v>
      </c>
    </row>
    <row r="551" spans="2:5" ht="15" customHeight="1">
      <c r="B551" s="74"/>
      <c r="C551" s="29" t="s">
        <v>172</v>
      </c>
      <c r="D551" s="28">
        <v>1</v>
      </c>
      <c r="E551" s="27">
        <v>4.8053820278712159E-4</v>
      </c>
    </row>
    <row r="552" spans="2:5" ht="15" customHeight="1">
      <c r="B552" s="74"/>
      <c r="C552" s="29" t="s">
        <v>171</v>
      </c>
      <c r="D552" s="28">
        <v>5</v>
      </c>
      <c r="E552" s="27">
        <v>2.4026910139356081E-3</v>
      </c>
    </row>
    <row r="553" spans="2:5" ht="15" customHeight="1">
      <c r="B553" s="74"/>
      <c r="C553" s="29" t="s">
        <v>170</v>
      </c>
      <c r="D553" s="28">
        <v>1</v>
      </c>
      <c r="E553" s="27">
        <v>4.8053820278712159E-4</v>
      </c>
    </row>
    <row r="554" spans="2:5" ht="15" customHeight="1">
      <c r="B554" s="74"/>
      <c r="C554" s="29" t="s">
        <v>169</v>
      </c>
      <c r="D554" s="28">
        <v>4</v>
      </c>
      <c r="E554" s="27">
        <v>1.9221528111484864E-3</v>
      </c>
    </row>
    <row r="555" spans="2:5" ht="15" customHeight="1">
      <c r="B555" s="74"/>
      <c r="C555" s="29" t="s">
        <v>168</v>
      </c>
      <c r="D555" s="28">
        <v>1</v>
      </c>
      <c r="E555" s="27">
        <v>4.8053820278712159E-4</v>
      </c>
    </row>
    <row r="556" spans="2:5" ht="15" customHeight="1">
      <c r="B556" s="74"/>
      <c r="C556" s="29" t="s">
        <v>167</v>
      </c>
      <c r="D556" s="28">
        <v>2</v>
      </c>
      <c r="E556" s="27">
        <v>9.6107640557424319E-4</v>
      </c>
    </row>
    <row r="557" spans="2:5" ht="15" customHeight="1">
      <c r="B557" s="74"/>
      <c r="C557" s="29" t="s">
        <v>166</v>
      </c>
      <c r="D557" s="28">
        <v>2</v>
      </c>
      <c r="E557" s="27">
        <v>9.6107640557424319E-4</v>
      </c>
    </row>
    <row r="558" spans="2:5" ht="15" customHeight="1">
      <c r="B558" s="74"/>
      <c r="C558" s="29" t="s">
        <v>165</v>
      </c>
      <c r="D558" s="28">
        <v>4</v>
      </c>
      <c r="E558" s="27">
        <v>1.9221528111484864E-3</v>
      </c>
    </row>
    <row r="559" spans="2:5" ht="15" customHeight="1">
      <c r="B559" s="74"/>
      <c r="C559" s="29" t="s">
        <v>164</v>
      </c>
      <c r="D559" s="28">
        <v>2</v>
      </c>
      <c r="E559" s="27">
        <v>9.6107640557424319E-4</v>
      </c>
    </row>
    <row r="560" spans="2:5" ht="15" customHeight="1">
      <c r="B560" s="74"/>
      <c r="C560" s="29" t="s">
        <v>163</v>
      </c>
      <c r="D560" s="28">
        <v>2</v>
      </c>
      <c r="E560" s="27">
        <v>9.6107640557424319E-4</v>
      </c>
    </row>
    <row r="561" spans="2:5" ht="15" customHeight="1">
      <c r="B561" s="74"/>
      <c r="C561" s="29" t="s">
        <v>162</v>
      </c>
      <c r="D561" s="28">
        <v>18</v>
      </c>
      <c r="E561" s="27">
        <v>8.649687650168188E-3</v>
      </c>
    </row>
    <row r="562" spans="2:5" ht="15" customHeight="1">
      <c r="B562" s="74"/>
      <c r="C562" s="29" t="s">
        <v>161</v>
      </c>
      <c r="D562" s="28">
        <v>1</v>
      </c>
      <c r="E562" s="27">
        <v>4.8053820278712159E-4</v>
      </c>
    </row>
    <row r="563" spans="2:5" ht="15" customHeight="1">
      <c r="B563" s="74"/>
      <c r="C563" s="29" t="s">
        <v>747</v>
      </c>
      <c r="D563" s="28">
        <v>2</v>
      </c>
      <c r="E563" s="27">
        <v>9.6107640557424319E-4</v>
      </c>
    </row>
    <row r="564" spans="2:5" ht="15" customHeight="1">
      <c r="B564" s="74"/>
      <c r="C564" s="29" t="s">
        <v>21</v>
      </c>
      <c r="D564" s="28">
        <v>9</v>
      </c>
      <c r="E564" s="27">
        <v>4.324843825084094E-3</v>
      </c>
    </row>
    <row r="565" spans="2:5" ht="15" customHeight="1">
      <c r="B565" s="74"/>
      <c r="C565" s="29" t="s">
        <v>160</v>
      </c>
      <c r="D565" s="28">
        <v>1</v>
      </c>
      <c r="E565" s="27">
        <v>4.8053820278712159E-4</v>
      </c>
    </row>
    <row r="566" spans="2:5" ht="15" customHeight="1">
      <c r="B566" s="74"/>
      <c r="C566" s="29" t="s">
        <v>159</v>
      </c>
      <c r="D566" s="28">
        <v>4</v>
      </c>
      <c r="E566" s="27">
        <v>1.9221528111484864E-3</v>
      </c>
    </row>
    <row r="567" spans="2:5" ht="15" customHeight="1">
      <c r="B567" s="74"/>
      <c r="C567" s="29" t="s">
        <v>158</v>
      </c>
      <c r="D567" s="28">
        <v>1</v>
      </c>
      <c r="E567" s="27">
        <v>4.8053820278712159E-4</v>
      </c>
    </row>
    <row r="568" spans="2:5" ht="15" customHeight="1">
      <c r="B568" s="74"/>
      <c r="C568" s="29" t="s">
        <v>157</v>
      </c>
      <c r="D568" s="28">
        <v>5</v>
      </c>
      <c r="E568" s="27">
        <v>2.4026910139356081E-3</v>
      </c>
    </row>
    <row r="569" spans="2:5" ht="15" customHeight="1">
      <c r="B569" s="74"/>
      <c r="C569" s="29" t="s">
        <v>156</v>
      </c>
      <c r="D569" s="28">
        <v>4</v>
      </c>
      <c r="E569" s="27">
        <v>1.9221528111484864E-3</v>
      </c>
    </row>
    <row r="570" spans="2:5" ht="15" customHeight="1">
      <c r="B570" s="74"/>
      <c r="C570" s="29" t="s">
        <v>748</v>
      </c>
      <c r="D570" s="28">
        <v>1</v>
      </c>
      <c r="E570" s="27">
        <v>4.8053820278712159E-4</v>
      </c>
    </row>
    <row r="571" spans="2:5" ht="15" customHeight="1">
      <c r="B571" s="74"/>
      <c r="C571" s="29" t="s">
        <v>749</v>
      </c>
      <c r="D571" s="28">
        <v>1</v>
      </c>
      <c r="E571" s="27">
        <v>4.8053820278712159E-4</v>
      </c>
    </row>
    <row r="572" spans="2:5" ht="15" customHeight="1">
      <c r="B572" s="74"/>
      <c r="C572" s="29" t="s">
        <v>155</v>
      </c>
      <c r="D572" s="28">
        <v>1</v>
      </c>
      <c r="E572" s="27">
        <v>4.8053820278712159E-4</v>
      </c>
    </row>
    <row r="573" spans="2:5" ht="15" customHeight="1">
      <c r="B573" s="74"/>
      <c r="C573" s="29" t="s">
        <v>154</v>
      </c>
      <c r="D573" s="28">
        <v>1</v>
      </c>
      <c r="E573" s="27">
        <v>4.8053820278712159E-4</v>
      </c>
    </row>
    <row r="574" spans="2:5" ht="15" customHeight="1">
      <c r="B574" s="74"/>
      <c r="C574" s="29" t="s">
        <v>153</v>
      </c>
      <c r="D574" s="28">
        <v>1</v>
      </c>
      <c r="E574" s="27">
        <v>4.8053820278712159E-4</v>
      </c>
    </row>
    <row r="575" spans="2:5" ht="15" customHeight="1">
      <c r="B575" s="74"/>
      <c r="C575" s="29" t="s">
        <v>152</v>
      </c>
      <c r="D575" s="28">
        <v>2</v>
      </c>
      <c r="E575" s="27">
        <v>9.6107640557424319E-4</v>
      </c>
    </row>
    <row r="576" spans="2:5" ht="15" customHeight="1">
      <c r="B576" s="75"/>
      <c r="C576" s="26" t="s">
        <v>3</v>
      </c>
      <c r="D576" s="25">
        <v>85</v>
      </c>
      <c r="E576" s="24">
        <v>4.0845747236905337E-2</v>
      </c>
    </row>
    <row r="577" spans="2:5" ht="15" customHeight="1">
      <c r="B577" s="73" t="s">
        <v>9</v>
      </c>
      <c r="C577" s="29" t="s">
        <v>750</v>
      </c>
      <c r="D577" s="28">
        <v>1</v>
      </c>
      <c r="E577" s="27">
        <v>4.8053820278712159E-4</v>
      </c>
    </row>
    <row r="578" spans="2:5" ht="15" customHeight="1">
      <c r="B578" s="74"/>
      <c r="C578" s="29" t="s">
        <v>151</v>
      </c>
      <c r="D578" s="28">
        <v>1</v>
      </c>
      <c r="E578" s="27">
        <v>4.8053820278712159E-4</v>
      </c>
    </row>
    <row r="579" spans="2:5" ht="15" customHeight="1">
      <c r="B579" s="74"/>
      <c r="C579" s="29" t="s">
        <v>751</v>
      </c>
      <c r="D579" s="28">
        <v>1</v>
      </c>
      <c r="E579" s="27">
        <v>4.8053820278712159E-4</v>
      </c>
    </row>
    <row r="580" spans="2:5" ht="15" customHeight="1">
      <c r="B580" s="74"/>
      <c r="C580" s="29" t="s">
        <v>150</v>
      </c>
      <c r="D580" s="28">
        <v>8</v>
      </c>
      <c r="E580" s="27">
        <v>3.8443056222969728E-3</v>
      </c>
    </row>
    <row r="581" spans="2:5" ht="15" customHeight="1">
      <c r="B581" s="75"/>
      <c r="C581" s="26" t="s">
        <v>3</v>
      </c>
      <c r="D581" s="25">
        <v>11</v>
      </c>
      <c r="E581" s="24">
        <v>5.2859202306583374E-3</v>
      </c>
    </row>
    <row r="582" spans="2:5" ht="15" customHeight="1">
      <c r="B582" s="73" t="s">
        <v>4</v>
      </c>
      <c r="C582" s="29" t="s">
        <v>752</v>
      </c>
      <c r="D582" s="28">
        <v>1</v>
      </c>
      <c r="E582" s="27">
        <v>4.8053820278712159E-4</v>
      </c>
    </row>
    <row r="583" spans="2:5" ht="15" customHeight="1">
      <c r="B583" s="74"/>
      <c r="C583" s="29" t="s">
        <v>753</v>
      </c>
      <c r="D583" s="28">
        <v>1</v>
      </c>
      <c r="E583" s="27">
        <v>4.8053820278712159E-4</v>
      </c>
    </row>
    <row r="584" spans="2:5" ht="15" customHeight="1">
      <c r="B584" s="74"/>
      <c r="C584" s="29" t="s">
        <v>754</v>
      </c>
      <c r="D584" s="28">
        <v>1</v>
      </c>
      <c r="E584" s="27">
        <v>4.8053820278712159E-4</v>
      </c>
    </row>
    <row r="585" spans="2:5" ht="15" customHeight="1">
      <c r="B585" s="74"/>
      <c r="C585" s="29" t="s">
        <v>149</v>
      </c>
      <c r="D585" s="28">
        <v>2</v>
      </c>
      <c r="E585" s="27">
        <v>9.6107640557424319E-4</v>
      </c>
    </row>
    <row r="586" spans="2:5" ht="15" customHeight="1">
      <c r="B586" s="74"/>
      <c r="C586" s="29" t="s">
        <v>755</v>
      </c>
      <c r="D586" s="28">
        <v>1</v>
      </c>
      <c r="E586" s="27">
        <v>4.8053820278712159E-4</v>
      </c>
    </row>
    <row r="587" spans="2:5" ht="15" customHeight="1">
      <c r="B587" s="74"/>
      <c r="C587" s="29" t="s">
        <v>147</v>
      </c>
      <c r="D587" s="28">
        <v>1</v>
      </c>
      <c r="E587" s="27">
        <v>4.8053820278712159E-4</v>
      </c>
    </row>
    <row r="588" spans="2:5" ht="15" customHeight="1">
      <c r="B588" s="74"/>
      <c r="C588" s="29" t="s">
        <v>146</v>
      </c>
      <c r="D588" s="28">
        <v>2</v>
      </c>
      <c r="E588" s="27">
        <v>9.6107640557424319E-4</v>
      </c>
    </row>
    <row r="589" spans="2:5" ht="15" customHeight="1">
      <c r="B589" s="75"/>
      <c r="C589" s="26" t="s">
        <v>3</v>
      </c>
      <c r="D589" s="25">
        <v>9</v>
      </c>
      <c r="E589" s="24">
        <v>4.324843825084094E-3</v>
      </c>
    </row>
    <row r="590" spans="2:5" ht="15" customHeight="1">
      <c r="B590" s="73" t="s">
        <v>17</v>
      </c>
      <c r="C590" s="29" t="s">
        <v>756</v>
      </c>
      <c r="D590" s="28">
        <v>1</v>
      </c>
      <c r="E590" s="27">
        <v>4.8053820278712159E-4</v>
      </c>
    </row>
    <row r="591" spans="2:5" ht="15" customHeight="1">
      <c r="B591" s="74"/>
      <c r="C591" s="29" t="s">
        <v>145</v>
      </c>
      <c r="D591" s="28">
        <v>12</v>
      </c>
      <c r="E591" s="27">
        <v>5.7664584334454587E-3</v>
      </c>
    </row>
    <row r="592" spans="2:5" ht="15" customHeight="1">
      <c r="B592" s="74"/>
      <c r="C592" s="29" t="s">
        <v>144</v>
      </c>
      <c r="D592" s="28">
        <v>1</v>
      </c>
      <c r="E592" s="27">
        <v>4.8053820278712159E-4</v>
      </c>
    </row>
    <row r="593" spans="2:5" ht="15" customHeight="1">
      <c r="B593" s="74"/>
      <c r="C593" s="29" t="s">
        <v>143</v>
      </c>
      <c r="D593" s="28">
        <v>2</v>
      </c>
      <c r="E593" s="27">
        <v>9.6107640557424319E-4</v>
      </c>
    </row>
    <row r="594" spans="2:5" ht="15" customHeight="1">
      <c r="B594" s="74"/>
      <c r="C594" s="29" t="s">
        <v>142</v>
      </c>
      <c r="D594" s="28">
        <v>7</v>
      </c>
      <c r="E594" s="27">
        <v>3.363767419509851E-3</v>
      </c>
    </row>
    <row r="595" spans="2:5" ht="15" customHeight="1">
      <c r="B595" s="74"/>
      <c r="C595" s="29" t="s">
        <v>141</v>
      </c>
      <c r="D595" s="28">
        <v>2</v>
      </c>
      <c r="E595" s="27">
        <v>9.6107640557424319E-4</v>
      </c>
    </row>
    <row r="596" spans="2:5" ht="15" customHeight="1">
      <c r="B596" s="74"/>
      <c r="C596" s="29" t="s">
        <v>140</v>
      </c>
      <c r="D596" s="28">
        <v>8</v>
      </c>
      <c r="E596" s="27">
        <v>3.8443056222969728E-3</v>
      </c>
    </row>
    <row r="597" spans="2:5" ht="15" customHeight="1">
      <c r="B597" s="74"/>
      <c r="C597" s="29" t="s">
        <v>139</v>
      </c>
      <c r="D597" s="28">
        <v>2</v>
      </c>
      <c r="E597" s="27">
        <v>9.6107640557424319E-4</v>
      </c>
    </row>
    <row r="598" spans="2:5" ht="15" customHeight="1">
      <c r="B598" s="74"/>
      <c r="C598" s="29" t="s">
        <v>138</v>
      </c>
      <c r="D598" s="28">
        <v>1</v>
      </c>
      <c r="E598" s="27">
        <v>4.8053820278712159E-4</v>
      </c>
    </row>
    <row r="599" spans="2:5" ht="15" customHeight="1">
      <c r="B599" s="74"/>
      <c r="C599" s="29" t="s">
        <v>137</v>
      </c>
      <c r="D599" s="28">
        <v>3</v>
      </c>
      <c r="E599" s="27">
        <v>1.4416146083613647E-3</v>
      </c>
    </row>
    <row r="600" spans="2:5" ht="15" customHeight="1">
      <c r="B600" s="75"/>
      <c r="C600" s="26" t="s">
        <v>3</v>
      </c>
      <c r="D600" s="25">
        <v>39</v>
      </c>
      <c r="E600" s="24">
        <v>1.8740989908697742E-2</v>
      </c>
    </row>
    <row r="601" spans="2:5" ht="15" customHeight="1">
      <c r="B601" s="73" t="s">
        <v>19</v>
      </c>
      <c r="C601" s="29" t="s">
        <v>136</v>
      </c>
      <c r="D601" s="28">
        <v>1</v>
      </c>
      <c r="E601" s="27">
        <v>4.8053820278712159E-4</v>
      </c>
    </row>
    <row r="602" spans="2:5" ht="15" customHeight="1">
      <c r="B602" s="74"/>
      <c r="C602" s="29" t="s">
        <v>135</v>
      </c>
      <c r="D602" s="28">
        <v>2</v>
      </c>
      <c r="E602" s="27">
        <v>9.6107640557424319E-4</v>
      </c>
    </row>
    <row r="603" spans="2:5" ht="15" customHeight="1">
      <c r="B603" s="74"/>
      <c r="C603" s="29" t="s">
        <v>134</v>
      </c>
      <c r="D603" s="28">
        <v>1</v>
      </c>
      <c r="E603" s="27">
        <v>4.8053820278712159E-4</v>
      </c>
    </row>
    <row r="604" spans="2:5" ht="15" customHeight="1">
      <c r="B604" s="74"/>
      <c r="C604" s="29" t="s">
        <v>133</v>
      </c>
      <c r="D604" s="28">
        <v>3</v>
      </c>
      <c r="E604" s="27">
        <v>1.4416146083613647E-3</v>
      </c>
    </row>
    <row r="605" spans="2:5" ht="15" customHeight="1">
      <c r="B605" s="74"/>
      <c r="C605" s="29" t="s">
        <v>132</v>
      </c>
      <c r="D605" s="28">
        <v>7</v>
      </c>
      <c r="E605" s="27">
        <v>3.363767419509851E-3</v>
      </c>
    </row>
    <row r="606" spans="2:5" ht="15" customHeight="1">
      <c r="B606" s="74"/>
      <c r="C606" s="29" t="s">
        <v>131</v>
      </c>
      <c r="D606" s="28">
        <v>3</v>
      </c>
      <c r="E606" s="27">
        <v>1.4416146083613647E-3</v>
      </c>
    </row>
    <row r="607" spans="2:5" ht="15" customHeight="1">
      <c r="B607" s="74"/>
      <c r="C607" s="29" t="s">
        <v>130</v>
      </c>
      <c r="D607" s="28">
        <v>1</v>
      </c>
      <c r="E607" s="27">
        <v>4.8053820278712159E-4</v>
      </c>
    </row>
    <row r="608" spans="2:5" ht="15" customHeight="1">
      <c r="B608" s="74"/>
      <c r="C608" s="29" t="s">
        <v>129</v>
      </c>
      <c r="D608" s="28">
        <v>3</v>
      </c>
      <c r="E608" s="27">
        <v>1.4416146083613647E-3</v>
      </c>
    </row>
    <row r="609" spans="2:5" ht="15" customHeight="1">
      <c r="B609" s="74"/>
      <c r="C609" s="29" t="s">
        <v>128</v>
      </c>
      <c r="D609" s="28">
        <v>2</v>
      </c>
      <c r="E609" s="27">
        <v>9.6107640557424319E-4</v>
      </c>
    </row>
    <row r="610" spans="2:5" ht="15" customHeight="1">
      <c r="B610" s="74"/>
      <c r="C610" s="29" t="s">
        <v>127</v>
      </c>
      <c r="D610" s="28">
        <v>2</v>
      </c>
      <c r="E610" s="27">
        <v>9.6107640557424319E-4</v>
      </c>
    </row>
    <row r="611" spans="2:5" ht="15" customHeight="1">
      <c r="B611" s="74"/>
      <c r="C611" s="29" t="s">
        <v>126</v>
      </c>
      <c r="D611" s="28">
        <v>2</v>
      </c>
      <c r="E611" s="27">
        <v>9.6107640557424319E-4</v>
      </c>
    </row>
    <row r="612" spans="2:5" ht="15" customHeight="1">
      <c r="B612" s="74"/>
      <c r="C612" s="29" t="s">
        <v>125</v>
      </c>
      <c r="D612" s="28">
        <v>3</v>
      </c>
      <c r="E612" s="27">
        <v>1.4416146083613647E-3</v>
      </c>
    </row>
    <row r="613" spans="2:5" ht="15" customHeight="1">
      <c r="B613" s="74"/>
      <c r="C613" s="29" t="s">
        <v>124</v>
      </c>
      <c r="D613" s="28">
        <v>1</v>
      </c>
      <c r="E613" s="27">
        <v>4.8053820278712159E-4</v>
      </c>
    </row>
    <row r="614" spans="2:5" ht="15" customHeight="1">
      <c r="B614" s="75"/>
      <c r="C614" s="26" t="s">
        <v>3</v>
      </c>
      <c r="D614" s="25">
        <v>31</v>
      </c>
      <c r="E614" s="24">
        <v>1.4896684286400768E-2</v>
      </c>
    </row>
    <row r="615" spans="2:5" ht="15" customHeight="1">
      <c r="B615" s="73" t="s">
        <v>14</v>
      </c>
      <c r="C615" s="29" t="s">
        <v>123</v>
      </c>
      <c r="D615" s="28">
        <v>3</v>
      </c>
      <c r="E615" s="27">
        <v>1.4416146083613647E-3</v>
      </c>
    </row>
    <row r="616" spans="2:5" ht="15" customHeight="1">
      <c r="B616" s="74"/>
      <c r="C616" s="29" t="s">
        <v>122</v>
      </c>
      <c r="D616" s="28">
        <v>1</v>
      </c>
      <c r="E616" s="27">
        <v>4.8053820278712159E-4</v>
      </c>
    </row>
    <row r="617" spans="2:5" ht="15" customHeight="1">
      <c r="B617" s="74"/>
      <c r="C617" s="29" t="s">
        <v>121</v>
      </c>
      <c r="D617" s="28">
        <v>1</v>
      </c>
      <c r="E617" s="27">
        <v>4.8053820278712159E-4</v>
      </c>
    </row>
    <row r="618" spans="2:5" ht="15" customHeight="1">
      <c r="B618" s="74"/>
      <c r="C618" s="29" t="s">
        <v>120</v>
      </c>
      <c r="D618" s="28">
        <v>2</v>
      </c>
      <c r="E618" s="27">
        <v>9.6107640557424319E-4</v>
      </c>
    </row>
    <row r="619" spans="2:5" ht="15" customHeight="1">
      <c r="B619" s="74"/>
      <c r="C619" s="29" t="s">
        <v>119</v>
      </c>
      <c r="D619" s="28">
        <v>1</v>
      </c>
      <c r="E619" s="27">
        <v>4.8053820278712159E-4</v>
      </c>
    </row>
    <row r="620" spans="2:5" ht="15" customHeight="1">
      <c r="B620" s="74"/>
      <c r="C620" s="29" t="s">
        <v>118</v>
      </c>
      <c r="D620" s="28">
        <v>1</v>
      </c>
      <c r="E620" s="27">
        <v>4.8053820278712159E-4</v>
      </c>
    </row>
    <row r="621" spans="2:5" ht="15" customHeight="1">
      <c r="B621" s="74"/>
      <c r="C621" s="29" t="s">
        <v>757</v>
      </c>
      <c r="D621" s="28">
        <v>1</v>
      </c>
      <c r="E621" s="27">
        <v>4.8053820278712159E-4</v>
      </c>
    </row>
    <row r="622" spans="2:5" ht="15" customHeight="1">
      <c r="B622" s="74"/>
      <c r="C622" s="29" t="s">
        <v>758</v>
      </c>
      <c r="D622" s="28">
        <v>1</v>
      </c>
      <c r="E622" s="27">
        <v>4.8053820278712159E-4</v>
      </c>
    </row>
    <row r="623" spans="2:5" ht="15" customHeight="1">
      <c r="B623" s="74"/>
      <c r="C623" s="29" t="s">
        <v>759</v>
      </c>
      <c r="D623" s="28">
        <v>1</v>
      </c>
      <c r="E623" s="27">
        <v>4.8053820278712159E-4</v>
      </c>
    </row>
    <row r="624" spans="2:5" ht="15" customHeight="1">
      <c r="B624" s="74"/>
      <c r="C624" s="29" t="s">
        <v>14</v>
      </c>
      <c r="D624" s="28">
        <v>1</v>
      </c>
      <c r="E624" s="27">
        <v>4.8053820278712159E-4</v>
      </c>
    </row>
    <row r="625" spans="2:5" ht="15" customHeight="1">
      <c r="B625" s="74"/>
      <c r="C625" s="29" t="s">
        <v>117</v>
      </c>
      <c r="D625" s="28">
        <v>2</v>
      </c>
      <c r="E625" s="27">
        <v>9.6107640557424319E-4</v>
      </c>
    </row>
    <row r="626" spans="2:5" ht="15" customHeight="1">
      <c r="B626" s="74"/>
      <c r="C626" s="29" t="s">
        <v>116</v>
      </c>
      <c r="D626" s="28">
        <v>1</v>
      </c>
      <c r="E626" s="27">
        <v>4.8053820278712159E-4</v>
      </c>
    </row>
    <row r="627" spans="2:5" ht="15" customHeight="1">
      <c r="B627" s="75"/>
      <c r="C627" s="26" t="s">
        <v>3</v>
      </c>
      <c r="D627" s="25">
        <v>16</v>
      </c>
      <c r="E627" s="24">
        <v>7.6886112445939455E-3</v>
      </c>
    </row>
    <row r="628" spans="2:5" ht="15" customHeight="1">
      <c r="B628" s="73" t="s">
        <v>33</v>
      </c>
      <c r="C628" s="29" t="s">
        <v>115</v>
      </c>
      <c r="D628" s="28">
        <v>1</v>
      </c>
      <c r="E628" s="27">
        <v>4.8053820278712159E-4</v>
      </c>
    </row>
    <row r="629" spans="2:5" ht="15" customHeight="1">
      <c r="B629" s="74"/>
      <c r="C629" s="29" t="s">
        <v>114</v>
      </c>
      <c r="D629" s="28">
        <v>4</v>
      </c>
      <c r="E629" s="27">
        <v>1.9221528111484864E-3</v>
      </c>
    </row>
    <row r="630" spans="2:5" ht="15" customHeight="1">
      <c r="B630" s="74"/>
      <c r="C630" s="29" t="s">
        <v>760</v>
      </c>
      <c r="D630" s="28">
        <v>1</v>
      </c>
      <c r="E630" s="27">
        <v>4.8053820278712159E-4</v>
      </c>
    </row>
    <row r="631" spans="2:5" ht="15" customHeight="1">
      <c r="B631" s="74"/>
      <c r="C631" s="29" t="s">
        <v>113</v>
      </c>
      <c r="D631" s="28">
        <v>3</v>
      </c>
      <c r="E631" s="27">
        <v>1.4416146083613647E-3</v>
      </c>
    </row>
    <row r="632" spans="2:5" ht="15" customHeight="1">
      <c r="B632" s="74"/>
      <c r="C632" s="29" t="s">
        <v>112</v>
      </c>
      <c r="D632" s="28">
        <v>2</v>
      </c>
      <c r="E632" s="27">
        <v>9.6107640557424319E-4</v>
      </c>
    </row>
    <row r="633" spans="2:5" ht="15" customHeight="1">
      <c r="B633" s="74"/>
      <c r="C633" s="29" t="s">
        <v>111</v>
      </c>
      <c r="D633" s="28">
        <v>3</v>
      </c>
      <c r="E633" s="27">
        <v>1.4416146083613647E-3</v>
      </c>
    </row>
    <row r="634" spans="2:5" ht="15" customHeight="1">
      <c r="B634" s="74"/>
      <c r="C634" s="29" t="s">
        <v>110</v>
      </c>
      <c r="D634" s="28">
        <v>1</v>
      </c>
      <c r="E634" s="27">
        <v>4.8053820278712159E-4</v>
      </c>
    </row>
    <row r="635" spans="2:5" ht="15" customHeight="1">
      <c r="B635" s="74"/>
      <c r="C635" s="29" t="s">
        <v>109</v>
      </c>
      <c r="D635" s="28">
        <v>11</v>
      </c>
      <c r="E635" s="27">
        <v>5.2859202306583374E-3</v>
      </c>
    </row>
    <row r="636" spans="2:5" ht="15" customHeight="1">
      <c r="B636" s="74"/>
      <c r="C636" s="29" t="s">
        <v>108</v>
      </c>
      <c r="D636" s="28">
        <v>8</v>
      </c>
      <c r="E636" s="27">
        <v>3.8443056222969728E-3</v>
      </c>
    </row>
    <row r="637" spans="2:5" ht="15" customHeight="1">
      <c r="B637" s="74"/>
      <c r="C637" s="29" t="s">
        <v>107</v>
      </c>
      <c r="D637" s="28">
        <v>1</v>
      </c>
      <c r="E637" s="27">
        <v>4.8053820278712159E-4</v>
      </c>
    </row>
    <row r="638" spans="2:5" ht="15" customHeight="1">
      <c r="B638" s="74"/>
      <c r="C638" s="29" t="s">
        <v>106</v>
      </c>
      <c r="D638" s="28">
        <v>1</v>
      </c>
      <c r="E638" s="27">
        <v>4.8053820278712159E-4</v>
      </c>
    </row>
    <row r="639" spans="2:5" ht="15" customHeight="1">
      <c r="B639" s="74"/>
      <c r="C639" s="29" t="s">
        <v>105</v>
      </c>
      <c r="D639" s="28">
        <v>1</v>
      </c>
      <c r="E639" s="27">
        <v>4.8053820278712159E-4</v>
      </c>
    </row>
    <row r="640" spans="2:5" ht="15" customHeight="1">
      <c r="B640" s="74"/>
      <c r="C640" s="29" t="s">
        <v>104</v>
      </c>
      <c r="D640" s="28">
        <v>3</v>
      </c>
      <c r="E640" s="27">
        <v>1.4416146083613647E-3</v>
      </c>
    </row>
    <row r="641" spans="2:5" ht="15" customHeight="1">
      <c r="B641" s="74"/>
      <c r="C641" s="29" t="s">
        <v>761</v>
      </c>
      <c r="D641" s="28">
        <v>1</v>
      </c>
      <c r="E641" s="27">
        <v>4.8053820278712159E-4</v>
      </c>
    </row>
    <row r="642" spans="2:5" ht="15" customHeight="1">
      <c r="B642" s="74"/>
      <c r="C642" s="29" t="s">
        <v>762</v>
      </c>
      <c r="D642" s="28">
        <v>1</v>
      </c>
      <c r="E642" s="27">
        <v>4.8053820278712159E-4</v>
      </c>
    </row>
    <row r="643" spans="2:5" ht="15" customHeight="1">
      <c r="B643" s="74"/>
      <c r="C643" s="29" t="s">
        <v>103</v>
      </c>
      <c r="D643" s="28">
        <v>3</v>
      </c>
      <c r="E643" s="27">
        <v>1.4416146083613647E-3</v>
      </c>
    </row>
    <row r="644" spans="2:5" ht="15" customHeight="1">
      <c r="B644" s="74"/>
      <c r="C644" s="29" t="s">
        <v>102</v>
      </c>
      <c r="D644" s="28">
        <v>1</v>
      </c>
      <c r="E644" s="27">
        <v>4.8053820278712159E-4</v>
      </c>
    </row>
    <row r="645" spans="2:5" ht="15" customHeight="1">
      <c r="B645" s="74"/>
      <c r="C645" s="29" t="s">
        <v>101</v>
      </c>
      <c r="D645" s="28">
        <v>8</v>
      </c>
      <c r="E645" s="27">
        <v>3.8443056222969728E-3</v>
      </c>
    </row>
    <row r="646" spans="2:5" ht="15" customHeight="1">
      <c r="B646" s="74"/>
      <c r="C646" s="29" t="s">
        <v>100</v>
      </c>
      <c r="D646" s="28">
        <v>4</v>
      </c>
      <c r="E646" s="27">
        <v>1.9221528111484864E-3</v>
      </c>
    </row>
    <row r="647" spans="2:5" ht="15" customHeight="1">
      <c r="B647" s="74"/>
      <c r="C647" s="29" t="s">
        <v>99</v>
      </c>
      <c r="D647" s="28">
        <v>1</v>
      </c>
      <c r="E647" s="27">
        <v>4.8053820278712159E-4</v>
      </c>
    </row>
    <row r="648" spans="2:5" ht="15" customHeight="1">
      <c r="B648" s="74"/>
      <c r="C648" s="29" t="s">
        <v>98</v>
      </c>
      <c r="D648" s="28">
        <v>1</v>
      </c>
      <c r="E648" s="27">
        <v>4.8053820278712159E-4</v>
      </c>
    </row>
    <row r="649" spans="2:5" ht="15" customHeight="1">
      <c r="B649" s="74"/>
      <c r="C649" s="29" t="s">
        <v>97</v>
      </c>
      <c r="D649" s="28">
        <v>1</v>
      </c>
      <c r="E649" s="27">
        <v>4.8053820278712159E-4</v>
      </c>
    </row>
    <row r="650" spans="2:5" ht="15" customHeight="1">
      <c r="B650" s="74"/>
      <c r="C650" s="29" t="s">
        <v>96</v>
      </c>
      <c r="D650" s="28">
        <v>1</v>
      </c>
      <c r="E650" s="27">
        <v>4.8053820278712159E-4</v>
      </c>
    </row>
    <row r="651" spans="2:5" ht="15" customHeight="1">
      <c r="B651" s="74"/>
      <c r="C651" s="29" t="s">
        <v>95</v>
      </c>
      <c r="D651" s="28">
        <v>1</v>
      </c>
      <c r="E651" s="27">
        <v>4.8053820278712159E-4</v>
      </c>
    </row>
    <row r="652" spans="2:5" ht="15" customHeight="1">
      <c r="B652" s="74"/>
      <c r="C652" s="29" t="s">
        <v>763</v>
      </c>
      <c r="D652" s="28">
        <v>1</v>
      </c>
      <c r="E652" s="27">
        <v>4.8053820278712159E-4</v>
      </c>
    </row>
    <row r="653" spans="2:5" ht="15" customHeight="1">
      <c r="B653" s="74"/>
      <c r="C653" s="29" t="s">
        <v>764</v>
      </c>
      <c r="D653" s="28">
        <v>1</v>
      </c>
      <c r="E653" s="27">
        <v>4.8053820278712159E-4</v>
      </c>
    </row>
    <row r="654" spans="2:5" ht="15" customHeight="1">
      <c r="B654" s="74"/>
      <c r="C654" s="29" t="s">
        <v>765</v>
      </c>
      <c r="D654" s="28">
        <v>1</v>
      </c>
      <c r="E654" s="27">
        <v>4.8053820278712159E-4</v>
      </c>
    </row>
    <row r="655" spans="2:5" ht="15" customHeight="1">
      <c r="B655" s="74"/>
      <c r="C655" s="29" t="s">
        <v>94</v>
      </c>
      <c r="D655" s="28">
        <v>3</v>
      </c>
      <c r="E655" s="27">
        <v>1.4416146083613647E-3</v>
      </c>
    </row>
    <row r="656" spans="2:5" ht="15" customHeight="1">
      <c r="B656" s="74"/>
      <c r="C656" s="29" t="s">
        <v>93</v>
      </c>
      <c r="D656" s="28">
        <v>2</v>
      </c>
      <c r="E656" s="27">
        <v>9.6107640557424319E-4</v>
      </c>
    </row>
    <row r="657" spans="2:5" ht="15" customHeight="1">
      <c r="B657" s="74"/>
      <c r="C657" s="29" t="s">
        <v>92</v>
      </c>
      <c r="D657" s="28">
        <v>4</v>
      </c>
      <c r="E657" s="27">
        <v>1.9221528111484864E-3</v>
      </c>
    </row>
    <row r="658" spans="2:5" ht="15" customHeight="1">
      <c r="B658" s="74"/>
      <c r="C658" s="29" t="s">
        <v>91</v>
      </c>
      <c r="D658" s="28">
        <v>3</v>
      </c>
      <c r="E658" s="27">
        <v>1.4416146083613647E-3</v>
      </c>
    </row>
    <row r="659" spans="2:5" ht="15" customHeight="1">
      <c r="B659" s="74"/>
      <c r="C659" s="29" t="s">
        <v>90</v>
      </c>
      <c r="D659" s="28">
        <v>1</v>
      </c>
      <c r="E659" s="27">
        <v>4.8053820278712159E-4</v>
      </c>
    </row>
    <row r="660" spans="2:5" ht="15" customHeight="1">
      <c r="B660" s="74"/>
      <c r="C660" s="29" t="s">
        <v>89</v>
      </c>
      <c r="D660" s="28">
        <v>8</v>
      </c>
      <c r="E660" s="27">
        <v>3.8443056222969728E-3</v>
      </c>
    </row>
    <row r="661" spans="2:5" ht="15" customHeight="1">
      <c r="B661" s="74"/>
      <c r="C661" s="29" t="s">
        <v>88</v>
      </c>
      <c r="D661" s="28">
        <v>1</v>
      </c>
      <c r="E661" s="27">
        <v>4.8053820278712159E-4</v>
      </c>
    </row>
    <row r="662" spans="2:5" ht="15" customHeight="1">
      <c r="B662" s="74"/>
      <c r="C662" s="29" t="s">
        <v>87</v>
      </c>
      <c r="D662" s="28">
        <v>1</v>
      </c>
      <c r="E662" s="27">
        <v>4.8053820278712159E-4</v>
      </c>
    </row>
    <row r="663" spans="2:5" ht="15" customHeight="1">
      <c r="B663" s="74"/>
      <c r="C663" s="29" t="s">
        <v>86</v>
      </c>
      <c r="D663" s="28">
        <v>4</v>
      </c>
      <c r="E663" s="27">
        <v>1.9221528111484864E-3</v>
      </c>
    </row>
    <row r="664" spans="2:5" ht="15" customHeight="1">
      <c r="B664" s="74"/>
      <c r="C664" s="29" t="s">
        <v>85</v>
      </c>
      <c r="D664" s="28">
        <v>1</v>
      </c>
      <c r="E664" s="27">
        <v>4.8053820278712159E-4</v>
      </c>
    </row>
    <row r="665" spans="2:5" ht="15" customHeight="1">
      <c r="B665" s="74"/>
      <c r="C665" s="29" t="s">
        <v>84</v>
      </c>
      <c r="D665" s="28">
        <v>16</v>
      </c>
      <c r="E665" s="27">
        <v>7.6886112445939455E-3</v>
      </c>
    </row>
    <row r="666" spans="2:5" ht="15" customHeight="1">
      <c r="B666" s="74"/>
      <c r="C666" s="29" t="s">
        <v>83</v>
      </c>
      <c r="D666" s="28">
        <v>1</v>
      </c>
      <c r="E666" s="27">
        <v>4.8053820278712159E-4</v>
      </c>
    </row>
    <row r="667" spans="2:5" ht="15" customHeight="1">
      <c r="B667" s="74"/>
      <c r="C667" s="29" t="s">
        <v>766</v>
      </c>
      <c r="D667" s="28">
        <v>1</v>
      </c>
      <c r="E667" s="27">
        <v>4.8053820278712159E-4</v>
      </c>
    </row>
    <row r="668" spans="2:5" ht="15" customHeight="1">
      <c r="B668" s="74"/>
      <c r="C668" s="29" t="s">
        <v>82</v>
      </c>
      <c r="D668" s="28">
        <v>8</v>
      </c>
      <c r="E668" s="27">
        <v>3.8443056222969728E-3</v>
      </c>
    </row>
    <row r="669" spans="2:5" ht="15" customHeight="1">
      <c r="B669" s="74"/>
      <c r="C669" s="29" t="s">
        <v>767</v>
      </c>
      <c r="D669" s="28">
        <v>1</v>
      </c>
      <c r="E669" s="27">
        <v>4.8053820278712159E-4</v>
      </c>
    </row>
    <row r="670" spans="2:5" ht="15" customHeight="1">
      <c r="B670" s="74"/>
      <c r="C670" s="29" t="s">
        <v>81</v>
      </c>
      <c r="D670" s="28">
        <v>16</v>
      </c>
      <c r="E670" s="27">
        <v>7.6886112445939455E-3</v>
      </c>
    </row>
    <row r="671" spans="2:5" ht="15" customHeight="1">
      <c r="B671" s="74"/>
      <c r="C671" s="29" t="s">
        <v>80</v>
      </c>
      <c r="D671" s="28">
        <v>1</v>
      </c>
      <c r="E671" s="27">
        <v>4.8053820278712159E-4</v>
      </c>
    </row>
    <row r="672" spans="2:5" ht="15" customHeight="1">
      <c r="B672" s="74"/>
      <c r="C672" s="29" t="s">
        <v>768</v>
      </c>
      <c r="D672" s="28">
        <v>1</v>
      </c>
      <c r="E672" s="27">
        <v>4.8053820278712159E-4</v>
      </c>
    </row>
    <row r="673" spans="2:5" ht="15" customHeight="1">
      <c r="B673" s="74"/>
      <c r="C673" s="29" t="s">
        <v>769</v>
      </c>
      <c r="D673" s="28">
        <v>1</v>
      </c>
      <c r="E673" s="27">
        <v>4.8053820278712159E-4</v>
      </c>
    </row>
    <row r="674" spans="2:5" ht="15" customHeight="1">
      <c r="B674" s="74"/>
      <c r="C674" s="29" t="s">
        <v>770</v>
      </c>
      <c r="D674" s="28">
        <v>1</v>
      </c>
      <c r="E674" s="27">
        <v>4.8053820278712159E-4</v>
      </c>
    </row>
    <row r="675" spans="2:5" ht="15" customHeight="1">
      <c r="B675" s="74"/>
      <c r="C675" s="29" t="s">
        <v>79</v>
      </c>
      <c r="D675" s="28">
        <v>3</v>
      </c>
      <c r="E675" s="27">
        <v>1.4416146083613647E-3</v>
      </c>
    </row>
    <row r="676" spans="2:5" ht="15" customHeight="1">
      <c r="B676" s="74"/>
      <c r="C676" s="29" t="s">
        <v>78</v>
      </c>
      <c r="D676" s="28">
        <v>3</v>
      </c>
      <c r="E676" s="27">
        <v>1.4416146083613647E-3</v>
      </c>
    </row>
    <row r="677" spans="2:5" ht="15" customHeight="1">
      <c r="B677" s="74"/>
      <c r="C677" s="29" t="s">
        <v>771</v>
      </c>
      <c r="D677" s="28">
        <v>1</v>
      </c>
      <c r="E677" s="27">
        <v>4.8053820278712159E-4</v>
      </c>
    </row>
    <row r="678" spans="2:5" ht="15" customHeight="1">
      <c r="B678" s="74"/>
      <c r="C678" s="29" t="s">
        <v>77</v>
      </c>
      <c r="D678" s="28">
        <v>4</v>
      </c>
      <c r="E678" s="27">
        <v>1.9221528111484864E-3</v>
      </c>
    </row>
    <row r="679" spans="2:5" ht="15" customHeight="1">
      <c r="B679" s="74"/>
      <c r="C679" s="29" t="s">
        <v>76</v>
      </c>
      <c r="D679" s="28">
        <v>3</v>
      </c>
      <c r="E679" s="27">
        <v>1.4416146083613647E-3</v>
      </c>
    </row>
    <row r="680" spans="2:5" ht="15" customHeight="1">
      <c r="B680" s="74"/>
      <c r="C680" s="29" t="s">
        <v>772</v>
      </c>
      <c r="D680" s="28">
        <v>1</v>
      </c>
      <c r="E680" s="27">
        <v>4.8053820278712159E-4</v>
      </c>
    </row>
    <row r="681" spans="2:5" ht="15" customHeight="1">
      <c r="B681" s="74"/>
      <c r="C681" s="29" t="s">
        <v>75</v>
      </c>
      <c r="D681" s="28">
        <v>22</v>
      </c>
      <c r="E681" s="27">
        <v>1.0571840461316675E-2</v>
      </c>
    </row>
    <row r="682" spans="2:5" ht="15" customHeight="1">
      <c r="B682" s="74"/>
      <c r="C682" s="29" t="s">
        <v>74</v>
      </c>
      <c r="D682" s="28">
        <v>1</v>
      </c>
      <c r="E682" s="27">
        <v>4.8053820278712159E-4</v>
      </c>
    </row>
    <row r="683" spans="2:5" ht="15" customHeight="1">
      <c r="B683" s="74"/>
      <c r="C683" s="29" t="s">
        <v>73</v>
      </c>
      <c r="D683" s="28">
        <v>1</v>
      </c>
      <c r="E683" s="27">
        <v>4.8053820278712159E-4</v>
      </c>
    </row>
    <row r="684" spans="2:5" ht="15" customHeight="1">
      <c r="B684" s="74"/>
      <c r="C684" s="29" t="s">
        <v>72</v>
      </c>
      <c r="D684" s="28">
        <v>3</v>
      </c>
      <c r="E684" s="27">
        <v>1.4416146083613647E-3</v>
      </c>
    </row>
    <row r="685" spans="2:5" ht="15" customHeight="1">
      <c r="B685" s="74"/>
      <c r="C685" s="29" t="s">
        <v>71</v>
      </c>
      <c r="D685" s="28">
        <v>4</v>
      </c>
      <c r="E685" s="27">
        <v>1.9221528111484864E-3</v>
      </c>
    </row>
    <row r="686" spans="2:5" ht="15" customHeight="1">
      <c r="B686" s="74"/>
      <c r="C686" s="29" t="s">
        <v>70</v>
      </c>
      <c r="D686" s="28">
        <v>2</v>
      </c>
      <c r="E686" s="27">
        <v>9.6107640557424319E-4</v>
      </c>
    </row>
    <row r="687" spans="2:5" ht="15" customHeight="1">
      <c r="B687" s="74"/>
      <c r="C687" s="29" t="s">
        <v>69</v>
      </c>
      <c r="D687" s="28">
        <v>2</v>
      </c>
      <c r="E687" s="27">
        <v>9.6107640557424319E-4</v>
      </c>
    </row>
    <row r="688" spans="2:5" ht="15" customHeight="1">
      <c r="B688" s="74"/>
      <c r="C688" s="29" t="s">
        <v>68</v>
      </c>
      <c r="D688" s="28">
        <v>3</v>
      </c>
      <c r="E688" s="27">
        <v>1.4416146083613647E-3</v>
      </c>
    </row>
    <row r="689" spans="2:5" ht="15" customHeight="1">
      <c r="B689" s="74"/>
      <c r="C689" s="29" t="s">
        <v>67</v>
      </c>
      <c r="D689" s="28">
        <v>2</v>
      </c>
      <c r="E689" s="27">
        <v>9.6107640557424319E-4</v>
      </c>
    </row>
    <row r="690" spans="2:5" ht="15" customHeight="1">
      <c r="B690" s="74"/>
      <c r="C690" s="29" t="s">
        <v>773</v>
      </c>
      <c r="D690" s="28">
        <v>2</v>
      </c>
      <c r="E690" s="27">
        <v>9.6107640557424319E-4</v>
      </c>
    </row>
    <row r="691" spans="2:5" ht="15" customHeight="1">
      <c r="B691" s="74"/>
      <c r="C691" s="29" t="s">
        <v>66</v>
      </c>
      <c r="D691" s="28">
        <v>1</v>
      </c>
      <c r="E691" s="27">
        <v>4.8053820278712159E-4</v>
      </c>
    </row>
    <row r="692" spans="2:5" ht="15" customHeight="1">
      <c r="B692" s="74"/>
      <c r="C692" s="29" t="s">
        <v>774</v>
      </c>
      <c r="D692" s="28">
        <v>1</v>
      </c>
      <c r="E692" s="27">
        <v>4.8053820278712159E-4</v>
      </c>
    </row>
    <row r="693" spans="2:5" ht="15" customHeight="1">
      <c r="B693" s="74"/>
      <c r="C693" s="29" t="s">
        <v>775</v>
      </c>
      <c r="D693" s="28">
        <v>4</v>
      </c>
      <c r="E693" s="27">
        <v>1.9221528111484864E-3</v>
      </c>
    </row>
    <row r="694" spans="2:5" ht="15" customHeight="1">
      <c r="B694" s="74"/>
      <c r="C694" s="29" t="s">
        <v>65</v>
      </c>
      <c r="D694" s="28">
        <v>3</v>
      </c>
      <c r="E694" s="27">
        <v>1.4416146083613647E-3</v>
      </c>
    </row>
    <row r="695" spans="2:5" ht="15" customHeight="1">
      <c r="B695" s="74"/>
      <c r="C695" s="29" t="s">
        <v>64</v>
      </c>
      <c r="D695" s="28">
        <v>6</v>
      </c>
      <c r="E695" s="27">
        <v>2.8832292167227293E-3</v>
      </c>
    </row>
    <row r="696" spans="2:5" ht="15" customHeight="1">
      <c r="B696" s="74"/>
      <c r="C696" s="29" t="s">
        <v>776</v>
      </c>
      <c r="D696" s="28">
        <v>2</v>
      </c>
      <c r="E696" s="27">
        <v>9.6107640557424319E-4</v>
      </c>
    </row>
    <row r="697" spans="2:5" ht="15" customHeight="1">
      <c r="B697" s="74"/>
      <c r="C697" s="29" t="s">
        <v>63</v>
      </c>
      <c r="D697" s="28">
        <v>2</v>
      </c>
      <c r="E697" s="27">
        <v>9.6107640557424319E-4</v>
      </c>
    </row>
    <row r="698" spans="2:5" ht="15" customHeight="1">
      <c r="B698" s="74"/>
      <c r="C698" s="29" t="s">
        <v>62</v>
      </c>
      <c r="D698" s="28">
        <v>1</v>
      </c>
      <c r="E698" s="27">
        <v>4.8053820278712159E-4</v>
      </c>
    </row>
    <row r="699" spans="2:5" ht="15" customHeight="1">
      <c r="B699" s="74"/>
      <c r="C699" s="29" t="s">
        <v>61</v>
      </c>
      <c r="D699" s="28">
        <v>3</v>
      </c>
      <c r="E699" s="27">
        <v>1.4416146083613647E-3</v>
      </c>
    </row>
    <row r="700" spans="2:5" ht="15" customHeight="1">
      <c r="B700" s="74"/>
      <c r="C700" s="29" t="s">
        <v>33</v>
      </c>
      <c r="D700" s="28">
        <v>4</v>
      </c>
      <c r="E700" s="27">
        <v>1.9221528111484864E-3</v>
      </c>
    </row>
    <row r="701" spans="2:5" ht="15" customHeight="1">
      <c r="B701" s="74"/>
      <c r="C701" s="29" t="s">
        <v>60</v>
      </c>
      <c r="D701" s="28">
        <v>4</v>
      </c>
      <c r="E701" s="27">
        <v>1.9221528111484864E-3</v>
      </c>
    </row>
    <row r="702" spans="2:5" ht="15" customHeight="1">
      <c r="B702" s="74"/>
      <c r="C702" s="29" t="s">
        <v>59</v>
      </c>
      <c r="D702" s="28">
        <v>1</v>
      </c>
      <c r="E702" s="27">
        <v>4.8053820278712159E-4</v>
      </c>
    </row>
    <row r="703" spans="2:5" ht="15" customHeight="1">
      <c r="B703" s="74"/>
      <c r="C703" s="29" t="s">
        <v>58</v>
      </c>
      <c r="D703" s="28">
        <v>2</v>
      </c>
      <c r="E703" s="27">
        <v>9.6107640557424319E-4</v>
      </c>
    </row>
    <row r="704" spans="2:5" ht="15" customHeight="1">
      <c r="B704" s="74"/>
      <c r="C704" s="29" t="s">
        <v>57</v>
      </c>
      <c r="D704" s="28">
        <v>1</v>
      </c>
      <c r="E704" s="27">
        <v>4.8053820278712159E-4</v>
      </c>
    </row>
    <row r="705" spans="2:5" ht="15" customHeight="1">
      <c r="B705" s="74"/>
      <c r="C705" s="29" t="s">
        <v>56</v>
      </c>
      <c r="D705" s="28">
        <v>1</v>
      </c>
      <c r="E705" s="27">
        <v>4.8053820278712159E-4</v>
      </c>
    </row>
    <row r="706" spans="2:5" ht="15" customHeight="1">
      <c r="B706" s="74"/>
      <c r="C706" s="29" t="s">
        <v>55</v>
      </c>
      <c r="D706" s="28">
        <v>3</v>
      </c>
      <c r="E706" s="27">
        <v>1.4416146083613647E-3</v>
      </c>
    </row>
    <row r="707" spans="2:5" ht="15" customHeight="1">
      <c r="B707" s="74"/>
      <c r="C707" s="29" t="s">
        <v>777</v>
      </c>
      <c r="D707" s="28">
        <v>1</v>
      </c>
      <c r="E707" s="27">
        <v>4.8053820278712159E-4</v>
      </c>
    </row>
    <row r="708" spans="2:5" ht="15" customHeight="1">
      <c r="B708" s="75"/>
      <c r="C708" s="26" t="s">
        <v>3</v>
      </c>
      <c r="D708" s="25">
        <v>238</v>
      </c>
      <c r="E708" s="24">
        <v>0.11436809226333494</v>
      </c>
    </row>
    <row r="709" spans="2:5" ht="15" customHeight="1">
      <c r="B709" s="73" t="s">
        <v>22</v>
      </c>
      <c r="C709" s="29" t="s">
        <v>54</v>
      </c>
      <c r="D709" s="28">
        <v>18</v>
      </c>
      <c r="E709" s="27">
        <v>8.649687650168188E-3</v>
      </c>
    </row>
    <row r="710" spans="2:5" ht="15" customHeight="1">
      <c r="B710" s="74"/>
      <c r="C710" s="29" t="s">
        <v>53</v>
      </c>
      <c r="D710" s="28">
        <v>4</v>
      </c>
      <c r="E710" s="27">
        <v>1.9221528111484864E-3</v>
      </c>
    </row>
    <row r="711" spans="2:5" ht="15" customHeight="1">
      <c r="B711" s="74"/>
      <c r="C711" s="29" t="s">
        <v>52</v>
      </c>
      <c r="D711" s="28">
        <v>2</v>
      </c>
      <c r="E711" s="27">
        <v>9.6107640557424319E-4</v>
      </c>
    </row>
    <row r="712" spans="2:5" ht="15" customHeight="1">
      <c r="B712" s="74"/>
      <c r="C712" s="29" t="s">
        <v>51</v>
      </c>
      <c r="D712" s="28">
        <v>1</v>
      </c>
      <c r="E712" s="27">
        <v>4.8053820278712159E-4</v>
      </c>
    </row>
    <row r="713" spans="2:5" ht="15" customHeight="1">
      <c r="B713" s="74"/>
      <c r="C713" s="29" t="s">
        <v>50</v>
      </c>
      <c r="D713" s="28">
        <v>3</v>
      </c>
      <c r="E713" s="27">
        <v>1.4416146083613647E-3</v>
      </c>
    </row>
    <row r="714" spans="2:5" ht="15" customHeight="1">
      <c r="B714" s="74"/>
      <c r="C714" s="29" t="s">
        <v>49</v>
      </c>
      <c r="D714" s="28">
        <v>1</v>
      </c>
      <c r="E714" s="27">
        <v>4.8053820278712159E-4</v>
      </c>
    </row>
    <row r="715" spans="2:5" ht="15" customHeight="1">
      <c r="B715" s="74"/>
      <c r="C715" s="29" t="s">
        <v>48</v>
      </c>
      <c r="D715" s="28">
        <v>5</v>
      </c>
      <c r="E715" s="27">
        <v>2.4026910139356081E-3</v>
      </c>
    </row>
    <row r="716" spans="2:5" ht="15" customHeight="1">
      <c r="B716" s="74"/>
      <c r="C716" s="29" t="s">
        <v>778</v>
      </c>
      <c r="D716" s="28">
        <v>1</v>
      </c>
      <c r="E716" s="27">
        <v>4.8053820278712159E-4</v>
      </c>
    </row>
    <row r="717" spans="2:5" ht="15" customHeight="1">
      <c r="B717" s="74"/>
      <c r="C717" s="29" t="s">
        <v>47</v>
      </c>
      <c r="D717" s="28">
        <v>1</v>
      </c>
      <c r="E717" s="27">
        <v>4.8053820278712159E-4</v>
      </c>
    </row>
    <row r="718" spans="2:5" ht="15" customHeight="1">
      <c r="B718" s="74"/>
      <c r="C718" s="29" t="s">
        <v>46</v>
      </c>
      <c r="D718" s="28">
        <v>5</v>
      </c>
      <c r="E718" s="27">
        <v>2.4026910139356081E-3</v>
      </c>
    </row>
    <row r="719" spans="2:5" ht="15" customHeight="1">
      <c r="B719" s="74"/>
      <c r="C719" s="29" t="s">
        <v>45</v>
      </c>
      <c r="D719" s="28">
        <v>2</v>
      </c>
      <c r="E719" s="27">
        <v>9.6107640557424319E-4</v>
      </c>
    </row>
    <row r="720" spans="2:5" ht="15" customHeight="1">
      <c r="B720" s="74"/>
      <c r="C720" s="29" t="s">
        <v>44</v>
      </c>
      <c r="D720" s="28">
        <v>2</v>
      </c>
      <c r="E720" s="27">
        <v>9.6107640557424319E-4</v>
      </c>
    </row>
    <row r="721" spans="2:6" ht="15" customHeight="1">
      <c r="B721" s="74"/>
      <c r="C721" s="29" t="s">
        <v>43</v>
      </c>
      <c r="D721" s="28">
        <v>2</v>
      </c>
      <c r="E721" s="27">
        <v>9.6107640557424319E-4</v>
      </c>
    </row>
    <row r="722" spans="2:6" ht="15" customHeight="1">
      <c r="B722" s="74"/>
      <c r="C722" s="29" t="s">
        <v>42</v>
      </c>
      <c r="D722" s="28">
        <v>1</v>
      </c>
      <c r="E722" s="27">
        <v>4.8053820278712159E-4</v>
      </c>
    </row>
    <row r="723" spans="2:6" ht="15" customHeight="1">
      <c r="B723" s="74"/>
      <c r="C723" s="29" t="s">
        <v>779</v>
      </c>
      <c r="D723" s="28">
        <v>2</v>
      </c>
      <c r="E723" s="27">
        <v>9.6107640557424319E-4</v>
      </c>
    </row>
    <row r="724" spans="2:6" ht="15" customHeight="1">
      <c r="B724" s="74"/>
      <c r="C724" s="29" t="s">
        <v>41</v>
      </c>
      <c r="D724" s="28">
        <v>1</v>
      </c>
      <c r="E724" s="27">
        <v>4.8053820278712159E-4</v>
      </c>
    </row>
    <row r="725" spans="2:6" ht="15" customHeight="1">
      <c r="B725" s="74"/>
      <c r="C725" s="29" t="s">
        <v>780</v>
      </c>
      <c r="D725" s="28">
        <v>3</v>
      </c>
      <c r="E725" s="27">
        <v>1.4416146083613647E-3</v>
      </c>
    </row>
    <row r="726" spans="2:6" ht="15" customHeight="1">
      <c r="B726" s="74"/>
      <c r="C726" s="29" t="s">
        <v>40</v>
      </c>
      <c r="D726" s="28">
        <v>1</v>
      </c>
      <c r="E726" s="27">
        <v>4.8053820278712159E-4</v>
      </c>
    </row>
    <row r="727" spans="2:6" ht="15" customHeight="1">
      <c r="B727" s="74"/>
      <c r="C727" s="29" t="s">
        <v>39</v>
      </c>
      <c r="D727" s="28">
        <v>1</v>
      </c>
      <c r="E727" s="27">
        <v>4.8053820278712159E-4</v>
      </c>
    </row>
    <row r="728" spans="2:6" ht="15" customHeight="1">
      <c r="B728" s="74"/>
      <c r="C728" s="29" t="s">
        <v>38</v>
      </c>
      <c r="D728" s="28">
        <v>2</v>
      </c>
      <c r="E728" s="27">
        <v>9.6107640557424319E-4</v>
      </c>
    </row>
    <row r="729" spans="2:6" ht="15" customHeight="1">
      <c r="B729" s="74"/>
      <c r="C729" s="29" t="s">
        <v>37</v>
      </c>
      <c r="D729" s="28">
        <v>16</v>
      </c>
      <c r="E729" s="27">
        <v>7.6886112445939455E-3</v>
      </c>
    </row>
    <row r="730" spans="2:6" ht="15" customHeight="1">
      <c r="B730" s="74"/>
      <c r="C730" s="29" t="s">
        <v>22</v>
      </c>
      <c r="D730" s="28">
        <v>1</v>
      </c>
      <c r="E730" s="27">
        <v>4.8053820278712159E-4</v>
      </c>
    </row>
    <row r="731" spans="2:6" ht="15" customHeight="1">
      <c r="B731" s="75"/>
      <c r="C731" s="26" t="s">
        <v>3</v>
      </c>
      <c r="D731" s="25">
        <v>75</v>
      </c>
      <c r="E731" s="24">
        <v>3.6040365209034121E-2</v>
      </c>
    </row>
    <row r="732" spans="2:6" ht="15" customHeight="1">
      <c r="B732" s="76" t="s">
        <v>3</v>
      </c>
      <c r="C732" s="77"/>
      <c r="D732" s="23">
        <f>SUMIF(C$10:C731,"Total",D$10:D731)</f>
        <v>2081</v>
      </c>
      <c r="E732" s="22">
        <v>1</v>
      </c>
    </row>
    <row r="734" spans="2:6" ht="15" customHeight="1">
      <c r="B734" s="1"/>
      <c r="C734" s="3" t="s">
        <v>638</v>
      </c>
      <c r="D734"/>
      <c r="E734"/>
      <c r="F734" s="1"/>
    </row>
    <row r="735" spans="2:6" ht="15" customHeight="1">
      <c r="B735" s="1"/>
      <c r="C735" s="5" t="s">
        <v>2</v>
      </c>
      <c r="D735"/>
      <c r="E735"/>
      <c r="F735" s="1"/>
    </row>
    <row r="736" spans="2:6" ht="15" customHeight="1">
      <c r="B736" s="1"/>
      <c r="C736" s="4" t="s">
        <v>1</v>
      </c>
      <c r="D736"/>
      <c r="E736"/>
      <c r="F736" s="1"/>
    </row>
    <row r="737" spans="2:6" ht="15" customHeight="1">
      <c r="B737" s="1"/>
      <c r="C737" s="3" t="s">
        <v>0</v>
      </c>
      <c r="D737"/>
      <c r="E737"/>
      <c r="F737" s="1"/>
    </row>
    <row r="738" spans="2:6" ht="15" customHeight="1">
      <c r="B738" s="1"/>
      <c r="C738" s="3" t="s">
        <v>639</v>
      </c>
      <c r="D738"/>
      <c r="E738"/>
      <c r="F738" s="1"/>
    </row>
  </sheetData>
  <mergeCells count="32">
    <mergeCell ref="B301:B351"/>
    <mergeCell ref="B352:B367"/>
    <mergeCell ref="B368:B374"/>
    <mergeCell ref="B375:B381"/>
    <mergeCell ref="B7:E8"/>
    <mergeCell ref="B10:B15"/>
    <mergeCell ref="B16:B17"/>
    <mergeCell ref="B18:B22"/>
    <mergeCell ref="B23:B66"/>
    <mergeCell ref="B67:B75"/>
    <mergeCell ref="B76:B84"/>
    <mergeCell ref="B85:B86"/>
    <mergeCell ref="B87:B101"/>
    <mergeCell ref="B102:B114"/>
    <mergeCell ref="B115:B156"/>
    <mergeCell ref="B157:B181"/>
    <mergeCell ref="B183:B226"/>
    <mergeCell ref="B227:B258"/>
    <mergeCell ref="B259:B300"/>
    <mergeCell ref="B382:B471"/>
    <mergeCell ref="B472:B529"/>
    <mergeCell ref="B530:B542"/>
    <mergeCell ref="B543:B545"/>
    <mergeCell ref="B546:B576"/>
    <mergeCell ref="B628:B708"/>
    <mergeCell ref="B709:B731"/>
    <mergeCell ref="B732:C732"/>
    <mergeCell ref="B577:B581"/>
    <mergeCell ref="B582:B589"/>
    <mergeCell ref="B590:B600"/>
    <mergeCell ref="B601:B614"/>
    <mergeCell ref="B615:B627"/>
  </mergeCells>
  <printOptions horizontalCentered="1"/>
  <pageMargins left="0.70866141732283472" right="0.70866141732283472" top="0.74803149606299213" bottom="0.74803149606299213" header="0.31496062992125984" footer="0.31496062992125984"/>
  <pageSetup scale="73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1"/>
  <sheetViews>
    <sheetView showGridLines="0" topLeftCell="A12" zoomScaleNormal="100" zoomScaleSheetLayoutView="115" workbookViewId="0">
      <selection activeCell="C43" sqref="C43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2" t="s">
        <v>585</v>
      </c>
      <c r="C7" s="72"/>
      <c r="D7" s="72"/>
    </row>
    <row r="8" spans="1:4" s="13" customFormat="1" ht="15" customHeight="1">
      <c r="B8" s="72"/>
      <c r="C8" s="72"/>
      <c r="D8" s="72"/>
    </row>
    <row r="9" spans="1:4" s="13" customFormat="1" ht="33" customHeight="1">
      <c r="B9" s="72"/>
      <c r="C9" s="72"/>
      <c r="D9" s="72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584</v>
      </c>
      <c r="C11" s="15" t="s">
        <v>35</v>
      </c>
      <c r="D11" s="14" t="s">
        <v>34</v>
      </c>
    </row>
    <row r="12" spans="1:4">
      <c r="B12" s="11" t="s">
        <v>583</v>
      </c>
      <c r="C12" s="10">
        <v>31</v>
      </c>
      <c r="D12" s="9">
        <v>1.4896684286400768E-2</v>
      </c>
    </row>
    <row r="13" spans="1:4">
      <c r="B13" s="11" t="s">
        <v>582</v>
      </c>
      <c r="C13" s="10">
        <v>12</v>
      </c>
      <c r="D13" s="9">
        <v>5.7664584334454587E-3</v>
      </c>
    </row>
    <row r="14" spans="1:4">
      <c r="A14" s="12"/>
      <c r="B14" s="11" t="s">
        <v>581</v>
      </c>
      <c r="C14" s="10">
        <v>16</v>
      </c>
      <c r="D14" s="9">
        <v>7.6886112445939455E-3</v>
      </c>
    </row>
    <row r="15" spans="1:4">
      <c r="A15" s="12"/>
      <c r="B15" s="11" t="s">
        <v>580</v>
      </c>
      <c r="C15" s="10">
        <v>39</v>
      </c>
      <c r="D15" s="9">
        <v>1.8740989908697742E-2</v>
      </c>
    </row>
    <row r="16" spans="1:4">
      <c r="B16" s="11" t="s">
        <v>579</v>
      </c>
      <c r="C16" s="10">
        <v>33</v>
      </c>
      <c r="D16" s="9">
        <v>1.5857760691975011E-2</v>
      </c>
    </row>
    <row r="17" spans="2:4">
      <c r="B17" s="11" t="s">
        <v>578</v>
      </c>
      <c r="C17" s="10">
        <v>30</v>
      </c>
      <c r="D17" s="9">
        <v>1.4416146083613647E-2</v>
      </c>
    </row>
    <row r="18" spans="2:4">
      <c r="B18" s="11" t="s">
        <v>577</v>
      </c>
      <c r="C18" s="10">
        <v>152</v>
      </c>
      <c r="D18" s="9">
        <v>7.3041806823642474E-2</v>
      </c>
    </row>
    <row r="19" spans="2:4">
      <c r="B19" s="11" t="s">
        <v>576</v>
      </c>
      <c r="C19" s="10">
        <v>396</v>
      </c>
      <c r="D19" s="9">
        <v>0.19029312830370015</v>
      </c>
    </row>
    <row r="20" spans="2:4">
      <c r="B20" s="11" t="s">
        <v>575</v>
      </c>
      <c r="C20" s="10">
        <v>16</v>
      </c>
      <c r="D20" s="9">
        <v>7.6886112445939455E-3</v>
      </c>
    </row>
    <row r="21" spans="2:4">
      <c r="B21" s="11" t="s">
        <v>574</v>
      </c>
      <c r="C21" s="10">
        <v>48</v>
      </c>
      <c r="D21" s="9">
        <v>2.3065833733781835E-2</v>
      </c>
    </row>
    <row r="22" spans="2:4">
      <c r="B22" s="11" t="s">
        <v>573</v>
      </c>
      <c r="C22" s="10">
        <v>96</v>
      </c>
      <c r="D22" s="9">
        <v>4.613166746756367E-2</v>
      </c>
    </row>
    <row r="23" spans="2:4">
      <c r="B23" s="11" t="s">
        <v>572</v>
      </c>
      <c r="C23" s="10">
        <v>644</v>
      </c>
      <c r="D23" s="9">
        <v>0.30946660259490627</v>
      </c>
    </row>
    <row r="24" spans="2:4">
      <c r="B24" s="11" t="s">
        <v>571</v>
      </c>
      <c r="C24" s="10">
        <v>20</v>
      </c>
      <c r="D24" s="9">
        <v>9.6107640557424323E-3</v>
      </c>
    </row>
    <row r="25" spans="2:4">
      <c r="B25" s="11" t="s">
        <v>570</v>
      </c>
      <c r="C25" s="10">
        <v>122</v>
      </c>
      <c r="D25" s="9">
        <v>5.8625660740028833E-2</v>
      </c>
    </row>
    <row r="26" spans="2:4">
      <c r="B26" s="11" t="s">
        <v>569</v>
      </c>
      <c r="C26" s="10">
        <v>322</v>
      </c>
      <c r="D26" s="9">
        <v>0.15473330129745314</v>
      </c>
    </row>
    <row r="27" spans="2:4">
      <c r="B27" s="11" t="s">
        <v>568</v>
      </c>
      <c r="C27" s="10">
        <v>3</v>
      </c>
      <c r="D27" s="9">
        <v>1.4416146083613647E-3</v>
      </c>
    </row>
    <row r="28" spans="2:4">
      <c r="B28" s="11" t="s">
        <v>567</v>
      </c>
      <c r="C28" s="10">
        <v>4</v>
      </c>
      <c r="D28" s="9">
        <v>1.9221528111484864E-3</v>
      </c>
    </row>
    <row r="29" spans="2:4">
      <c r="B29" s="11" t="s">
        <v>566</v>
      </c>
      <c r="C29" s="10">
        <v>2</v>
      </c>
      <c r="D29" s="9">
        <v>9.6107640557424319E-4</v>
      </c>
    </row>
    <row r="30" spans="2:4">
      <c r="B30" s="11" t="s">
        <v>565</v>
      </c>
      <c r="C30" s="10">
        <v>23</v>
      </c>
      <c r="D30" s="9">
        <v>1.1052378664103796E-2</v>
      </c>
    </row>
    <row r="31" spans="2:4">
      <c r="B31" s="11" t="s">
        <v>564</v>
      </c>
      <c r="C31" s="10">
        <v>53</v>
      </c>
      <c r="D31" s="9">
        <v>2.5468524747717443E-2</v>
      </c>
    </row>
    <row r="32" spans="2:4">
      <c r="B32" s="11" t="s">
        <v>563</v>
      </c>
      <c r="C32" s="10">
        <v>12</v>
      </c>
      <c r="D32" s="9">
        <v>5.7664584334454587E-3</v>
      </c>
    </row>
    <row r="33" spans="2:4">
      <c r="B33" s="11" t="s">
        <v>562</v>
      </c>
      <c r="C33" s="10">
        <v>5</v>
      </c>
      <c r="D33" s="9">
        <v>2.4026910139356081E-3</v>
      </c>
    </row>
    <row r="34" spans="2:4">
      <c r="B34" s="11" t="s">
        <v>561</v>
      </c>
      <c r="C34" s="10">
        <v>2</v>
      </c>
      <c r="D34" s="9">
        <v>9.6107640557424319E-4</v>
      </c>
    </row>
    <row r="35" spans="2:4">
      <c r="B35" s="8" t="s">
        <v>3</v>
      </c>
      <c r="C35" s="7">
        <v>2081</v>
      </c>
      <c r="D35" s="6">
        <v>1</v>
      </c>
    </row>
    <row r="37" spans="2:4">
      <c r="B37" s="3" t="s">
        <v>638</v>
      </c>
      <c r="C37"/>
      <c r="D37"/>
    </row>
    <row r="38" spans="2:4">
      <c r="B38" s="5" t="s">
        <v>2</v>
      </c>
      <c r="C38"/>
      <c r="D38"/>
    </row>
    <row r="39" spans="2:4">
      <c r="B39" s="4" t="s">
        <v>1</v>
      </c>
      <c r="C39"/>
      <c r="D39"/>
    </row>
    <row r="40" spans="2:4">
      <c r="B40" s="3" t="s">
        <v>0</v>
      </c>
      <c r="C40"/>
      <c r="D40"/>
    </row>
    <row r="41" spans="2:4">
      <c r="B41" s="3" t="s">
        <v>639</v>
      </c>
      <c r="C41"/>
      <c r="D41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42"/>
  <sheetViews>
    <sheetView zoomScale="115" zoomScaleNormal="115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584</v>
      </c>
      <c r="C9" s="33" t="s">
        <v>36</v>
      </c>
      <c r="D9" s="32" t="s">
        <v>35</v>
      </c>
      <c r="E9" s="31" t="s">
        <v>34</v>
      </c>
    </row>
    <row r="10" spans="1:5" ht="15" customHeight="1">
      <c r="B10" s="73" t="s">
        <v>583</v>
      </c>
      <c r="C10" s="29" t="s">
        <v>6</v>
      </c>
      <c r="D10" s="28">
        <v>2</v>
      </c>
      <c r="E10" s="27">
        <v>9.6107640557424319E-4</v>
      </c>
    </row>
    <row r="11" spans="1:5" ht="15" customHeight="1">
      <c r="B11" s="74"/>
      <c r="C11" s="29" t="s">
        <v>26</v>
      </c>
      <c r="D11" s="28">
        <v>5</v>
      </c>
      <c r="E11" s="27">
        <v>2.4026910139356081E-3</v>
      </c>
    </row>
    <row r="12" spans="1:5" ht="15" customHeight="1">
      <c r="B12" s="74"/>
      <c r="C12" s="29" t="s">
        <v>31</v>
      </c>
      <c r="D12" s="28">
        <v>1</v>
      </c>
      <c r="E12" s="27">
        <v>4.8053820278712159E-4</v>
      </c>
    </row>
    <row r="13" spans="1:5" ht="15" customHeight="1">
      <c r="B13" s="74"/>
      <c r="C13" s="29" t="s">
        <v>28</v>
      </c>
      <c r="D13" s="28">
        <v>1</v>
      </c>
      <c r="E13" s="27">
        <v>4.8053820278712159E-4</v>
      </c>
    </row>
    <row r="14" spans="1:5" ht="15" customHeight="1">
      <c r="B14" s="74"/>
      <c r="C14" s="29" t="s">
        <v>29</v>
      </c>
      <c r="D14" s="28">
        <v>7</v>
      </c>
      <c r="E14" s="27">
        <v>3.363767419509851E-3</v>
      </c>
    </row>
    <row r="15" spans="1:5" ht="15" customHeight="1">
      <c r="B15" s="74"/>
      <c r="C15" s="29" t="s">
        <v>25</v>
      </c>
      <c r="D15" s="28">
        <v>5</v>
      </c>
      <c r="E15" s="27">
        <v>2.4026910139356081E-3</v>
      </c>
    </row>
    <row r="16" spans="1:5" ht="15" customHeight="1">
      <c r="B16" s="74"/>
      <c r="C16" s="29" t="s">
        <v>15</v>
      </c>
      <c r="D16" s="28">
        <v>1</v>
      </c>
      <c r="E16" s="27">
        <v>4.8053820278712159E-4</v>
      </c>
    </row>
    <row r="17" spans="2:5" ht="15" customHeight="1">
      <c r="B17" s="74"/>
      <c r="C17" s="29" t="s">
        <v>32</v>
      </c>
      <c r="D17" s="28">
        <v>2</v>
      </c>
      <c r="E17" s="27">
        <v>9.6107640557424319E-4</v>
      </c>
    </row>
    <row r="18" spans="2:5" ht="15" customHeight="1">
      <c r="B18" s="74"/>
      <c r="C18" s="29" t="s">
        <v>30</v>
      </c>
      <c r="D18" s="28">
        <v>1</v>
      </c>
      <c r="E18" s="27">
        <v>4.8053820278712159E-4</v>
      </c>
    </row>
    <row r="19" spans="2:5" ht="15" customHeight="1">
      <c r="B19" s="74"/>
      <c r="C19" s="29" t="s">
        <v>21</v>
      </c>
      <c r="D19" s="28">
        <v>1</v>
      </c>
      <c r="E19" s="27">
        <v>4.8053820278712159E-4</v>
      </c>
    </row>
    <row r="20" spans="2:5" ht="15" customHeight="1">
      <c r="B20" s="74"/>
      <c r="C20" s="29" t="s">
        <v>33</v>
      </c>
      <c r="D20" s="28">
        <v>4</v>
      </c>
      <c r="E20" s="27">
        <v>1.9221528111484864E-3</v>
      </c>
    </row>
    <row r="21" spans="2:5" ht="15" customHeight="1">
      <c r="B21" s="74"/>
      <c r="C21" s="29" t="s">
        <v>22</v>
      </c>
      <c r="D21" s="28">
        <v>1</v>
      </c>
      <c r="E21" s="27">
        <v>4.8053820278712159E-4</v>
      </c>
    </row>
    <row r="22" spans="2:5" ht="15" customHeight="1">
      <c r="B22" s="75"/>
      <c r="C22" s="26" t="s">
        <v>3</v>
      </c>
      <c r="D22" s="25">
        <v>31</v>
      </c>
      <c r="E22" s="24">
        <v>1.4896684286400768E-2</v>
      </c>
    </row>
    <row r="23" spans="2:5" ht="15" customHeight="1">
      <c r="B23" s="73" t="s">
        <v>582</v>
      </c>
      <c r="C23" s="29" t="s">
        <v>31</v>
      </c>
      <c r="D23" s="28">
        <v>2</v>
      </c>
      <c r="E23" s="27">
        <v>9.6107640557424319E-4</v>
      </c>
    </row>
    <row r="24" spans="2:5" ht="15" customHeight="1">
      <c r="B24" s="74"/>
      <c r="C24" s="29" t="s">
        <v>23</v>
      </c>
      <c r="D24" s="28">
        <v>1</v>
      </c>
      <c r="E24" s="27">
        <v>4.8053820278712159E-4</v>
      </c>
    </row>
    <row r="25" spans="2:5" ht="15" customHeight="1">
      <c r="B25" s="74"/>
      <c r="C25" s="29" t="s">
        <v>27</v>
      </c>
      <c r="D25" s="28">
        <v>1</v>
      </c>
      <c r="E25" s="27">
        <v>4.8053820278712159E-4</v>
      </c>
    </row>
    <row r="26" spans="2:5" ht="15" customHeight="1">
      <c r="B26" s="74"/>
      <c r="C26" s="29" t="s">
        <v>30</v>
      </c>
      <c r="D26" s="28">
        <v>3</v>
      </c>
      <c r="E26" s="27">
        <v>1.4416146083613647E-3</v>
      </c>
    </row>
    <row r="27" spans="2:5" ht="15" customHeight="1">
      <c r="B27" s="74"/>
      <c r="C27" s="29" t="s">
        <v>9</v>
      </c>
      <c r="D27" s="28">
        <v>1</v>
      </c>
      <c r="E27" s="27">
        <v>4.8053820278712159E-4</v>
      </c>
    </row>
    <row r="28" spans="2:5" ht="15" customHeight="1">
      <c r="B28" s="74"/>
      <c r="C28" s="29" t="s">
        <v>17</v>
      </c>
      <c r="D28" s="28">
        <v>2</v>
      </c>
      <c r="E28" s="27">
        <v>9.6107640557424319E-4</v>
      </c>
    </row>
    <row r="29" spans="2:5" ht="15" customHeight="1">
      <c r="B29" s="74"/>
      <c r="C29" s="29" t="s">
        <v>33</v>
      </c>
      <c r="D29" s="28">
        <v>1</v>
      </c>
      <c r="E29" s="27">
        <v>4.8053820278712159E-4</v>
      </c>
    </row>
    <row r="30" spans="2:5" ht="15" customHeight="1">
      <c r="B30" s="74"/>
      <c r="C30" s="29" t="s">
        <v>22</v>
      </c>
      <c r="D30" s="28">
        <v>1</v>
      </c>
      <c r="E30" s="27">
        <v>4.8053820278712159E-4</v>
      </c>
    </row>
    <row r="31" spans="2:5" ht="15" customHeight="1">
      <c r="B31" s="75"/>
      <c r="C31" s="26" t="s">
        <v>3</v>
      </c>
      <c r="D31" s="25">
        <v>12</v>
      </c>
      <c r="E31" s="24">
        <v>5.7664584334454587E-3</v>
      </c>
    </row>
    <row r="32" spans="2:5" ht="15" customHeight="1">
      <c r="B32" s="73" t="s">
        <v>581</v>
      </c>
      <c r="C32" s="29" t="s">
        <v>11</v>
      </c>
      <c r="D32" s="28">
        <v>1</v>
      </c>
      <c r="E32" s="27">
        <v>4.8053820278712159E-4</v>
      </c>
    </row>
    <row r="33" spans="2:5" ht="15" customHeight="1">
      <c r="B33" s="74"/>
      <c r="C33" s="29" t="s">
        <v>10</v>
      </c>
      <c r="D33" s="28">
        <v>1</v>
      </c>
      <c r="E33" s="27">
        <v>4.8053820278712159E-4</v>
      </c>
    </row>
    <row r="34" spans="2:5" ht="15" customHeight="1">
      <c r="B34" s="74"/>
      <c r="C34" s="29" t="s">
        <v>16</v>
      </c>
      <c r="D34" s="28">
        <v>1</v>
      </c>
      <c r="E34" s="27">
        <v>4.8053820278712159E-4</v>
      </c>
    </row>
    <row r="35" spans="2:5" ht="15" customHeight="1">
      <c r="B35" s="74"/>
      <c r="C35" s="29" t="s">
        <v>31</v>
      </c>
      <c r="D35" s="28">
        <v>1</v>
      </c>
      <c r="E35" s="27">
        <v>4.8053820278712159E-4</v>
      </c>
    </row>
    <row r="36" spans="2:5" ht="15" customHeight="1">
      <c r="B36" s="74"/>
      <c r="C36" s="29" t="s">
        <v>29</v>
      </c>
      <c r="D36" s="28">
        <v>1</v>
      </c>
      <c r="E36" s="27">
        <v>4.8053820278712159E-4</v>
      </c>
    </row>
    <row r="37" spans="2:5" ht="15" customHeight="1">
      <c r="B37" s="74"/>
      <c r="C37" s="29" t="s">
        <v>23</v>
      </c>
      <c r="D37" s="28">
        <v>1</v>
      </c>
      <c r="E37" s="27">
        <v>4.8053820278712159E-4</v>
      </c>
    </row>
    <row r="38" spans="2:5" ht="15" customHeight="1">
      <c r="B38" s="74"/>
      <c r="C38" s="29" t="s">
        <v>25</v>
      </c>
      <c r="D38" s="28">
        <v>2</v>
      </c>
      <c r="E38" s="27">
        <v>9.6107640557424319E-4</v>
      </c>
    </row>
    <row r="39" spans="2:5" ht="15" customHeight="1">
      <c r="B39" s="74"/>
      <c r="C39" s="29" t="s">
        <v>32</v>
      </c>
      <c r="D39" s="28">
        <v>3</v>
      </c>
      <c r="E39" s="27">
        <v>1.4416146083613647E-3</v>
      </c>
    </row>
    <row r="40" spans="2:5" ht="15" customHeight="1">
      <c r="B40" s="74"/>
      <c r="C40" s="29" t="s">
        <v>30</v>
      </c>
      <c r="D40" s="28">
        <v>1</v>
      </c>
      <c r="E40" s="27">
        <v>4.8053820278712159E-4</v>
      </c>
    </row>
    <row r="41" spans="2:5" ht="15" customHeight="1">
      <c r="B41" s="74"/>
      <c r="C41" s="29" t="s">
        <v>33</v>
      </c>
      <c r="D41" s="28">
        <v>2</v>
      </c>
      <c r="E41" s="27">
        <v>9.6107640557424319E-4</v>
      </c>
    </row>
    <row r="42" spans="2:5" ht="15" customHeight="1">
      <c r="B42" s="74"/>
      <c r="C42" s="29" t="s">
        <v>22</v>
      </c>
      <c r="D42" s="28">
        <v>2</v>
      </c>
      <c r="E42" s="27">
        <v>9.6107640557424319E-4</v>
      </c>
    </row>
    <row r="43" spans="2:5" ht="15" customHeight="1">
      <c r="B43" s="75"/>
      <c r="C43" s="26" t="s">
        <v>3</v>
      </c>
      <c r="D43" s="25">
        <v>16</v>
      </c>
      <c r="E43" s="24">
        <v>7.6886112445939455E-3</v>
      </c>
    </row>
    <row r="44" spans="2:5" ht="15" customHeight="1">
      <c r="B44" s="73" t="s">
        <v>580</v>
      </c>
      <c r="C44" s="29" t="s">
        <v>26</v>
      </c>
      <c r="D44" s="28">
        <v>3</v>
      </c>
      <c r="E44" s="27">
        <v>1.4416146083613647E-3</v>
      </c>
    </row>
    <row r="45" spans="2:5" ht="15" customHeight="1">
      <c r="B45" s="74"/>
      <c r="C45" s="29" t="s">
        <v>24</v>
      </c>
      <c r="D45" s="28">
        <v>1</v>
      </c>
      <c r="E45" s="27">
        <v>4.8053820278712159E-4</v>
      </c>
    </row>
    <row r="46" spans="2:5" ht="15" customHeight="1">
      <c r="B46" s="74"/>
      <c r="C46" s="29" t="s">
        <v>31</v>
      </c>
      <c r="D46" s="28">
        <v>1</v>
      </c>
      <c r="E46" s="27">
        <v>4.8053820278712159E-4</v>
      </c>
    </row>
    <row r="47" spans="2:5" ht="15" customHeight="1">
      <c r="B47" s="74"/>
      <c r="C47" s="29" t="s">
        <v>28</v>
      </c>
      <c r="D47" s="28">
        <v>2</v>
      </c>
      <c r="E47" s="27">
        <v>9.6107640557424319E-4</v>
      </c>
    </row>
    <row r="48" spans="2:5" ht="15" customHeight="1">
      <c r="B48" s="74"/>
      <c r="C48" s="29" t="s">
        <v>29</v>
      </c>
      <c r="D48" s="28">
        <v>3</v>
      </c>
      <c r="E48" s="27">
        <v>1.4416146083613647E-3</v>
      </c>
    </row>
    <row r="49" spans="2:5" ht="15" customHeight="1">
      <c r="B49" s="74"/>
      <c r="C49" s="29" t="s">
        <v>23</v>
      </c>
      <c r="D49" s="28">
        <v>4</v>
      </c>
      <c r="E49" s="27">
        <v>1.9221528111484864E-3</v>
      </c>
    </row>
    <row r="50" spans="2:5" ht="15" customHeight="1">
      <c r="B50" s="74"/>
      <c r="C50" s="29" t="s">
        <v>27</v>
      </c>
      <c r="D50" s="28">
        <v>3</v>
      </c>
      <c r="E50" s="27">
        <v>1.4416146083613647E-3</v>
      </c>
    </row>
    <row r="51" spans="2:5" ht="15" customHeight="1">
      <c r="B51" s="74"/>
      <c r="C51" s="29" t="s">
        <v>25</v>
      </c>
      <c r="D51" s="28">
        <v>4</v>
      </c>
      <c r="E51" s="27">
        <v>1.9221528111484864E-3</v>
      </c>
    </row>
    <row r="52" spans="2:5" ht="15" customHeight="1">
      <c r="B52" s="74"/>
      <c r="C52" s="29" t="s">
        <v>32</v>
      </c>
      <c r="D52" s="28">
        <v>5</v>
      </c>
      <c r="E52" s="27">
        <v>2.4026910139356081E-3</v>
      </c>
    </row>
    <row r="53" spans="2:5" ht="15" customHeight="1">
      <c r="B53" s="74"/>
      <c r="C53" s="29" t="s">
        <v>30</v>
      </c>
      <c r="D53" s="28">
        <v>4</v>
      </c>
      <c r="E53" s="27">
        <v>1.9221528111484864E-3</v>
      </c>
    </row>
    <row r="54" spans="2:5" ht="15" customHeight="1">
      <c r="B54" s="74"/>
      <c r="C54" s="29" t="s">
        <v>18</v>
      </c>
      <c r="D54" s="28">
        <v>1</v>
      </c>
      <c r="E54" s="27">
        <v>4.8053820278712159E-4</v>
      </c>
    </row>
    <row r="55" spans="2:5" ht="15" customHeight="1">
      <c r="B55" s="74"/>
      <c r="C55" s="29" t="s">
        <v>21</v>
      </c>
      <c r="D55" s="28">
        <v>2</v>
      </c>
      <c r="E55" s="27">
        <v>9.6107640557424319E-4</v>
      </c>
    </row>
    <row r="56" spans="2:5" ht="15" customHeight="1">
      <c r="B56" s="74"/>
      <c r="C56" s="29" t="s">
        <v>33</v>
      </c>
      <c r="D56" s="28">
        <v>5</v>
      </c>
      <c r="E56" s="27">
        <v>2.4026910139356081E-3</v>
      </c>
    </row>
    <row r="57" spans="2:5" ht="15" customHeight="1">
      <c r="B57" s="74"/>
      <c r="C57" s="29" t="s">
        <v>22</v>
      </c>
      <c r="D57" s="28">
        <v>1</v>
      </c>
      <c r="E57" s="27">
        <v>4.8053820278712159E-4</v>
      </c>
    </row>
    <row r="58" spans="2:5" ht="15" customHeight="1">
      <c r="B58" s="75"/>
      <c r="C58" s="26" t="s">
        <v>3</v>
      </c>
      <c r="D58" s="25">
        <v>39</v>
      </c>
      <c r="E58" s="24">
        <v>1.8740989908697742E-2</v>
      </c>
    </row>
    <row r="59" spans="2:5" ht="15" customHeight="1">
      <c r="B59" s="73" t="s">
        <v>579</v>
      </c>
      <c r="C59" s="29" t="s">
        <v>26</v>
      </c>
      <c r="D59" s="28">
        <v>2</v>
      </c>
      <c r="E59" s="27">
        <v>9.6107640557424319E-4</v>
      </c>
    </row>
    <row r="60" spans="2:5" ht="15" customHeight="1">
      <c r="B60" s="74"/>
      <c r="C60" s="29" t="s">
        <v>24</v>
      </c>
      <c r="D60" s="28">
        <v>1</v>
      </c>
      <c r="E60" s="27">
        <v>4.8053820278712159E-4</v>
      </c>
    </row>
    <row r="61" spans="2:5" ht="15" customHeight="1">
      <c r="B61" s="74"/>
      <c r="C61" s="29" t="s">
        <v>31</v>
      </c>
      <c r="D61" s="28">
        <v>3</v>
      </c>
      <c r="E61" s="27">
        <v>1.4416146083613647E-3</v>
      </c>
    </row>
    <row r="62" spans="2:5" ht="15" customHeight="1">
      <c r="B62" s="74"/>
      <c r="C62" s="29" t="s">
        <v>28</v>
      </c>
      <c r="D62" s="28">
        <v>2</v>
      </c>
      <c r="E62" s="27">
        <v>9.6107640557424319E-4</v>
      </c>
    </row>
    <row r="63" spans="2:5" ht="15" customHeight="1">
      <c r="B63" s="74"/>
      <c r="C63" s="29" t="s">
        <v>29</v>
      </c>
      <c r="D63" s="28">
        <v>2</v>
      </c>
      <c r="E63" s="27">
        <v>9.6107640557424319E-4</v>
      </c>
    </row>
    <row r="64" spans="2:5" ht="15" customHeight="1">
      <c r="B64" s="74"/>
      <c r="C64" s="29" t="s">
        <v>23</v>
      </c>
      <c r="D64" s="28">
        <v>2</v>
      </c>
      <c r="E64" s="27">
        <v>9.6107640557424319E-4</v>
      </c>
    </row>
    <row r="65" spans="2:5" ht="15" customHeight="1">
      <c r="B65" s="74"/>
      <c r="C65" s="29" t="s">
        <v>27</v>
      </c>
      <c r="D65" s="28">
        <v>5</v>
      </c>
      <c r="E65" s="27">
        <v>2.4026910139356081E-3</v>
      </c>
    </row>
    <row r="66" spans="2:5" ht="15" customHeight="1">
      <c r="B66" s="74"/>
      <c r="C66" s="29" t="s">
        <v>25</v>
      </c>
      <c r="D66" s="28">
        <v>2</v>
      </c>
      <c r="E66" s="27">
        <v>9.6107640557424319E-4</v>
      </c>
    </row>
    <row r="67" spans="2:5" ht="15" customHeight="1">
      <c r="B67" s="74"/>
      <c r="C67" s="29" t="s">
        <v>32</v>
      </c>
      <c r="D67" s="28">
        <v>2</v>
      </c>
      <c r="E67" s="27">
        <v>9.6107640557424319E-4</v>
      </c>
    </row>
    <row r="68" spans="2:5" ht="15" customHeight="1">
      <c r="B68" s="74"/>
      <c r="C68" s="29" t="s">
        <v>30</v>
      </c>
      <c r="D68" s="28">
        <v>2</v>
      </c>
      <c r="E68" s="27">
        <v>9.6107640557424319E-4</v>
      </c>
    </row>
    <row r="69" spans="2:5" ht="15" customHeight="1">
      <c r="B69" s="74"/>
      <c r="C69" s="29" t="s">
        <v>18</v>
      </c>
      <c r="D69" s="28">
        <v>2</v>
      </c>
      <c r="E69" s="27">
        <v>9.6107640557424319E-4</v>
      </c>
    </row>
    <row r="70" spans="2:5" ht="15" customHeight="1">
      <c r="B70" s="74"/>
      <c r="C70" s="29" t="s">
        <v>21</v>
      </c>
      <c r="D70" s="28">
        <v>1</v>
      </c>
      <c r="E70" s="27">
        <v>4.8053820278712159E-4</v>
      </c>
    </row>
    <row r="71" spans="2:5" ht="15" customHeight="1">
      <c r="B71" s="74"/>
      <c r="C71" s="29" t="s">
        <v>33</v>
      </c>
      <c r="D71" s="28">
        <v>7</v>
      </c>
      <c r="E71" s="27">
        <v>3.363767419509851E-3</v>
      </c>
    </row>
    <row r="72" spans="2:5" ht="15" customHeight="1">
      <c r="B72" s="75"/>
      <c r="C72" s="26" t="s">
        <v>3</v>
      </c>
      <c r="D72" s="25">
        <v>33</v>
      </c>
      <c r="E72" s="24">
        <v>1.5857760691975011E-2</v>
      </c>
    </row>
    <row r="73" spans="2:5" ht="15" customHeight="1">
      <c r="B73" s="73" t="s">
        <v>578</v>
      </c>
      <c r="C73" s="29" t="s">
        <v>6</v>
      </c>
      <c r="D73" s="28">
        <v>1</v>
      </c>
      <c r="E73" s="27">
        <v>4.8053820278712159E-4</v>
      </c>
    </row>
    <row r="74" spans="2:5" ht="15" customHeight="1">
      <c r="B74" s="74"/>
      <c r="C74" s="29" t="s">
        <v>26</v>
      </c>
      <c r="D74" s="28">
        <v>4</v>
      </c>
      <c r="E74" s="27">
        <v>1.9221528111484864E-3</v>
      </c>
    </row>
    <row r="75" spans="2:5" ht="15" customHeight="1">
      <c r="B75" s="74"/>
      <c r="C75" s="29" t="s">
        <v>13</v>
      </c>
      <c r="D75" s="28">
        <v>1</v>
      </c>
      <c r="E75" s="27">
        <v>4.8053820278712159E-4</v>
      </c>
    </row>
    <row r="76" spans="2:5" ht="15" customHeight="1">
      <c r="B76" s="74"/>
      <c r="C76" s="29" t="s">
        <v>29</v>
      </c>
      <c r="D76" s="28">
        <v>5</v>
      </c>
      <c r="E76" s="27">
        <v>2.4026910139356081E-3</v>
      </c>
    </row>
    <row r="77" spans="2:5" ht="15" customHeight="1">
      <c r="B77" s="74"/>
      <c r="C77" s="29" t="s">
        <v>27</v>
      </c>
      <c r="D77" s="28">
        <v>1</v>
      </c>
      <c r="E77" s="27">
        <v>4.8053820278712159E-4</v>
      </c>
    </row>
    <row r="78" spans="2:5" ht="15" customHeight="1">
      <c r="B78" s="74"/>
      <c r="C78" s="29" t="s">
        <v>25</v>
      </c>
      <c r="D78" s="28">
        <v>4</v>
      </c>
      <c r="E78" s="27">
        <v>1.9221528111484864E-3</v>
      </c>
    </row>
    <row r="79" spans="2:5" ht="15" customHeight="1">
      <c r="B79" s="74"/>
      <c r="C79" s="29" t="s">
        <v>32</v>
      </c>
      <c r="D79" s="28">
        <v>1</v>
      </c>
      <c r="E79" s="27">
        <v>4.8053820278712159E-4</v>
      </c>
    </row>
    <row r="80" spans="2:5" ht="15" customHeight="1">
      <c r="B80" s="74"/>
      <c r="C80" s="29" t="s">
        <v>30</v>
      </c>
      <c r="D80" s="28">
        <v>1</v>
      </c>
      <c r="E80" s="27">
        <v>4.8053820278712159E-4</v>
      </c>
    </row>
    <row r="81" spans="2:5" ht="15" customHeight="1">
      <c r="B81" s="74"/>
      <c r="C81" s="29" t="s">
        <v>21</v>
      </c>
      <c r="D81" s="28">
        <v>3</v>
      </c>
      <c r="E81" s="27">
        <v>1.4416146083613647E-3</v>
      </c>
    </row>
    <row r="82" spans="2:5" ht="15" customHeight="1">
      <c r="B82" s="74"/>
      <c r="C82" s="29" t="s">
        <v>19</v>
      </c>
      <c r="D82" s="28">
        <v>1</v>
      </c>
      <c r="E82" s="27">
        <v>4.8053820278712159E-4</v>
      </c>
    </row>
    <row r="83" spans="2:5" ht="15" customHeight="1">
      <c r="B83" s="74"/>
      <c r="C83" s="29" t="s">
        <v>33</v>
      </c>
      <c r="D83" s="28">
        <v>7</v>
      </c>
      <c r="E83" s="27">
        <v>3.363767419509851E-3</v>
      </c>
    </row>
    <row r="84" spans="2:5" ht="15" customHeight="1">
      <c r="B84" s="74"/>
      <c r="C84" s="29" t="s">
        <v>22</v>
      </c>
      <c r="D84" s="28">
        <v>1</v>
      </c>
      <c r="E84" s="27">
        <v>4.8053820278712159E-4</v>
      </c>
    </row>
    <row r="85" spans="2:5" ht="15" customHeight="1">
      <c r="B85" s="75"/>
      <c r="C85" s="26" t="s">
        <v>3</v>
      </c>
      <c r="D85" s="25">
        <v>30</v>
      </c>
      <c r="E85" s="24">
        <v>1.4416146083613647E-2</v>
      </c>
    </row>
    <row r="86" spans="2:5" ht="15" customHeight="1">
      <c r="B86" s="73" t="s">
        <v>577</v>
      </c>
      <c r="C86" s="29" t="s">
        <v>6</v>
      </c>
      <c r="D86" s="28">
        <v>1</v>
      </c>
      <c r="E86" s="27">
        <v>4.8053820278712159E-4</v>
      </c>
    </row>
    <row r="87" spans="2:5" ht="15" customHeight="1">
      <c r="B87" s="74"/>
      <c r="C87" s="29" t="s">
        <v>26</v>
      </c>
      <c r="D87" s="28">
        <v>8</v>
      </c>
      <c r="E87" s="27">
        <v>3.8443056222969728E-3</v>
      </c>
    </row>
    <row r="88" spans="2:5" ht="15" customHeight="1">
      <c r="B88" s="74"/>
      <c r="C88" s="29" t="s">
        <v>24</v>
      </c>
      <c r="D88" s="28">
        <v>5</v>
      </c>
      <c r="E88" s="27">
        <v>2.4026910139356081E-3</v>
      </c>
    </row>
    <row r="89" spans="2:5" ht="15" customHeight="1">
      <c r="B89" s="74"/>
      <c r="C89" s="29" t="s">
        <v>16</v>
      </c>
      <c r="D89" s="28">
        <v>3</v>
      </c>
      <c r="E89" s="27">
        <v>1.4416146083613647E-3</v>
      </c>
    </row>
    <row r="90" spans="2:5" ht="15" customHeight="1">
      <c r="B90" s="74"/>
      <c r="C90" s="29" t="s">
        <v>31</v>
      </c>
      <c r="D90" s="28">
        <v>15</v>
      </c>
      <c r="E90" s="27">
        <v>7.2080730418068234E-3</v>
      </c>
    </row>
    <row r="91" spans="2:5" ht="15" customHeight="1">
      <c r="B91" s="74"/>
      <c r="C91" s="29" t="s">
        <v>28</v>
      </c>
      <c r="D91" s="28">
        <v>9</v>
      </c>
      <c r="E91" s="27">
        <v>4.324843825084094E-3</v>
      </c>
    </row>
    <row r="92" spans="2:5" ht="15" customHeight="1">
      <c r="B92" s="74"/>
      <c r="C92" s="29" t="s">
        <v>29</v>
      </c>
      <c r="D92" s="28">
        <v>6</v>
      </c>
      <c r="E92" s="27">
        <v>2.8832292167227293E-3</v>
      </c>
    </row>
    <row r="93" spans="2:5" ht="15" customHeight="1">
      <c r="B93" s="74"/>
      <c r="C93" s="29" t="s">
        <v>23</v>
      </c>
      <c r="D93" s="28">
        <v>8</v>
      </c>
      <c r="E93" s="27">
        <v>3.8443056222969728E-3</v>
      </c>
    </row>
    <row r="94" spans="2:5" ht="15" customHeight="1">
      <c r="B94" s="74"/>
      <c r="C94" s="29" t="s">
        <v>27</v>
      </c>
      <c r="D94" s="28">
        <v>11</v>
      </c>
      <c r="E94" s="27">
        <v>5.2859202306583374E-3</v>
      </c>
    </row>
    <row r="95" spans="2:5" ht="15" customHeight="1">
      <c r="B95" s="74"/>
      <c r="C95" s="29" t="s">
        <v>25</v>
      </c>
      <c r="D95" s="28">
        <v>12</v>
      </c>
      <c r="E95" s="27">
        <v>5.7664584334454587E-3</v>
      </c>
    </row>
    <row r="96" spans="2:5" ht="15" customHeight="1">
      <c r="B96" s="74"/>
      <c r="C96" s="29" t="s">
        <v>20</v>
      </c>
      <c r="D96" s="28">
        <v>4</v>
      </c>
      <c r="E96" s="27">
        <v>1.9221528111484864E-3</v>
      </c>
    </row>
    <row r="97" spans="2:5" ht="15" customHeight="1">
      <c r="B97" s="74"/>
      <c r="C97" s="29" t="s">
        <v>15</v>
      </c>
      <c r="D97" s="28">
        <v>1</v>
      </c>
      <c r="E97" s="27">
        <v>4.8053820278712159E-4</v>
      </c>
    </row>
    <row r="98" spans="2:5" ht="15" customHeight="1">
      <c r="B98" s="74"/>
      <c r="C98" s="29" t="s">
        <v>32</v>
      </c>
      <c r="D98" s="28">
        <v>14</v>
      </c>
      <c r="E98" s="27">
        <v>6.7275348390197021E-3</v>
      </c>
    </row>
    <row r="99" spans="2:5" ht="15" customHeight="1">
      <c r="B99" s="74"/>
      <c r="C99" s="29" t="s">
        <v>30</v>
      </c>
      <c r="D99" s="28">
        <v>21</v>
      </c>
      <c r="E99" s="27">
        <v>1.0091302258529554E-2</v>
      </c>
    </row>
    <row r="100" spans="2:5" ht="15" customHeight="1">
      <c r="B100" s="74"/>
      <c r="C100" s="29" t="s">
        <v>18</v>
      </c>
      <c r="D100" s="28">
        <v>1</v>
      </c>
      <c r="E100" s="27">
        <v>4.8053820278712159E-4</v>
      </c>
    </row>
    <row r="101" spans="2:5" ht="15" customHeight="1">
      <c r="B101" s="74"/>
      <c r="C101" s="29" t="s">
        <v>8</v>
      </c>
      <c r="D101" s="28">
        <v>1</v>
      </c>
      <c r="E101" s="27">
        <v>4.8053820278712159E-4</v>
      </c>
    </row>
    <row r="102" spans="2:5" ht="15" customHeight="1">
      <c r="B102" s="74"/>
      <c r="C102" s="29" t="s">
        <v>21</v>
      </c>
      <c r="D102" s="28">
        <v>5</v>
      </c>
      <c r="E102" s="27">
        <v>2.4026910139356081E-3</v>
      </c>
    </row>
    <row r="103" spans="2:5" ht="15" customHeight="1">
      <c r="B103" s="74"/>
      <c r="C103" s="29" t="s">
        <v>17</v>
      </c>
      <c r="D103" s="28">
        <v>2</v>
      </c>
      <c r="E103" s="27">
        <v>9.6107640557424319E-4</v>
      </c>
    </row>
    <row r="104" spans="2:5" ht="15" customHeight="1">
      <c r="B104" s="74"/>
      <c r="C104" s="29" t="s">
        <v>19</v>
      </c>
      <c r="D104" s="28">
        <v>4</v>
      </c>
      <c r="E104" s="27">
        <v>1.9221528111484864E-3</v>
      </c>
    </row>
    <row r="105" spans="2:5" ht="15" customHeight="1">
      <c r="B105" s="74"/>
      <c r="C105" s="29" t="s">
        <v>33</v>
      </c>
      <c r="D105" s="28">
        <v>16</v>
      </c>
      <c r="E105" s="27">
        <v>7.6886112445939455E-3</v>
      </c>
    </row>
    <row r="106" spans="2:5" ht="15" customHeight="1">
      <c r="B106" s="74"/>
      <c r="C106" s="29" t="s">
        <v>22</v>
      </c>
      <c r="D106" s="28">
        <v>5</v>
      </c>
      <c r="E106" s="27">
        <v>2.4026910139356081E-3</v>
      </c>
    </row>
    <row r="107" spans="2:5" ht="15" customHeight="1">
      <c r="B107" s="75"/>
      <c r="C107" s="26" t="s">
        <v>3</v>
      </c>
      <c r="D107" s="25">
        <v>152</v>
      </c>
      <c r="E107" s="24">
        <v>7.3041806823642474E-2</v>
      </c>
    </row>
    <row r="108" spans="2:5" ht="15" customHeight="1">
      <c r="B108" s="73" t="s">
        <v>576</v>
      </c>
      <c r="C108" s="29" t="s">
        <v>11</v>
      </c>
      <c r="D108" s="28">
        <v>3</v>
      </c>
      <c r="E108" s="27">
        <v>1.4416146083613647E-3</v>
      </c>
    </row>
    <row r="109" spans="2:5" ht="15" customHeight="1">
      <c r="B109" s="74"/>
      <c r="C109" s="29" t="s">
        <v>26</v>
      </c>
      <c r="D109" s="28">
        <v>27</v>
      </c>
      <c r="E109" s="27">
        <v>1.2974531475252283E-2</v>
      </c>
    </row>
    <row r="110" spans="2:5" ht="15" customHeight="1">
      <c r="B110" s="74"/>
      <c r="C110" s="29" t="s">
        <v>13</v>
      </c>
      <c r="D110" s="28">
        <v>3</v>
      </c>
      <c r="E110" s="27">
        <v>1.4416146083613647E-3</v>
      </c>
    </row>
    <row r="111" spans="2:5" ht="15" customHeight="1">
      <c r="B111" s="74"/>
      <c r="C111" s="29" t="s">
        <v>10</v>
      </c>
      <c r="D111" s="28">
        <v>1</v>
      </c>
      <c r="E111" s="27">
        <v>4.8053820278712159E-4</v>
      </c>
    </row>
    <row r="112" spans="2:5" ht="15" customHeight="1">
      <c r="B112" s="74"/>
      <c r="C112" s="29" t="s">
        <v>24</v>
      </c>
      <c r="D112" s="28">
        <v>12</v>
      </c>
      <c r="E112" s="27">
        <v>5.7664584334454587E-3</v>
      </c>
    </row>
    <row r="113" spans="2:5" ht="15" customHeight="1">
      <c r="B113" s="74"/>
      <c r="C113" s="29" t="s">
        <v>16</v>
      </c>
      <c r="D113" s="28">
        <v>4</v>
      </c>
      <c r="E113" s="27">
        <v>1.9221528111484864E-3</v>
      </c>
    </row>
    <row r="114" spans="2:5" ht="15" customHeight="1">
      <c r="B114" s="74"/>
      <c r="C114" s="29" t="s">
        <v>31</v>
      </c>
      <c r="D114" s="28">
        <v>28</v>
      </c>
      <c r="E114" s="27">
        <v>1.3455069678039404E-2</v>
      </c>
    </row>
    <row r="115" spans="2:5" ht="15" customHeight="1">
      <c r="B115" s="74"/>
      <c r="C115" s="29" t="s">
        <v>28</v>
      </c>
      <c r="D115" s="28">
        <v>12</v>
      </c>
      <c r="E115" s="27">
        <v>5.7664584334454587E-3</v>
      </c>
    </row>
    <row r="116" spans="2:5" ht="15" customHeight="1">
      <c r="B116" s="74"/>
      <c r="C116" s="29" t="s">
        <v>29</v>
      </c>
      <c r="D116" s="28">
        <v>37</v>
      </c>
      <c r="E116" s="27">
        <v>1.7779913503123499E-2</v>
      </c>
    </row>
    <row r="117" spans="2:5" ht="15" customHeight="1">
      <c r="B117" s="74"/>
      <c r="C117" s="29" t="s">
        <v>23</v>
      </c>
      <c r="D117" s="28">
        <v>15</v>
      </c>
      <c r="E117" s="27">
        <v>7.2080730418068234E-3</v>
      </c>
    </row>
    <row r="118" spans="2:5" ht="15" customHeight="1">
      <c r="B118" s="74"/>
      <c r="C118" s="29" t="s">
        <v>27</v>
      </c>
      <c r="D118" s="28">
        <v>24</v>
      </c>
      <c r="E118" s="27">
        <v>1.1532916866890917E-2</v>
      </c>
    </row>
    <row r="119" spans="2:5" ht="15" customHeight="1">
      <c r="B119" s="74"/>
      <c r="C119" s="29" t="s">
        <v>25</v>
      </c>
      <c r="D119" s="28">
        <v>33</v>
      </c>
      <c r="E119" s="27">
        <v>1.5857760691975011E-2</v>
      </c>
    </row>
    <row r="120" spans="2:5" ht="15" customHeight="1">
      <c r="B120" s="74"/>
      <c r="C120" s="29" t="s">
        <v>20</v>
      </c>
      <c r="D120" s="28">
        <v>8</v>
      </c>
      <c r="E120" s="27">
        <v>3.8443056222969728E-3</v>
      </c>
    </row>
    <row r="121" spans="2:5" ht="15" customHeight="1">
      <c r="B121" s="74"/>
      <c r="C121" s="29" t="s">
        <v>12</v>
      </c>
      <c r="D121" s="28">
        <v>1</v>
      </c>
      <c r="E121" s="27">
        <v>4.8053820278712159E-4</v>
      </c>
    </row>
    <row r="122" spans="2:5" ht="15" customHeight="1">
      <c r="B122" s="74"/>
      <c r="C122" s="29" t="s">
        <v>32</v>
      </c>
      <c r="D122" s="28">
        <v>43</v>
      </c>
      <c r="E122" s="27">
        <v>2.0663142719846227E-2</v>
      </c>
    </row>
    <row r="123" spans="2:5" ht="15" customHeight="1">
      <c r="B123" s="74"/>
      <c r="C123" s="29" t="s">
        <v>30</v>
      </c>
      <c r="D123" s="28">
        <v>33</v>
      </c>
      <c r="E123" s="27">
        <v>1.5857760691975011E-2</v>
      </c>
    </row>
    <row r="124" spans="2:5" ht="15" customHeight="1">
      <c r="B124" s="74"/>
      <c r="C124" s="29" t="s">
        <v>18</v>
      </c>
      <c r="D124" s="28">
        <v>10</v>
      </c>
      <c r="E124" s="27">
        <v>4.8053820278712162E-3</v>
      </c>
    </row>
    <row r="125" spans="2:5" ht="15" customHeight="1">
      <c r="B125" s="74"/>
      <c r="C125" s="29" t="s">
        <v>21</v>
      </c>
      <c r="D125" s="28">
        <v>16</v>
      </c>
      <c r="E125" s="27">
        <v>7.6886112445939455E-3</v>
      </c>
    </row>
    <row r="126" spans="2:5" ht="15" customHeight="1">
      <c r="B126" s="74"/>
      <c r="C126" s="29" t="s">
        <v>9</v>
      </c>
      <c r="D126" s="28">
        <v>2</v>
      </c>
      <c r="E126" s="27">
        <v>9.6107640557424319E-4</v>
      </c>
    </row>
    <row r="127" spans="2:5" ht="15" customHeight="1">
      <c r="B127" s="74"/>
      <c r="C127" s="29" t="s">
        <v>17</v>
      </c>
      <c r="D127" s="28">
        <v>5</v>
      </c>
      <c r="E127" s="27">
        <v>2.4026910139356081E-3</v>
      </c>
    </row>
    <row r="128" spans="2:5" ht="15" customHeight="1">
      <c r="B128" s="74"/>
      <c r="C128" s="29" t="s">
        <v>19</v>
      </c>
      <c r="D128" s="28">
        <v>3</v>
      </c>
      <c r="E128" s="27">
        <v>1.4416146083613647E-3</v>
      </c>
    </row>
    <row r="129" spans="2:5" ht="15" customHeight="1">
      <c r="B129" s="74"/>
      <c r="C129" s="29" t="s">
        <v>14</v>
      </c>
      <c r="D129" s="28">
        <v>4</v>
      </c>
      <c r="E129" s="27">
        <v>1.9221528111484864E-3</v>
      </c>
    </row>
    <row r="130" spans="2:5" ht="15" customHeight="1">
      <c r="B130" s="74"/>
      <c r="C130" s="29" t="s">
        <v>33</v>
      </c>
      <c r="D130" s="28">
        <v>58</v>
      </c>
      <c r="E130" s="27">
        <v>2.7871215761653051E-2</v>
      </c>
    </row>
    <row r="131" spans="2:5" ht="15" customHeight="1">
      <c r="B131" s="74"/>
      <c r="C131" s="29" t="s">
        <v>22</v>
      </c>
      <c r="D131" s="28">
        <v>14</v>
      </c>
      <c r="E131" s="27">
        <v>6.7275348390197021E-3</v>
      </c>
    </row>
    <row r="132" spans="2:5" ht="15" customHeight="1">
      <c r="B132" s="75"/>
      <c r="C132" s="26" t="s">
        <v>3</v>
      </c>
      <c r="D132" s="25">
        <v>396</v>
      </c>
      <c r="E132" s="24">
        <v>0.19029312830370015</v>
      </c>
    </row>
    <row r="133" spans="2:5" ht="15" customHeight="1">
      <c r="B133" s="73" t="s">
        <v>575</v>
      </c>
      <c r="C133" s="29" t="s">
        <v>11</v>
      </c>
      <c r="D133" s="28">
        <v>1</v>
      </c>
      <c r="E133" s="27">
        <v>4.8053820278712159E-4</v>
      </c>
    </row>
    <row r="134" spans="2:5" ht="15" customHeight="1">
      <c r="B134" s="74"/>
      <c r="C134" s="29" t="s">
        <v>26</v>
      </c>
      <c r="D134" s="28">
        <v>2</v>
      </c>
      <c r="E134" s="27">
        <v>9.6107640557424319E-4</v>
      </c>
    </row>
    <row r="135" spans="2:5" ht="15" customHeight="1">
      <c r="B135" s="74"/>
      <c r="C135" s="29" t="s">
        <v>24</v>
      </c>
      <c r="D135" s="28">
        <v>1</v>
      </c>
      <c r="E135" s="27">
        <v>4.8053820278712159E-4</v>
      </c>
    </row>
    <row r="136" spans="2:5" ht="15" customHeight="1">
      <c r="B136" s="74"/>
      <c r="C136" s="29" t="s">
        <v>31</v>
      </c>
      <c r="D136" s="28">
        <v>4</v>
      </c>
      <c r="E136" s="27">
        <v>1.9221528111484864E-3</v>
      </c>
    </row>
    <row r="137" spans="2:5" ht="15" customHeight="1">
      <c r="B137" s="74"/>
      <c r="C137" s="29" t="s">
        <v>29</v>
      </c>
      <c r="D137" s="28">
        <v>2</v>
      </c>
      <c r="E137" s="27">
        <v>9.6107640557424319E-4</v>
      </c>
    </row>
    <row r="138" spans="2:5" ht="15" customHeight="1">
      <c r="B138" s="74"/>
      <c r="C138" s="29" t="s">
        <v>27</v>
      </c>
      <c r="D138" s="28">
        <v>1</v>
      </c>
      <c r="E138" s="27">
        <v>4.8053820278712159E-4</v>
      </c>
    </row>
    <row r="139" spans="2:5" ht="15" customHeight="1">
      <c r="B139" s="74"/>
      <c r="C139" s="29" t="s">
        <v>25</v>
      </c>
      <c r="D139" s="28">
        <v>1</v>
      </c>
      <c r="E139" s="27">
        <v>4.8053820278712159E-4</v>
      </c>
    </row>
    <row r="140" spans="2:5" ht="15" customHeight="1">
      <c r="B140" s="74"/>
      <c r="C140" s="29" t="s">
        <v>30</v>
      </c>
      <c r="D140" s="28">
        <v>2</v>
      </c>
      <c r="E140" s="27">
        <v>9.6107640557424319E-4</v>
      </c>
    </row>
    <row r="141" spans="2:5" ht="15" customHeight="1">
      <c r="B141" s="74"/>
      <c r="C141" s="29" t="s">
        <v>17</v>
      </c>
      <c r="D141" s="28">
        <v>1</v>
      </c>
      <c r="E141" s="27">
        <v>4.8053820278712159E-4</v>
      </c>
    </row>
    <row r="142" spans="2:5" ht="15" customHeight="1">
      <c r="B142" s="74"/>
      <c r="C142" s="29" t="s">
        <v>33</v>
      </c>
      <c r="D142" s="28">
        <v>1</v>
      </c>
      <c r="E142" s="27">
        <v>4.8053820278712159E-4</v>
      </c>
    </row>
    <row r="143" spans="2:5" ht="15" customHeight="1">
      <c r="B143" s="75"/>
      <c r="C143" s="26" t="s">
        <v>3</v>
      </c>
      <c r="D143" s="25">
        <v>16</v>
      </c>
      <c r="E143" s="24">
        <v>7.6886112445939455E-3</v>
      </c>
    </row>
    <row r="144" spans="2:5" ht="15" customHeight="1">
      <c r="B144" s="73" t="s">
        <v>574</v>
      </c>
      <c r="C144" s="29" t="s">
        <v>26</v>
      </c>
      <c r="D144" s="28">
        <v>2</v>
      </c>
      <c r="E144" s="27">
        <v>9.6107640557424319E-4</v>
      </c>
    </row>
    <row r="145" spans="2:5" ht="15" customHeight="1">
      <c r="B145" s="74"/>
      <c r="C145" s="29" t="s">
        <v>24</v>
      </c>
      <c r="D145" s="28">
        <v>3</v>
      </c>
      <c r="E145" s="27">
        <v>1.4416146083613647E-3</v>
      </c>
    </row>
    <row r="146" spans="2:5" ht="15" customHeight="1">
      <c r="B146" s="74"/>
      <c r="C146" s="29" t="s">
        <v>16</v>
      </c>
      <c r="D146" s="28">
        <v>3</v>
      </c>
      <c r="E146" s="27">
        <v>1.4416146083613647E-3</v>
      </c>
    </row>
    <row r="147" spans="2:5" ht="15" customHeight="1">
      <c r="B147" s="74"/>
      <c r="C147" s="29" t="s">
        <v>31</v>
      </c>
      <c r="D147" s="28">
        <v>3</v>
      </c>
      <c r="E147" s="27">
        <v>1.4416146083613647E-3</v>
      </c>
    </row>
    <row r="148" spans="2:5" ht="15" customHeight="1">
      <c r="B148" s="74"/>
      <c r="C148" s="29" t="s">
        <v>28</v>
      </c>
      <c r="D148" s="28">
        <v>3</v>
      </c>
      <c r="E148" s="27">
        <v>1.4416146083613647E-3</v>
      </c>
    </row>
    <row r="149" spans="2:5" ht="15" customHeight="1">
      <c r="B149" s="74"/>
      <c r="C149" s="29" t="s">
        <v>23</v>
      </c>
      <c r="D149" s="28">
        <v>2</v>
      </c>
      <c r="E149" s="27">
        <v>9.6107640557424319E-4</v>
      </c>
    </row>
    <row r="150" spans="2:5" ht="15" customHeight="1">
      <c r="B150" s="74"/>
      <c r="C150" s="29" t="s">
        <v>27</v>
      </c>
      <c r="D150" s="28">
        <v>1</v>
      </c>
      <c r="E150" s="27">
        <v>4.8053820278712159E-4</v>
      </c>
    </row>
    <row r="151" spans="2:5" ht="15" customHeight="1">
      <c r="B151" s="74"/>
      <c r="C151" s="29" t="s">
        <v>25</v>
      </c>
      <c r="D151" s="28">
        <v>4</v>
      </c>
      <c r="E151" s="27">
        <v>1.9221528111484864E-3</v>
      </c>
    </row>
    <row r="152" spans="2:5" ht="15" customHeight="1">
      <c r="B152" s="74"/>
      <c r="C152" s="29" t="s">
        <v>20</v>
      </c>
      <c r="D152" s="28">
        <v>1</v>
      </c>
      <c r="E152" s="27">
        <v>4.8053820278712159E-4</v>
      </c>
    </row>
    <row r="153" spans="2:5" ht="15" customHeight="1">
      <c r="B153" s="74"/>
      <c r="C153" s="29" t="s">
        <v>32</v>
      </c>
      <c r="D153" s="28">
        <v>2</v>
      </c>
      <c r="E153" s="27">
        <v>9.6107640557424319E-4</v>
      </c>
    </row>
    <row r="154" spans="2:5" ht="15" customHeight="1">
      <c r="B154" s="74"/>
      <c r="C154" s="29" t="s">
        <v>30</v>
      </c>
      <c r="D154" s="28">
        <v>9</v>
      </c>
      <c r="E154" s="27">
        <v>4.324843825084094E-3</v>
      </c>
    </row>
    <row r="155" spans="2:5" ht="15" customHeight="1">
      <c r="B155" s="74"/>
      <c r="C155" s="29" t="s">
        <v>21</v>
      </c>
      <c r="D155" s="28">
        <v>1</v>
      </c>
      <c r="E155" s="27">
        <v>4.8053820278712159E-4</v>
      </c>
    </row>
    <row r="156" spans="2:5" ht="15" customHeight="1">
      <c r="B156" s="74"/>
      <c r="C156" s="29" t="s">
        <v>4</v>
      </c>
      <c r="D156" s="28">
        <v>1</v>
      </c>
      <c r="E156" s="27">
        <v>4.8053820278712159E-4</v>
      </c>
    </row>
    <row r="157" spans="2:5" ht="15" customHeight="1">
      <c r="B157" s="74"/>
      <c r="C157" s="29" t="s">
        <v>19</v>
      </c>
      <c r="D157" s="28">
        <v>2</v>
      </c>
      <c r="E157" s="27">
        <v>9.6107640557424319E-4</v>
      </c>
    </row>
    <row r="158" spans="2:5" ht="15" customHeight="1">
      <c r="B158" s="74"/>
      <c r="C158" s="29" t="s">
        <v>33</v>
      </c>
      <c r="D158" s="28">
        <v>6</v>
      </c>
      <c r="E158" s="27">
        <v>2.8832292167227293E-3</v>
      </c>
    </row>
    <row r="159" spans="2:5" ht="15" customHeight="1">
      <c r="B159" s="74"/>
      <c r="C159" s="29" t="s">
        <v>22</v>
      </c>
      <c r="D159" s="28">
        <v>5</v>
      </c>
      <c r="E159" s="27">
        <v>2.4026910139356081E-3</v>
      </c>
    </row>
    <row r="160" spans="2:5" ht="15" customHeight="1">
      <c r="B160" s="75"/>
      <c r="C160" s="26" t="s">
        <v>3</v>
      </c>
      <c r="D160" s="25">
        <v>48</v>
      </c>
      <c r="E160" s="24">
        <v>2.3065833733781835E-2</v>
      </c>
    </row>
    <row r="161" spans="2:5" ht="15" customHeight="1">
      <c r="B161" s="73" t="s">
        <v>573</v>
      </c>
      <c r="C161" s="29" t="s">
        <v>11</v>
      </c>
      <c r="D161" s="28">
        <v>1</v>
      </c>
      <c r="E161" s="27">
        <v>4.8053820278712159E-4</v>
      </c>
    </row>
    <row r="162" spans="2:5" ht="15" customHeight="1">
      <c r="B162" s="74"/>
      <c r="C162" s="29" t="s">
        <v>6</v>
      </c>
      <c r="D162" s="28">
        <v>1</v>
      </c>
      <c r="E162" s="27">
        <v>4.8053820278712159E-4</v>
      </c>
    </row>
    <row r="163" spans="2:5" ht="15" customHeight="1">
      <c r="B163" s="74"/>
      <c r="C163" s="29" t="s">
        <v>26</v>
      </c>
      <c r="D163" s="28">
        <v>5</v>
      </c>
      <c r="E163" s="27">
        <v>2.4026910139356081E-3</v>
      </c>
    </row>
    <row r="164" spans="2:5" ht="15" customHeight="1">
      <c r="B164" s="74"/>
      <c r="C164" s="29" t="s">
        <v>24</v>
      </c>
      <c r="D164" s="28">
        <v>7</v>
      </c>
      <c r="E164" s="27">
        <v>3.363767419509851E-3</v>
      </c>
    </row>
    <row r="165" spans="2:5" ht="15" customHeight="1">
      <c r="B165" s="74"/>
      <c r="C165" s="29" t="s">
        <v>31</v>
      </c>
      <c r="D165" s="28">
        <v>12</v>
      </c>
      <c r="E165" s="27">
        <v>5.7664584334454587E-3</v>
      </c>
    </row>
    <row r="166" spans="2:5" ht="15" customHeight="1">
      <c r="B166" s="74"/>
      <c r="C166" s="29" t="s">
        <v>28</v>
      </c>
      <c r="D166" s="28">
        <v>1</v>
      </c>
      <c r="E166" s="27">
        <v>4.8053820278712159E-4</v>
      </c>
    </row>
    <row r="167" spans="2:5" ht="15" customHeight="1">
      <c r="B167" s="74"/>
      <c r="C167" s="29" t="s">
        <v>29</v>
      </c>
      <c r="D167" s="28">
        <v>5</v>
      </c>
      <c r="E167" s="27">
        <v>2.4026910139356081E-3</v>
      </c>
    </row>
    <row r="168" spans="2:5" ht="15" customHeight="1">
      <c r="B168" s="74"/>
      <c r="C168" s="29" t="s">
        <v>23</v>
      </c>
      <c r="D168" s="28">
        <v>6</v>
      </c>
      <c r="E168" s="27">
        <v>2.8832292167227293E-3</v>
      </c>
    </row>
    <row r="169" spans="2:5" ht="15" customHeight="1">
      <c r="B169" s="74"/>
      <c r="C169" s="29" t="s">
        <v>27</v>
      </c>
      <c r="D169" s="28">
        <v>6</v>
      </c>
      <c r="E169" s="27">
        <v>2.8832292167227293E-3</v>
      </c>
    </row>
    <row r="170" spans="2:5" ht="15" customHeight="1">
      <c r="B170" s="74"/>
      <c r="C170" s="29" t="s">
        <v>25</v>
      </c>
      <c r="D170" s="28">
        <v>7</v>
      </c>
      <c r="E170" s="27">
        <v>3.363767419509851E-3</v>
      </c>
    </row>
    <row r="171" spans="2:5" ht="15" customHeight="1">
      <c r="B171" s="74"/>
      <c r="C171" s="29" t="s">
        <v>20</v>
      </c>
      <c r="D171" s="28">
        <v>4</v>
      </c>
      <c r="E171" s="27">
        <v>1.9221528111484864E-3</v>
      </c>
    </row>
    <row r="172" spans="2:5" ht="15" customHeight="1">
      <c r="B172" s="74"/>
      <c r="C172" s="29" t="s">
        <v>15</v>
      </c>
      <c r="D172" s="28">
        <v>1</v>
      </c>
      <c r="E172" s="27">
        <v>4.8053820278712159E-4</v>
      </c>
    </row>
    <row r="173" spans="2:5" ht="15" customHeight="1">
      <c r="B173" s="74"/>
      <c r="C173" s="29" t="s">
        <v>32</v>
      </c>
      <c r="D173" s="28">
        <v>5</v>
      </c>
      <c r="E173" s="27">
        <v>2.4026910139356081E-3</v>
      </c>
    </row>
    <row r="174" spans="2:5" ht="15" customHeight="1">
      <c r="B174" s="74"/>
      <c r="C174" s="29" t="s">
        <v>30</v>
      </c>
      <c r="D174" s="28">
        <v>7</v>
      </c>
      <c r="E174" s="27">
        <v>3.363767419509851E-3</v>
      </c>
    </row>
    <row r="175" spans="2:5" ht="15" customHeight="1">
      <c r="B175" s="74"/>
      <c r="C175" s="29" t="s">
        <v>18</v>
      </c>
      <c r="D175" s="28">
        <v>3</v>
      </c>
      <c r="E175" s="27">
        <v>1.4416146083613647E-3</v>
      </c>
    </row>
    <row r="176" spans="2:5" ht="15" customHeight="1">
      <c r="B176" s="74"/>
      <c r="C176" s="29" t="s">
        <v>21</v>
      </c>
      <c r="D176" s="28">
        <v>10</v>
      </c>
      <c r="E176" s="27">
        <v>4.8053820278712162E-3</v>
      </c>
    </row>
    <row r="177" spans="2:5" ht="15" customHeight="1">
      <c r="B177" s="74"/>
      <c r="C177" s="29" t="s">
        <v>9</v>
      </c>
      <c r="D177" s="28">
        <v>1</v>
      </c>
      <c r="E177" s="27">
        <v>4.8053820278712159E-4</v>
      </c>
    </row>
    <row r="178" spans="2:5" ht="15" customHeight="1">
      <c r="B178" s="74"/>
      <c r="C178" s="29" t="s">
        <v>17</v>
      </c>
      <c r="D178" s="28">
        <v>1</v>
      </c>
      <c r="E178" s="27">
        <v>4.8053820278712159E-4</v>
      </c>
    </row>
    <row r="179" spans="2:5" ht="15" customHeight="1">
      <c r="B179" s="74"/>
      <c r="C179" s="29" t="s">
        <v>14</v>
      </c>
      <c r="D179" s="28">
        <v>1</v>
      </c>
      <c r="E179" s="27">
        <v>4.8053820278712159E-4</v>
      </c>
    </row>
    <row r="180" spans="2:5" ht="15" customHeight="1">
      <c r="B180" s="74"/>
      <c r="C180" s="29" t="s">
        <v>33</v>
      </c>
      <c r="D180" s="28">
        <v>8</v>
      </c>
      <c r="E180" s="27">
        <v>3.8443056222969728E-3</v>
      </c>
    </row>
    <row r="181" spans="2:5" ht="15" customHeight="1">
      <c r="B181" s="74"/>
      <c r="C181" s="29" t="s">
        <v>22</v>
      </c>
      <c r="D181" s="28">
        <v>4</v>
      </c>
      <c r="E181" s="27">
        <v>1.9221528111484864E-3</v>
      </c>
    </row>
    <row r="182" spans="2:5" ht="15" customHeight="1">
      <c r="B182" s="75"/>
      <c r="C182" s="26" t="s">
        <v>3</v>
      </c>
      <c r="D182" s="25">
        <v>96</v>
      </c>
      <c r="E182" s="24">
        <v>4.613166746756367E-2</v>
      </c>
    </row>
    <row r="183" spans="2:5" ht="15" customHeight="1">
      <c r="B183" s="73" t="s">
        <v>572</v>
      </c>
      <c r="C183" s="29" t="s">
        <v>11</v>
      </c>
      <c r="D183" s="28">
        <v>9</v>
      </c>
      <c r="E183" s="27">
        <v>4.324843825084094E-3</v>
      </c>
    </row>
    <row r="184" spans="2:5" ht="15" customHeight="1">
      <c r="B184" s="74"/>
      <c r="C184" s="29" t="s">
        <v>6</v>
      </c>
      <c r="D184" s="28">
        <v>2</v>
      </c>
      <c r="E184" s="27">
        <v>9.6107640557424319E-4</v>
      </c>
    </row>
    <row r="185" spans="2:5" ht="15" customHeight="1">
      <c r="B185" s="74"/>
      <c r="C185" s="29" t="s">
        <v>26</v>
      </c>
      <c r="D185" s="28">
        <v>34</v>
      </c>
      <c r="E185" s="27">
        <v>1.6338298894762134E-2</v>
      </c>
    </row>
    <row r="186" spans="2:5" ht="15" customHeight="1">
      <c r="B186" s="74"/>
      <c r="C186" s="29" t="s">
        <v>13</v>
      </c>
      <c r="D186" s="28">
        <v>5</v>
      </c>
      <c r="E186" s="27">
        <v>2.4026910139356081E-3</v>
      </c>
    </row>
    <row r="187" spans="2:5" ht="15" customHeight="1">
      <c r="B187" s="74"/>
      <c r="C187" s="29" t="s">
        <v>10</v>
      </c>
      <c r="D187" s="28">
        <v>7</v>
      </c>
      <c r="E187" s="27">
        <v>3.363767419509851E-3</v>
      </c>
    </row>
    <row r="188" spans="2:5" ht="15" customHeight="1">
      <c r="B188" s="74"/>
      <c r="C188" s="29" t="s">
        <v>5</v>
      </c>
      <c r="D188" s="28">
        <v>1</v>
      </c>
      <c r="E188" s="27">
        <v>4.8053820278712159E-4</v>
      </c>
    </row>
    <row r="189" spans="2:5" ht="15" customHeight="1">
      <c r="B189" s="74"/>
      <c r="C189" s="29" t="s">
        <v>24</v>
      </c>
      <c r="D189" s="28">
        <v>33</v>
      </c>
      <c r="E189" s="27">
        <v>1.5857760691975011E-2</v>
      </c>
    </row>
    <row r="190" spans="2:5" ht="15" customHeight="1">
      <c r="B190" s="74"/>
      <c r="C190" s="29" t="s">
        <v>16</v>
      </c>
      <c r="D190" s="28">
        <v>4</v>
      </c>
      <c r="E190" s="27">
        <v>1.9221528111484864E-3</v>
      </c>
    </row>
    <row r="191" spans="2:5" ht="15" customHeight="1">
      <c r="B191" s="74"/>
      <c r="C191" s="29" t="s">
        <v>31</v>
      </c>
      <c r="D191" s="28">
        <v>69</v>
      </c>
      <c r="E191" s="27">
        <v>3.315713599231139E-2</v>
      </c>
    </row>
    <row r="192" spans="2:5" ht="15" customHeight="1">
      <c r="B192" s="74"/>
      <c r="C192" s="29" t="s">
        <v>28</v>
      </c>
      <c r="D192" s="28">
        <v>23</v>
      </c>
      <c r="E192" s="27">
        <v>1.1052378664103796E-2</v>
      </c>
    </row>
    <row r="193" spans="2:5" ht="15" customHeight="1">
      <c r="B193" s="74"/>
      <c r="C193" s="29" t="s">
        <v>29</v>
      </c>
      <c r="D193" s="28">
        <v>33</v>
      </c>
      <c r="E193" s="27">
        <v>1.5857760691975011E-2</v>
      </c>
    </row>
    <row r="194" spans="2:5" ht="15" customHeight="1">
      <c r="B194" s="74"/>
      <c r="C194" s="29" t="s">
        <v>23</v>
      </c>
      <c r="D194" s="28">
        <v>32</v>
      </c>
      <c r="E194" s="27">
        <v>1.5377222489187891E-2</v>
      </c>
    </row>
    <row r="195" spans="2:5" ht="15" customHeight="1">
      <c r="B195" s="74"/>
      <c r="C195" s="29" t="s">
        <v>27</v>
      </c>
      <c r="D195" s="28">
        <v>35</v>
      </c>
      <c r="E195" s="27">
        <v>1.6818837097549257E-2</v>
      </c>
    </row>
    <row r="196" spans="2:5" ht="15" customHeight="1">
      <c r="B196" s="74"/>
      <c r="C196" s="29" t="s">
        <v>25</v>
      </c>
      <c r="D196" s="28">
        <v>44</v>
      </c>
      <c r="E196" s="27">
        <v>2.114368092263335E-2</v>
      </c>
    </row>
    <row r="197" spans="2:5" ht="15" customHeight="1">
      <c r="B197" s="74"/>
      <c r="C197" s="29" t="s">
        <v>20</v>
      </c>
      <c r="D197" s="28">
        <v>13</v>
      </c>
      <c r="E197" s="27">
        <v>6.2469966362325808E-3</v>
      </c>
    </row>
    <row r="198" spans="2:5" ht="15" customHeight="1">
      <c r="B198" s="74"/>
      <c r="C198" s="29" t="s">
        <v>15</v>
      </c>
      <c r="D198" s="28">
        <v>4</v>
      </c>
      <c r="E198" s="27">
        <v>1.9221528111484864E-3</v>
      </c>
    </row>
    <row r="199" spans="2:5" ht="15" customHeight="1">
      <c r="B199" s="74"/>
      <c r="C199" s="29" t="s">
        <v>12</v>
      </c>
      <c r="D199" s="28">
        <v>7</v>
      </c>
      <c r="E199" s="27">
        <v>3.363767419509851E-3</v>
      </c>
    </row>
    <row r="200" spans="2:5" ht="15" customHeight="1">
      <c r="B200" s="74"/>
      <c r="C200" s="29" t="s">
        <v>32</v>
      </c>
      <c r="D200" s="28">
        <v>80</v>
      </c>
      <c r="E200" s="27">
        <v>3.8443056222969729E-2</v>
      </c>
    </row>
    <row r="201" spans="2:5" ht="15" customHeight="1">
      <c r="B201" s="74"/>
      <c r="C201" s="29" t="s">
        <v>30</v>
      </c>
      <c r="D201" s="28">
        <v>51</v>
      </c>
      <c r="E201" s="27">
        <v>2.45074483421432E-2</v>
      </c>
    </row>
    <row r="202" spans="2:5" ht="15" customHeight="1">
      <c r="B202" s="74"/>
      <c r="C202" s="29" t="s">
        <v>18</v>
      </c>
      <c r="D202" s="28">
        <v>13</v>
      </c>
      <c r="E202" s="27">
        <v>6.2469966362325808E-3</v>
      </c>
    </row>
    <row r="203" spans="2:5" ht="15" customHeight="1">
      <c r="B203" s="74"/>
      <c r="C203" s="29" t="s">
        <v>8</v>
      </c>
      <c r="D203" s="28">
        <v>1</v>
      </c>
      <c r="E203" s="27">
        <v>4.8053820278712159E-4</v>
      </c>
    </row>
    <row r="204" spans="2:5" ht="15" customHeight="1">
      <c r="B204" s="74"/>
      <c r="C204" s="29" t="s">
        <v>21</v>
      </c>
      <c r="D204" s="28">
        <v>25</v>
      </c>
      <c r="E204" s="27">
        <v>1.2013455069678039E-2</v>
      </c>
    </row>
    <row r="205" spans="2:5" ht="15" customHeight="1">
      <c r="B205" s="74"/>
      <c r="C205" s="29" t="s">
        <v>9</v>
      </c>
      <c r="D205" s="28">
        <v>3</v>
      </c>
      <c r="E205" s="27">
        <v>1.4416146083613647E-3</v>
      </c>
    </row>
    <row r="206" spans="2:5" ht="15" customHeight="1">
      <c r="B206" s="74"/>
      <c r="C206" s="29" t="s">
        <v>4</v>
      </c>
      <c r="D206" s="28">
        <v>2</v>
      </c>
      <c r="E206" s="27">
        <v>9.6107640557424319E-4</v>
      </c>
    </row>
    <row r="207" spans="2:5" ht="15" customHeight="1">
      <c r="B207" s="74"/>
      <c r="C207" s="29" t="s">
        <v>17</v>
      </c>
      <c r="D207" s="28">
        <v>13</v>
      </c>
      <c r="E207" s="27">
        <v>6.2469966362325808E-3</v>
      </c>
    </row>
    <row r="208" spans="2:5" ht="15" customHeight="1">
      <c r="B208" s="74"/>
      <c r="C208" s="29" t="s">
        <v>19</v>
      </c>
      <c r="D208" s="28">
        <v>6</v>
      </c>
      <c r="E208" s="27">
        <v>2.8832292167227293E-3</v>
      </c>
    </row>
    <row r="209" spans="2:5" ht="15" customHeight="1">
      <c r="B209" s="74"/>
      <c r="C209" s="29" t="s">
        <v>14</v>
      </c>
      <c r="D209" s="28">
        <v>8</v>
      </c>
      <c r="E209" s="27">
        <v>3.8443056222969728E-3</v>
      </c>
    </row>
    <row r="210" spans="2:5" ht="15" customHeight="1">
      <c r="B210" s="74"/>
      <c r="C210" s="29" t="s">
        <v>33</v>
      </c>
      <c r="D210" s="28">
        <v>59</v>
      </c>
      <c r="E210" s="27">
        <v>2.8351753964440174E-2</v>
      </c>
    </row>
    <row r="211" spans="2:5" ht="15" customHeight="1">
      <c r="B211" s="74"/>
      <c r="C211" s="29" t="s">
        <v>22</v>
      </c>
      <c r="D211" s="28">
        <v>28</v>
      </c>
      <c r="E211" s="27">
        <v>1.3455069678039404E-2</v>
      </c>
    </row>
    <row r="212" spans="2:5" ht="15" customHeight="1">
      <c r="B212" s="75"/>
      <c r="C212" s="26" t="s">
        <v>3</v>
      </c>
      <c r="D212" s="25">
        <v>644</v>
      </c>
      <c r="E212" s="24">
        <v>0.30946660259490627</v>
      </c>
    </row>
    <row r="213" spans="2:5" ht="15" customHeight="1">
      <c r="B213" s="73" t="s">
        <v>635</v>
      </c>
      <c r="C213" s="29" t="s">
        <v>26</v>
      </c>
      <c r="D213" s="28">
        <v>1</v>
      </c>
      <c r="E213" s="27">
        <v>4.8053820278712159E-4</v>
      </c>
    </row>
    <row r="214" spans="2:5" ht="15" customHeight="1">
      <c r="B214" s="74"/>
      <c r="C214" s="29" t="s">
        <v>10</v>
      </c>
      <c r="D214" s="28">
        <v>3</v>
      </c>
      <c r="E214" s="27">
        <v>1.4416146083613647E-3</v>
      </c>
    </row>
    <row r="215" spans="2:5" ht="15" customHeight="1">
      <c r="B215" s="74"/>
      <c r="C215" s="29" t="s">
        <v>24</v>
      </c>
      <c r="D215" s="28">
        <v>3</v>
      </c>
      <c r="E215" s="27">
        <v>1.4416146083613647E-3</v>
      </c>
    </row>
    <row r="216" spans="2:5" ht="15" customHeight="1">
      <c r="B216" s="74"/>
      <c r="C216" s="29" t="s">
        <v>16</v>
      </c>
      <c r="D216" s="28">
        <v>1</v>
      </c>
      <c r="E216" s="27">
        <v>4.8053820278712159E-4</v>
      </c>
    </row>
    <row r="217" spans="2:5" ht="15" customHeight="1">
      <c r="B217" s="74"/>
      <c r="C217" s="29" t="s">
        <v>31</v>
      </c>
      <c r="D217" s="28">
        <v>2</v>
      </c>
      <c r="E217" s="27">
        <v>9.6107640557424319E-4</v>
      </c>
    </row>
    <row r="218" spans="2:5" ht="15" customHeight="1">
      <c r="B218" s="74"/>
      <c r="C218" s="29" t="s">
        <v>29</v>
      </c>
      <c r="D218" s="28">
        <v>1</v>
      </c>
      <c r="E218" s="27">
        <v>4.8053820278712159E-4</v>
      </c>
    </row>
    <row r="219" spans="2:5" ht="15" customHeight="1">
      <c r="B219" s="74"/>
      <c r="C219" s="29" t="s">
        <v>27</v>
      </c>
      <c r="D219" s="28">
        <v>1</v>
      </c>
      <c r="E219" s="27">
        <v>4.8053820278712159E-4</v>
      </c>
    </row>
    <row r="220" spans="2:5" ht="15" customHeight="1">
      <c r="B220" s="74"/>
      <c r="C220" s="29" t="s">
        <v>20</v>
      </c>
      <c r="D220" s="28">
        <v>2</v>
      </c>
      <c r="E220" s="27">
        <v>9.6107640557424319E-4</v>
      </c>
    </row>
    <row r="221" spans="2:5" ht="15" customHeight="1">
      <c r="B221" s="74"/>
      <c r="C221" s="29" t="s">
        <v>12</v>
      </c>
      <c r="D221" s="28">
        <v>1</v>
      </c>
      <c r="E221" s="27">
        <v>4.8053820278712159E-4</v>
      </c>
    </row>
    <row r="222" spans="2:5" ht="15" customHeight="1">
      <c r="B222" s="74"/>
      <c r="C222" s="29" t="s">
        <v>30</v>
      </c>
      <c r="D222" s="28">
        <v>2</v>
      </c>
      <c r="E222" s="27">
        <v>9.6107640557424319E-4</v>
      </c>
    </row>
    <row r="223" spans="2:5" ht="15" customHeight="1">
      <c r="B223" s="74"/>
      <c r="C223" s="29" t="s">
        <v>19</v>
      </c>
      <c r="D223" s="28">
        <v>1</v>
      </c>
      <c r="E223" s="27">
        <v>4.8053820278712159E-4</v>
      </c>
    </row>
    <row r="224" spans="2:5" ht="15" customHeight="1">
      <c r="B224" s="74"/>
      <c r="C224" s="29" t="s">
        <v>33</v>
      </c>
      <c r="D224" s="28">
        <v>2</v>
      </c>
      <c r="E224" s="27">
        <v>9.6107640557424319E-4</v>
      </c>
    </row>
    <row r="225" spans="2:5" ht="15" customHeight="1">
      <c r="B225" s="75"/>
      <c r="C225" s="26" t="s">
        <v>3</v>
      </c>
      <c r="D225" s="25">
        <v>20</v>
      </c>
      <c r="E225" s="24">
        <v>9.6107640557424323E-3</v>
      </c>
    </row>
    <row r="226" spans="2:5" ht="15" customHeight="1">
      <c r="B226" s="73" t="s">
        <v>570</v>
      </c>
      <c r="C226" s="29" t="s">
        <v>26</v>
      </c>
      <c r="D226" s="28">
        <v>3</v>
      </c>
      <c r="E226" s="27">
        <v>1.4416146083613647E-3</v>
      </c>
    </row>
    <row r="227" spans="2:5" ht="15" customHeight="1">
      <c r="B227" s="74"/>
      <c r="C227" s="29" t="s">
        <v>13</v>
      </c>
      <c r="D227" s="28">
        <v>1</v>
      </c>
      <c r="E227" s="27">
        <v>4.8053820278712159E-4</v>
      </c>
    </row>
    <row r="228" spans="2:5" ht="15" customHeight="1">
      <c r="B228" s="74"/>
      <c r="C228" s="29" t="s">
        <v>10</v>
      </c>
      <c r="D228" s="28">
        <v>3</v>
      </c>
      <c r="E228" s="27">
        <v>1.4416146083613647E-3</v>
      </c>
    </row>
    <row r="229" spans="2:5" ht="15" customHeight="1">
      <c r="B229" s="74"/>
      <c r="C229" s="29" t="s">
        <v>24</v>
      </c>
      <c r="D229" s="28">
        <v>14</v>
      </c>
      <c r="E229" s="27">
        <v>6.7275348390197021E-3</v>
      </c>
    </row>
    <row r="230" spans="2:5" ht="15" customHeight="1">
      <c r="B230" s="74"/>
      <c r="C230" s="29" t="s">
        <v>16</v>
      </c>
      <c r="D230" s="28">
        <v>2</v>
      </c>
      <c r="E230" s="27">
        <v>9.6107640557424319E-4</v>
      </c>
    </row>
    <row r="231" spans="2:5" ht="15" customHeight="1">
      <c r="B231" s="74"/>
      <c r="C231" s="29" t="s">
        <v>31</v>
      </c>
      <c r="D231" s="28">
        <v>16</v>
      </c>
      <c r="E231" s="27">
        <v>7.6886112445939455E-3</v>
      </c>
    </row>
    <row r="232" spans="2:5" ht="15" customHeight="1">
      <c r="B232" s="74"/>
      <c r="C232" s="29" t="s">
        <v>28</v>
      </c>
      <c r="D232" s="28">
        <v>7</v>
      </c>
      <c r="E232" s="27">
        <v>3.363767419509851E-3</v>
      </c>
    </row>
    <row r="233" spans="2:5" ht="15" customHeight="1">
      <c r="B233" s="74"/>
      <c r="C233" s="29" t="s">
        <v>29</v>
      </c>
      <c r="D233" s="28">
        <v>8</v>
      </c>
      <c r="E233" s="27">
        <v>3.8443056222969728E-3</v>
      </c>
    </row>
    <row r="234" spans="2:5" ht="15" customHeight="1">
      <c r="B234" s="74"/>
      <c r="C234" s="29" t="s">
        <v>23</v>
      </c>
      <c r="D234" s="28">
        <v>4</v>
      </c>
      <c r="E234" s="27">
        <v>1.9221528111484864E-3</v>
      </c>
    </row>
    <row r="235" spans="2:5" ht="15" customHeight="1">
      <c r="B235" s="74"/>
      <c r="C235" s="29" t="s">
        <v>27</v>
      </c>
      <c r="D235" s="28">
        <v>11</v>
      </c>
      <c r="E235" s="27">
        <v>5.2859202306583374E-3</v>
      </c>
    </row>
    <row r="236" spans="2:5" ht="15" customHeight="1">
      <c r="B236" s="74"/>
      <c r="C236" s="29" t="s">
        <v>25</v>
      </c>
      <c r="D236" s="28">
        <v>6</v>
      </c>
      <c r="E236" s="27">
        <v>2.8832292167227293E-3</v>
      </c>
    </row>
    <row r="237" spans="2:5" ht="15" customHeight="1">
      <c r="B237" s="74"/>
      <c r="C237" s="29" t="s">
        <v>20</v>
      </c>
      <c r="D237" s="28">
        <v>3</v>
      </c>
      <c r="E237" s="27">
        <v>1.4416146083613647E-3</v>
      </c>
    </row>
    <row r="238" spans="2:5" ht="15" customHeight="1">
      <c r="B238" s="74"/>
      <c r="C238" s="29" t="s">
        <v>15</v>
      </c>
      <c r="D238" s="28">
        <v>1</v>
      </c>
      <c r="E238" s="27">
        <v>4.8053820278712159E-4</v>
      </c>
    </row>
    <row r="239" spans="2:5" ht="15" customHeight="1">
      <c r="B239" s="74"/>
      <c r="C239" s="29" t="s">
        <v>12</v>
      </c>
      <c r="D239" s="28">
        <v>1</v>
      </c>
      <c r="E239" s="27">
        <v>4.8053820278712159E-4</v>
      </c>
    </row>
    <row r="240" spans="2:5" ht="15" customHeight="1">
      <c r="B240" s="74"/>
      <c r="C240" s="29" t="s">
        <v>32</v>
      </c>
      <c r="D240" s="28">
        <v>7</v>
      </c>
      <c r="E240" s="27">
        <v>3.363767419509851E-3</v>
      </c>
    </row>
    <row r="241" spans="2:5" ht="15" customHeight="1">
      <c r="B241" s="74"/>
      <c r="C241" s="29" t="s">
        <v>30</v>
      </c>
      <c r="D241" s="28">
        <v>8</v>
      </c>
      <c r="E241" s="27">
        <v>3.8443056222969728E-3</v>
      </c>
    </row>
    <row r="242" spans="2:5" ht="15" customHeight="1">
      <c r="B242" s="74"/>
      <c r="C242" s="29" t="s">
        <v>18</v>
      </c>
      <c r="D242" s="28">
        <v>1</v>
      </c>
      <c r="E242" s="27">
        <v>4.8053820278712159E-4</v>
      </c>
    </row>
    <row r="243" spans="2:5" ht="15" customHeight="1">
      <c r="B243" s="74"/>
      <c r="C243" s="29" t="s">
        <v>21</v>
      </c>
      <c r="D243" s="28">
        <v>5</v>
      </c>
      <c r="E243" s="27">
        <v>2.4026910139356081E-3</v>
      </c>
    </row>
    <row r="244" spans="2:5" ht="15" customHeight="1">
      <c r="B244" s="74"/>
      <c r="C244" s="29" t="s">
        <v>9</v>
      </c>
      <c r="D244" s="28">
        <v>2</v>
      </c>
      <c r="E244" s="27">
        <v>9.6107640557424319E-4</v>
      </c>
    </row>
    <row r="245" spans="2:5" ht="15" customHeight="1">
      <c r="B245" s="74"/>
      <c r="C245" s="29" t="s">
        <v>4</v>
      </c>
      <c r="D245" s="28">
        <v>2</v>
      </c>
      <c r="E245" s="27">
        <v>9.6107640557424319E-4</v>
      </c>
    </row>
    <row r="246" spans="2:5" ht="15" customHeight="1">
      <c r="B246" s="74"/>
      <c r="C246" s="29" t="s">
        <v>17</v>
      </c>
      <c r="D246" s="28">
        <v>4</v>
      </c>
      <c r="E246" s="27">
        <v>1.9221528111484864E-3</v>
      </c>
    </row>
    <row r="247" spans="2:5" ht="15" customHeight="1">
      <c r="B247" s="74"/>
      <c r="C247" s="29" t="s">
        <v>33</v>
      </c>
      <c r="D247" s="28">
        <v>10</v>
      </c>
      <c r="E247" s="27">
        <v>4.8053820278712162E-3</v>
      </c>
    </row>
    <row r="248" spans="2:5" ht="15" customHeight="1">
      <c r="B248" s="74"/>
      <c r="C248" s="29" t="s">
        <v>22</v>
      </c>
      <c r="D248" s="28">
        <v>3</v>
      </c>
      <c r="E248" s="27">
        <v>1.4416146083613647E-3</v>
      </c>
    </row>
    <row r="249" spans="2:5" ht="15" customHeight="1">
      <c r="B249" s="75"/>
      <c r="C249" s="26" t="s">
        <v>3</v>
      </c>
      <c r="D249" s="25">
        <v>122</v>
      </c>
      <c r="E249" s="24">
        <v>5.8625660740028833E-2</v>
      </c>
    </row>
    <row r="250" spans="2:5" ht="15" customHeight="1">
      <c r="B250" s="73" t="s">
        <v>569</v>
      </c>
      <c r="C250" s="29" t="s">
        <v>11</v>
      </c>
      <c r="D250" s="28">
        <v>1</v>
      </c>
      <c r="E250" s="27">
        <v>4.8053820278712159E-4</v>
      </c>
    </row>
    <row r="251" spans="2:5" ht="15" customHeight="1">
      <c r="B251" s="74"/>
      <c r="C251" s="29" t="s">
        <v>6</v>
      </c>
      <c r="D251" s="28">
        <v>1</v>
      </c>
      <c r="E251" s="27">
        <v>4.8053820278712159E-4</v>
      </c>
    </row>
    <row r="252" spans="2:5" ht="15" customHeight="1">
      <c r="B252" s="74"/>
      <c r="C252" s="29" t="s">
        <v>26</v>
      </c>
      <c r="D252" s="28">
        <v>15</v>
      </c>
      <c r="E252" s="27">
        <v>7.2080730418068234E-3</v>
      </c>
    </row>
    <row r="253" spans="2:5" ht="15" customHeight="1">
      <c r="B253" s="74"/>
      <c r="C253" s="29" t="s">
        <v>13</v>
      </c>
      <c r="D253" s="28">
        <v>2</v>
      </c>
      <c r="E253" s="27">
        <v>9.6107640557424319E-4</v>
      </c>
    </row>
    <row r="254" spans="2:5" ht="15" customHeight="1">
      <c r="B254" s="74"/>
      <c r="C254" s="29" t="s">
        <v>10</v>
      </c>
      <c r="D254" s="28">
        <v>5</v>
      </c>
      <c r="E254" s="27">
        <v>2.4026910139356081E-3</v>
      </c>
    </row>
    <row r="255" spans="2:5" ht="15" customHeight="1">
      <c r="B255" s="74"/>
      <c r="C255" s="29" t="s">
        <v>24</v>
      </c>
      <c r="D255" s="28">
        <v>25</v>
      </c>
      <c r="E255" s="27">
        <v>1.2013455069678039E-2</v>
      </c>
    </row>
    <row r="256" spans="2:5" ht="15" customHeight="1">
      <c r="B256" s="74"/>
      <c r="C256" s="29" t="s">
        <v>16</v>
      </c>
      <c r="D256" s="28">
        <v>4</v>
      </c>
      <c r="E256" s="27">
        <v>1.9221528111484864E-3</v>
      </c>
    </row>
    <row r="257" spans="2:5" ht="15" customHeight="1">
      <c r="B257" s="74"/>
      <c r="C257" s="29" t="s">
        <v>31</v>
      </c>
      <c r="D257" s="28">
        <v>25</v>
      </c>
      <c r="E257" s="27">
        <v>1.2013455069678039E-2</v>
      </c>
    </row>
    <row r="258" spans="2:5" ht="15" customHeight="1">
      <c r="B258" s="74"/>
      <c r="C258" s="29" t="s">
        <v>28</v>
      </c>
      <c r="D258" s="28">
        <v>9</v>
      </c>
      <c r="E258" s="27">
        <v>4.324843825084094E-3</v>
      </c>
    </row>
    <row r="259" spans="2:5" ht="15" customHeight="1">
      <c r="B259" s="74"/>
      <c r="C259" s="29" t="s">
        <v>29</v>
      </c>
      <c r="D259" s="28">
        <v>25</v>
      </c>
      <c r="E259" s="27">
        <v>1.2013455069678039E-2</v>
      </c>
    </row>
    <row r="260" spans="2:5" ht="15" customHeight="1">
      <c r="B260" s="74"/>
      <c r="C260" s="29" t="s">
        <v>23</v>
      </c>
      <c r="D260" s="28">
        <v>13</v>
      </c>
      <c r="E260" s="27">
        <v>6.2469966362325808E-3</v>
      </c>
    </row>
    <row r="261" spans="2:5" ht="15" customHeight="1">
      <c r="B261" s="74"/>
      <c r="C261" s="29" t="s">
        <v>27</v>
      </c>
      <c r="D261" s="28">
        <v>17</v>
      </c>
      <c r="E261" s="27">
        <v>8.1691494473810668E-3</v>
      </c>
    </row>
    <row r="262" spans="2:5" ht="15" customHeight="1">
      <c r="B262" s="74"/>
      <c r="C262" s="29" t="s">
        <v>25</v>
      </c>
      <c r="D262" s="28">
        <v>10</v>
      </c>
      <c r="E262" s="27">
        <v>4.8053820278712162E-3</v>
      </c>
    </row>
    <row r="263" spans="2:5" ht="15" customHeight="1">
      <c r="B263" s="74"/>
      <c r="C263" s="29" t="s">
        <v>20</v>
      </c>
      <c r="D263" s="28">
        <v>12</v>
      </c>
      <c r="E263" s="27">
        <v>5.7664584334454587E-3</v>
      </c>
    </row>
    <row r="264" spans="2:5" ht="15" customHeight="1">
      <c r="B264" s="74"/>
      <c r="C264" s="29" t="s">
        <v>15</v>
      </c>
      <c r="D264" s="28">
        <v>2</v>
      </c>
      <c r="E264" s="27">
        <v>9.6107640557424319E-4</v>
      </c>
    </row>
    <row r="265" spans="2:5" ht="15" customHeight="1">
      <c r="B265" s="74"/>
      <c r="C265" s="29" t="s">
        <v>12</v>
      </c>
      <c r="D265" s="28">
        <v>3</v>
      </c>
      <c r="E265" s="27">
        <v>1.4416146083613647E-3</v>
      </c>
    </row>
    <row r="266" spans="2:5" ht="15" customHeight="1">
      <c r="B266" s="74"/>
      <c r="C266" s="29" t="s">
        <v>32</v>
      </c>
      <c r="D266" s="28">
        <v>30</v>
      </c>
      <c r="E266" s="27">
        <v>1.4416146083613647E-2</v>
      </c>
    </row>
    <row r="267" spans="2:5" ht="15" customHeight="1">
      <c r="B267" s="74"/>
      <c r="C267" s="29" t="s">
        <v>30</v>
      </c>
      <c r="D267" s="28">
        <v>27</v>
      </c>
      <c r="E267" s="27">
        <v>1.2974531475252283E-2</v>
      </c>
    </row>
    <row r="268" spans="2:5" ht="15" customHeight="1">
      <c r="B268" s="74"/>
      <c r="C268" s="29" t="s">
        <v>18</v>
      </c>
      <c r="D268" s="28">
        <v>5</v>
      </c>
      <c r="E268" s="27">
        <v>2.4026910139356081E-3</v>
      </c>
    </row>
    <row r="269" spans="2:5" ht="15" customHeight="1">
      <c r="B269" s="74"/>
      <c r="C269" s="29" t="s">
        <v>8</v>
      </c>
      <c r="D269" s="28">
        <v>5</v>
      </c>
      <c r="E269" s="27">
        <v>2.4026910139356081E-3</v>
      </c>
    </row>
    <row r="270" spans="2:5" ht="15" customHeight="1">
      <c r="B270" s="74"/>
      <c r="C270" s="29" t="s">
        <v>21</v>
      </c>
      <c r="D270" s="28">
        <v>10</v>
      </c>
      <c r="E270" s="27">
        <v>4.8053820278712162E-3</v>
      </c>
    </row>
    <row r="271" spans="2:5" ht="15" customHeight="1">
      <c r="B271" s="74"/>
      <c r="C271" s="29" t="s">
        <v>9</v>
      </c>
      <c r="D271" s="28">
        <v>2</v>
      </c>
      <c r="E271" s="27">
        <v>9.6107640557424319E-4</v>
      </c>
    </row>
    <row r="272" spans="2:5" ht="15" customHeight="1">
      <c r="B272" s="74"/>
      <c r="C272" s="29" t="s">
        <v>4</v>
      </c>
      <c r="D272" s="28">
        <v>2</v>
      </c>
      <c r="E272" s="27">
        <v>9.6107640557424319E-4</v>
      </c>
    </row>
    <row r="273" spans="2:5" ht="15" customHeight="1">
      <c r="B273" s="74"/>
      <c r="C273" s="29" t="s">
        <v>17</v>
      </c>
      <c r="D273" s="28">
        <v>10</v>
      </c>
      <c r="E273" s="27">
        <v>4.8053820278712162E-3</v>
      </c>
    </row>
    <row r="274" spans="2:5" ht="15" customHeight="1">
      <c r="B274" s="74"/>
      <c r="C274" s="29" t="s">
        <v>19</v>
      </c>
      <c r="D274" s="28">
        <v>11</v>
      </c>
      <c r="E274" s="27">
        <v>5.2859202306583374E-3</v>
      </c>
    </row>
    <row r="275" spans="2:5" ht="15" customHeight="1">
      <c r="B275" s="74"/>
      <c r="C275" s="29" t="s">
        <v>14</v>
      </c>
      <c r="D275" s="28">
        <v>2</v>
      </c>
      <c r="E275" s="27">
        <v>9.6107640557424319E-4</v>
      </c>
    </row>
    <row r="276" spans="2:5" ht="15" customHeight="1">
      <c r="B276" s="74"/>
      <c r="C276" s="29" t="s">
        <v>33</v>
      </c>
      <c r="D276" s="28">
        <v>40</v>
      </c>
      <c r="E276" s="27">
        <v>1.9221528111484865E-2</v>
      </c>
    </row>
    <row r="277" spans="2:5" ht="15" customHeight="1">
      <c r="B277" s="74"/>
      <c r="C277" s="29" t="s">
        <v>22</v>
      </c>
      <c r="D277" s="28">
        <v>9</v>
      </c>
      <c r="E277" s="27">
        <v>4.324843825084094E-3</v>
      </c>
    </row>
    <row r="278" spans="2:5" ht="15" customHeight="1">
      <c r="B278" s="75"/>
      <c r="C278" s="26" t="s">
        <v>3</v>
      </c>
      <c r="D278" s="25">
        <v>322</v>
      </c>
      <c r="E278" s="24">
        <v>0.15473330129745314</v>
      </c>
    </row>
    <row r="279" spans="2:5" ht="15" customHeight="1">
      <c r="B279" s="73" t="s">
        <v>568</v>
      </c>
      <c r="C279" s="29" t="s">
        <v>26</v>
      </c>
      <c r="D279" s="28">
        <v>1</v>
      </c>
      <c r="E279" s="27">
        <v>4.8053820278712159E-4</v>
      </c>
    </row>
    <row r="280" spans="2:5" ht="15" customHeight="1">
      <c r="B280" s="74"/>
      <c r="C280" s="29" t="s">
        <v>29</v>
      </c>
      <c r="D280" s="28">
        <v>1</v>
      </c>
      <c r="E280" s="27">
        <v>4.8053820278712159E-4</v>
      </c>
    </row>
    <row r="281" spans="2:5" ht="15" customHeight="1">
      <c r="B281" s="74"/>
      <c r="C281" s="29" t="s">
        <v>32</v>
      </c>
      <c r="D281" s="28">
        <v>1</v>
      </c>
      <c r="E281" s="27">
        <v>4.8053820278712159E-4</v>
      </c>
    </row>
    <row r="282" spans="2:5" ht="15" customHeight="1">
      <c r="B282" s="75"/>
      <c r="C282" s="26" t="s">
        <v>3</v>
      </c>
      <c r="D282" s="25">
        <v>3</v>
      </c>
      <c r="E282" s="24">
        <v>1.4416146083613647E-3</v>
      </c>
    </row>
    <row r="283" spans="2:5" ht="15" customHeight="1">
      <c r="B283" s="73" t="s">
        <v>567</v>
      </c>
      <c r="C283" s="29" t="s">
        <v>24</v>
      </c>
      <c r="D283" s="28">
        <v>2</v>
      </c>
      <c r="E283" s="27">
        <v>9.6107640557424319E-4</v>
      </c>
    </row>
    <row r="284" spans="2:5" ht="15" customHeight="1">
      <c r="B284" s="74"/>
      <c r="C284" s="29" t="s">
        <v>33</v>
      </c>
      <c r="D284" s="28">
        <v>2</v>
      </c>
      <c r="E284" s="27">
        <v>9.6107640557424319E-4</v>
      </c>
    </row>
    <row r="285" spans="2:5" ht="15" customHeight="1">
      <c r="B285" s="75"/>
      <c r="C285" s="26" t="s">
        <v>3</v>
      </c>
      <c r="D285" s="25">
        <v>4</v>
      </c>
      <c r="E285" s="24">
        <v>1.9221528111484864E-3</v>
      </c>
    </row>
    <row r="286" spans="2:5" ht="15" customHeight="1">
      <c r="B286" s="73" t="s">
        <v>566</v>
      </c>
      <c r="C286" s="29" t="s">
        <v>29</v>
      </c>
      <c r="D286" s="28">
        <v>1</v>
      </c>
      <c r="E286" s="27">
        <v>4.8053820278712159E-4</v>
      </c>
    </row>
    <row r="287" spans="2:5" ht="15" customHeight="1">
      <c r="B287" s="74"/>
      <c r="C287" s="29" t="s">
        <v>19</v>
      </c>
      <c r="D287" s="28">
        <v>1</v>
      </c>
      <c r="E287" s="27">
        <v>4.8053820278712159E-4</v>
      </c>
    </row>
    <row r="288" spans="2:5" ht="15" customHeight="1">
      <c r="B288" s="75"/>
      <c r="C288" s="26" t="s">
        <v>3</v>
      </c>
      <c r="D288" s="25">
        <v>2</v>
      </c>
      <c r="E288" s="24">
        <v>9.6107640557424319E-4</v>
      </c>
    </row>
    <row r="289" spans="2:5" ht="15" customHeight="1">
      <c r="B289" s="73" t="s">
        <v>565</v>
      </c>
      <c r="C289" s="29" t="s">
        <v>13</v>
      </c>
      <c r="D289" s="28">
        <v>1</v>
      </c>
      <c r="E289" s="27">
        <v>4.8053820278712159E-4</v>
      </c>
    </row>
    <row r="290" spans="2:5" ht="15" customHeight="1">
      <c r="B290" s="74"/>
      <c r="C290" s="29" t="s">
        <v>16</v>
      </c>
      <c r="D290" s="28">
        <v>1</v>
      </c>
      <c r="E290" s="27">
        <v>4.8053820278712159E-4</v>
      </c>
    </row>
    <row r="291" spans="2:5" ht="15" customHeight="1">
      <c r="B291" s="74"/>
      <c r="C291" s="29" t="s">
        <v>31</v>
      </c>
      <c r="D291" s="28">
        <v>3</v>
      </c>
      <c r="E291" s="27">
        <v>1.4416146083613647E-3</v>
      </c>
    </row>
    <row r="292" spans="2:5" ht="15" customHeight="1">
      <c r="B292" s="74"/>
      <c r="C292" s="29" t="s">
        <v>28</v>
      </c>
      <c r="D292" s="28">
        <v>1</v>
      </c>
      <c r="E292" s="27">
        <v>4.8053820278712159E-4</v>
      </c>
    </row>
    <row r="293" spans="2:5" ht="15" customHeight="1">
      <c r="B293" s="74"/>
      <c r="C293" s="29" t="s">
        <v>23</v>
      </c>
      <c r="D293" s="28">
        <v>2</v>
      </c>
      <c r="E293" s="27">
        <v>9.6107640557424319E-4</v>
      </c>
    </row>
    <row r="294" spans="2:5" ht="15" customHeight="1">
      <c r="B294" s="74"/>
      <c r="C294" s="29" t="s">
        <v>27</v>
      </c>
      <c r="D294" s="28">
        <v>1</v>
      </c>
      <c r="E294" s="27">
        <v>4.8053820278712159E-4</v>
      </c>
    </row>
    <row r="295" spans="2:5" ht="15" customHeight="1">
      <c r="B295" s="74"/>
      <c r="C295" s="29" t="s">
        <v>25</v>
      </c>
      <c r="D295" s="28">
        <v>4</v>
      </c>
      <c r="E295" s="27">
        <v>1.9221528111484864E-3</v>
      </c>
    </row>
    <row r="296" spans="2:5" ht="15" customHeight="1">
      <c r="B296" s="74"/>
      <c r="C296" s="29" t="s">
        <v>32</v>
      </c>
      <c r="D296" s="28">
        <v>3</v>
      </c>
      <c r="E296" s="27">
        <v>1.4416146083613647E-3</v>
      </c>
    </row>
    <row r="297" spans="2:5" ht="15" customHeight="1">
      <c r="B297" s="74"/>
      <c r="C297" s="29" t="s">
        <v>30</v>
      </c>
      <c r="D297" s="28">
        <v>3</v>
      </c>
      <c r="E297" s="27">
        <v>1.4416146083613647E-3</v>
      </c>
    </row>
    <row r="298" spans="2:5" ht="15" customHeight="1">
      <c r="B298" s="74"/>
      <c r="C298" s="29" t="s">
        <v>21</v>
      </c>
      <c r="D298" s="28">
        <v>1</v>
      </c>
      <c r="E298" s="27">
        <v>4.8053820278712159E-4</v>
      </c>
    </row>
    <row r="299" spans="2:5" ht="15" customHeight="1">
      <c r="B299" s="74"/>
      <c r="C299" s="29" t="s">
        <v>33</v>
      </c>
      <c r="D299" s="28">
        <v>3</v>
      </c>
      <c r="E299" s="27">
        <v>1.4416146083613647E-3</v>
      </c>
    </row>
    <row r="300" spans="2:5" ht="15" customHeight="1">
      <c r="B300" s="75"/>
      <c r="C300" s="26" t="s">
        <v>3</v>
      </c>
      <c r="D300" s="25">
        <v>23</v>
      </c>
      <c r="E300" s="24">
        <v>1.1052378664103796E-2</v>
      </c>
    </row>
    <row r="301" spans="2:5" ht="15" customHeight="1">
      <c r="B301" s="73" t="s">
        <v>634</v>
      </c>
      <c r="C301" s="29" t="s">
        <v>7</v>
      </c>
      <c r="D301" s="28">
        <v>1</v>
      </c>
      <c r="E301" s="27">
        <v>4.8053820278712159E-4</v>
      </c>
    </row>
    <row r="302" spans="2:5" ht="15" customHeight="1">
      <c r="B302" s="74"/>
      <c r="C302" s="29" t="s">
        <v>26</v>
      </c>
      <c r="D302" s="28">
        <v>2</v>
      </c>
      <c r="E302" s="27">
        <v>9.6107640557424319E-4</v>
      </c>
    </row>
    <row r="303" spans="2:5" ht="15" customHeight="1">
      <c r="B303" s="74"/>
      <c r="C303" s="29" t="s">
        <v>13</v>
      </c>
      <c r="D303" s="28">
        <v>2</v>
      </c>
      <c r="E303" s="27">
        <v>9.6107640557424319E-4</v>
      </c>
    </row>
    <row r="304" spans="2:5" ht="15" customHeight="1">
      <c r="B304" s="74"/>
      <c r="C304" s="29" t="s">
        <v>10</v>
      </c>
      <c r="D304" s="28">
        <v>3</v>
      </c>
      <c r="E304" s="27">
        <v>1.4416146083613647E-3</v>
      </c>
    </row>
    <row r="305" spans="2:5" ht="15" customHeight="1">
      <c r="B305" s="74"/>
      <c r="C305" s="29" t="s">
        <v>24</v>
      </c>
      <c r="D305" s="28">
        <v>14</v>
      </c>
      <c r="E305" s="27">
        <v>6.7275348390197021E-3</v>
      </c>
    </row>
    <row r="306" spans="2:5" ht="15" customHeight="1">
      <c r="B306" s="74"/>
      <c r="C306" s="29" t="s">
        <v>31</v>
      </c>
      <c r="D306" s="28">
        <v>1</v>
      </c>
      <c r="E306" s="27">
        <v>4.8053820278712159E-4</v>
      </c>
    </row>
    <row r="307" spans="2:5" ht="15" customHeight="1">
      <c r="B307" s="74"/>
      <c r="C307" s="29" t="s">
        <v>28</v>
      </c>
      <c r="D307" s="28">
        <v>4</v>
      </c>
      <c r="E307" s="27">
        <v>1.9221528111484864E-3</v>
      </c>
    </row>
    <row r="308" spans="2:5" ht="15" customHeight="1">
      <c r="B308" s="74"/>
      <c r="C308" s="29" t="s">
        <v>29</v>
      </c>
      <c r="D308" s="28">
        <v>1</v>
      </c>
      <c r="E308" s="27">
        <v>4.8053820278712159E-4</v>
      </c>
    </row>
    <row r="309" spans="2:5" ht="15" customHeight="1">
      <c r="B309" s="74"/>
      <c r="C309" s="29" t="s">
        <v>23</v>
      </c>
      <c r="D309" s="28">
        <v>1</v>
      </c>
      <c r="E309" s="27">
        <v>4.8053820278712159E-4</v>
      </c>
    </row>
    <row r="310" spans="2:5" ht="15" customHeight="1">
      <c r="B310" s="74"/>
      <c r="C310" s="29" t="s">
        <v>27</v>
      </c>
      <c r="D310" s="28">
        <v>3</v>
      </c>
      <c r="E310" s="27">
        <v>1.4416146083613647E-3</v>
      </c>
    </row>
    <row r="311" spans="2:5" ht="15" customHeight="1">
      <c r="B311" s="74"/>
      <c r="C311" s="29" t="s">
        <v>25</v>
      </c>
      <c r="D311" s="28">
        <v>2</v>
      </c>
      <c r="E311" s="27">
        <v>9.6107640557424319E-4</v>
      </c>
    </row>
    <row r="312" spans="2:5" ht="15" customHeight="1">
      <c r="B312" s="74"/>
      <c r="C312" s="29" t="s">
        <v>20</v>
      </c>
      <c r="D312" s="28">
        <v>2</v>
      </c>
      <c r="E312" s="27">
        <v>9.6107640557424319E-4</v>
      </c>
    </row>
    <row r="313" spans="2:5" ht="15" customHeight="1">
      <c r="B313" s="74"/>
      <c r="C313" s="29" t="s">
        <v>21</v>
      </c>
      <c r="D313" s="28">
        <v>5</v>
      </c>
      <c r="E313" s="27">
        <v>2.4026910139356081E-3</v>
      </c>
    </row>
    <row r="314" spans="2:5" ht="15" customHeight="1">
      <c r="B314" s="74"/>
      <c r="C314" s="29" t="s">
        <v>4</v>
      </c>
      <c r="D314" s="28">
        <v>2</v>
      </c>
      <c r="E314" s="27">
        <v>9.6107640557424319E-4</v>
      </c>
    </row>
    <row r="315" spans="2:5" ht="15" customHeight="1">
      <c r="B315" s="74"/>
      <c r="C315" s="29" t="s">
        <v>17</v>
      </c>
      <c r="D315" s="28">
        <v>1</v>
      </c>
      <c r="E315" s="27">
        <v>4.8053820278712159E-4</v>
      </c>
    </row>
    <row r="316" spans="2:5" ht="15" customHeight="1">
      <c r="B316" s="74"/>
      <c r="C316" s="29" t="s">
        <v>14</v>
      </c>
      <c r="D316" s="28">
        <v>1</v>
      </c>
      <c r="E316" s="27">
        <v>4.8053820278712159E-4</v>
      </c>
    </row>
    <row r="317" spans="2:5" ht="15" customHeight="1">
      <c r="B317" s="74"/>
      <c r="C317" s="29" t="s">
        <v>33</v>
      </c>
      <c r="D317" s="28">
        <v>7</v>
      </c>
      <c r="E317" s="27">
        <v>3.363767419509851E-3</v>
      </c>
    </row>
    <row r="318" spans="2:5" ht="15" customHeight="1">
      <c r="B318" s="74"/>
      <c r="C318" s="29" t="s">
        <v>22</v>
      </c>
      <c r="D318" s="28">
        <v>1</v>
      </c>
      <c r="E318" s="27">
        <v>4.8053820278712159E-4</v>
      </c>
    </row>
    <row r="319" spans="2:5" ht="15" customHeight="1">
      <c r="B319" s="75"/>
      <c r="C319" s="26" t="s">
        <v>3</v>
      </c>
      <c r="D319" s="25">
        <v>53</v>
      </c>
      <c r="E319" s="24">
        <v>2.5468524747717443E-2</v>
      </c>
    </row>
    <row r="320" spans="2:5" ht="15" customHeight="1">
      <c r="B320" s="73" t="s">
        <v>633</v>
      </c>
      <c r="C320" s="29" t="s">
        <v>26</v>
      </c>
      <c r="D320" s="28">
        <v>4</v>
      </c>
      <c r="E320" s="27">
        <v>1.9221528111484864E-3</v>
      </c>
    </row>
    <row r="321" spans="2:5" ht="15" customHeight="1">
      <c r="B321" s="74"/>
      <c r="C321" s="29" t="s">
        <v>24</v>
      </c>
      <c r="D321" s="28">
        <v>1</v>
      </c>
      <c r="E321" s="27">
        <v>4.8053820278712159E-4</v>
      </c>
    </row>
    <row r="322" spans="2:5" ht="15" customHeight="1">
      <c r="B322" s="74"/>
      <c r="C322" s="29" t="s">
        <v>31</v>
      </c>
      <c r="D322" s="28">
        <v>1</v>
      </c>
      <c r="E322" s="27">
        <v>4.8053820278712159E-4</v>
      </c>
    </row>
    <row r="323" spans="2:5" ht="15" customHeight="1">
      <c r="B323" s="74"/>
      <c r="C323" s="29" t="s">
        <v>29</v>
      </c>
      <c r="D323" s="28">
        <v>1</v>
      </c>
      <c r="E323" s="27">
        <v>4.8053820278712159E-4</v>
      </c>
    </row>
    <row r="324" spans="2:5" ht="15" customHeight="1">
      <c r="B324" s="74"/>
      <c r="C324" s="29" t="s">
        <v>27</v>
      </c>
      <c r="D324" s="28">
        <v>1</v>
      </c>
      <c r="E324" s="27">
        <v>4.8053820278712159E-4</v>
      </c>
    </row>
    <row r="325" spans="2:5" ht="15" customHeight="1">
      <c r="B325" s="74"/>
      <c r="C325" s="29" t="s">
        <v>30</v>
      </c>
      <c r="D325" s="28">
        <v>2</v>
      </c>
      <c r="E325" s="27">
        <v>9.6107640557424319E-4</v>
      </c>
    </row>
    <row r="326" spans="2:5" ht="15" customHeight="1">
      <c r="B326" s="74"/>
      <c r="C326" s="29" t="s">
        <v>18</v>
      </c>
      <c r="D326" s="28">
        <v>1</v>
      </c>
      <c r="E326" s="27">
        <v>4.8053820278712159E-4</v>
      </c>
    </row>
    <row r="327" spans="2:5" ht="15" customHeight="1">
      <c r="B327" s="74"/>
      <c r="C327" s="29" t="s">
        <v>19</v>
      </c>
      <c r="D327" s="28">
        <v>1</v>
      </c>
      <c r="E327" s="27">
        <v>4.8053820278712159E-4</v>
      </c>
    </row>
    <row r="328" spans="2:5" ht="15" customHeight="1">
      <c r="B328" s="75"/>
      <c r="C328" s="26" t="s">
        <v>3</v>
      </c>
      <c r="D328" s="25">
        <v>12</v>
      </c>
      <c r="E328" s="24">
        <v>5.7664584334454587E-3</v>
      </c>
    </row>
    <row r="329" spans="2:5" ht="15" customHeight="1">
      <c r="B329" s="73" t="s">
        <v>562</v>
      </c>
      <c r="C329" s="29" t="s">
        <v>26</v>
      </c>
      <c r="D329" s="28">
        <v>1</v>
      </c>
      <c r="E329" s="27">
        <v>4.8053820278712159E-4</v>
      </c>
    </row>
    <row r="330" spans="2:5" ht="15" customHeight="1">
      <c r="B330" s="74"/>
      <c r="C330" s="29" t="s">
        <v>24</v>
      </c>
      <c r="D330" s="28">
        <v>2</v>
      </c>
      <c r="E330" s="27">
        <v>9.6107640557424319E-4</v>
      </c>
    </row>
    <row r="331" spans="2:5" ht="15" customHeight="1">
      <c r="B331" s="74"/>
      <c r="C331" s="29" t="s">
        <v>28</v>
      </c>
      <c r="D331" s="28">
        <v>1</v>
      </c>
      <c r="E331" s="27">
        <v>4.8053820278712159E-4</v>
      </c>
    </row>
    <row r="332" spans="2:5" ht="15" customHeight="1">
      <c r="B332" s="74"/>
      <c r="C332" s="29" t="s">
        <v>19</v>
      </c>
      <c r="D332" s="28">
        <v>1</v>
      </c>
      <c r="E332" s="27">
        <v>4.8053820278712159E-4</v>
      </c>
    </row>
    <row r="333" spans="2:5" ht="15" customHeight="1">
      <c r="B333" s="75"/>
      <c r="C333" s="26" t="s">
        <v>3</v>
      </c>
      <c r="D333" s="25">
        <v>5</v>
      </c>
      <c r="E333" s="24">
        <v>2.4026910139356081E-3</v>
      </c>
    </row>
    <row r="334" spans="2:5" ht="15" customHeight="1">
      <c r="B334" s="73" t="s">
        <v>561</v>
      </c>
      <c r="C334" s="29" t="s">
        <v>24</v>
      </c>
      <c r="D334" s="28">
        <v>2</v>
      </c>
      <c r="E334" s="27">
        <v>9.6107640557424319E-4</v>
      </c>
    </row>
    <row r="335" spans="2:5" ht="15" customHeight="1">
      <c r="B335" s="75"/>
      <c r="C335" s="26" t="s">
        <v>3</v>
      </c>
      <c r="D335" s="25">
        <v>2</v>
      </c>
      <c r="E335" s="24">
        <v>9.6107640557424319E-4</v>
      </c>
    </row>
    <row r="336" spans="2:5" ht="15" customHeight="1">
      <c r="B336" s="76" t="s">
        <v>3</v>
      </c>
      <c r="C336" s="77"/>
      <c r="D336" s="23">
        <v>2081</v>
      </c>
      <c r="E336" s="22">
        <v>1</v>
      </c>
    </row>
    <row r="338" spans="2:6" ht="15" customHeight="1">
      <c r="B338" s="1"/>
      <c r="C338" s="3" t="s">
        <v>638</v>
      </c>
      <c r="D338"/>
      <c r="E338"/>
      <c r="F338" s="1"/>
    </row>
    <row r="339" spans="2:6" ht="15" customHeight="1">
      <c r="B339" s="1"/>
      <c r="C339" s="5" t="s">
        <v>2</v>
      </c>
      <c r="D339"/>
      <c r="E339"/>
      <c r="F339" s="1"/>
    </row>
    <row r="340" spans="2:6" ht="15" customHeight="1">
      <c r="B340" s="1"/>
      <c r="C340" s="4" t="s">
        <v>1</v>
      </c>
      <c r="D340"/>
      <c r="E340"/>
      <c r="F340" s="1"/>
    </row>
    <row r="341" spans="2:6" ht="15" customHeight="1">
      <c r="B341" s="1"/>
      <c r="C341" s="3" t="s">
        <v>0</v>
      </c>
      <c r="D341"/>
      <c r="E341"/>
      <c r="F341" s="1"/>
    </row>
    <row r="342" spans="2:6" ht="15" customHeight="1">
      <c r="B342" s="1"/>
      <c r="C342" s="3" t="s">
        <v>639</v>
      </c>
      <c r="D342"/>
      <c r="E342"/>
      <c r="F342" s="1"/>
    </row>
  </sheetData>
  <mergeCells count="25">
    <mergeCell ref="B320:B328"/>
    <mergeCell ref="B329:B333"/>
    <mergeCell ref="B334:B335"/>
    <mergeCell ref="B336:C336"/>
    <mergeCell ref="B7:E8"/>
    <mergeCell ref="B10:B22"/>
    <mergeCell ref="B23:B31"/>
    <mergeCell ref="B32:B43"/>
    <mergeCell ref="B44:B58"/>
    <mergeCell ref="B59:B72"/>
    <mergeCell ref="B73:B85"/>
    <mergeCell ref="B86:B107"/>
    <mergeCell ref="B108:B132"/>
    <mergeCell ref="B133:B143"/>
    <mergeCell ref="B144:B160"/>
    <mergeCell ref="B161:B182"/>
    <mergeCell ref="B183:B212"/>
    <mergeCell ref="B213:B225"/>
    <mergeCell ref="B226:B249"/>
    <mergeCell ref="B250:B278"/>
    <mergeCell ref="B279:B282"/>
    <mergeCell ref="B283:B285"/>
    <mergeCell ref="B286:B288"/>
    <mergeCell ref="B289:B300"/>
    <mergeCell ref="B301:B31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D14" sqref="D14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781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589</v>
      </c>
      <c r="C11" s="15" t="s">
        <v>35</v>
      </c>
      <c r="D11" s="14" t="s">
        <v>34</v>
      </c>
    </row>
    <row r="12" spans="1:5">
      <c r="B12" s="11" t="s">
        <v>588</v>
      </c>
      <c r="C12" s="10">
        <v>1287</v>
      </c>
      <c r="D12" s="9">
        <v>0.6184526669870255</v>
      </c>
    </row>
    <row r="13" spans="1:5">
      <c r="B13" s="11" t="s">
        <v>587</v>
      </c>
      <c r="C13" s="10">
        <v>794</v>
      </c>
      <c r="D13" s="9">
        <v>0.38154733301297455</v>
      </c>
    </row>
    <row r="14" spans="1:5">
      <c r="B14" s="8" t="s">
        <v>586</v>
      </c>
      <c r="C14" s="7">
        <v>2081</v>
      </c>
      <c r="D14" s="6">
        <v>1</v>
      </c>
    </row>
    <row r="15" spans="1:5">
      <c r="A15" s="12"/>
      <c r="B15" s="12"/>
      <c r="C15" s="42"/>
      <c r="D15" s="12"/>
      <c r="E15" s="12"/>
    </row>
    <row r="16" spans="1:5">
      <c r="B16" s="3" t="s">
        <v>638</v>
      </c>
      <c r="C16"/>
      <c r="D16"/>
    </row>
    <row r="17" spans="2:4">
      <c r="B17" s="5" t="s">
        <v>2</v>
      </c>
      <c r="C17"/>
      <c r="D17"/>
    </row>
    <row r="18" spans="2:4">
      <c r="B18" s="4" t="s">
        <v>1</v>
      </c>
      <c r="C18"/>
      <c r="D18"/>
    </row>
    <row r="19" spans="2:4">
      <c r="B19" s="3" t="s">
        <v>0</v>
      </c>
      <c r="C19"/>
      <c r="D19"/>
    </row>
    <row r="20" spans="2:4">
      <c r="B20" s="3" t="s">
        <v>639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zoomScale="115" zoomScaleNormal="115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36</v>
      </c>
      <c r="C9" s="33" t="s">
        <v>589</v>
      </c>
      <c r="D9" s="32" t="s">
        <v>35</v>
      </c>
      <c r="E9" s="31" t="s">
        <v>34</v>
      </c>
    </row>
    <row r="10" spans="1:5" ht="15" customHeight="1">
      <c r="B10" s="73" t="s">
        <v>11</v>
      </c>
      <c r="C10" s="29" t="s">
        <v>591</v>
      </c>
      <c r="D10" s="28">
        <v>12</v>
      </c>
      <c r="E10" s="27">
        <v>5.7664584334454587E-3</v>
      </c>
    </row>
    <row r="11" spans="1:5" ht="15" customHeight="1">
      <c r="B11" s="74"/>
      <c r="C11" s="29" t="s">
        <v>590</v>
      </c>
      <c r="D11" s="28">
        <v>4</v>
      </c>
      <c r="E11" s="27">
        <v>1.9221528111484864E-3</v>
      </c>
    </row>
    <row r="12" spans="1:5" ht="15" customHeight="1">
      <c r="B12" s="75"/>
      <c r="C12" s="26" t="s">
        <v>3</v>
      </c>
      <c r="D12" s="25">
        <v>16</v>
      </c>
      <c r="E12" s="24">
        <v>7.6886112445939455E-3</v>
      </c>
    </row>
    <row r="13" spans="1:5" ht="15" customHeight="1">
      <c r="B13" s="73" t="s">
        <v>7</v>
      </c>
      <c r="C13" s="29" t="s">
        <v>590</v>
      </c>
      <c r="D13" s="28">
        <v>1</v>
      </c>
      <c r="E13" s="27">
        <v>4.8053820278712159E-4</v>
      </c>
    </row>
    <row r="14" spans="1:5" ht="15" customHeight="1">
      <c r="B14" s="75"/>
      <c r="C14" s="26" t="s">
        <v>3</v>
      </c>
      <c r="D14" s="25">
        <v>1</v>
      </c>
      <c r="E14" s="24">
        <v>4.8053820278712159E-4</v>
      </c>
    </row>
    <row r="15" spans="1:5" ht="15" customHeight="1">
      <c r="B15" s="73" t="s">
        <v>6</v>
      </c>
      <c r="C15" s="29" t="s">
        <v>591</v>
      </c>
      <c r="D15" s="28">
        <v>5</v>
      </c>
      <c r="E15" s="27">
        <v>2.4026910139356081E-3</v>
      </c>
    </row>
    <row r="16" spans="1:5" ht="15" customHeight="1">
      <c r="B16" s="74"/>
      <c r="C16" s="29" t="s">
        <v>590</v>
      </c>
      <c r="D16" s="28">
        <v>3</v>
      </c>
      <c r="E16" s="27">
        <v>1.4416146083613647E-3</v>
      </c>
    </row>
    <row r="17" spans="2:5" ht="15" customHeight="1">
      <c r="B17" s="75"/>
      <c r="C17" s="26" t="s">
        <v>3</v>
      </c>
      <c r="D17" s="25">
        <v>8</v>
      </c>
      <c r="E17" s="24">
        <v>3.8443056222969728E-3</v>
      </c>
    </row>
    <row r="18" spans="2:5" ht="15" customHeight="1">
      <c r="B18" s="73" t="s">
        <v>26</v>
      </c>
      <c r="C18" s="29" t="s">
        <v>591</v>
      </c>
      <c r="D18" s="28">
        <v>76</v>
      </c>
      <c r="E18" s="27">
        <v>3.6520903411821237E-2</v>
      </c>
    </row>
    <row r="19" spans="2:5" ht="15" customHeight="1">
      <c r="B19" s="74"/>
      <c r="C19" s="29" t="s">
        <v>590</v>
      </c>
      <c r="D19" s="28">
        <v>43</v>
      </c>
      <c r="E19" s="27">
        <v>2.0663142719846227E-2</v>
      </c>
    </row>
    <row r="20" spans="2:5" ht="15" customHeight="1">
      <c r="B20" s="75"/>
      <c r="C20" s="26" t="s">
        <v>3</v>
      </c>
      <c r="D20" s="25">
        <v>119</v>
      </c>
      <c r="E20" s="24">
        <v>5.7184046131667471E-2</v>
      </c>
    </row>
    <row r="21" spans="2:5" ht="15" customHeight="1">
      <c r="B21" s="73" t="s">
        <v>13</v>
      </c>
      <c r="C21" s="29" t="s">
        <v>591</v>
      </c>
      <c r="D21" s="28">
        <v>6</v>
      </c>
      <c r="E21" s="27">
        <v>2.8832292167227293E-3</v>
      </c>
    </row>
    <row r="22" spans="2:5" ht="15" customHeight="1">
      <c r="B22" s="74"/>
      <c r="C22" s="29" t="s">
        <v>590</v>
      </c>
      <c r="D22" s="28">
        <v>9</v>
      </c>
      <c r="E22" s="27">
        <v>4.324843825084094E-3</v>
      </c>
    </row>
    <row r="23" spans="2:5" ht="15" customHeight="1">
      <c r="B23" s="75"/>
      <c r="C23" s="26" t="s">
        <v>3</v>
      </c>
      <c r="D23" s="25">
        <v>15</v>
      </c>
      <c r="E23" s="24">
        <v>7.2080730418068234E-3</v>
      </c>
    </row>
    <row r="24" spans="2:5" ht="15" customHeight="1">
      <c r="B24" s="73" t="s">
        <v>10</v>
      </c>
      <c r="C24" s="29" t="s">
        <v>591</v>
      </c>
      <c r="D24" s="28">
        <v>16</v>
      </c>
      <c r="E24" s="27">
        <v>7.6886112445939455E-3</v>
      </c>
    </row>
    <row r="25" spans="2:5" ht="15" customHeight="1">
      <c r="B25" s="74"/>
      <c r="C25" s="29" t="s">
        <v>590</v>
      </c>
      <c r="D25" s="28">
        <v>7</v>
      </c>
      <c r="E25" s="27">
        <v>3.363767419509851E-3</v>
      </c>
    </row>
    <row r="26" spans="2:5" ht="15" customHeight="1">
      <c r="B26" s="75"/>
      <c r="C26" s="26" t="s">
        <v>3</v>
      </c>
      <c r="D26" s="25">
        <v>23</v>
      </c>
      <c r="E26" s="24">
        <v>1.1052378664103796E-2</v>
      </c>
    </row>
    <row r="27" spans="2:5" ht="15" customHeight="1">
      <c r="B27" s="73" t="s">
        <v>5</v>
      </c>
      <c r="C27" s="29" t="s">
        <v>591</v>
      </c>
      <c r="D27" s="28">
        <v>1</v>
      </c>
      <c r="E27" s="27">
        <v>4.8053820278712159E-4</v>
      </c>
    </row>
    <row r="28" spans="2:5" ht="15" customHeight="1">
      <c r="B28" s="75"/>
      <c r="C28" s="26" t="s">
        <v>3</v>
      </c>
      <c r="D28" s="25">
        <v>1</v>
      </c>
      <c r="E28" s="24">
        <v>4.8053820278712159E-4</v>
      </c>
    </row>
    <row r="29" spans="2:5" ht="15" customHeight="1">
      <c r="B29" s="73" t="s">
        <v>24</v>
      </c>
      <c r="C29" s="29" t="s">
        <v>591</v>
      </c>
      <c r="D29" s="28">
        <v>80</v>
      </c>
      <c r="E29" s="27">
        <v>3.8443056222969729E-2</v>
      </c>
    </row>
    <row r="30" spans="2:5" ht="15" customHeight="1">
      <c r="B30" s="74"/>
      <c r="C30" s="29" t="s">
        <v>590</v>
      </c>
      <c r="D30" s="28">
        <v>46</v>
      </c>
      <c r="E30" s="27">
        <v>2.2104757328207592E-2</v>
      </c>
    </row>
    <row r="31" spans="2:5" ht="15" customHeight="1">
      <c r="B31" s="75"/>
      <c r="C31" s="26" t="s">
        <v>3</v>
      </c>
      <c r="D31" s="25">
        <v>126</v>
      </c>
      <c r="E31" s="24">
        <v>6.0547813551177318E-2</v>
      </c>
    </row>
    <row r="32" spans="2:5" ht="15" customHeight="1">
      <c r="B32" s="73" t="s">
        <v>16</v>
      </c>
      <c r="C32" s="29" t="s">
        <v>591</v>
      </c>
      <c r="D32" s="28">
        <v>12</v>
      </c>
      <c r="E32" s="27">
        <v>5.7664584334454587E-3</v>
      </c>
    </row>
    <row r="33" spans="2:5" ht="15" customHeight="1">
      <c r="B33" s="74"/>
      <c r="C33" s="29" t="s">
        <v>590</v>
      </c>
      <c r="D33" s="28">
        <v>11</v>
      </c>
      <c r="E33" s="27">
        <v>5.2859202306583374E-3</v>
      </c>
    </row>
    <row r="34" spans="2:5" ht="15" customHeight="1">
      <c r="B34" s="75"/>
      <c r="C34" s="26" t="s">
        <v>3</v>
      </c>
      <c r="D34" s="25">
        <v>23</v>
      </c>
      <c r="E34" s="24">
        <v>1.1052378664103796E-2</v>
      </c>
    </row>
    <row r="35" spans="2:5" ht="15" customHeight="1">
      <c r="B35" s="73" t="s">
        <v>31</v>
      </c>
      <c r="C35" s="29" t="s">
        <v>591</v>
      </c>
      <c r="D35" s="28">
        <v>106</v>
      </c>
      <c r="E35" s="27">
        <v>5.0937049495434886E-2</v>
      </c>
    </row>
    <row r="36" spans="2:5" ht="15" customHeight="1">
      <c r="B36" s="74"/>
      <c r="C36" s="29" t="s">
        <v>590</v>
      </c>
      <c r="D36" s="28">
        <v>81</v>
      </c>
      <c r="E36" s="27">
        <v>3.8923594425756845E-2</v>
      </c>
    </row>
    <row r="37" spans="2:5" ht="15" customHeight="1">
      <c r="B37" s="75"/>
      <c r="C37" s="26" t="s">
        <v>3</v>
      </c>
      <c r="D37" s="25">
        <v>187</v>
      </c>
      <c r="E37" s="24">
        <v>8.9860643921191738E-2</v>
      </c>
    </row>
    <row r="38" spans="2:5" ht="15" customHeight="1">
      <c r="B38" s="73" t="s">
        <v>28</v>
      </c>
      <c r="C38" s="29" t="s">
        <v>591</v>
      </c>
      <c r="D38" s="28">
        <v>50</v>
      </c>
      <c r="E38" s="27">
        <v>2.4026910139356077E-2</v>
      </c>
    </row>
    <row r="39" spans="2:5" ht="15" customHeight="1">
      <c r="B39" s="74"/>
      <c r="C39" s="29" t="s">
        <v>590</v>
      </c>
      <c r="D39" s="28">
        <v>25</v>
      </c>
      <c r="E39" s="27">
        <v>1.2013455069678039E-2</v>
      </c>
    </row>
    <row r="40" spans="2:5" ht="15" customHeight="1">
      <c r="B40" s="75"/>
      <c r="C40" s="26" t="s">
        <v>3</v>
      </c>
      <c r="D40" s="25">
        <v>75</v>
      </c>
      <c r="E40" s="24">
        <v>3.6040365209034121E-2</v>
      </c>
    </row>
    <row r="41" spans="2:5" ht="15" customHeight="1">
      <c r="B41" s="73" t="s">
        <v>29</v>
      </c>
      <c r="C41" s="29" t="s">
        <v>591</v>
      </c>
      <c r="D41" s="28">
        <v>74</v>
      </c>
      <c r="E41" s="27">
        <v>3.5559827006246998E-2</v>
      </c>
    </row>
    <row r="42" spans="2:5" ht="15" customHeight="1">
      <c r="B42" s="74"/>
      <c r="C42" s="29" t="s">
        <v>590</v>
      </c>
      <c r="D42" s="28">
        <v>65</v>
      </c>
      <c r="E42" s="27">
        <v>3.1234983181162902E-2</v>
      </c>
    </row>
    <row r="43" spans="2:5" ht="15" customHeight="1">
      <c r="B43" s="75"/>
      <c r="C43" s="26" t="s">
        <v>3</v>
      </c>
      <c r="D43" s="25">
        <v>139</v>
      </c>
      <c r="E43" s="24">
        <v>6.6794810187409903E-2</v>
      </c>
    </row>
    <row r="44" spans="2:5" ht="15" customHeight="1">
      <c r="B44" s="73" t="s">
        <v>23</v>
      </c>
      <c r="C44" s="29" t="s">
        <v>591</v>
      </c>
      <c r="D44" s="28">
        <v>59</v>
      </c>
      <c r="E44" s="27">
        <v>2.8351753964440174E-2</v>
      </c>
    </row>
    <row r="45" spans="2:5" ht="15" customHeight="1">
      <c r="B45" s="74"/>
      <c r="C45" s="29" t="s">
        <v>590</v>
      </c>
      <c r="D45" s="28">
        <v>32</v>
      </c>
      <c r="E45" s="27">
        <v>1.5377222489187891E-2</v>
      </c>
    </row>
    <row r="46" spans="2:5" ht="15" customHeight="1">
      <c r="B46" s="75"/>
      <c r="C46" s="26" t="s">
        <v>3</v>
      </c>
      <c r="D46" s="25">
        <v>91</v>
      </c>
      <c r="E46" s="24">
        <v>4.3728976453628061E-2</v>
      </c>
    </row>
    <row r="47" spans="2:5" ht="15" customHeight="1">
      <c r="B47" s="73" t="s">
        <v>27</v>
      </c>
      <c r="C47" s="29" t="s">
        <v>591</v>
      </c>
      <c r="D47" s="28">
        <v>73</v>
      </c>
      <c r="E47" s="27">
        <v>3.5079288803459875E-2</v>
      </c>
    </row>
    <row r="48" spans="2:5" ht="15" customHeight="1">
      <c r="B48" s="74"/>
      <c r="C48" s="29" t="s">
        <v>590</v>
      </c>
      <c r="D48" s="28">
        <v>49</v>
      </c>
      <c r="E48" s="27">
        <v>2.3546371936568958E-2</v>
      </c>
    </row>
    <row r="49" spans="2:5" ht="15" customHeight="1">
      <c r="B49" s="75"/>
      <c r="C49" s="26" t="s">
        <v>3</v>
      </c>
      <c r="D49" s="25">
        <v>122</v>
      </c>
      <c r="E49" s="24">
        <v>5.8625660740028833E-2</v>
      </c>
    </row>
    <row r="50" spans="2:5" ht="15" customHeight="1">
      <c r="B50" s="73" t="s">
        <v>25</v>
      </c>
      <c r="C50" s="29" t="s">
        <v>591</v>
      </c>
      <c r="D50" s="28">
        <v>92</v>
      </c>
      <c r="E50" s="27">
        <v>4.4209514656415184E-2</v>
      </c>
    </row>
    <row r="51" spans="2:5" ht="15" customHeight="1">
      <c r="B51" s="74"/>
      <c r="C51" s="29" t="s">
        <v>590</v>
      </c>
      <c r="D51" s="28">
        <v>48</v>
      </c>
      <c r="E51" s="27">
        <v>2.3065833733781835E-2</v>
      </c>
    </row>
    <row r="52" spans="2:5" ht="15" customHeight="1">
      <c r="B52" s="75"/>
      <c r="C52" s="26" t="s">
        <v>3</v>
      </c>
      <c r="D52" s="25">
        <v>140</v>
      </c>
      <c r="E52" s="24">
        <v>6.7275348390197026E-2</v>
      </c>
    </row>
    <row r="53" spans="2:5" ht="15" customHeight="1">
      <c r="B53" s="73" t="s">
        <v>20</v>
      </c>
      <c r="C53" s="29" t="s">
        <v>591</v>
      </c>
      <c r="D53" s="28">
        <v>29</v>
      </c>
      <c r="E53" s="27">
        <v>1.3935607880826525E-2</v>
      </c>
    </row>
    <row r="54" spans="2:5" ht="15" customHeight="1">
      <c r="B54" s="74"/>
      <c r="C54" s="29" t="s">
        <v>590</v>
      </c>
      <c r="D54" s="28">
        <v>20</v>
      </c>
      <c r="E54" s="27">
        <v>9.6107640557424323E-3</v>
      </c>
    </row>
    <row r="55" spans="2:5" ht="15" customHeight="1">
      <c r="B55" s="75"/>
      <c r="C55" s="26" t="s">
        <v>3</v>
      </c>
      <c r="D55" s="25">
        <v>49</v>
      </c>
      <c r="E55" s="24">
        <v>2.3546371936568958E-2</v>
      </c>
    </row>
    <row r="56" spans="2:5" ht="15" customHeight="1">
      <c r="B56" s="73" t="s">
        <v>15</v>
      </c>
      <c r="C56" s="29" t="s">
        <v>591</v>
      </c>
      <c r="D56" s="28">
        <v>6</v>
      </c>
      <c r="E56" s="27">
        <v>2.8832292167227293E-3</v>
      </c>
    </row>
    <row r="57" spans="2:5" ht="15" customHeight="1">
      <c r="B57" s="74"/>
      <c r="C57" s="29" t="s">
        <v>590</v>
      </c>
      <c r="D57" s="28">
        <v>4</v>
      </c>
      <c r="E57" s="27">
        <v>1.9221528111484864E-3</v>
      </c>
    </row>
    <row r="58" spans="2:5" ht="15" customHeight="1">
      <c r="B58" s="75"/>
      <c r="C58" s="26" t="s">
        <v>3</v>
      </c>
      <c r="D58" s="25">
        <v>10</v>
      </c>
      <c r="E58" s="24">
        <v>4.8053820278712162E-3</v>
      </c>
    </row>
    <row r="59" spans="2:5" ht="15" customHeight="1">
      <c r="B59" s="73" t="s">
        <v>12</v>
      </c>
      <c r="C59" s="29" t="s">
        <v>591</v>
      </c>
      <c r="D59" s="28">
        <v>9</v>
      </c>
      <c r="E59" s="27">
        <v>4.324843825084094E-3</v>
      </c>
    </row>
    <row r="60" spans="2:5" ht="15" customHeight="1">
      <c r="B60" s="74"/>
      <c r="C60" s="29" t="s">
        <v>590</v>
      </c>
      <c r="D60" s="28">
        <v>4</v>
      </c>
      <c r="E60" s="27">
        <v>1.9221528111484864E-3</v>
      </c>
    </row>
    <row r="61" spans="2:5" ht="15" customHeight="1">
      <c r="B61" s="75"/>
      <c r="C61" s="26" t="s">
        <v>3</v>
      </c>
      <c r="D61" s="25">
        <v>13</v>
      </c>
      <c r="E61" s="24">
        <v>6.2469966362325808E-3</v>
      </c>
    </row>
    <row r="62" spans="2:5" ht="15" customHeight="1">
      <c r="B62" s="73" t="s">
        <v>32</v>
      </c>
      <c r="C62" s="29" t="s">
        <v>591</v>
      </c>
      <c r="D62" s="28">
        <v>107</v>
      </c>
      <c r="E62" s="27">
        <v>5.1417587698222009E-2</v>
      </c>
    </row>
    <row r="63" spans="2:5" ht="15" customHeight="1">
      <c r="B63" s="74"/>
      <c r="C63" s="29" t="s">
        <v>590</v>
      </c>
      <c r="D63" s="28">
        <v>91</v>
      </c>
      <c r="E63" s="27">
        <v>4.3728976453628061E-2</v>
      </c>
    </row>
    <row r="64" spans="2:5" ht="15" customHeight="1">
      <c r="B64" s="75"/>
      <c r="C64" s="26" t="s">
        <v>3</v>
      </c>
      <c r="D64" s="25">
        <v>198</v>
      </c>
      <c r="E64" s="24">
        <v>9.5146564151850077E-2</v>
      </c>
    </row>
    <row r="65" spans="2:5" ht="15" customHeight="1">
      <c r="B65" s="73" t="s">
        <v>30</v>
      </c>
      <c r="C65" s="29" t="s">
        <v>591</v>
      </c>
      <c r="D65" s="28">
        <v>116</v>
      </c>
      <c r="E65" s="27">
        <v>5.5742431523306102E-2</v>
      </c>
    </row>
    <row r="66" spans="2:5" ht="15" customHeight="1">
      <c r="B66" s="74"/>
      <c r="C66" s="29" t="s">
        <v>590</v>
      </c>
      <c r="D66" s="28">
        <v>61</v>
      </c>
      <c r="E66" s="27">
        <v>2.9312830370014416E-2</v>
      </c>
    </row>
    <row r="67" spans="2:5" ht="15" customHeight="1">
      <c r="B67" s="75"/>
      <c r="C67" s="26" t="s">
        <v>3</v>
      </c>
      <c r="D67" s="25">
        <v>177</v>
      </c>
      <c r="E67" s="24">
        <v>8.5055261893320522E-2</v>
      </c>
    </row>
    <row r="68" spans="2:5" ht="15" customHeight="1">
      <c r="B68" s="73" t="s">
        <v>18</v>
      </c>
      <c r="C68" s="29" t="s">
        <v>591</v>
      </c>
      <c r="D68" s="28">
        <v>30</v>
      </c>
      <c r="E68" s="27">
        <v>1.4416146083613647E-2</v>
      </c>
    </row>
    <row r="69" spans="2:5" ht="15" customHeight="1">
      <c r="B69" s="74"/>
      <c r="C69" s="29" t="s">
        <v>590</v>
      </c>
      <c r="D69" s="28">
        <v>7</v>
      </c>
      <c r="E69" s="27">
        <v>3.363767419509851E-3</v>
      </c>
    </row>
    <row r="70" spans="2:5" ht="15" customHeight="1">
      <c r="B70" s="75"/>
      <c r="C70" s="26" t="s">
        <v>3</v>
      </c>
      <c r="D70" s="25">
        <v>37</v>
      </c>
      <c r="E70" s="24">
        <v>1.7779913503123499E-2</v>
      </c>
    </row>
    <row r="71" spans="2:5" ht="15" customHeight="1">
      <c r="B71" s="73" t="s">
        <v>8</v>
      </c>
      <c r="C71" s="29" t="s">
        <v>591</v>
      </c>
      <c r="D71" s="28">
        <v>4</v>
      </c>
      <c r="E71" s="27">
        <v>1.9221528111484864E-3</v>
      </c>
    </row>
    <row r="72" spans="2:5" ht="15" customHeight="1">
      <c r="B72" s="74"/>
      <c r="C72" s="29" t="s">
        <v>590</v>
      </c>
      <c r="D72" s="28">
        <v>3</v>
      </c>
      <c r="E72" s="27">
        <v>1.4416146083613647E-3</v>
      </c>
    </row>
    <row r="73" spans="2:5" ht="15" customHeight="1">
      <c r="B73" s="75"/>
      <c r="C73" s="26" t="s">
        <v>3</v>
      </c>
      <c r="D73" s="25">
        <v>7</v>
      </c>
      <c r="E73" s="24">
        <v>3.363767419509851E-3</v>
      </c>
    </row>
    <row r="74" spans="2:5" ht="15" customHeight="1">
      <c r="B74" s="73" t="s">
        <v>21</v>
      </c>
      <c r="C74" s="29" t="s">
        <v>591</v>
      </c>
      <c r="D74" s="28">
        <v>56</v>
      </c>
      <c r="E74" s="27">
        <v>2.6910139356078808E-2</v>
      </c>
    </row>
    <row r="75" spans="2:5" ht="15" customHeight="1">
      <c r="B75" s="74"/>
      <c r="C75" s="29" t="s">
        <v>590</v>
      </c>
      <c r="D75" s="28">
        <v>29</v>
      </c>
      <c r="E75" s="27">
        <v>1.3935607880826525E-2</v>
      </c>
    </row>
    <row r="76" spans="2:5" ht="15" customHeight="1">
      <c r="B76" s="75"/>
      <c r="C76" s="26" t="s">
        <v>3</v>
      </c>
      <c r="D76" s="25">
        <v>85</v>
      </c>
      <c r="E76" s="24">
        <v>4.0845747236905337E-2</v>
      </c>
    </row>
    <row r="77" spans="2:5" ht="15" customHeight="1">
      <c r="B77" s="73" t="s">
        <v>9</v>
      </c>
      <c r="C77" s="29" t="s">
        <v>591</v>
      </c>
      <c r="D77" s="28">
        <v>4</v>
      </c>
      <c r="E77" s="27">
        <v>1.9221528111484864E-3</v>
      </c>
    </row>
    <row r="78" spans="2:5" ht="15" customHeight="1">
      <c r="B78" s="74"/>
      <c r="C78" s="29" t="s">
        <v>590</v>
      </c>
      <c r="D78" s="28">
        <v>7</v>
      </c>
      <c r="E78" s="27">
        <v>3.363767419509851E-3</v>
      </c>
    </row>
    <row r="79" spans="2:5" ht="15" customHeight="1">
      <c r="B79" s="75"/>
      <c r="C79" s="26" t="s">
        <v>3</v>
      </c>
      <c r="D79" s="25">
        <v>11</v>
      </c>
      <c r="E79" s="24">
        <v>5.2859202306583374E-3</v>
      </c>
    </row>
    <row r="80" spans="2:5" ht="15" customHeight="1">
      <c r="B80" s="73" t="s">
        <v>4</v>
      </c>
      <c r="C80" s="29" t="s">
        <v>591</v>
      </c>
      <c r="D80" s="28">
        <v>6</v>
      </c>
      <c r="E80" s="27">
        <v>2.8832292167227293E-3</v>
      </c>
    </row>
    <row r="81" spans="2:5" ht="15" customHeight="1">
      <c r="B81" s="74"/>
      <c r="C81" s="29" t="s">
        <v>590</v>
      </c>
      <c r="D81" s="28">
        <v>3</v>
      </c>
      <c r="E81" s="27">
        <v>1.4416146083613647E-3</v>
      </c>
    </row>
    <row r="82" spans="2:5" ht="15" customHeight="1">
      <c r="B82" s="75"/>
      <c r="C82" s="26" t="s">
        <v>3</v>
      </c>
      <c r="D82" s="25">
        <v>9</v>
      </c>
      <c r="E82" s="24">
        <v>4.324843825084094E-3</v>
      </c>
    </row>
    <row r="83" spans="2:5" ht="15" customHeight="1">
      <c r="B83" s="73" t="s">
        <v>17</v>
      </c>
      <c r="C83" s="29" t="s">
        <v>591</v>
      </c>
      <c r="D83" s="28">
        <v>25</v>
      </c>
      <c r="E83" s="27">
        <v>1.2013455069678039E-2</v>
      </c>
    </row>
    <row r="84" spans="2:5" ht="15" customHeight="1">
      <c r="B84" s="74"/>
      <c r="C84" s="29" t="s">
        <v>590</v>
      </c>
      <c r="D84" s="28">
        <v>14</v>
      </c>
      <c r="E84" s="27">
        <v>6.7275348390197021E-3</v>
      </c>
    </row>
    <row r="85" spans="2:5" ht="15" customHeight="1">
      <c r="B85" s="75"/>
      <c r="C85" s="26" t="s">
        <v>3</v>
      </c>
      <c r="D85" s="25">
        <v>39</v>
      </c>
      <c r="E85" s="24">
        <v>1.8740989908697742E-2</v>
      </c>
    </row>
    <row r="86" spans="2:5" ht="15" customHeight="1">
      <c r="B86" s="73" t="s">
        <v>19</v>
      </c>
      <c r="C86" s="29" t="s">
        <v>591</v>
      </c>
      <c r="D86" s="28">
        <v>17</v>
      </c>
      <c r="E86" s="27">
        <v>8.1691494473810668E-3</v>
      </c>
    </row>
    <row r="87" spans="2:5" ht="15" customHeight="1">
      <c r="B87" s="74"/>
      <c r="C87" s="29" t="s">
        <v>590</v>
      </c>
      <c r="D87" s="28">
        <v>14</v>
      </c>
      <c r="E87" s="27">
        <v>6.7275348390197021E-3</v>
      </c>
    </row>
    <row r="88" spans="2:5" ht="15" customHeight="1">
      <c r="B88" s="75"/>
      <c r="C88" s="26" t="s">
        <v>3</v>
      </c>
      <c r="D88" s="25">
        <v>31</v>
      </c>
      <c r="E88" s="24">
        <v>1.4896684286400768E-2</v>
      </c>
    </row>
    <row r="89" spans="2:5" ht="15" customHeight="1">
      <c r="B89" s="73" t="s">
        <v>14</v>
      </c>
      <c r="C89" s="29" t="s">
        <v>591</v>
      </c>
      <c r="D89" s="28">
        <v>14</v>
      </c>
      <c r="E89" s="27">
        <v>6.7275348390197021E-3</v>
      </c>
    </row>
    <row r="90" spans="2:5" ht="15" customHeight="1">
      <c r="B90" s="74"/>
      <c r="C90" s="29" t="s">
        <v>590</v>
      </c>
      <c r="D90" s="28">
        <v>2</v>
      </c>
      <c r="E90" s="27">
        <v>9.6107640557424319E-4</v>
      </c>
    </row>
    <row r="91" spans="2:5" ht="15" customHeight="1">
      <c r="B91" s="75"/>
      <c r="C91" s="26" t="s">
        <v>3</v>
      </c>
      <c r="D91" s="25">
        <v>16</v>
      </c>
      <c r="E91" s="24">
        <v>7.6886112445939455E-3</v>
      </c>
    </row>
    <row r="92" spans="2:5" ht="15" customHeight="1">
      <c r="B92" s="73" t="s">
        <v>33</v>
      </c>
      <c r="C92" s="29" t="s">
        <v>591</v>
      </c>
      <c r="D92" s="28">
        <v>152</v>
      </c>
      <c r="E92" s="27">
        <v>7.3041806823642474E-2</v>
      </c>
    </row>
    <row r="93" spans="2:5" ht="15" customHeight="1">
      <c r="B93" s="74"/>
      <c r="C93" s="29" t="s">
        <v>590</v>
      </c>
      <c r="D93" s="28">
        <v>86</v>
      </c>
      <c r="E93" s="27">
        <v>4.1326285439692453E-2</v>
      </c>
    </row>
    <row r="94" spans="2:5" ht="15" customHeight="1">
      <c r="B94" s="75"/>
      <c r="C94" s="26" t="s">
        <v>3</v>
      </c>
      <c r="D94" s="25">
        <v>238</v>
      </c>
      <c r="E94" s="24">
        <v>0.11436809226333494</v>
      </c>
    </row>
    <row r="95" spans="2:5" ht="15" customHeight="1">
      <c r="B95" s="73" t="s">
        <v>22</v>
      </c>
      <c r="C95" s="29" t="s">
        <v>591</v>
      </c>
      <c r="D95" s="28">
        <v>50</v>
      </c>
      <c r="E95" s="27">
        <v>2.4026910139356077E-2</v>
      </c>
    </row>
    <row r="96" spans="2:5" ht="15" customHeight="1">
      <c r="B96" s="74"/>
      <c r="C96" s="29" t="s">
        <v>590</v>
      </c>
      <c r="D96" s="28">
        <v>25</v>
      </c>
      <c r="E96" s="27">
        <v>1.2013455069678039E-2</v>
      </c>
    </row>
    <row r="97" spans="2:6" ht="15" customHeight="1">
      <c r="B97" s="75"/>
      <c r="C97" s="26" t="s">
        <v>3</v>
      </c>
      <c r="D97" s="25">
        <v>75</v>
      </c>
      <c r="E97" s="24">
        <v>3.6040365209034121E-2</v>
      </c>
    </row>
    <row r="98" spans="2:6" ht="15" customHeight="1">
      <c r="B98" s="76" t="s">
        <v>3</v>
      </c>
      <c r="C98" s="77"/>
      <c r="D98" s="23">
        <f>SUMIF(C10:C97,"TOTAL",D10:D97)</f>
        <v>2081</v>
      </c>
      <c r="E98" s="22">
        <v>1</v>
      </c>
    </row>
    <row r="100" spans="2:6" ht="15" customHeight="1">
      <c r="B100" s="1"/>
      <c r="C100" s="3" t="s">
        <v>638</v>
      </c>
      <c r="D100"/>
      <c r="E100"/>
      <c r="F100" s="1"/>
    </row>
    <row r="101" spans="2:6" ht="15" customHeight="1">
      <c r="B101" s="1"/>
      <c r="C101" s="5" t="s">
        <v>2</v>
      </c>
      <c r="D101"/>
      <c r="E101"/>
      <c r="F101" s="1"/>
    </row>
    <row r="102" spans="2:6" ht="15" customHeight="1">
      <c r="B102" s="1"/>
      <c r="C102" s="4" t="s">
        <v>1</v>
      </c>
      <c r="D102"/>
      <c r="E102"/>
      <c r="F102" s="1"/>
    </row>
    <row r="103" spans="2:6" ht="15" customHeight="1">
      <c r="B103" s="1"/>
      <c r="C103" s="3" t="s">
        <v>0</v>
      </c>
      <c r="D103"/>
      <c r="E103"/>
      <c r="F103" s="1"/>
    </row>
    <row r="104" spans="2:6" ht="15" customHeight="1">
      <c r="B104" s="1"/>
      <c r="C104" s="3" t="s">
        <v>639</v>
      </c>
      <c r="D104"/>
      <c r="E104"/>
      <c r="F104" s="1"/>
    </row>
    <row r="377" spans="2:2" s="21" customFormat="1" ht="15" customHeight="1">
      <c r="B377" s="43"/>
    </row>
    <row r="378" spans="2:2" s="21" customFormat="1" ht="15" customHeight="1">
      <c r="B378" s="44"/>
    </row>
    <row r="379" spans="2:2" s="21" customFormat="1" ht="15" customHeight="1">
      <c r="B379" s="44"/>
    </row>
    <row r="380" spans="2:2" s="21" customFormat="1" ht="15" customHeight="1">
      <c r="B380" s="43"/>
    </row>
    <row r="381" spans="2:2" s="21" customFormat="1" ht="15" customHeight="1">
      <c r="B381" s="43"/>
    </row>
  </sheetData>
  <mergeCells count="32">
    <mergeCell ref="B7:E8"/>
    <mergeCell ref="B98:C98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92:B94"/>
    <mergeCell ref="B95:B97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10:B12"/>
    <mergeCell ref="B13:B14"/>
    <mergeCell ref="B15:B17"/>
    <mergeCell ref="B18:B20"/>
    <mergeCell ref="B21:B2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zoomScale="115" zoomScaleNormal="115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>
      <c r="B1" s="41"/>
      <c r="C1" s="40"/>
      <c r="D1" s="40"/>
      <c r="E1" s="40"/>
    </row>
    <row r="2" spans="1:5" s="37" customFormat="1" ht="15" customHeight="1">
      <c r="C2" s="39"/>
    </row>
    <row r="3" spans="1:5" s="37" customFormat="1" ht="15" customHeight="1">
      <c r="C3" s="39"/>
    </row>
    <row r="4" spans="1:5" s="37" customFormat="1" ht="30" customHeight="1">
      <c r="C4" s="39"/>
      <c r="D4" s="38"/>
    </row>
    <row r="5" spans="1:5" s="37" customFormat="1" ht="15" customHeight="1">
      <c r="C5" s="39"/>
      <c r="D5" s="38"/>
    </row>
    <row r="6" spans="1:5" s="34" customFormat="1" ht="24" customHeight="1">
      <c r="B6" s="36"/>
      <c r="C6" s="30"/>
      <c r="D6" s="30"/>
      <c r="E6" s="30"/>
    </row>
    <row r="7" spans="1:5" s="34" customFormat="1" ht="26.25" customHeight="1">
      <c r="A7" s="35"/>
      <c r="B7" s="78"/>
      <c r="C7" s="78"/>
      <c r="D7" s="78"/>
      <c r="E7" s="78"/>
    </row>
    <row r="8" spans="1:5" s="34" customFormat="1" ht="33" customHeight="1">
      <c r="A8" s="35"/>
      <c r="B8" s="78"/>
      <c r="C8" s="78"/>
      <c r="D8" s="78"/>
      <c r="E8" s="78"/>
    </row>
    <row r="9" spans="1:5" s="13" customFormat="1" ht="40.5" customHeight="1">
      <c r="B9" s="31" t="s">
        <v>589</v>
      </c>
      <c r="C9" s="33" t="s">
        <v>600</v>
      </c>
      <c r="D9" s="32" t="s">
        <v>35</v>
      </c>
      <c r="E9" s="31" t="s">
        <v>34</v>
      </c>
    </row>
    <row r="10" spans="1:5" ht="15" customHeight="1">
      <c r="B10" s="73" t="s">
        <v>591</v>
      </c>
      <c r="C10" s="29" t="s">
        <v>599</v>
      </c>
      <c r="D10" s="28">
        <v>4</v>
      </c>
      <c r="E10" s="27">
        <v>1.9221528111484864E-3</v>
      </c>
    </row>
    <row r="11" spans="1:5" ht="15" customHeight="1">
      <c r="B11" s="74"/>
      <c r="C11" s="29" t="s">
        <v>598</v>
      </c>
      <c r="D11" s="28">
        <v>15</v>
      </c>
      <c r="E11" s="27">
        <v>7.2080730418068234E-3</v>
      </c>
    </row>
    <row r="12" spans="1:5" ht="15" customHeight="1">
      <c r="B12" s="74"/>
      <c r="C12" s="29" t="s">
        <v>597</v>
      </c>
      <c r="D12" s="28">
        <v>226</v>
      </c>
      <c r="E12" s="27">
        <v>0.10860163382988948</v>
      </c>
    </row>
    <row r="13" spans="1:5" ht="15" customHeight="1">
      <c r="B13" s="74"/>
      <c r="C13" s="29" t="s">
        <v>596</v>
      </c>
      <c r="D13" s="28">
        <v>547</v>
      </c>
      <c r="E13" s="27">
        <v>0.26285439692455548</v>
      </c>
    </row>
    <row r="14" spans="1:5" ht="15" customHeight="1">
      <c r="B14" s="74"/>
      <c r="C14" s="29" t="s">
        <v>595</v>
      </c>
      <c r="D14" s="28">
        <v>351</v>
      </c>
      <c r="E14" s="27">
        <v>0.16866890917827967</v>
      </c>
    </row>
    <row r="15" spans="1:5" ht="15" customHeight="1">
      <c r="B15" s="74"/>
      <c r="C15" s="29" t="s">
        <v>594</v>
      </c>
      <c r="D15" s="28">
        <v>128</v>
      </c>
      <c r="E15" s="27">
        <v>6.1508889956751564E-2</v>
      </c>
    </row>
    <row r="16" spans="1:5" ht="15" customHeight="1">
      <c r="B16" s="74"/>
      <c r="C16" s="29" t="s">
        <v>593</v>
      </c>
      <c r="D16" s="28">
        <v>12</v>
      </c>
      <c r="E16" s="27">
        <v>5.7664584334454587E-3</v>
      </c>
    </row>
    <row r="17" spans="2:6" ht="15" customHeight="1">
      <c r="B17" s="75"/>
      <c r="C17" s="29" t="s">
        <v>592</v>
      </c>
      <c r="D17" s="28">
        <v>4</v>
      </c>
      <c r="E17" s="27">
        <v>1.9221528111484864E-3</v>
      </c>
    </row>
    <row r="18" spans="2:6" ht="15" customHeight="1">
      <c r="B18" s="73" t="s">
        <v>590</v>
      </c>
      <c r="C18" s="29" t="s">
        <v>598</v>
      </c>
      <c r="D18" s="28">
        <v>15</v>
      </c>
      <c r="E18" s="27">
        <v>7.2080730418068234E-3</v>
      </c>
    </row>
    <row r="19" spans="2:6" ht="15" customHeight="1">
      <c r="B19" s="74"/>
      <c r="C19" s="29" t="s">
        <v>597</v>
      </c>
      <c r="D19" s="28">
        <v>113</v>
      </c>
      <c r="E19" s="27">
        <v>5.430081691494474E-2</v>
      </c>
    </row>
    <row r="20" spans="2:6" ht="15" customHeight="1">
      <c r="B20" s="74"/>
      <c r="C20" s="29" t="s">
        <v>596</v>
      </c>
      <c r="D20" s="28">
        <v>324</v>
      </c>
      <c r="E20" s="27">
        <v>0.15569437770302738</v>
      </c>
    </row>
    <row r="21" spans="2:6" ht="15" customHeight="1">
      <c r="B21" s="74"/>
      <c r="C21" s="29" t="s">
        <v>595</v>
      </c>
      <c r="D21" s="28">
        <v>253</v>
      </c>
      <c r="E21" s="27">
        <v>0.12157616530514176</v>
      </c>
    </row>
    <row r="22" spans="2:6" ht="15" customHeight="1">
      <c r="B22" s="74"/>
      <c r="C22" s="29" t="s">
        <v>594</v>
      </c>
      <c r="D22" s="28">
        <v>82</v>
      </c>
      <c r="E22" s="27">
        <v>3.9404132628543968E-2</v>
      </c>
    </row>
    <row r="23" spans="2:6" ht="15" customHeight="1">
      <c r="B23" s="74"/>
      <c r="C23" s="29" t="s">
        <v>593</v>
      </c>
      <c r="D23" s="28">
        <v>5</v>
      </c>
      <c r="E23" s="27">
        <v>2.4026910139356081E-3</v>
      </c>
    </row>
    <row r="24" spans="2:6" ht="15" customHeight="1">
      <c r="B24" s="75"/>
      <c r="C24" s="29" t="s">
        <v>592</v>
      </c>
      <c r="D24" s="28">
        <v>2</v>
      </c>
      <c r="E24" s="27">
        <v>9.6107640557424319E-4</v>
      </c>
    </row>
    <row r="25" spans="2:6" ht="15" customHeight="1">
      <c r="B25" s="76" t="s">
        <v>3</v>
      </c>
      <c r="C25" s="77"/>
      <c r="D25" s="23">
        <v>2081</v>
      </c>
      <c r="E25" s="22">
        <v>1</v>
      </c>
    </row>
    <row r="27" spans="2:6" ht="15" customHeight="1">
      <c r="B27" s="1"/>
      <c r="C27" s="3" t="s">
        <v>638</v>
      </c>
      <c r="D27"/>
      <c r="E27"/>
      <c r="F27" s="1"/>
    </row>
    <row r="28" spans="2:6" ht="15" customHeight="1">
      <c r="B28" s="1"/>
      <c r="C28" s="5" t="s">
        <v>2</v>
      </c>
      <c r="D28"/>
      <c r="E28"/>
      <c r="F28" s="1"/>
    </row>
    <row r="29" spans="2:6" ht="15" customHeight="1">
      <c r="B29" s="1"/>
      <c r="C29" s="4" t="s">
        <v>1</v>
      </c>
      <c r="D29"/>
      <c r="E29"/>
      <c r="F29" s="1"/>
    </row>
    <row r="30" spans="2:6" ht="15" customHeight="1">
      <c r="B30" s="1"/>
      <c r="C30" s="3" t="s">
        <v>0</v>
      </c>
      <c r="D30"/>
      <c r="E30"/>
      <c r="F30" s="1"/>
    </row>
    <row r="31" spans="2:6" ht="15" customHeight="1">
      <c r="B31" s="1"/>
      <c r="C31" s="3" t="s">
        <v>639</v>
      </c>
      <c r="D31"/>
      <c r="E31"/>
      <c r="F31" s="1"/>
    </row>
    <row r="457" spans="2:2" s="21" customFormat="1" ht="15" customHeight="1">
      <c r="B457" s="43"/>
    </row>
    <row r="458" spans="2:2" s="21" customFormat="1" ht="15" customHeight="1">
      <c r="B458" s="44"/>
    </row>
    <row r="459" spans="2:2" s="21" customFormat="1" ht="15" customHeight="1">
      <c r="B459" s="44"/>
    </row>
    <row r="460" spans="2:2" s="21" customFormat="1" ht="15" customHeight="1">
      <c r="B460" s="43"/>
    </row>
    <row r="461" spans="2:2" s="21" customFormat="1" ht="15" customHeight="1">
      <c r="B461" s="43"/>
    </row>
  </sheetData>
  <mergeCells count="4">
    <mergeCell ref="B25:C25"/>
    <mergeCell ref="B7:E8"/>
    <mergeCell ref="B10:B17"/>
    <mergeCell ref="B18:B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8"/>
  <sheetViews>
    <sheetView showGridLines="0" tabSelected="1" zoomScaleNormal="100" zoomScaleSheetLayoutView="115" workbookViewId="0">
      <selection activeCell="G18" sqref="G18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2" t="s">
        <v>782</v>
      </c>
      <c r="C7" s="72"/>
      <c r="D7" s="72"/>
    </row>
    <row r="8" spans="1:5" s="13" customFormat="1" ht="15" customHeight="1">
      <c r="B8" s="72"/>
      <c r="C8" s="72"/>
      <c r="D8" s="72"/>
    </row>
    <row r="9" spans="1:5" s="13" customFormat="1" ht="33" customHeight="1">
      <c r="B9" s="72"/>
      <c r="C9" s="72"/>
      <c r="D9" s="72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620</v>
      </c>
      <c r="C11" s="15" t="s">
        <v>35</v>
      </c>
      <c r="D11" s="14" t="s">
        <v>34</v>
      </c>
    </row>
    <row r="12" spans="1:5">
      <c r="B12" s="11" t="s">
        <v>619</v>
      </c>
      <c r="C12" s="10">
        <v>747</v>
      </c>
      <c r="D12" s="9">
        <v>0.3589620374819798</v>
      </c>
    </row>
    <row r="13" spans="1:5">
      <c r="B13" s="11" t="s">
        <v>618</v>
      </c>
      <c r="C13" s="10">
        <v>437</v>
      </c>
      <c r="D13" s="9">
        <v>0.20999519461797214</v>
      </c>
    </row>
    <row r="14" spans="1:5">
      <c r="A14" s="12"/>
      <c r="B14" s="11" t="s">
        <v>617</v>
      </c>
      <c r="C14" s="10">
        <v>227</v>
      </c>
      <c r="D14" s="9">
        <v>0.1090821720326766</v>
      </c>
      <c r="E14" s="12"/>
    </row>
    <row r="15" spans="1:5">
      <c r="A15" s="12"/>
      <c r="B15" s="11" t="s">
        <v>616</v>
      </c>
      <c r="C15" s="10">
        <v>220</v>
      </c>
      <c r="D15" s="9">
        <v>0.10571840461316674</v>
      </c>
      <c r="E15" s="12"/>
    </row>
    <row r="16" spans="1:5">
      <c r="B16" s="11" t="s">
        <v>615</v>
      </c>
      <c r="C16" s="10">
        <v>140</v>
      </c>
      <c r="D16" s="9">
        <v>6.7275348390197026E-2</v>
      </c>
    </row>
    <row r="17" spans="2:4">
      <c r="B17" s="11" t="s">
        <v>614</v>
      </c>
      <c r="C17" s="10">
        <v>86</v>
      </c>
      <c r="D17" s="9">
        <v>4.1326285439692453E-2</v>
      </c>
    </row>
    <row r="18" spans="2:4">
      <c r="B18" s="11" t="s">
        <v>613</v>
      </c>
      <c r="C18" s="10">
        <v>59</v>
      </c>
      <c r="D18" s="9">
        <v>2.8351753964440174E-2</v>
      </c>
    </row>
    <row r="19" spans="2:4">
      <c r="B19" s="11" t="s">
        <v>612</v>
      </c>
      <c r="C19" s="10">
        <v>40</v>
      </c>
      <c r="D19" s="9">
        <v>1.9221528111484865E-2</v>
      </c>
    </row>
    <row r="20" spans="2:4">
      <c r="B20" s="11" t="s">
        <v>611</v>
      </c>
      <c r="C20" s="10">
        <v>30</v>
      </c>
      <c r="D20" s="9">
        <v>1.4416146083613647E-2</v>
      </c>
    </row>
    <row r="21" spans="2:4">
      <c r="B21" s="11" t="s">
        <v>610</v>
      </c>
      <c r="C21" s="10">
        <v>28</v>
      </c>
      <c r="D21" s="9">
        <v>1.3455069678039404E-2</v>
      </c>
    </row>
    <row r="22" spans="2:4">
      <c r="B22" s="11" t="s">
        <v>609</v>
      </c>
      <c r="C22" s="10">
        <v>18</v>
      </c>
      <c r="D22" s="9">
        <v>8.649687650168188E-3</v>
      </c>
    </row>
    <row r="23" spans="2:4">
      <c r="B23" s="11" t="s">
        <v>608</v>
      </c>
      <c r="C23" s="10">
        <v>14</v>
      </c>
      <c r="D23" s="9">
        <v>6.7275348390197021E-3</v>
      </c>
    </row>
    <row r="24" spans="2:4">
      <c r="B24" s="11" t="s">
        <v>607</v>
      </c>
      <c r="C24" s="10">
        <v>14</v>
      </c>
      <c r="D24" s="9">
        <v>6.7275348390197021E-3</v>
      </c>
    </row>
    <row r="25" spans="2:4">
      <c r="B25" s="11" t="s">
        <v>605</v>
      </c>
      <c r="C25" s="10">
        <v>6</v>
      </c>
      <c r="D25" s="9">
        <v>2.8832292167227293E-3</v>
      </c>
    </row>
    <row r="26" spans="2:4">
      <c r="B26" s="11" t="s">
        <v>604</v>
      </c>
      <c r="C26" s="10">
        <v>4</v>
      </c>
      <c r="D26" s="9">
        <v>1.9221528111484864E-3</v>
      </c>
    </row>
    <row r="27" spans="2:4">
      <c r="B27" s="11" t="s">
        <v>606</v>
      </c>
      <c r="C27" s="10">
        <v>3</v>
      </c>
      <c r="D27" s="9">
        <v>1.4416146083613647E-3</v>
      </c>
    </row>
    <row r="28" spans="2:4">
      <c r="B28" s="11" t="s">
        <v>603</v>
      </c>
      <c r="C28" s="10">
        <v>3</v>
      </c>
      <c r="D28" s="9">
        <v>1.4416146083613647E-3</v>
      </c>
    </row>
    <row r="29" spans="2:4">
      <c r="B29" s="11" t="s">
        <v>601</v>
      </c>
      <c r="C29" s="10">
        <v>2</v>
      </c>
      <c r="D29" s="9">
        <v>9.6107640557424319E-4</v>
      </c>
    </row>
    <row r="30" spans="2:4">
      <c r="B30" s="11" t="s">
        <v>602</v>
      </c>
      <c r="C30" s="10">
        <v>2</v>
      </c>
      <c r="D30" s="9">
        <v>9.6107640557424319E-4</v>
      </c>
    </row>
    <row r="31" spans="2:4">
      <c r="B31" s="11" t="s">
        <v>783</v>
      </c>
      <c r="C31" s="10">
        <v>1</v>
      </c>
      <c r="D31" s="9">
        <v>4.8053820278712159E-4</v>
      </c>
    </row>
    <row r="32" spans="2:4">
      <c r="B32" s="8" t="s">
        <v>3</v>
      </c>
      <c r="C32" s="7">
        <v>2081</v>
      </c>
      <c r="D32" s="6">
        <v>1</v>
      </c>
    </row>
    <row r="34" spans="2:4">
      <c r="B34" s="3" t="s">
        <v>638</v>
      </c>
      <c r="C34"/>
      <c r="D34"/>
    </row>
    <row r="35" spans="2:4">
      <c r="B35" s="5" t="s">
        <v>2</v>
      </c>
      <c r="C35"/>
      <c r="D35"/>
    </row>
    <row r="36" spans="2:4">
      <c r="B36" s="4" t="s">
        <v>1</v>
      </c>
      <c r="C36"/>
      <c r="D36"/>
    </row>
    <row r="37" spans="2:4">
      <c r="B37" s="3" t="s">
        <v>0</v>
      </c>
      <c r="C37"/>
      <c r="D37"/>
    </row>
    <row r="38" spans="2:4">
      <c r="B38" s="3" t="s">
        <v>639</v>
      </c>
      <c r="C38"/>
      <c r="D3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Virginia_Edomexgral</vt:lpstr>
      <vt:lpstr>Virginia_EDOMEX</vt:lpstr>
      <vt:lpstr>Virginia_Educagral</vt:lpstr>
      <vt:lpstr>Virginia_Eduedo</vt:lpstr>
      <vt:lpstr>Virginia_gengral</vt:lpstr>
      <vt:lpstr>Virginia_edomexgen</vt:lpstr>
      <vt:lpstr>Virginia_edadgen</vt:lpstr>
      <vt:lpstr>Virginia_ocupgral</vt:lpstr>
      <vt:lpstr>Índice!Área_de_impresión</vt:lpstr>
      <vt:lpstr>Virginia_edadgen!Área_de_impresión</vt:lpstr>
      <vt:lpstr>Virginia_EDOMEX!Área_de_impresión</vt:lpstr>
      <vt:lpstr>Virginia_edomexgen!Área_de_impresión</vt:lpstr>
      <vt:lpstr>Virginia_Eduedo!Área_de_impresión</vt:lpstr>
      <vt:lpstr>Virginia_edadgen!Títulos_a_imprimir</vt:lpstr>
      <vt:lpstr>Virginia_EDOMEX!Títulos_a_imprimir</vt:lpstr>
      <vt:lpstr>Virginia_edomexgen!Títulos_a_imprimir</vt:lpstr>
      <vt:lpstr>Virginia_Edomexgral!Títulos_a_imprimir</vt:lpstr>
      <vt:lpstr>Virginia_Educagral!Títulos_a_imprimir</vt:lpstr>
      <vt:lpstr>Virginia_Eduedo!Títulos_a_imprimir</vt:lpstr>
      <vt:lpstr>Virginia_gengral!Títulos_a_imprimir</vt:lpstr>
      <vt:lpstr>Virginia_ocupgral!Títulos_a_imprimir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2020-05-18T09:38:09Z</dcterms:created>
  <dcterms:modified xsi:type="dcterms:W3CDTF">2023-09-14T18:35:35Z</dcterms:modified>
</cp:coreProperties>
</file>