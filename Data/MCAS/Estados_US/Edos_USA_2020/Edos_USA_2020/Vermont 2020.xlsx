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2020\USA\Finales_USA\"/>
    </mc:Choice>
  </mc:AlternateContent>
  <bookViews>
    <workbookView xWindow="0" yWindow="0" windowWidth="24000" windowHeight="9735" firstSheet="7" activeTab="8"/>
  </bookViews>
  <sheets>
    <sheet name="Índice" sheetId="10" r:id="rId1"/>
    <sheet name="Vermont_Edomexgral" sheetId="2" r:id="rId2"/>
    <sheet name="Vermont_EDOMEX" sheetId="12" r:id="rId3"/>
    <sheet name="Vermont_Educagral" sheetId="4" r:id="rId4"/>
    <sheet name="Vermont_Eduedo" sheetId="11" r:id="rId5"/>
    <sheet name="Vermont_gengral" sheetId="6" r:id="rId6"/>
    <sheet name="Vermont_edomexgen" sheetId="7" r:id="rId7"/>
    <sheet name="Vermont_edadgen" sheetId="8" r:id="rId8"/>
    <sheet name="Vermont_ocupgral" sheetId="9" r:id="rId9"/>
  </sheets>
  <definedNames>
    <definedName name="_xlnm._FilterDatabase" localSheetId="7" hidden="1">Vermont_edadgen!$B$9:$E$9</definedName>
    <definedName name="_xlnm._FilterDatabase" localSheetId="2" hidden="1">Vermont_EDOMEX!$B$9:$E$9</definedName>
    <definedName name="_xlnm._FilterDatabase" localSheetId="6" hidden="1">Vermont_edomexgen!$B$9:$E$9</definedName>
    <definedName name="_xlnm._FilterDatabase" localSheetId="1" hidden="1">Vermont_Edomexgral!$B$11:$D$11</definedName>
    <definedName name="_xlnm._FilterDatabase" localSheetId="3" hidden="1">Vermont_Educagral!$B$11:$D$11</definedName>
    <definedName name="_xlnm._FilterDatabase" localSheetId="4" hidden="1">Vermont_Eduedo!$B$9:$E$9</definedName>
    <definedName name="_xlnm._FilterDatabase" localSheetId="5" hidden="1">Vermont_gengral!$B$11:$D$11</definedName>
    <definedName name="_xlnm._FilterDatabase" localSheetId="8" hidden="1">Vermont_ocupgral!$B$11:$D$11</definedName>
    <definedName name="_xlnm.Print_Area" localSheetId="0">Índice!$A$1:$D$21</definedName>
    <definedName name="_xlnm.Print_Area" localSheetId="7">Vermont_edadgen!$A$1:$E$9</definedName>
    <definedName name="_xlnm.Print_Area" localSheetId="2">Vermont_EDOMEX!$A$1:$E$9</definedName>
    <definedName name="_xlnm.Print_Area" localSheetId="6">Vermont_edomexgen!$A$1:$E$9</definedName>
    <definedName name="_xlnm.Print_Area" localSheetId="4">Vermont_Eduedo!$A$1:$E$9</definedName>
    <definedName name="_xlnm.Print_Titles" localSheetId="7">Vermont_edadgen!$1:$9</definedName>
    <definedName name="_xlnm.Print_Titles" localSheetId="2">Vermont_EDOMEX!$1:$9</definedName>
    <definedName name="_xlnm.Print_Titles" localSheetId="6">Vermont_edomexgen!$1:$9</definedName>
    <definedName name="_xlnm.Print_Titles" localSheetId="1">Vermont_Edomexgral!$1:$11</definedName>
    <definedName name="_xlnm.Print_Titles" localSheetId="3">Vermont_Educagral!$1:$11</definedName>
    <definedName name="_xlnm.Print_Titles" localSheetId="4">Vermont_Eduedo!$1:$9</definedName>
    <definedName name="_xlnm.Print_Titles" localSheetId="5">Vermont_gengral!$1:$11</definedName>
    <definedName name="_xlnm.Print_Titles" localSheetId="8">Vermont_ocupgral!$1:$11</definedName>
  </definedNames>
  <calcPr calcId="152511"/>
</workbook>
</file>

<file path=xl/calcChain.xml><?xml version="1.0" encoding="utf-8"?>
<calcChain xmlns="http://schemas.openxmlformats.org/spreadsheetml/2006/main">
  <c r="D29" i="7" l="1"/>
  <c r="D31" i="12" l="1"/>
</calcChain>
</file>

<file path=xl/sharedStrings.xml><?xml version="1.0" encoding="utf-8"?>
<sst xmlns="http://schemas.openxmlformats.org/spreadsheetml/2006/main" count="215" uniqueCount="75">
  <si>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</si>
  <si>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</si>
  <si>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</si>
  <si>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</si>
  <si>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Colima</t>
  </si>
  <si>
    <t>Puebla</t>
  </si>
  <si>
    <t>Guerrero</t>
  </si>
  <si>
    <t>Ciudad de México</t>
  </si>
  <si>
    <t>Veracruz</t>
  </si>
  <si>
    <t>Chiapas</t>
  </si>
  <si>
    <t>Tabasco</t>
  </si>
  <si>
    <t>Porcentaje de Matrículas</t>
  </si>
  <si>
    <t>Número de Matrículas</t>
  </si>
  <si>
    <t>Estado de Origen</t>
  </si>
  <si>
    <t>Atzalan</t>
  </si>
  <si>
    <t>Huimanguillo</t>
  </si>
  <si>
    <t>Cárdenas</t>
  </si>
  <si>
    <t>Atlixtac</t>
  </si>
  <si>
    <t>Las Margaritas</t>
  </si>
  <si>
    <t>Municipio Origen</t>
  </si>
  <si>
    <t>Preparatoria con certificado</t>
  </si>
  <si>
    <t>Preparatoria sin certificado</t>
  </si>
  <si>
    <t>Secundaria con certificado</t>
  </si>
  <si>
    <t>3° Secundaria</t>
  </si>
  <si>
    <t>Primaria con certificado</t>
  </si>
  <si>
    <t>6° Primaria</t>
  </si>
  <si>
    <t>5° Primaria</t>
  </si>
  <si>
    <t>Nivel de Estudios</t>
  </si>
  <si>
    <t>MATRÍCULAS CONSULARES EXPEDIDAS EN EL ESTADO DE VERMONT EN EE.UU. POR NIVEL DE EDUCACIÓN</t>
  </si>
  <si>
    <t>TOTAL</t>
  </si>
  <si>
    <t>MUJER</t>
  </si>
  <si>
    <t>HOMBRE</t>
  </si>
  <si>
    <t>Género</t>
  </si>
  <si>
    <t>Mujer</t>
  </si>
  <si>
    <t>Hombre</t>
  </si>
  <si>
    <t>Entre 40 y 49 Años</t>
  </si>
  <si>
    <t>Entre 29 y 39 Años</t>
  </si>
  <si>
    <t>Entre 18 y 28 Años</t>
  </si>
  <si>
    <t>Edad cumplida</t>
  </si>
  <si>
    <t>Obrero(a)</t>
  </si>
  <si>
    <t>Hogar</t>
  </si>
  <si>
    <t>Campesino(a)</t>
  </si>
  <si>
    <t>Empleado(a)</t>
  </si>
  <si>
    <t>Ocupación</t>
  </si>
  <si>
    <t xml:space="preserve">Da clic al texto para ir a la información, selecciona                 para regresar. </t>
  </si>
  <si>
    <t>1. Por Estados de la República Mexicana</t>
  </si>
  <si>
    <t>2. Por Municipio de origen</t>
  </si>
  <si>
    <t>2.1 Por estado de la República Mexicana y municipio de origen</t>
  </si>
  <si>
    <t>3. Por Nivel Educativo</t>
  </si>
  <si>
    <t>3.1 Educación general</t>
  </si>
  <si>
    <t>3.2 Por Estado de la República Mexicana</t>
  </si>
  <si>
    <t>4. Por Género</t>
  </si>
  <si>
    <t>4.1 Género General</t>
  </si>
  <si>
    <t>4.2 Por Estados de la República Mexicana</t>
  </si>
  <si>
    <t>5. Por estructura de Edad</t>
  </si>
  <si>
    <t>6. Por Ocupación</t>
  </si>
  <si>
    <t>Matrículas consulares expedidas a mexicanos  en el estado de Vermont en el 2020</t>
  </si>
  <si>
    <t>MATRÍCULAS CONSULARES DE ALTA SEGURIDAD EXPEDIDAS EN EL ESTADO DE VERMONT EN EE.UU. POR ESTADO DE LA REPÚBLICA MEXICANA DURANTE EL 2020</t>
  </si>
  <si>
    <t>Coahuila</t>
  </si>
  <si>
    <t>Tamaño de la muestra: 497,795</t>
  </si>
  <si>
    <t>Octubre de 2021</t>
  </si>
  <si>
    <t>Altamirano</t>
  </si>
  <si>
    <t>San Pedro</t>
  </si>
  <si>
    <t>Comala</t>
  </si>
  <si>
    <t>Iztapalapa</t>
  </si>
  <si>
    <t>Guerero</t>
  </si>
  <si>
    <t>Arcelia</t>
  </si>
  <si>
    <t>Metlatónoc</t>
  </si>
  <si>
    <t>Pantepec</t>
  </si>
  <si>
    <t>Teziutlán</t>
  </si>
  <si>
    <t>1° Año de profesional</t>
  </si>
  <si>
    <t>Profesional pasante</t>
  </si>
  <si>
    <t xml:space="preserve">                                                                 </t>
  </si>
  <si>
    <t>MATRÍCULAS CONSULARES DE ALTA SEGURIDAD EXPEDIDAS EN EE.UU A MEXICANOS EN EL ESTADO DE VERMONT, POR GÉNERO 2020</t>
  </si>
  <si>
    <t>MATRÍCULAS CONSULARES DE ALTA SEGURIDAD EXPEDIDAS EN EE.UU A MEXICANOS EN EL ESTADO DE  VERMONT, POR PERFIL OCUPACIONAL 2020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</si>
</sst>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#.0%"/>
    <numFmt numFmtId="165" formatCode="0.0%"/>
    <numFmt numFmtId="166" formatCode="#,###"/>
  </numFmts>
  <fonts count="2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8"/>
      <color indexed="8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b/>
      <sz val="9"/>
      <color indexed="9"/>
      <name val="Montserrat"/>
    </font>
    <font>
      <b/>
      <sz val="11"/>
      <name val="Arial Narrow"/>
      <family val="2"/>
    </font>
    <font>
      <b/>
      <sz val="12"/>
      <color theme="0"/>
      <name val="Montserrat"/>
    </font>
    <font>
      <sz val="11"/>
      <color theme="1"/>
      <name val="Montserrat"/>
    </font>
    <font>
      <sz val="12"/>
      <color theme="1"/>
      <name val="Montserrat"/>
    </font>
    <font>
      <u/>
      <sz val="11"/>
      <color theme="10"/>
      <name val="Calibri"/>
      <family val="2"/>
      <scheme val="minor"/>
    </font>
    <font>
      <u/>
      <sz val="12"/>
      <color theme="10"/>
      <name val="Montserrat"/>
    </font>
  </fonts>
  <fills count="7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2" fillId="0" borderId="0"/>
    <xf numFmtId="0" fontId="3" fillId="0" borderId="0"/>
    <xf numFmtId="0" fontId="22" fillId="0" borderId="0" applyNumberFormat="0" applyFill="0" applyBorder="0" applyAlignment="0" applyProtection="0"/>
  </cellStyleXfs>
  <cellXfs count="79">
    <xf numFmtId="0" fontId="0" fillId="0" borderId="0" xfId="0"/>
    <xf numFmtId="0" fontId="0" fillId="3" borderId="0" xfId="0" applyFont="1" applyFill="1"/>
    <xf numFmtId="3" fontId="0" fillId="3" borderId="0" xfId="0" applyNumberFormat="1" applyFont="1" applyFill="1"/>
    <xf numFmtId="0" fontId="4" fillId="3" borderId="0" xfId="0" applyFont="1" applyFill="1"/>
    <xf numFmtId="0" fontId="4" fillId="3" borderId="0" xfId="0" applyFont="1" applyFill="1" applyAlignment="1">
      <alignment vertical="top"/>
    </xf>
    <xf numFmtId="0" fontId="4" fillId="3" borderId="0" xfId="0" applyFont="1" applyFill="1" applyAlignment="1">
      <alignment vertical="center"/>
    </xf>
    <xf numFmtId="164" fontId="5" fillId="4" borderId="1" xfId="0" applyNumberFormat="1" applyFont="1" applyFill="1" applyBorder="1" applyAlignment="1">
      <alignment horizontal="right" vertical="top" wrapText="1"/>
    </xf>
    <xf numFmtId="3" fontId="5" fillId="4" borderId="1" xfId="0" applyNumberFormat="1" applyFont="1" applyFill="1" applyBorder="1" applyAlignment="1">
      <alignment horizontal="right" vertical="top" wrapText="1"/>
    </xf>
    <xf numFmtId="49" fontId="5" fillId="4" borderId="1" xfId="0" applyNumberFormat="1" applyFont="1" applyFill="1" applyBorder="1" applyAlignment="1">
      <alignment vertical="top" wrapText="1"/>
    </xf>
    <xf numFmtId="164" fontId="6" fillId="3" borderId="1" xfId="0" applyNumberFormat="1" applyFont="1" applyFill="1" applyBorder="1" applyAlignment="1">
      <alignment horizontal="right" vertical="top" wrapText="1"/>
    </xf>
    <xf numFmtId="3" fontId="6" fillId="3" borderId="1" xfId="0" applyNumberFormat="1" applyFont="1" applyFill="1" applyBorder="1" applyAlignment="1">
      <alignment horizontal="right" vertical="top" wrapText="1"/>
    </xf>
    <xf numFmtId="49" fontId="7" fillId="3" borderId="1" xfId="0" applyNumberFormat="1" applyFont="1" applyFill="1" applyBorder="1" applyAlignment="1">
      <alignment vertical="top" wrapText="1"/>
    </xf>
    <xf numFmtId="0" fontId="8" fillId="3" borderId="0" xfId="0" applyFont="1" applyFill="1"/>
    <xf numFmtId="0" fontId="9" fillId="0" borderId="0" xfId="0" applyFont="1"/>
    <xf numFmtId="0" fontId="5" fillId="2" borderId="2" xfId="0" applyFont="1" applyFill="1" applyBorder="1" applyAlignment="1">
      <alignment horizontal="center" vertical="center" wrapText="1"/>
    </xf>
    <xf numFmtId="1" fontId="5" fillId="2" borderId="2" xfId="0" applyNumberFormat="1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center" vertical="center" wrapText="1"/>
    </xf>
    <xf numFmtId="0" fontId="10" fillId="0" borderId="0" xfId="0" applyFont="1" applyBorder="1" applyAlignment="1">
      <alignment horizontal="center" vertical="center" wrapText="1"/>
    </xf>
    <xf numFmtId="3" fontId="9" fillId="0" borderId="0" xfId="0" applyNumberFormat="1" applyFont="1"/>
    <xf numFmtId="1" fontId="9" fillId="0" borderId="0" xfId="0" applyNumberFormat="1" applyFont="1"/>
    <xf numFmtId="0" fontId="12" fillId="3" borderId="0" xfId="0" applyFont="1" applyFill="1"/>
    <xf numFmtId="0" fontId="13" fillId="3" borderId="0" xfId="0" applyFont="1" applyFill="1"/>
    <xf numFmtId="0" fontId="14" fillId="0" borderId="0" xfId="0" applyFont="1" applyBorder="1"/>
    <xf numFmtId="0" fontId="14" fillId="0" borderId="0" xfId="0" applyFont="1" applyBorder="1" applyAlignment="1">
      <alignment vertical="top"/>
    </xf>
    <xf numFmtId="164" fontId="5" fillId="5" borderId="1" xfId="0" applyNumberFormat="1" applyFont="1" applyFill="1" applyBorder="1" applyAlignment="1">
      <alignment horizontal="right" vertical="center" wrapText="1"/>
    </xf>
    <xf numFmtId="3" fontId="5" fillId="5" borderId="1" xfId="0" applyNumberFormat="1" applyFont="1" applyFill="1" applyBorder="1" applyAlignment="1">
      <alignment horizontal="right" vertical="center" wrapText="1"/>
    </xf>
    <xf numFmtId="165" fontId="5" fillId="6" borderId="1" xfId="1" applyNumberFormat="1" applyFont="1" applyFill="1" applyBorder="1" applyAlignment="1">
      <alignment vertical="center" wrapText="1"/>
    </xf>
    <xf numFmtId="3" fontId="5" fillId="6" borderId="1" xfId="2" applyNumberFormat="1" applyFont="1" applyFill="1" applyBorder="1" applyAlignment="1">
      <alignment horizontal="right" vertical="center" wrapText="1"/>
    </xf>
    <xf numFmtId="49" fontId="5" fillId="6" borderId="1" xfId="2" applyNumberFormat="1" applyFont="1" applyFill="1" applyBorder="1" applyAlignment="1">
      <alignment vertical="center" wrapText="1"/>
    </xf>
    <xf numFmtId="164" fontId="15" fillId="3" borderId="1" xfId="2" applyNumberFormat="1" applyFont="1" applyFill="1" applyBorder="1" applyAlignment="1">
      <alignment horizontal="right" vertical="center" wrapText="1"/>
    </xf>
    <xf numFmtId="166" fontId="15" fillId="3" borderId="1" xfId="2" applyNumberFormat="1" applyFont="1" applyFill="1" applyBorder="1" applyAlignment="1">
      <alignment horizontal="right" vertical="center" wrapText="1"/>
    </xf>
    <xf numFmtId="49" fontId="15" fillId="3" borderId="1" xfId="2" applyNumberFormat="1" applyFont="1" applyFill="1" applyBorder="1" applyAlignment="1">
      <alignment vertical="center" wrapText="1"/>
    </xf>
    <xf numFmtId="0" fontId="16" fillId="3" borderId="0" xfId="0" applyFont="1" applyFill="1"/>
    <xf numFmtId="0" fontId="17" fillId="2" borderId="2" xfId="3" applyFont="1" applyFill="1" applyBorder="1" applyAlignment="1">
      <alignment horizontal="center" vertical="center" wrapText="1"/>
    </xf>
    <xf numFmtId="1" fontId="17" fillId="2" borderId="2" xfId="3" applyNumberFormat="1" applyFont="1" applyFill="1" applyBorder="1" applyAlignment="1">
      <alignment horizontal="center" vertical="center" wrapText="1"/>
    </xf>
    <xf numFmtId="0" fontId="5" fillId="2" borderId="2" xfId="3" applyFont="1" applyFill="1" applyBorder="1" applyAlignment="1">
      <alignment horizontal="center" vertical="center" wrapText="1"/>
    </xf>
    <xf numFmtId="0" fontId="9" fillId="3" borderId="0" xfId="0" applyFont="1" applyFill="1"/>
    <xf numFmtId="0" fontId="18" fillId="3" borderId="0" xfId="0" applyFont="1" applyFill="1" applyAlignment="1"/>
    <xf numFmtId="0" fontId="16" fillId="3" borderId="0" xfId="0" applyFont="1" applyFill="1" applyAlignment="1">
      <alignment vertical="center"/>
    </xf>
    <xf numFmtId="0" fontId="9" fillId="3" borderId="0" xfId="0" applyFont="1" applyFill="1" applyBorder="1"/>
    <xf numFmtId="3" fontId="9" fillId="3" borderId="0" xfId="0" applyNumberFormat="1" applyFont="1" applyFill="1" applyBorder="1"/>
    <xf numFmtId="1" fontId="9" fillId="3" borderId="0" xfId="0" applyNumberFormat="1" applyFont="1" applyFill="1" applyBorder="1"/>
    <xf numFmtId="0" fontId="16" fillId="3" borderId="0" xfId="0" applyFont="1" applyFill="1" applyBorder="1"/>
    <xf numFmtId="0" fontId="16" fillId="3" borderId="0" xfId="0" applyFont="1" applyFill="1" applyBorder="1" applyAlignment="1">
      <alignment vertical="center"/>
    </xf>
    <xf numFmtId="0" fontId="14" fillId="0" borderId="0" xfId="0" applyFont="1" applyAlignment="1">
      <alignment vertical="top"/>
    </xf>
    <xf numFmtId="3" fontId="8" fillId="3" borderId="0" xfId="0" applyNumberFormat="1" applyFont="1" applyFill="1"/>
    <xf numFmtId="0" fontId="20" fillId="0" borderId="0" xfId="0" applyFont="1"/>
    <xf numFmtId="0" fontId="21" fillId="0" borderId="11" xfId="0" applyFont="1" applyBorder="1" applyAlignment="1">
      <alignment horizontal="left"/>
    </xf>
    <xf numFmtId="0" fontId="21" fillId="0" borderId="0" xfId="0" applyFont="1" applyBorder="1" applyAlignment="1">
      <alignment horizontal="left"/>
    </xf>
    <xf numFmtId="0" fontId="21" fillId="0" borderId="12" xfId="0" applyFont="1" applyBorder="1" applyAlignment="1">
      <alignment horizontal="left"/>
    </xf>
    <xf numFmtId="0" fontId="21" fillId="0" borderId="11" xfId="0" applyFont="1" applyBorder="1" applyAlignment="1">
      <alignment horizontal="left" wrapText="1"/>
    </xf>
    <xf numFmtId="0" fontId="21" fillId="0" borderId="0" xfId="0" applyFont="1" applyBorder="1" applyAlignment="1">
      <alignment horizontal="left" wrapText="1"/>
    </xf>
    <xf numFmtId="0" fontId="21" fillId="0" borderId="12" xfId="0" applyFont="1" applyBorder="1" applyAlignment="1">
      <alignment horizontal="left" wrapText="1"/>
    </xf>
    <xf numFmtId="0" fontId="21" fillId="0" borderId="11" xfId="0" applyFont="1" applyBorder="1" applyAlignment="1"/>
    <xf numFmtId="0" fontId="21" fillId="0" borderId="0" xfId="0" applyFont="1" applyBorder="1" applyAlignment="1"/>
    <xf numFmtId="0" fontId="21" fillId="0" borderId="12" xfId="0" applyFont="1" applyBorder="1" applyAlignment="1"/>
    <xf numFmtId="0" fontId="21" fillId="0" borderId="11" xfId="0" applyFont="1" applyBorder="1"/>
    <xf numFmtId="0" fontId="21" fillId="0" borderId="0" xfId="0" applyFont="1" applyBorder="1"/>
    <xf numFmtId="0" fontId="21" fillId="0" borderId="12" xfId="0" applyFont="1" applyBorder="1"/>
    <xf numFmtId="0" fontId="21" fillId="0" borderId="13" xfId="0" applyFont="1" applyBorder="1"/>
    <xf numFmtId="0" fontId="21" fillId="0" borderId="14" xfId="0" applyFont="1" applyBorder="1"/>
    <xf numFmtId="0" fontId="21" fillId="0" borderId="15" xfId="0" applyFont="1" applyBorder="1"/>
    <xf numFmtId="0" fontId="21" fillId="0" borderId="0" xfId="0" applyFont="1"/>
    <xf numFmtId="0" fontId="23" fillId="0" borderId="0" xfId="4" applyFont="1" applyBorder="1" applyAlignment="1">
      <alignment horizontal="left"/>
    </xf>
    <xf numFmtId="0" fontId="23" fillId="0" borderId="12" xfId="4" applyFont="1" applyBorder="1" applyAlignment="1">
      <alignment horizontal="left"/>
    </xf>
    <xf numFmtId="0" fontId="23" fillId="0" borderId="11" xfId="4" applyFont="1" applyBorder="1" applyAlignment="1">
      <alignment horizontal="left"/>
    </xf>
    <xf numFmtId="0" fontId="19" fillId="2" borderId="8" xfId="0" applyFont="1" applyFill="1" applyBorder="1" applyAlignment="1">
      <alignment horizontal="center" wrapText="1"/>
    </xf>
    <xf numFmtId="0" fontId="19" fillId="2" borderId="9" xfId="0" applyFont="1" applyFill="1" applyBorder="1" applyAlignment="1">
      <alignment horizontal="center" wrapText="1"/>
    </xf>
    <xf numFmtId="0" fontId="19" fillId="2" borderId="10" xfId="0" applyFont="1" applyFill="1" applyBorder="1" applyAlignment="1">
      <alignment horizontal="center" wrapText="1"/>
    </xf>
    <xf numFmtId="0" fontId="21" fillId="0" borderId="11" xfId="0" applyFont="1" applyBorder="1" applyAlignment="1">
      <alignment horizontal="left" wrapText="1"/>
    </xf>
    <xf numFmtId="0" fontId="21" fillId="0" borderId="0" xfId="0" applyFont="1" applyBorder="1" applyAlignment="1">
      <alignment horizontal="left" wrapText="1"/>
    </xf>
    <xf numFmtId="0" fontId="21" fillId="0" borderId="12" xfId="0" applyFont="1" applyBorder="1" applyAlignment="1">
      <alignment horizontal="left" wrapText="1"/>
    </xf>
    <xf numFmtId="0" fontId="11" fillId="0" borderId="0" xfId="0" applyFont="1" applyBorder="1" applyAlignment="1">
      <alignment horizontal="center" vertical="center" wrapText="1"/>
    </xf>
    <xf numFmtId="0" fontId="8" fillId="3" borderId="0" xfId="0" applyFont="1" applyFill="1" applyAlignment="1">
      <alignment horizontal="center" wrapText="1"/>
    </xf>
    <xf numFmtId="49" fontId="15" fillId="3" borderId="2" xfId="2" applyNumberFormat="1" applyFont="1" applyFill="1" applyBorder="1" applyAlignment="1">
      <alignment horizontal="center" vertical="center" wrapText="1"/>
    </xf>
    <xf numFmtId="49" fontId="15" fillId="3" borderId="7" xfId="2" applyNumberFormat="1" applyFont="1" applyFill="1" applyBorder="1" applyAlignment="1">
      <alignment horizontal="center" vertical="center" wrapText="1"/>
    </xf>
    <xf numFmtId="49" fontId="15" fillId="3" borderId="6" xfId="2" applyNumberFormat="1" applyFont="1" applyFill="1" applyBorder="1" applyAlignment="1">
      <alignment horizontal="center" vertical="center" wrapText="1"/>
    </xf>
    <xf numFmtId="49" fontId="5" fillId="5" borderId="5" xfId="0" applyNumberFormat="1" applyFont="1" applyFill="1" applyBorder="1" applyAlignment="1">
      <alignment horizontal="center" vertical="center" wrapText="1"/>
    </xf>
    <xf numFmtId="49" fontId="5" fillId="5" borderId="4" xfId="0" applyNumberFormat="1" applyFont="1" applyFill="1" applyBorder="1" applyAlignment="1">
      <alignment horizontal="center" vertical="center" wrapText="1"/>
    </xf>
  </cellXfs>
  <cellStyles count="5">
    <cellStyle name="Hipervínculo" xfId="4" builtinId="8"/>
    <cellStyle name="Normal" xfId="0" builtinId="0"/>
    <cellStyle name="Normal 2" xfId="2"/>
    <cellStyle name="Normal_Hoja1" xfId="3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276171</xdr:colOff>
      <xdr:row>2</xdr:row>
      <xdr:rowOff>19379</xdr:rowOff>
    </xdr:from>
    <xdr:to>
      <xdr:col>3</xdr:col>
      <xdr:colOff>788268</xdr:colOff>
      <xdr:row>3</xdr:row>
      <xdr:rowOff>19380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600396" y="743279"/>
          <a:ext cx="512097" cy="180976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INICIOccccccc</a:t>
          </a:r>
        </a:p>
      </xdr:txBody>
    </xdr:sp>
    <xdr:clientData/>
  </xdr:twoCellAnchor>
  <xdr:oneCellAnchor>
    <xdr:from>
      <xdr:col>2</xdr:col>
      <xdr:colOff>1143000</xdr:colOff>
      <xdr:row>15</xdr:row>
      <xdr:rowOff>123265</xdr:rowOff>
    </xdr:from>
    <xdr:ext cx="184731" cy="264560"/>
    <xdr:sp macro="" textlink="">
      <xdr:nvSpPr>
        <xdr:cNvPr id="3" name="2 CuadroTexto"/>
        <xdr:cNvSpPr txBox="1"/>
      </xdr:nvSpPr>
      <xdr:spPr>
        <a:xfrm>
          <a:off x="2819400" y="330461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 sz="1100"/>
        </a:p>
      </xdr:txBody>
    </xdr:sp>
    <xdr:clientData/>
  </xdr:oneCellAnchor>
  <xdr:oneCellAnchor>
    <xdr:from>
      <xdr:col>0</xdr:col>
      <xdr:colOff>67235</xdr:colOff>
      <xdr:row>0</xdr:row>
      <xdr:rowOff>280147</xdr:rowOff>
    </xdr:from>
    <xdr:ext cx="184731" cy="264560"/>
    <xdr:sp macro="" textlink="">
      <xdr:nvSpPr>
        <xdr:cNvPr id="4" name="3 CuadroTexto"/>
        <xdr:cNvSpPr txBox="1"/>
      </xdr:nvSpPr>
      <xdr:spPr>
        <a:xfrm>
          <a:off x="67235" y="28014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 sz="1100"/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VERMONT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171450</xdr:colOff>
      <xdr:row>8</xdr:row>
      <xdr:rowOff>104775</xdr:rowOff>
    </xdr:from>
    <xdr:to>
      <xdr:col>5</xdr:col>
      <xdr:colOff>64422</xdr:colOff>
      <xdr:row>8</xdr:row>
      <xdr:rowOff>284070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00575" y="1819275"/>
          <a:ext cx="512097" cy="17929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INICIOccccccc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="" xmlns:a16="http://schemas.microsoft.com/office/drawing/2014/main" id="{00000000-0008-0000-0A00-000003000000}"/>
            </a:ext>
          </a:extLst>
        </xdr:cNvPr>
        <xdr:cNvSpPr txBox="1"/>
      </xdr:nvSpPr>
      <xdr:spPr>
        <a:xfrm>
          <a:off x="37599" y="1368090"/>
          <a:ext cx="5703971" cy="66324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EL ESTADO DE VERMONT DE EE.UU. POR ESTADO Y MUNICIPIO DE LA REPÚBLICA MEXICANA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="" xmlns:a16="http://schemas.microsoft.com/office/drawing/2014/main" id="{00000000-0008-0000-0A00-000007000000}"/>
            </a:ext>
          </a:extLst>
        </xdr:cNvPr>
        <xdr:cNvSpPr txBox="1"/>
      </xdr:nvSpPr>
      <xdr:spPr>
        <a:xfrm>
          <a:off x="57978" y="41414"/>
          <a:ext cx="5657435" cy="10774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VERMONT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28403" y="2028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465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518948</xdr:colOff>
      <xdr:row>7</xdr:row>
      <xdr:rowOff>131379</xdr:rowOff>
    </xdr:from>
    <xdr:to>
      <xdr:col>4</xdr:col>
      <xdr:colOff>1005052</xdr:colOff>
      <xdr:row>7</xdr:row>
      <xdr:rowOff>310674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56638" y="1872155"/>
          <a:ext cx="486104" cy="17929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VERMONT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0</xdr:colOff>
      <xdr:row>8</xdr:row>
      <xdr:rowOff>114300</xdr:rowOff>
    </xdr:from>
    <xdr:to>
      <xdr:col>4</xdr:col>
      <xdr:colOff>512097</xdr:colOff>
      <xdr:row>8</xdr:row>
      <xdr:rowOff>293595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019675" y="1828800"/>
          <a:ext cx="512097" cy="17929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INICIOccccccc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="" xmlns:a16="http://schemas.microsoft.com/office/drawing/2014/main" id="{00000000-0008-0000-0A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EE.UU A MEXICANOS EN EL ESTADO DE  VERMONT, POR NIVEL DE EDUCACIÓN Y ESTADO DE LA REPÚBLICA, DURANTE EL 2020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="" xmlns:a16="http://schemas.microsoft.com/office/drawing/2014/main" id="{00000000-0008-0000-0A00-000007000000}"/>
            </a:ext>
          </a:extLst>
        </xdr:cNvPr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VERMONT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525517</xdr:colOff>
      <xdr:row>7</xdr:row>
      <xdr:rowOff>177362</xdr:rowOff>
    </xdr:from>
    <xdr:to>
      <xdr:col>4</xdr:col>
      <xdr:colOff>1037614</xdr:colOff>
      <xdr:row>7</xdr:row>
      <xdr:rowOff>367863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63207" y="1918138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VERMONT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95250</xdr:colOff>
      <xdr:row>8</xdr:row>
      <xdr:rowOff>76200</xdr:rowOff>
    </xdr:from>
    <xdr:to>
      <xdr:col>4</xdr:col>
      <xdr:colOff>607347</xdr:colOff>
      <xdr:row>8</xdr:row>
      <xdr:rowOff>255495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24375" y="1790700"/>
          <a:ext cx="512097" cy="17929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INICIOccccccc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="" xmlns:a16="http://schemas.microsoft.com/office/drawing/2014/main" id="{00000000-0008-0000-0A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EE.UU A MEXICANOS EN EL ESTADO DE VERMONT, POR ESTADO DE LA REPÚBLICA MEXICANA Y GÉNERO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="" xmlns:a16="http://schemas.microsoft.com/office/drawing/2014/main" id="{00000000-0008-0000-0A00-000007000000}"/>
            </a:ext>
          </a:extLst>
        </xdr:cNvPr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VERMONT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610914</xdr:colOff>
      <xdr:row>7</xdr:row>
      <xdr:rowOff>144517</xdr:rowOff>
    </xdr:from>
    <xdr:to>
      <xdr:col>4</xdr:col>
      <xdr:colOff>1123011</xdr:colOff>
      <xdr:row>7</xdr:row>
      <xdr:rowOff>323812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248604" y="1885293"/>
          <a:ext cx="512097" cy="17929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INICIOccccccc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="" xmlns:a16="http://schemas.microsoft.com/office/drawing/2014/main" id="{00000000-0008-0000-0A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EE.UU A MEXICANOS EN EL ESTADO DE VERMONT, POR GÉNERO Y RANGO DE EDAD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="" xmlns:a16="http://schemas.microsoft.com/office/drawing/2014/main" id="{00000000-0008-0000-0A00-000007000000}"/>
            </a:ext>
          </a:extLst>
        </xdr:cNvPr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VERMONT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459827</xdr:colOff>
      <xdr:row>7</xdr:row>
      <xdr:rowOff>144517</xdr:rowOff>
    </xdr:from>
    <xdr:to>
      <xdr:col>4</xdr:col>
      <xdr:colOff>971924</xdr:colOff>
      <xdr:row>7</xdr:row>
      <xdr:rowOff>323812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097517" y="1885293"/>
          <a:ext cx="512097" cy="17929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INICIOccccccc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VERMONT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0</xdr:colOff>
      <xdr:row>8</xdr:row>
      <xdr:rowOff>0</xdr:rowOff>
    </xdr:from>
    <xdr:to>
      <xdr:col>4</xdr:col>
      <xdr:colOff>512097</xdr:colOff>
      <xdr:row>8</xdr:row>
      <xdr:rowOff>179295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4429125" y="1714500"/>
          <a:ext cx="512097" cy="17929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INICIOccccccc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Views>
    <sheetView showGridLines="0" view="pageBreakPreview" zoomScaleNormal="100" zoomScaleSheetLayoutView="100" workbookViewId="0">
      <selection activeCell="A6" sqref="A6:D6"/>
    </sheetView>
  </sheetViews>
  <sheetFormatPr baseColWidth="10" defaultColWidth="11.42578125" defaultRowHeight="18"/>
  <cols>
    <col min="1" max="1" width="5.140625" style="46" customWidth="1"/>
    <col min="2" max="2" width="20" style="46" customWidth="1"/>
    <col min="3" max="3" width="24.7109375" style="46" customWidth="1"/>
    <col min="4" max="4" width="28.85546875" style="46" customWidth="1"/>
    <col min="5" max="16384" width="11.42578125" style="46"/>
  </cols>
  <sheetData>
    <row r="1" spans="1:4" ht="42" customHeight="1" thickBot="1">
      <c r="A1" s="66" t="s">
        <v>56</v>
      </c>
      <c r="B1" s="67"/>
      <c r="C1" s="67"/>
      <c r="D1" s="68"/>
    </row>
    <row r="2" spans="1:4" ht="18.75">
      <c r="A2" s="47"/>
      <c r="B2" s="48"/>
      <c r="C2" s="48"/>
      <c r="D2" s="49"/>
    </row>
    <row r="3" spans="1:4">
      <c r="A3" s="69" t="s">
        <v>44</v>
      </c>
      <c r="B3" s="70"/>
      <c r="C3" s="70"/>
      <c r="D3" s="71"/>
    </row>
    <row r="4" spans="1:4">
      <c r="A4" s="69"/>
      <c r="B4" s="70"/>
      <c r="C4" s="70"/>
      <c r="D4" s="71"/>
    </row>
    <row r="5" spans="1:4" ht="18.75">
      <c r="A5" s="50"/>
      <c r="B5" s="51"/>
      <c r="C5" s="51"/>
      <c r="D5" s="52"/>
    </row>
    <row r="6" spans="1:4" ht="18.75">
      <c r="A6" s="65" t="s">
        <v>45</v>
      </c>
      <c r="B6" s="63"/>
      <c r="C6" s="63"/>
      <c r="D6" s="64"/>
    </row>
    <row r="7" spans="1:4" ht="18.75">
      <c r="A7" s="53"/>
      <c r="B7" s="54"/>
      <c r="C7" s="54"/>
      <c r="D7" s="55"/>
    </row>
    <row r="8" spans="1:4" ht="18.75">
      <c r="A8" s="56" t="s">
        <v>46</v>
      </c>
      <c r="B8" s="57"/>
      <c r="C8" s="57"/>
      <c r="D8" s="58"/>
    </row>
    <row r="9" spans="1:4" ht="18.75">
      <c r="A9" s="56"/>
      <c r="B9" s="63" t="s">
        <v>47</v>
      </c>
      <c r="C9" s="63"/>
      <c r="D9" s="64"/>
    </row>
    <row r="10" spans="1:4" ht="18.75">
      <c r="A10" s="56" t="s">
        <v>48</v>
      </c>
      <c r="B10" s="57"/>
      <c r="C10" s="57"/>
      <c r="D10" s="58"/>
    </row>
    <row r="11" spans="1:4" ht="18.75">
      <c r="A11" s="56"/>
      <c r="B11" s="63" t="s">
        <v>49</v>
      </c>
      <c r="C11" s="63"/>
      <c r="D11" s="64"/>
    </row>
    <row r="12" spans="1:4" ht="18.75">
      <c r="A12" s="56"/>
      <c r="B12" s="63" t="s">
        <v>50</v>
      </c>
      <c r="C12" s="63"/>
      <c r="D12" s="64"/>
    </row>
    <row r="13" spans="1:4" ht="18.75">
      <c r="A13" s="56"/>
      <c r="B13" s="57"/>
      <c r="C13" s="57"/>
      <c r="D13" s="58"/>
    </row>
    <row r="14" spans="1:4" ht="18.75">
      <c r="A14" s="56" t="s">
        <v>51</v>
      </c>
      <c r="B14" s="57"/>
      <c r="C14" s="57"/>
      <c r="D14" s="58"/>
    </row>
    <row r="15" spans="1:4" ht="18.75">
      <c r="A15" s="56"/>
      <c r="B15" s="63" t="s">
        <v>52</v>
      </c>
      <c r="C15" s="63"/>
      <c r="D15" s="64"/>
    </row>
    <row r="16" spans="1:4" ht="18.75">
      <c r="A16" s="56"/>
      <c r="B16" s="63" t="s">
        <v>53</v>
      </c>
      <c r="C16" s="63"/>
      <c r="D16" s="64"/>
    </row>
    <row r="17" spans="1:4" ht="18.75">
      <c r="A17" s="56"/>
      <c r="B17" s="57"/>
      <c r="C17" s="57"/>
      <c r="D17" s="58"/>
    </row>
    <row r="18" spans="1:4" ht="18.75">
      <c r="A18" s="65" t="s">
        <v>54</v>
      </c>
      <c r="B18" s="63"/>
      <c r="C18" s="63"/>
      <c r="D18" s="64"/>
    </row>
    <row r="19" spans="1:4" ht="18.75">
      <c r="A19" s="56"/>
      <c r="B19" s="57"/>
      <c r="C19" s="57"/>
      <c r="D19" s="58"/>
    </row>
    <row r="20" spans="1:4" ht="18.75">
      <c r="A20" s="65" t="s">
        <v>55</v>
      </c>
      <c r="B20" s="63"/>
      <c r="C20" s="63"/>
      <c r="D20" s="64"/>
    </row>
    <row r="21" spans="1:4" ht="19.5" thickBot="1">
      <c r="A21" s="59"/>
      <c r="B21" s="60"/>
      <c r="C21" s="60"/>
      <c r="D21" s="61"/>
    </row>
    <row r="22" spans="1:4" ht="18.75">
      <c r="A22" s="62"/>
      <c r="B22" s="62"/>
      <c r="C22" s="62"/>
      <c r="D22" s="62"/>
    </row>
  </sheetData>
  <mergeCells count="10">
    <mergeCell ref="B15:D15"/>
    <mergeCell ref="B16:D16"/>
    <mergeCell ref="A18:D18"/>
    <mergeCell ref="A20:D20"/>
    <mergeCell ref="A1:D1"/>
    <mergeCell ref="A3:D4"/>
    <mergeCell ref="A6:D6"/>
    <mergeCell ref="B9:D9"/>
    <mergeCell ref="B11:D11"/>
    <mergeCell ref="B12:D12"/>
  </mergeCells>
  <hyperlinks>
    <hyperlink ref="A6" location="Aguascalientes_EdoUsa!A1" display="1. Por Estados de USA"/>
    <hyperlink ref="B11" location="Aguascalientes_educ_gral!A1" display="4.1 Educación general"/>
    <hyperlink ref="B12" location="Aguascalientes_NivelE_Cons!A1" display="4.2 Por Estado de USA"/>
    <hyperlink ref="B15" location="Aguascalientes_GenGral!A1" display="5.1 Género General"/>
    <hyperlink ref="B16" location="Aguascalientes_GENERO!A1" display="5.3 Por Circunscripción Consular"/>
    <hyperlink ref="A18" location="Aguascalientes_Gen_Edad!A1" display="6. Por estructura de Edad"/>
    <hyperlink ref="A20" location="Aguascalientes_ocup_gral!A1" display="7. Por Ocupación"/>
    <hyperlink ref="A6:D6" location="Vermont_Edomexgral!A1" display="1. Por Estados de la República Mexicana"/>
    <hyperlink ref="B9" location="'New Jersey_EDOMEX'!A1" display="2.1 Por estado de la República Mexicana y municipio de origen"/>
    <hyperlink ref="B11:D11" location="Vermont_Educagral!A1" display="3.1 Educación general"/>
    <hyperlink ref="B12:D12" location="Vermont_Eduedo!A1" display="3.2 Por Estado de la República Mexicana"/>
    <hyperlink ref="B15:D15" location="Vermont_gengral!A1" display="4.1 Género General"/>
    <hyperlink ref="B16:D16" location="Vermont_edomexgen!A1" display="4.2 Por Estados de la República Mexicana"/>
    <hyperlink ref="A18:D18" location="Vermont_edadgen!A1" display="5. Por estructura de Edad"/>
    <hyperlink ref="A20:D20" location="Vermont_ocupgral!A1" display="6. Por Ocupación"/>
    <hyperlink ref="B9:D9" location="Vermont_EDOMEX!A1" display="2.1 Por estado de la República Mexicana y municipio de orige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  <pageSetUpPr fitToPage="1"/>
  </sheetPr>
  <dimension ref="A1:E26"/>
  <sheetViews>
    <sheetView showGridLines="0" zoomScaleNormal="100" zoomScaleSheetLayoutView="115" workbookViewId="0">
      <selection activeCell="D26" sqref="D26"/>
    </sheetView>
  </sheetViews>
  <sheetFormatPr baseColWidth="10" defaultColWidth="11.42578125" defaultRowHeight="1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1:5" s="13" customFormat="1" ht="15" customHeight="1">
      <c r="C1" s="19"/>
    </row>
    <row r="2" spans="1:5" s="13" customFormat="1" ht="15" customHeight="1">
      <c r="C2" s="19"/>
    </row>
    <row r="3" spans="1:5" s="13" customFormat="1" ht="15" customHeight="1">
      <c r="C3" s="19"/>
    </row>
    <row r="4" spans="1:5" s="13" customFormat="1" ht="30" customHeight="1">
      <c r="C4" s="19"/>
      <c r="D4" s="18"/>
    </row>
    <row r="5" spans="1:5" s="13" customFormat="1" ht="15" customHeight="1">
      <c r="C5" s="19"/>
      <c r="D5" s="18"/>
    </row>
    <row r="6" spans="1:5" s="13" customFormat="1" ht="15" customHeight="1">
      <c r="C6" s="19"/>
      <c r="D6" s="18"/>
    </row>
    <row r="7" spans="1:5" s="13" customFormat="1" ht="15" customHeight="1">
      <c r="B7" s="72" t="s">
        <v>57</v>
      </c>
      <c r="C7" s="72"/>
      <c r="D7" s="72"/>
    </row>
    <row r="8" spans="1:5" s="13" customFormat="1" ht="15" customHeight="1">
      <c r="B8" s="72"/>
      <c r="C8" s="72"/>
      <c r="D8" s="72"/>
    </row>
    <row r="9" spans="1:5" s="13" customFormat="1" ht="33" customHeight="1">
      <c r="B9" s="72"/>
      <c r="C9" s="72"/>
      <c r="D9" s="72"/>
    </row>
    <row r="10" spans="1:5" s="13" customFormat="1" ht="4.5" customHeight="1">
      <c r="B10" s="17"/>
      <c r="C10" s="17"/>
      <c r="D10" s="17"/>
    </row>
    <row r="11" spans="1:5" s="13" customFormat="1" ht="33" customHeight="1">
      <c r="B11" s="16" t="s">
        <v>13</v>
      </c>
      <c r="C11" s="15" t="s">
        <v>12</v>
      </c>
      <c r="D11" s="14" t="s">
        <v>11</v>
      </c>
    </row>
    <row r="12" spans="1:5">
      <c r="B12" s="11" t="s">
        <v>9</v>
      </c>
      <c r="C12" s="10">
        <v>8</v>
      </c>
      <c r="D12" s="9">
        <v>0.30769230769230771</v>
      </c>
    </row>
    <row r="13" spans="1:5">
      <c r="B13" s="11" t="s">
        <v>10</v>
      </c>
      <c r="C13" s="10">
        <v>6</v>
      </c>
      <c r="D13" s="9">
        <v>0.23076923076923078</v>
      </c>
    </row>
    <row r="14" spans="1:5">
      <c r="A14" s="12"/>
      <c r="B14" s="11" t="s">
        <v>6</v>
      </c>
      <c r="C14" s="10">
        <v>4</v>
      </c>
      <c r="D14" s="9">
        <v>0.15384615384615385</v>
      </c>
      <c r="E14" s="12"/>
    </row>
    <row r="15" spans="1:5">
      <c r="A15" s="12"/>
      <c r="B15" s="11" t="s">
        <v>5</v>
      </c>
      <c r="C15" s="10">
        <v>4</v>
      </c>
      <c r="D15" s="9">
        <v>0.15384615384615385</v>
      </c>
      <c r="E15" s="12"/>
    </row>
    <row r="16" spans="1:5">
      <c r="B16" s="11" t="s">
        <v>58</v>
      </c>
      <c r="C16" s="10">
        <v>1</v>
      </c>
      <c r="D16" s="9">
        <v>3.8461538461538464E-2</v>
      </c>
    </row>
    <row r="17" spans="2:4">
      <c r="B17" s="11" t="s">
        <v>4</v>
      </c>
      <c r="C17" s="10">
        <v>1</v>
      </c>
      <c r="D17" s="9">
        <v>3.8461538461538464E-2</v>
      </c>
    </row>
    <row r="18" spans="2:4">
      <c r="B18" s="11" t="s">
        <v>7</v>
      </c>
      <c r="C18" s="10">
        <v>1</v>
      </c>
      <c r="D18" s="9">
        <v>3.8461538461538464E-2</v>
      </c>
    </row>
    <row r="19" spans="2:4">
      <c r="B19" s="11" t="s">
        <v>8</v>
      </c>
      <c r="C19" s="10">
        <v>1</v>
      </c>
      <c r="D19" s="9">
        <v>3.8461538461538464E-2</v>
      </c>
    </row>
    <row r="20" spans="2:4">
      <c r="B20" s="8" t="s">
        <v>3</v>
      </c>
      <c r="C20" s="7">
        <v>26</v>
      </c>
      <c r="D20" s="6">
        <v>1</v>
      </c>
    </row>
    <row r="22" spans="2:4">
      <c r="B22" s="3" t="s">
        <v>59</v>
      </c>
      <c r="C22"/>
      <c r="D22"/>
    </row>
    <row r="23" spans="2:4">
      <c r="B23" s="5" t="s">
        <v>2</v>
      </c>
      <c r="C23"/>
      <c r="D23"/>
    </row>
    <row r="24" spans="2:4">
      <c r="B24" s="4" t="s">
        <v>1</v>
      </c>
      <c r="C24"/>
      <c r="D24"/>
    </row>
    <row r="25" spans="2:4">
      <c r="B25" s="3" t="s">
        <v>0</v>
      </c>
      <c r="C25"/>
      <c r="D25"/>
    </row>
    <row r="26" spans="2:4">
      <c r="B26" s="3" t="s">
        <v>60</v>
      </c>
      <c r="C26"/>
      <c r="D2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66" orientation="portrait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F427"/>
  <sheetViews>
    <sheetView topLeftCell="A6" zoomScale="115" zoomScaleNormal="115" zoomScaleSheetLayoutView="100" workbookViewId="0">
      <selection activeCell="C9" sqref="C9"/>
    </sheetView>
  </sheetViews>
  <sheetFormatPr baseColWidth="10" defaultColWidth="35" defaultRowHeight="15" customHeight="1"/>
  <cols>
    <col min="1" max="1" width="1" style="20" customWidth="1"/>
    <col min="2" max="2" width="22.85546875" style="21" customWidth="1"/>
    <col min="3" max="3" width="31.42578125" style="21" customWidth="1"/>
    <col min="4" max="4" width="14.28515625" style="21" customWidth="1"/>
    <col min="5" max="5" width="16.85546875" style="21" customWidth="1"/>
    <col min="6" max="16384" width="35" style="20"/>
  </cols>
  <sheetData>
    <row r="1" spans="1:5" s="39" customFormat="1" ht="12" customHeight="1">
      <c r="B1" s="43"/>
      <c r="C1" s="42"/>
      <c r="D1" s="42"/>
      <c r="E1" s="42"/>
    </row>
    <row r="2" spans="1:5" s="39" customFormat="1" ht="15" customHeight="1">
      <c r="C2" s="41"/>
    </row>
    <row r="3" spans="1:5" s="39" customFormat="1" ht="15" customHeight="1">
      <c r="C3" s="41"/>
    </row>
    <row r="4" spans="1:5" s="39" customFormat="1" ht="30" customHeight="1">
      <c r="C4" s="41"/>
      <c r="D4" s="40"/>
    </row>
    <row r="5" spans="1:5" s="39" customFormat="1" ht="15" customHeight="1">
      <c r="C5" s="41"/>
      <c r="D5" s="40"/>
    </row>
    <row r="6" spans="1:5" s="36" customFormat="1" ht="24" customHeight="1">
      <c r="B6" s="38"/>
      <c r="C6" s="32"/>
      <c r="D6" s="32"/>
      <c r="E6" s="32"/>
    </row>
    <row r="7" spans="1:5" s="36" customFormat="1" ht="26.25" customHeight="1">
      <c r="A7" s="37"/>
      <c r="B7" s="73"/>
      <c r="C7" s="73"/>
      <c r="D7" s="73"/>
      <c r="E7" s="73"/>
    </row>
    <row r="8" spans="1:5" s="36" customFormat="1" ht="33" customHeight="1">
      <c r="A8" s="37"/>
      <c r="B8" s="73"/>
      <c r="C8" s="73"/>
      <c r="D8" s="73"/>
      <c r="E8" s="73"/>
    </row>
    <row r="9" spans="1:5" s="13" customFormat="1" ht="40.5" customHeight="1">
      <c r="B9" s="33" t="s">
        <v>13</v>
      </c>
      <c r="C9" s="35" t="s">
        <v>19</v>
      </c>
      <c r="D9" s="34" t="s">
        <v>12</v>
      </c>
      <c r="E9" s="33" t="s">
        <v>11</v>
      </c>
    </row>
    <row r="10" spans="1:5" ht="15" customHeight="1">
      <c r="B10" s="74" t="s">
        <v>9</v>
      </c>
      <c r="C10" s="31" t="s">
        <v>61</v>
      </c>
      <c r="D10" s="30">
        <v>1</v>
      </c>
      <c r="E10" s="29">
        <v>3.8461538461538464E-2</v>
      </c>
    </row>
    <row r="11" spans="1:5" ht="15" customHeight="1">
      <c r="B11" s="75"/>
      <c r="C11" s="31" t="s">
        <v>18</v>
      </c>
      <c r="D11" s="30">
        <v>7</v>
      </c>
      <c r="E11" s="29">
        <v>0.26923076923076922</v>
      </c>
    </row>
    <row r="12" spans="1:5" ht="15" customHeight="1">
      <c r="B12" s="76"/>
      <c r="C12" s="28" t="s">
        <v>3</v>
      </c>
      <c r="D12" s="27">
        <v>8</v>
      </c>
      <c r="E12" s="26">
        <v>0.30769230769230771</v>
      </c>
    </row>
    <row r="13" spans="1:5" ht="15" customHeight="1">
      <c r="B13" s="74" t="s">
        <v>58</v>
      </c>
      <c r="C13" s="31" t="s">
        <v>62</v>
      </c>
      <c r="D13" s="30">
        <v>1</v>
      </c>
      <c r="E13" s="29">
        <v>3.8461538461538464E-2</v>
      </c>
    </row>
    <row r="14" spans="1:5" ht="15" customHeight="1">
      <c r="B14" s="76"/>
      <c r="C14" s="28" t="s">
        <v>3</v>
      </c>
      <c r="D14" s="27">
        <v>1</v>
      </c>
      <c r="E14" s="26">
        <v>3.8461538461538464E-2</v>
      </c>
    </row>
    <row r="15" spans="1:5" ht="15" customHeight="1">
      <c r="B15" s="74" t="s">
        <v>4</v>
      </c>
      <c r="C15" s="31" t="s">
        <v>63</v>
      </c>
      <c r="D15" s="30">
        <v>1</v>
      </c>
      <c r="E15" s="29">
        <v>3.8461538461538464E-2</v>
      </c>
    </row>
    <row r="16" spans="1:5" ht="15" customHeight="1">
      <c r="B16" s="76"/>
      <c r="C16" s="28" t="s">
        <v>3</v>
      </c>
      <c r="D16" s="27">
        <v>1</v>
      </c>
      <c r="E16" s="26">
        <v>3.8461538461538464E-2</v>
      </c>
    </row>
    <row r="17" spans="2:5" ht="15" customHeight="1">
      <c r="B17" s="74" t="s">
        <v>7</v>
      </c>
      <c r="C17" s="31" t="s">
        <v>64</v>
      </c>
      <c r="D17" s="30">
        <v>1</v>
      </c>
      <c r="E17" s="29">
        <v>3.8461538461538464E-2</v>
      </c>
    </row>
    <row r="18" spans="2:5" ht="15" customHeight="1">
      <c r="B18" s="76"/>
      <c r="C18" s="28" t="s">
        <v>3</v>
      </c>
      <c r="D18" s="27">
        <v>1</v>
      </c>
      <c r="E18" s="26">
        <v>3.8461538461538464E-2</v>
      </c>
    </row>
    <row r="19" spans="2:5" ht="15" customHeight="1">
      <c r="B19" s="74" t="s">
        <v>65</v>
      </c>
      <c r="C19" s="31" t="s">
        <v>66</v>
      </c>
      <c r="D19" s="30">
        <v>1</v>
      </c>
      <c r="E19" s="29">
        <v>3.8461538461538464E-2</v>
      </c>
    </row>
    <row r="20" spans="2:5" ht="15" customHeight="1">
      <c r="B20" s="75"/>
      <c r="C20" s="31" t="s">
        <v>17</v>
      </c>
      <c r="D20" s="30">
        <v>1</v>
      </c>
      <c r="E20" s="29">
        <v>3.8461538461538464E-2</v>
      </c>
    </row>
    <row r="21" spans="2:5" ht="15" customHeight="1">
      <c r="B21" s="75"/>
      <c r="C21" s="31" t="s">
        <v>67</v>
      </c>
      <c r="D21" s="30">
        <v>2</v>
      </c>
      <c r="E21" s="29">
        <v>7.6923076923076927E-2</v>
      </c>
    </row>
    <row r="22" spans="2:5" ht="15" customHeight="1">
      <c r="B22" s="76"/>
      <c r="C22" s="28" t="s">
        <v>3</v>
      </c>
      <c r="D22" s="27">
        <v>4</v>
      </c>
      <c r="E22" s="26">
        <v>0.15384615384615385</v>
      </c>
    </row>
    <row r="23" spans="2:5" ht="15" customHeight="1">
      <c r="B23" s="74" t="s">
        <v>5</v>
      </c>
      <c r="C23" s="31" t="s">
        <v>68</v>
      </c>
      <c r="D23" s="30">
        <v>3</v>
      </c>
      <c r="E23" s="29">
        <v>0.11538461538461539</v>
      </c>
    </row>
    <row r="24" spans="2:5" ht="15" customHeight="1">
      <c r="B24" s="75"/>
      <c r="C24" s="31" t="s">
        <v>69</v>
      </c>
      <c r="D24" s="30">
        <v>1</v>
      </c>
      <c r="E24" s="29">
        <v>3.8461538461538464E-2</v>
      </c>
    </row>
    <row r="25" spans="2:5" ht="15" customHeight="1">
      <c r="B25" s="76"/>
      <c r="C25" s="28" t="s">
        <v>3</v>
      </c>
      <c r="D25" s="27">
        <v>4</v>
      </c>
      <c r="E25" s="26">
        <v>0.15384615384615385</v>
      </c>
    </row>
    <row r="26" spans="2:5" ht="15" customHeight="1">
      <c r="B26" s="74" t="s">
        <v>10</v>
      </c>
      <c r="C26" s="31" t="s">
        <v>16</v>
      </c>
      <c r="D26" s="30">
        <v>5</v>
      </c>
      <c r="E26" s="29">
        <v>0.19230769230769232</v>
      </c>
    </row>
    <row r="27" spans="2:5" ht="15" customHeight="1">
      <c r="B27" s="75"/>
      <c r="C27" s="31" t="s">
        <v>15</v>
      </c>
      <c r="D27" s="30">
        <v>1</v>
      </c>
      <c r="E27" s="29">
        <v>3.8461538461538464E-2</v>
      </c>
    </row>
    <row r="28" spans="2:5" ht="15" customHeight="1">
      <c r="B28" s="76"/>
      <c r="C28" s="28" t="s">
        <v>3</v>
      </c>
      <c r="D28" s="27">
        <v>6</v>
      </c>
      <c r="E28" s="26">
        <v>0.23076923076923078</v>
      </c>
    </row>
    <row r="29" spans="2:5" ht="15" customHeight="1">
      <c r="B29" s="74" t="s">
        <v>8</v>
      </c>
      <c r="C29" s="31" t="s">
        <v>14</v>
      </c>
      <c r="D29" s="30">
        <v>1</v>
      </c>
      <c r="E29" s="29">
        <v>3.8461538461538464E-2</v>
      </c>
    </row>
    <row r="30" spans="2:5" ht="15" customHeight="1">
      <c r="B30" s="76"/>
      <c r="C30" s="28" t="s">
        <v>3</v>
      </c>
      <c r="D30" s="27">
        <v>1</v>
      </c>
      <c r="E30" s="26">
        <v>3.8461538461538464E-2</v>
      </c>
    </row>
    <row r="31" spans="2:5" ht="15" customHeight="1">
      <c r="B31" s="77" t="s">
        <v>3</v>
      </c>
      <c r="C31" s="78"/>
      <c r="D31" s="25">
        <f>SUMIF(C$10:C30,"Total",D$10:D30)</f>
        <v>26</v>
      </c>
      <c r="E31" s="24">
        <v>1</v>
      </c>
    </row>
    <row r="33" spans="2:6" ht="15" customHeight="1">
      <c r="B33" s="1"/>
      <c r="C33" s="3" t="s">
        <v>59</v>
      </c>
      <c r="D33"/>
      <c r="E33"/>
      <c r="F33" s="1"/>
    </row>
    <row r="34" spans="2:6" ht="15" customHeight="1">
      <c r="B34" s="1"/>
      <c r="C34" s="5" t="s">
        <v>2</v>
      </c>
      <c r="D34"/>
      <c r="E34"/>
      <c r="F34" s="1"/>
    </row>
    <row r="35" spans="2:6" ht="15" customHeight="1">
      <c r="B35" s="1"/>
      <c r="C35" s="4" t="s">
        <v>1</v>
      </c>
      <c r="D35"/>
      <c r="E35"/>
      <c r="F35" s="1"/>
    </row>
    <row r="36" spans="2:6" ht="15" customHeight="1">
      <c r="B36" s="1"/>
      <c r="C36" s="3" t="s">
        <v>0</v>
      </c>
      <c r="D36"/>
      <c r="E36"/>
      <c r="F36" s="1"/>
    </row>
    <row r="37" spans="2:6" ht="15" customHeight="1">
      <c r="B37" s="1"/>
      <c r="C37" s="3" t="s">
        <v>60</v>
      </c>
      <c r="D37"/>
      <c r="E37"/>
      <c r="F37" s="1"/>
    </row>
    <row r="423" spans="1:2" s="21" customFormat="1" ht="15" customHeight="1">
      <c r="A423" s="20"/>
      <c r="B423" s="22"/>
    </row>
    <row r="424" spans="1:2" s="21" customFormat="1" ht="15" customHeight="1">
      <c r="A424" s="20"/>
      <c r="B424" s="23"/>
    </row>
    <row r="425" spans="1:2" s="21" customFormat="1" ht="15" customHeight="1">
      <c r="A425" s="20"/>
      <c r="B425" s="23"/>
    </row>
    <row r="426" spans="1:2" s="21" customFormat="1" ht="15" customHeight="1">
      <c r="A426" s="20"/>
      <c r="B426" s="22"/>
    </row>
    <row r="427" spans="1:2" s="21" customFormat="1" ht="15" customHeight="1">
      <c r="A427" s="20"/>
      <c r="B427" s="22"/>
    </row>
  </sheetData>
  <mergeCells count="10">
    <mergeCell ref="B19:B22"/>
    <mergeCell ref="B23:B25"/>
    <mergeCell ref="B26:B28"/>
    <mergeCell ref="B29:B30"/>
    <mergeCell ref="B31:C31"/>
    <mergeCell ref="B7:E8"/>
    <mergeCell ref="B10:B12"/>
    <mergeCell ref="B13:B14"/>
    <mergeCell ref="B15:B16"/>
    <mergeCell ref="B17:B18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D31"/>
  <sheetViews>
    <sheetView showGridLines="0" zoomScaleNormal="100" zoomScaleSheetLayoutView="115" workbookViewId="0">
      <selection activeCell="D30" sqref="D30"/>
    </sheetView>
  </sheetViews>
  <sheetFormatPr baseColWidth="10" defaultColWidth="11.42578125" defaultRowHeight="15"/>
  <cols>
    <col min="1" max="1" width="9.28515625" style="1" customWidth="1"/>
    <col min="2" max="2" width="30.570312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1:4" s="13" customFormat="1" ht="15" customHeight="1">
      <c r="C1" s="19"/>
    </row>
    <row r="2" spans="1:4" s="13" customFormat="1" ht="15" customHeight="1">
      <c r="C2" s="19"/>
    </row>
    <row r="3" spans="1:4" s="13" customFormat="1" ht="15" customHeight="1">
      <c r="C3" s="19"/>
    </row>
    <row r="4" spans="1:4" s="13" customFormat="1" ht="30" customHeight="1">
      <c r="C4" s="19"/>
      <c r="D4" s="18"/>
    </row>
    <row r="5" spans="1:4" s="13" customFormat="1" ht="15" customHeight="1">
      <c r="C5" s="19"/>
      <c r="D5" s="18"/>
    </row>
    <row r="6" spans="1:4" s="13" customFormat="1" ht="15" customHeight="1">
      <c r="C6" s="19"/>
      <c r="D6" s="18"/>
    </row>
    <row r="7" spans="1:4" s="13" customFormat="1" ht="15" customHeight="1">
      <c r="B7" s="72" t="s">
        <v>28</v>
      </c>
      <c r="C7" s="72"/>
      <c r="D7" s="72"/>
    </row>
    <row r="8" spans="1:4" s="13" customFormat="1" ht="15" customHeight="1">
      <c r="B8" s="72"/>
      <c r="C8" s="72"/>
      <c r="D8" s="72"/>
    </row>
    <row r="9" spans="1:4" s="13" customFormat="1" ht="33" customHeight="1">
      <c r="B9" s="72"/>
      <c r="C9" s="72"/>
      <c r="D9" s="72"/>
    </row>
    <row r="10" spans="1:4" s="13" customFormat="1" ht="4.5" customHeight="1">
      <c r="B10" s="17"/>
      <c r="C10" s="17"/>
      <c r="D10" s="17"/>
    </row>
    <row r="11" spans="1:4" s="13" customFormat="1" ht="33" customHeight="1">
      <c r="B11" s="16" t="s">
        <v>27</v>
      </c>
      <c r="C11" s="15" t="s">
        <v>12</v>
      </c>
      <c r="D11" s="14" t="s">
        <v>11</v>
      </c>
    </row>
    <row r="12" spans="1:4">
      <c r="B12" s="11" t="s">
        <v>26</v>
      </c>
      <c r="C12" s="10">
        <v>1</v>
      </c>
      <c r="D12" s="9">
        <v>3.8461538461538464E-2</v>
      </c>
    </row>
    <row r="13" spans="1:4">
      <c r="B13" s="11" t="s">
        <v>25</v>
      </c>
      <c r="C13" s="10">
        <v>1</v>
      </c>
      <c r="D13" s="9">
        <v>3.8461538461538464E-2</v>
      </c>
    </row>
    <row r="14" spans="1:4">
      <c r="A14" s="12"/>
      <c r="B14" s="11" t="s">
        <v>24</v>
      </c>
      <c r="C14" s="10">
        <v>3</v>
      </c>
      <c r="D14" s="9">
        <v>0.11538461538461539</v>
      </c>
    </row>
    <row r="15" spans="1:4">
      <c r="A15" s="12"/>
      <c r="B15" s="11" t="s">
        <v>23</v>
      </c>
      <c r="C15" s="10">
        <v>2</v>
      </c>
      <c r="D15" s="9">
        <v>7.6923076923076927E-2</v>
      </c>
    </row>
    <row r="16" spans="1:4">
      <c r="B16" s="11" t="s">
        <v>22</v>
      </c>
      <c r="C16" s="10">
        <v>8</v>
      </c>
      <c r="D16" s="9">
        <v>0.30769230769230771</v>
      </c>
    </row>
    <row r="17" spans="2:4">
      <c r="B17" s="11" t="s">
        <v>21</v>
      </c>
      <c r="C17" s="10">
        <v>1</v>
      </c>
      <c r="D17" s="9">
        <v>3.8461538461538464E-2</v>
      </c>
    </row>
    <row r="18" spans="2:4">
      <c r="B18" s="11" t="s">
        <v>20</v>
      </c>
      <c r="C18" s="10">
        <v>8</v>
      </c>
      <c r="D18" s="9">
        <v>0.30769230769230771</v>
      </c>
    </row>
    <row r="19" spans="2:4">
      <c r="B19" s="11" t="s">
        <v>70</v>
      </c>
      <c r="C19" s="10">
        <v>1</v>
      </c>
      <c r="D19" s="9">
        <v>3.8461538461538464E-2</v>
      </c>
    </row>
    <row r="20" spans="2:4">
      <c r="B20" s="11" t="s">
        <v>71</v>
      </c>
      <c r="C20" s="10">
        <v>1</v>
      </c>
      <c r="D20" s="9">
        <v>3.8461538461538464E-2</v>
      </c>
    </row>
    <row r="21" spans="2:4">
      <c r="B21" s="8" t="s">
        <v>3</v>
      </c>
      <c r="C21" s="7">
        <v>26</v>
      </c>
      <c r="D21" s="6">
        <v>1</v>
      </c>
    </row>
    <row r="23" spans="2:4">
      <c r="B23" s="3" t="s">
        <v>59</v>
      </c>
      <c r="C23"/>
      <c r="D23"/>
    </row>
    <row r="24" spans="2:4">
      <c r="B24" s="5" t="s">
        <v>2</v>
      </c>
      <c r="C24"/>
      <c r="D24"/>
    </row>
    <row r="25" spans="2:4">
      <c r="B25" s="4" t="s">
        <v>1</v>
      </c>
      <c r="C25"/>
      <c r="D25"/>
    </row>
    <row r="26" spans="2:4">
      <c r="B26" s="3" t="s">
        <v>0</v>
      </c>
      <c r="C26"/>
      <c r="D26"/>
    </row>
    <row r="27" spans="2:4">
      <c r="B27" s="3" t="s">
        <v>60</v>
      </c>
      <c r="C27"/>
      <c r="D27"/>
    </row>
    <row r="31" spans="2:4">
      <c r="C31" s="2" t="s">
        <v>72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87" orientation="portrait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F42"/>
  <sheetViews>
    <sheetView zoomScale="115" zoomScaleNormal="115" zoomScaleSheetLayoutView="100" workbookViewId="0">
      <selection activeCell="C1" sqref="C1"/>
    </sheetView>
  </sheetViews>
  <sheetFormatPr baseColWidth="10" defaultColWidth="35" defaultRowHeight="15" customHeight="1"/>
  <cols>
    <col min="1" max="1" width="1" style="20" customWidth="1"/>
    <col min="2" max="2" width="22.85546875" style="21" customWidth="1"/>
    <col min="3" max="3" width="31.42578125" style="21" customWidth="1"/>
    <col min="4" max="4" width="14.28515625" style="21" customWidth="1"/>
    <col min="5" max="5" width="16.85546875" style="21" customWidth="1"/>
    <col min="6" max="16384" width="35" style="20"/>
  </cols>
  <sheetData>
    <row r="1" spans="1:5" s="39" customFormat="1" ht="12" customHeight="1">
      <c r="B1" s="43"/>
      <c r="C1" s="42"/>
      <c r="D1" s="42"/>
      <c r="E1" s="42"/>
    </row>
    <row r="2" spans="1:5" s="39" customFormat="1" ht="15" customHeight="1">
      <c r="C2" s="41"/>
    </row>
    <row r="3" spans="1:5" s="39" customFormat="1" ht="15" customHeight="1">
      <c r="C3" s="41"/>
    </row>
    <row r="4" spans="1:5" s="39" customFormat="1" ht="30" customHeight="1">
      <c r="C4" s="41"/>
      <c r="D4" s="40"/>
    </row>
    <row r="5" spans="1:5" s="39" customFormat="1" ht="15" customHeight="1">
      <c r="C5" s="41"/>
      <c r="D5" s="40"/>
    </row>
    <row r="6" spans="1:5" s="36" customFormat="1" ht="24" customHeight="1">
      <c r="B6" s="38"/>
      <c r="C6" s="32"/>
      <c r="D6" s="32"/>
      <c r="E6" s="32"/>
    </row>
    <row r="7" spans="1:5" s="36" customFormat="1" ht="26.25" customHeight="1">
      <c r="A7" s="37"/>
      <c r="B7" s="73"/>
      <c r="C7" s="73"/>
      <c r="D7" s="73"/>
      <c r="E7" s="73"/>
    </row>
    <row r="8" spans="1:5" s="36" customFormat="1" ht="33" customHeight="1">
      <c r="A8" s="37"/>
      <c r="B8" s="73"/>
      <c r="C8" s="73"/>
      <c r="D8" s="73"/>
      <c r="E8" s="73"/>
    </row>
    <row r="9" spans="1:5" s="13" customFormat="1" ht="40.5" customHeight="1">
      <c r="B9" s="33" t="s">
        <v>27</v>
      </c>
      <c r="C9" s="35" t="s">
        <v>13</v>
      </c>
      <c r="D9" s="34" t="s">
        <v>12</v>
      </c>
      <c r="E9" s="33" t="s">
        <v>11</v>
      </c>
    </row>
    <row r="10" spans="1:5" ht="15" customHeight="1">
      <c r="B10" s="74" t="s">
        <v>26</v>
      </c>
      <c r="C10" s="31" t="s">
        <v>9</v>
      </c>
      <c r="D10" s="30">
        <v>1</v>
      </c>
      <c r="E10" s="29">
        <v>3.8461538461538464E-2</v>
      </c>
    </row>
    <row r="11" spans="1:5" ht="15" customHeight="1">
      <c r="B11" s="76"/>
      <c r="C11" s="28" t="s">
        <v>3</v>
      </c>
      <c r="D11" s="27">
        <v>1</v>
      </c>
      <c r="E11" s="26">
        <v>3.8461538461538464E-2</v>
      </c>
    </row>
    <row r="12" spans="1:5" ht="15" customHeight="1">
      <c r="B12" s="74" t="s">
        <v>25</v>
      </c>
      <c r="C12" s="31" t="s">
        <v>9</v>
      </c>
      <c r="D12" s="30">
        <v>1</v>
      </c>
      <c r="E12" s="29">
        <v>3.8461538461538464E-2</v>
      </c>
    </row>
    <row r="13" spans="1:5" ht="15" customHeight="1">
      <c r="B13" s="76"/>
      <c r="C13" s="28" t="s">
        <v>3</v>
      </c>
      <c r="D13" s="27">
        <v>1</v>
      </c>
      <c r="E13" s="26">
        <v>3.8461538461538464E-2</v>
      </c>
    </row>
    <row r="14" spans="1:5" ht="15" customHeight="1">
      <c r="B14" s="74" t="s">
        <v>24</v>
      </c>
      <c r="C14" s="31" t="s">
        <v>9</v>
      </c>
      <c r="D14" s="30">
        <v>2</v>
      </c>
      <c r="E14" s="29">
        <v>7.6923076923076927E-2</v>
      </c>
    </row>
    <row r="15" spans="1:5" ht="15" customHeight="1">
      <c r="B15" s="75"/>
      <c r="C15" s="31" t="s">
        <v>5</v>
      </c>
      <c r="D15" s="30">
        <v>1</v>
      </c>
      <c r="E15" s="29">
        <v>3.8461538461538464E-2</v>
      </c>
    </row>
    <row r="16" spans="1:5" ht="15" customHeight="1">
      <c r="B16" s="76"/>
      <c r="C16" s="28" t="s">
        <v>3</v>
      </c>
      <c r="D16" s="27">
        <v>3</v>
      </c>
      <c r="E16" s="26">
        <v>0.11538461538461539</v>
      </c>
    </row>
    <row r="17" spans="2:5" ht="15" customHeight="1">
      <c r="B17" s="74" t="s">
        <v>23</v>
      </c>
      <c r="C17" s="31" t="s">
        <v>9</v>
      </c>
      <c r="D17" s="30">
        <v>2</v>
      </c>
      <c r="E17" s="29">
        <v>7.6923076923076927E-2</v>
      </c>
    </row>
    <row r="18" spans="2:5" ht="15" customHeight="1">
      <c r="B18" s="76"/>
      <c r="C18" s="28" t="s">
        <v>3</v>
      </c>
      <c r="D18" s="27">
        <v>2</v>
      </c>
      <c r="E18" s="26">
        <v>7.6923076923076927E-2</v>
      </c>
    </row>
    <row r="19" spans="2:5" ht="15" customHeight="1">
      <c r="B19" s="74" t="s">
        <v>22</v>
      </c>
      <c r="C19" s="31" t="s">
        <v>58</v>
      </c>
      <c r="D19" s="30">
        <v>1</v>
      </c>
      <c r="E19" s="29">
        <v>3.8461538461538464E-2</v>
      </c>
    </row>
    <row r="20" spans="2:5" ht="15" customHeight="1">
      <c r="B20" s="75"/>
      <c r="C20" s="31" t="s">
        <v>7</v>
      </c>
      <c r="D20" s="30">
        <v>1</v>
      </c>
      <c r="E20" s="29">
        <v>3.8461538461538464E-2</v>
      </c>
    </row>
    <row r="21" spans="2:5" ht="15" customHeight="1">
      <c r="B21" s="75"/>
      <c r="C21" s="31" t="s">
        <v>6</v>
      </c>
      <c r="D21" s="30">
        <v>3</v>
      </c>
      <c r="E21" s="29">
        <v>0.11538461538461539</v>
      </c>
    </row>
    <row r="22" spans="2:5" ht="15" customHeight="1">
      <c r="B22" s="75"/>
      <c r="C22" s="31" t="s">
        <v>10</v>
      </c>
      <c r="D22" s="30">
        <v>2</v>
      </c>
      <c r="E22" s="29">
        <v>7.6923076923076927E-2</v>
      </c>
    </row>
    <row r="23" spans="2:5" ht="15" customHeight="1">
      <c r="B23" s="75"/>
      <c r="C23" s="31" t="s">
        <v>8</v>
      </c>
      <c r="D23" s="30">
        <v>1</v>
      </c>
      <c r="E23" s="29">
        <v>3.8461538461538464E-2</v>
      </c>
    </row>
    <row r="24" spans="2:5" ht="15" customHeight="1">
      <c r="B24" s="76"/>
      <c r="C24" s="28" t="s">
        <v>3</v>
      </c>
      <c r="D24" s="27">
        <v>8</v>
      </c>
      <c r="E24" s="26">
        <v>0.30769230769230771</v>
      </c>
    </row>
    <row r="25" spans="2:5" ht="15" customHeight="1">
      <c r="B25" s="74" t="s">
        <v>21</v>
      </c>
      <c r="C25" s="31" t="s">
        <v>10</v>
      </c>
      <c r="D25" s="30">
        <v>1</v>
      </c>
      <c r="E25" s="29">
        <v>3.8461538461538464E-2</v>
      </c>
    </row>
    <row r="26" spans="2:5" ht="15" customHeight="1">
      <c r="B26" s="76"/>
      <c r="C26" s="28" t="s">
        <v>3</v>
      </c>
      <c r="D26" s="27">
        <v>1</v>
      </c>
      <c r="E26" s="26">
        <v>3.8461538461538464E-2</v>
      </c>
    </row>
    <row r="27" spans="2:5" ht="15" customHeight="1">
      <c r="B27" s="74" t="s">
        <v>20</v>
      </c>
      <c r="C27" s="31" t="s">
        <v>9</v>
      </c>
      <c r="D27" s="30">
        <v>2</v>
      </c>
      <c r="E27" s="29">
        <v>7.6923076923076927E-2</v>
      </c>
    </row>
    <row r="28" spans="2:5" ht="15" customHeight="1">
      <c r="B28" s="75"/>
      <c r="C28" s="31" t="s">
        <v>6</v>
      </c>
      <c r="D28" s="30">
        <v>1</v>
      </c>
      <c r="E28" s="29">
        <v>3.8461538461538464E-2</v>
      </c>
    </row>
    <row r="29" spans="2:5" ht="15" customHeight="1">
      <c r="B29" s="75"/>
      <c r="C29" s="31" t="s">
        <v>5</v>
      </c>
      <c r="D29" s="30">
        <v>3</v>
      </c>
      <c r="E29" s="29">
        <v>0.11538461538461539</v>
      </c>
    </row>
    <row r="30" spans="2:5" ht="15" customHeight="1">
      <c r="B30" s="75"/>
      <c r="C30" s="31" t="s">
        <v>10</v>
      </c>
      <c r="D30" s="30">
        <v>2</v>
      </c>
      <c r="E30" s="29">
        <v>7.6923076923076927E-2</v>
      </c>
    </row>
    <row r="31" spans="2:5" ht="15" customHeight="1">
      <c r="B31" s="76"/>
      <c r="C31" s="28" t="s">
        <v>3</v>
      </c>
      <c r="D31" s="27">
        <v>8</v>
      </c>
      <c r="E31" s="26">
        <v>0.30769230769230771</v>
      </c>
    </row>
    <row r="32" spans="2:5" ht="15" customHeight="1">
      <c r="B32" s="74" t="s">
        <v>70</v>
      </c>
      <c r="C32" s="31" t="s">
        <v>4</v>
      </c>
      <c r="D32" s="30">
        <v>1</v>
      </c>
      <c r="E32" s="29">
        <v>3.8461538461538464E-2</v>
      </c>
    </row>
    <row r="33" spans="2:6" ht="15" customHeight="1">
      <c r="B33" s="76"/>
      <c r="C33" s="28" t="s">
        <v>3</v>
      </c>
      <c r="D33" s="27">
        <v>1</v>
      </c>
      <c r="E33" s="26">
        <v>3.8461538461538464E-2</v>
      </c>
    </row>
    <row r="34" spans="2:6" ht="15" customHeight="1">
      <c r="B34" s="74" t="s">
        <v>71</v>
      </c>
      <c r="C34" s="31" t="s">
        <v>10</v>
      </c>
      <c r="D34" s="30">
        <v>1</v>
      </c>
      <c r="E34" s="29">
        <v>3.8461538461538464E-2</v>
      </c>
    </row>
    <row r="35" spans="2:6" ht="15" customHeight="1">
      <c r="B35" s="76"/>
      <c r="C35" s="28" t="s">
        <v>3</v>
      </c>
      <c r="D35" s="27">
        <v>1</v>
      </c>
      <c r="E35" s="26">
        <v>3.8461538461538464E-2</v>
      </c>
    </row>
    <row r="36" spans="2:6" ht="15" customHeight="1">
      <c r="B36" s="77" t="s">
        <v>3</v>
      </c>
      <c r="C36" s="78"/>
      <c r="D36" s="25">
        <v>26</v>
      </c>
      <c r="E36" s="24">
        <v>1</v>
      </c>
    </row>
    <row r="38" spans="2:6" ht="15" customHeight="1">
      <c r="B38" s="1"/>
      <c r="C38" s="3" t="s">
        <v>59</v>
      </c>
      <c r="D38"/>
      <c r="E38"/>
      <c r="F38" s="1"/>
    </row>
    <row r="39" spans="2:6" ht="15" customHeight="1">
      <c r="B39" s="1"/>
      <c r="C39" s="5" t="s">
        <v>2</v>
      </c>
      <c r="D39"/>
      <c r="E39"/>
      <c r="F39" s="1"/>
    </row>
    <row r="40" spans="2:6" ht="15" customHeight="1">
      <c r="B40" s="1"/>
      <c r="C40" s="4" t="s">
        <v>1</v>
      </c>
      <c r="D40"/>
      <c r="E40"/>
      <c r="F40" s="1"/>
    </row>
    <row r="41" spans="2:6" ht="15" customHeight="1">
      <c r="B41" s="1"/>
      <c r="C41" s="3" t="s">
        <v>0</v>
      </c>
      <c r="D41"/>
      <c r="E41"/>
      <c r="F41" s="1"/>
    </row>
    <row r="42" spans="2:6" ht="15" customHeight="1">
      <c r="B42" s="1"/>
      <c r="C42" s="3" t="s">
        <v>60</v>
      </c>
      <c r="D42"/>
      <c r="E42"/>
      <c r="F42" s="1"/>
    </row>
  </sheetData>
  <mergeCells count="11">
    <mergeCell ref="B36:C36"/>
    <mergeCell ref="B7:E8"/>
    <mergeCell ref="B34:B35"/>
    <mergeCell ref="B25:B26"/>
    <mergeCell ref="B27:B31"/>
    <mergeCell ref="B32:B33"/>
    <mergeCell ref="B10:B11"/>
    <mergeCell ref="B12:B13"/>
    <mergeCell ref="B14:B16"/>
    <mergeCell ref="B17:B18"/>
    <mergeCell ref="B19:B24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  <pageSetUpPr fitToPage="1"/>
  </sheetPr>
  <dimension ref="A1:F20"/>
  <sheetViews>
    <sheetView showGridLines="0" zoomScaleNormal="100" zoomScaleSheetLayoutView="115" workbookViewId="0">
      <selection activeCell="D14" sqref="D14"/>
    </sheetView>
  </sheetViews>
  <sheetFormatPr baseColWidth="10" defaultColWidth="11.42578125" defaultRowHeight="1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1:6" s="13" customFormat="1" ht="15" customHeight="1">
      <c r="C1" s="19"/>
    </row>
    <row r="2" spans="1:6" s="13" customFormat="1" ht="15" customHeight="1">
      <c r="C2" s="19"/>
    </row>
    <row r="3" spans="1:6" s="13" customFormat="1" ht="15" customHeight="1">
      <c r="C3" s="19"/>
    </row>
    <row r="4" spans="1:6" s="13" customFormat="1" ht="30" customHeight="1">
      <c r="C4" s="19"/>
      <c r="D4" s="18"/>
    </row>
    <row r="5" spans="1:6" s="13" customFormat="1" ht="15" customHeight="1">
      <c r="C5" s="19"/>
      <c r="D5" s="18"/>
    </row>
    <row r="6" spans="1:6" s="13" customFormat="1" ht="15" customHeight="1">
      <c r="C6" s="19"/>
      <c r="D6" s="18"/>
    </row>
    <row r="7" spans="1:6" s="13" customFormat="1" ht="15" customHeight="1">
      <c r="B7" s="72" t="s">
        <v>73</v>
      </c>
      <c r="C7" s="72"/>
      <c r="D7" s="72"/>
    </row>
    <row r="8" spans="1:6" s="13" customFormat="1" ht="15" customHeight="1">
      <c r="B8" s="72"/>
      <c r="C8" s="72"/>
      <c r="D8" s="72"/>
    </row>
    <row r="9" spans="1:6" s="13" customFormat="1" ht="33" customHeight="1">
      <c r="B9" s="72"/>
      <c r="C9" s="72"/>
      <c r="D9" s="72"/>
    </row>
    <row r="10" spans="1:6" s="13" customFormat="1" ht="4.5" customHeight="1">
      <c r="B10" s="17"/>
      <c r="C10" s="17"/>
      <c r="D10" s="17"/>
    </row>
    <row r="11" spans="1:6" s="13" customFormat="1" ht="33" customHeight="1">
      <c r="B11" s="16" t="s">
        <v>32</v>
      </c>
      <c r="C11" s="15" t="s">
        <v>12</v>
      </c>
      <c r="D11" s="14" t="s">
        <v>11</v>
      </c>
    </row>
    <row r="12" spans="1:6">
      <c r="B12" s="11" t="s">
        <v>31</v>
      </c>
      <c r="C12" s="10">
        <v>21</v>
      </c>
      <c r="D12" s="9">
        <v>0.80769230769230771</v>
      </c>
    </row>
    <row r="13" spans="1:6">
      <c r="B13" s="11" t="s">
        <v>30</v>
      </c>
      <c r="C13" s="10">
        <v>5</v>
      </c>
      <c r="D13" s="9">
        <v>0.19230769230769232</v>
      </c>
    </row>
    <row r="14" spans="1:6">
      <c r="B14" s="8" t="s">
        <v>29</v>
      </c>
      <c r="C14" s="7">
        <v>26</v>
      </c>
      <c r="D14" s="6">
        <v>1</v>
      </c>
    </row>
    <row r="15" spans="1:6">
      <c r="A15" s="12"/>
      <c r="B15" s="12"/>
      <c r="C15" s="45"/>
      <c r="D15" s="12"/>
      <c r="E15" s="12"/>
      <c r="F15" s="12"/>
    </row>
    <row r="16" spans="1:6">
      <c r="B16" s="3" t="s">
        <v>59</v>
      </c>
      <c r="C16"/>
      <c r="D16"/>
    </row>
    <row r="17" spans="2:4">
      <c r="B17" s="5" t="s">
        <v>2</v>
      </c>
      <c r="C17"/>
      <c r="D17"/>
    </row>
    <row r="18" spans="2:4">
      <c r="B18" s="4" t="s">
        <v>1</v>
      </c>
      <c r="C18"/>
      <c r="D18"/>
    </row>
    <row r="19" spans="2:4">
      <c r="B19" s="3" t="s">
        <v>0</v>
      </c>
      <c r="C19"/>
      <c r="D19"/>
    </row>
    <row r="20" spans="2:4">
      <c r="B20" s="3" t="s">
        <v>60</v>
      </c>
      <c r="C20"/>
      <c r="D20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381"/>
  <sheetViews>
    <sheetView zoomScale="120" zoomScaleNormal="120" zoomScaleSheetLayoutView="100" workbookViewId="0">
      <selection activeCell="C1" sqref="C1"/>
    </sheetView>
  </sheetViews>
  <sheetFormatPr baseColWidth="10" defaultColWidth="35" defaultRowHeight="15" customHeight="1"/>
  <cols>
    <col min="1" max="1" width="1" style="20" customWidth="1"/>
    <col min="2" max="2" width="22.85546875" style="21" customWidth="1"/>
    <col min="3" max="3" width="31.42578125" style="21" customWidth="1"/>
    <col min="4" max="4" width="14.28515625" style="21" customWidth="1"/>
    <col min="5" max="5" width="16.85546875" style="21" customWidth="1"/>
    <col min="6" max="16384" width="35" style="20"/>
  </cols>
  <sheetData>
    <row r="1" spans="1:5" s="39" customFormat="1" ht="12" customHeight="1">
      <c r="B1" s="43"/>
      <c r="C1" s="42"/>
      <c r="D1" s="42"/>
      <c r="E1" s="42"/>
    </row>
    <row r="2" spans="1:5" s="39" customFormat="1" ht="15" customHeight="1">
      <c r="C2" s="41"/>
    </row>
    <row r="3" spans="1:5" s="39" customFormat="1" ht="15" customHeight="1">
      <c r="C3" s="41"/>
    </row>
    <row r="4" spans="1:5" s="39" customFormat="1" ht="30" customHeight="1">
      <c r="C4" s="41"/>
      <c r="D4" s="40"/>
    </row>
    <row r="5" spans="1:5" s="39" customFormat="1" ht="15" customHeight="1">
      <c r="C5" s="41"/>
      <c r="D5" s="40"/>
    </row>
    <row r="6" spans="1:5" s="36" customFormat="1" ht="24" customHeight="1">
      <c r="B6" s="38"/>
      <c r="C6" s="32"/>
      <c r="D6" s="32"/>
      <c r="E6" s="32"/>
    </row>
    <row r="7" spans="1:5" s="36" customFormat="1" ht="26.25" customHeight="1">
      <c r="A7" s="37"/>
      <c r="B7" s="73"/>
      <c r="C7" s="73"/>
      <c r="D7" s="73"/>
      <c r="E7" s="73"/>
    </row>
    <row r="8" spans="1:5" s="36" customFormat="1" ht="33" customHeight="1">
      <c r="A8" s="37"/>
      <c r="B8" s="73"/>
      <c r="C8" s="73"/>
      <c r="D8" s="73"/>
      <c r="E8" s="73"/>
    </row>
    <row r="9" spans="1:5" s="13" customFormat="1" ht="40.5" customHeight="1">
      <c r="B9" s="33" t="s">
        <v>13</v>
      </c>
      <c r="C9" s="35" t="s">
        <v>32</v>
      </c>
      <c r="D9" s="34" t="s">
        <v>12</v>
      </c>
      <c r="E9" s="33" t="s">
        <v>11</v>
      </c>
    </row>
    <row r="10" spans="1:5" ht="15" customHeight="1">
      <c r="B10" s="74" t="s">
        <v>9</v>
      </c>
      <c r="C10" s="31" t="s">
        <v>34</v>
      </c>
      <c r="D10" s="30">
        <v>6</v>
      </c>
      <c r="E10" s="29">
        <v>0.23076923076923078</v>
      </c>
    </row>
    <row r="11" spans="1:5" ht="15" customHeight="1">
      <c r="B11" s="75"/>
      <c r="C11" s="31" t="s">
        <v>33</v>
      </c>
      <c r="D11" s="30">
        <v>2</v>
      </c>
      <c r="E11" s="29">
        <v>7.6923076923076927E-2</v>
      </c>
    </row>
    <row r="12" spans="1:5" ht="15" customHeight="1">
      <c r="B12" s="76"/>
      <c r="C12" s="28" t="s">
        <v>3</v>
      </c>
      <c r="D12" s="27">
        <v>8</v>
      </c>
      <c r="E12" s="26">
        <v>0.30769230769230771</v>
      </c>
    </row>
    <row r="13" spans="1:5" ht="15" customHeight="1">
      <c r="B13" s="74" t="s">
        <v>58</v>
      </c>
      <c r="C13" s="31" t="s">
        <v>34</v>
      </c>
      <c r="D13" s="30">
        <v>1</v>
      </c>
      <c r="E13" s="29">
        <v>3.8461538461538464E-2</v>
      </c>
    </row>
    <row r="14" spans="1:5" ht="15" customHeight="1">
      <c r="B14" s="76"/>
      <c r="C14" s="28" t="s">
        <v>3</v>
      </c>
      <c r="D14" s="27">
        <v>1</v>
      </c>
      <c r="E14" s="26">
        <v>3.8461538461538464E-2</v>
      </c>
    </row>
    <row r="15" spans="1:5" ht="15" customHeight="1">
      <c r="B15" s="74" t="s">
        <v>4</v>
      </c>
      <c r="C15" s="31" t="s">
        <v>34</v>
      </c>
      <c r="D15" s="30">
        <v>1</v>
      </c>
      <c r="E15" s="29">
        <v>3.8461538461538464E-2</v>
      </c>
    </row>
    <row r="16" spans="1:5" ht="15" customHeight="1">
      <c r="B16" s="76"/>
      <c r="C16" s="28" t="s">
        <v>3</v>
      </c>
      <c r="D16" s="27">
        <v>1</v>
      </c>
      <c r="E16" s="26">
        <v>3.8461538461538464E-2</v>
      </c>
    </row>
    <row r="17" spans="2:6" ht="15" customHeight="1">
      <c r="B17" s="74" t="s">
        <v>7</v>
      </c>
      <c r="C17" s="31" t="s">
        <v>34</v>
      </c>
      <c r="D17" s="30">
        <v>1</v>
      </c>
      <c r="E17" s="29">
        <v>3.8461538461538464E-2</v>
      </c>
    </row>
    <row r="18" spans="2:6" ht="15" customHeight="1">
      <c r="B18" s="76"/>
      <c r="C18" s="28" t="s">
        <v>3</v>
      </c>
      <c r="D18" s="27">
        <v>1</v>
      </c>
      <c r="E18" s="26">
        <v>3.8461538461538464E-2</v>
      </c>
    </row>
    <row r="19" spans="2:6" ht="15" customHeight="1">
      <c r="B19" s="74" t="s">
        <v>6</v>
      </c>
      <c r="C19" s="31" t="s">
        <v>34</v>
      </c>
      <c r="D19" s="30">
        <v>3</v>
      </c>
      <c r="E19" s="29">
        <v>0.11538461538461539</v>
      </c>
    </row>
    <row r="20" spans="2:6" ht="15" customHeight="1">
      <c r="B20" s="75"/>
      <c r="C20" s="31" t="s">
        <v>33</v>
      </c>
      <c r="D20" s="30">
        <v>1</v>
      </c>
      <c r="E20" s="29">
        <v>3.8461538461538464E-2</v>
      </c>
    </row>
    <row r="21" spans="2:6" ht="15" customHeight="1">
      <c r="B21" s="76"/>
      <c r="C21" s="28" t="s">
        <v>3</v>
      </c>
      <c r="D21" s="27">
        <v>4</v>
      </c>
      <c r="E21" s="26">
        <v>0.15384615384615385</v>
      </c>
    </row>
    <row r="22" spans="2:6" ht="15" customHeight="1">
      <c r="B22" s="74" t="s">
        <v>5</v>
      </c>
      <c r="C22" s="31" t="s">
        <v>34</v>
      </c>
      <c r="D22" s="30">
        <v>4</v>
      </c>
      <c r="E22" s="29">
        <v>0.15384615384615385</v>
      </c>
    </row>
    <row r="23" spans="2:6" ht="15" customHeight="1">
      <c r="B23" s="76"/>
      <c r="C23" s="28" t="s">
        <v>3</v>
      </c>
      <c r="D23" s="27">
        <v>4</v>
      </c>
      <c r="E23" s="26">
        <v>0.15384615384615385</v>
      </c>
    </row>
    <row r="24" spans="2:6" ht="15" customHeight="1">
      <c r="B24" s="74" t="s">
        <v>10</v>
      </c>
      <c r="C24" s="31" t="s">
        <v>34</v>
      </c>
      <c r="D24" s="30">
        <v>4</v>
      </c>
      <c r="E24" s="29">
        <v>0.15384615384615385</v>
      </c>
    </row>
    <row r="25" spans="2:6" ht="15" customHeight="1">
      <c r="B25" s="75"/>
      <c r="C25" s="31" t="s">
        <v>33</v>
      </c>
      <c r="D25" s="30">
        <v>2</v>
      </c>
      <c r="E25" s="29">
        <v>7.6923076923076927E-2</v>
      </c>
    </row>
    <row r="26" spans="2:6" ht="15" customHeight="1">
      <c r="B26" s="76"/>
      <c r="C26" s="28" t="s">
        <v>3</v>
      </c>
      <c r="D26" s="27">
        <v>6</v>
      </c>
      <c r="E26" s="26">
        <v>0.23076923076923078</v>
      </c>
    </row>
    <row r="27" spans="2:6" ht="15" customHeight="1">
      <c r="B27" s="74" t="s">
        <v>8</v>
      </c>
      <c r="C27" s="31" t="s">
        <v>34</v>
      </c>
      <c r="D27" s="30">
        <v>1</v>
      </c>
      <c r="E27" s="29">
        <v>3.8461538461538464E-2</v>
      </c>
    </row>
    <row r="28" spans="2:6" ht="15" customHeight="1">
      <c r="B28" s="76"/>
      <c r="C28" s="28" t="s">
        <v>3</v>
      </c>
      <c r="D28" s="27">
        <v>1</v>
      </c>
      <c r="E28" s="26">
        <v>3.8461538461538464E-2</v>
      </c>
    </row>
    <row r="29" spans="2:6" ht="15" customHeight="1">
      <c r="B29" s="77" t="s">
        <v>3</v>
      </c>
      <c r="C29" s="78"/>
      <c r="D29" s="25">
        <f>SUMIF(C10:C28,"TOTAL",D10:D28)</f>
        <v>26</v>
      </c>
      <c r="E29" s="24">
        <v>1</v>
      </c>
    </row>
    <row r="31" spans="2:6" ht="15" customHeight="1">
      <c r="B31" s="1"/>
      <c r="C31" s="3" t="s">
        <v>59</v>
      </c>
      <c r="D31"/>
      <c r="E31"/>
      <c r="F31" s="1"/>
    </row>
    <row r="32" spans="2:6" ht="15" customHeight="1">
      <c r="B32" s="1"/>
      <c r="C32" s="5" t="s">
        <v>2</v>
      </c>
      <c r="D32"/>
      <c r="E32"/>
      <c r="F32" s="1"/>
    </row>
    <row r="33" spans="2:6" ht="15" customHeight="1">
      <c r="B33" s="1"/>
      <c r="C33" s="4" t="s">
        <v>1</v>
      </c>
      <c r="D33"/>
      <c r="E33"/>
      <c r="F33" s="1"/>
    </row>
    <row r="34" spans="2:6" ht="15" customHeight="1">
      <c r="B34" s="1"/>
      <c r="C34" s="3" t="s">
        <v>0</v>
      </c>
      <c r="D34"/>
      <c r="E34"/>
      <c r="F34" s="1"/>
    </row>
    <row r="35" spans="2:6" ht="15" customHeight="1">
      <c r="B35" s="1"/>
      <c r="C35" s="3" t="s">
        <v>60</v>
      </c>
      <c r="D35"/>
      <c r="E35"/>
      <c r="F35" s="1"/>
    </row>
    <row r="377" spans="2:2" s="21" customFormat="1" ht="15" customHeight="1">
      <c r="B377" s="22"/>
    </row>
    <row r="378" spans="2:2" s="21" customFormat="1" ht="15" customHeight="1">
      <c r="B378" s="23"/>
    </row>
    <row r="379" spans="2:2" s="21" customFormat="1" ht="15" customHeight="1">
      <c r="B379" s="23"/>
    </row>
    <row r="380" spans="2:2" s="21" customFormat="1" ht="15" customHeight="1">
      <c r="B380" s="22"/>
    </row>
    <row r="381" spans="2:2" s="21" customFormat="1" ht="15" customHeight="1">
      <c r="B381" s="22"/>
    </row>
  </sheetData>
  <mergeCells count="10">
    <mergeCell ref="B22:B23"/>
    <mergeCell ref="B24:B26"/>
    <mergeCell ref="B29:C29"/>
    <mergeCell ref="B27:B28"/>
    <mergeCell ref="B7:E8"/>
    <mergeCell ref="B10:B12"/>
    <mergeCell ref="B13:B14"/>
    <mergeCell ref="B15:B16"/>
    <mergeCell ref="B17:B18"/>
    <mergeCell ref="B19:B21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F469"/>
  <sheetViews>
    <sheetView zoomScaleNormal="100" zoomScaleSheetLayoutView="100" workbookViewId="0">
      <selection activeCell="C9" sqref="C9"/>
    </sheetView>
  </sheetViews>
  <sheetFormatPr baseColWidth="10" defaultColWidth="35" defaultRowHeight="15" customHeight="1"/>
  <cols>
    <col min="1" max="1" width="1" style="20" customWidth="1"/>
    <col min="2" max="2" width="22.85546875" style="21" customWidth="1"/>
    <col min="3" max="3" width="31.42578125" style="21" customWidth="1"/>
    <col min="4" max="4" width="14.28515625" style="21" customWidth="1"/>
    <col min="5" max="5" width="16.85546875" style="21" customWidth="1"/>
    <col min="6" max="16384" width="35" style="20"/>
  </cols>
  <sheetData>
    <row r="1" spans="1:5" s="39" customFormat="1" ht="12" customHeight="1">
      <c r="B1" s="43"/>
      <c r="C1" s="42"/>
      <c r="D1" s="42"/>
      <c r="E1" s="42"/>
    </row>
    <row r="2" spans="1:5" s="39" customFormat="1" ht="15" customHeight="1">
      <c r="C2" s="41"/>
    </row>
    <row r="3" spans="1:5" s="39" customFormat="1" ht="15" customHeight="1">
      <c r="C3" s="41"/>
    </row>
    <row r="4" spans="1:5" s="39" customFormat="1" ht="30" customHeight="1">
      <c r="C4" s="41"/>
      <c r="D4" s="40"/>
    </row>
    <row r="5" spans="1:5" s="39" customFormat="1" ht="15" customHeight="1">
      <c r="C5" s="41"/>
      <c r="D5" s="40"/>
    </row>
    <row r="6" spans="1:5" s="36" customFormat="1" ht="24" customHeight="1">
      <c r="B6" s="38"/>
      <c r="C6" s="32"/>
      <c r="D6" s="32"/>
      <c r="E6" s="32"/>
    </row>
    <row r="7" spans="1:5" s="36" customFormat="1" ht="26.25" customHeight="1">
      <c r="A7" s="37"/>
      <c r="B7" s="73"/>
      <c r="C7" s="73"/>
      <c r="D7" s="73"/>
      <c r="E7" s="73"/>
    </row>
    <row r="8" spans="1:5" s="36" customFormat="1" ht="33" customHeight="1">
      <c r="A8" s="37"/>
      <c r="B8" s="73"/>
      <c r="C8" s="73"/>
      <c r="D8" s="73"/>
      <c r="E8" s="73"/>
    </row>
    <row r="9" spans="1:5" s="13" customFormat="1" ht="40.5" customHeight="1">
      <c r="B9" s="33" t="s">
        <v>32</v>
      </c>
      <c r="C9" s="35" t="s">
        <v>38</v>
      </c>
      <c r="D9" s="34" t="s">
        <v>12</v>
      </c>
      <c r="E9" s="33" t="s">
        <v>11</v>
      </c>
    </row>
    <row r="10" spans="1:5" ht="15" customHeight="1">
      <c r="B10" s="74" t="s">
        <v>34</v>
      </c>
      <c r="C10" s="31" t="s">
        <v>37</v>
      </c>
      <c r="D10" s="30">
        <v>11</v>
      </c>
      <c r="E10" s="29">
        <v>0.42307692307692307</v>
      </c>
    </row>
    <row r="11" spans="1:5" ht="15" customHeight="1">
      <c r="B11" s="75"/>
      <c r="C11" s="31" t="s">
        <v>36</v>
      </c>
      <c r="D11" s="30">
        <v>7</v>
      </c>
      <c r="E11" s="29">
        <v>0.26923076923076922</v>
      </c>
    </row>
    <row r="12" spans="1:5" ht="15" customHeight="1">
      <c r="B12" s="76"/>
      <c r="C12" s="31" t="s">
        <v>35</v>
      </c>
      <c r="D12" s="30">
        <v>3</v>
      </c>
      <c r="E12" s="29">
        <v>0.11538461538461539</v>
      </c>
    </row>
    <row r="13" spans="1:5" ht="15" customHeight="1">
      <c r="B13" s="74" t="s">
        <v>33</v>
      </c>
      <c r="C13" s="31" t="s">
        <v>37</v>
      </c>
      <c r="D13" s="30">
        <v>2</v>
      </c>
      <c r="E13" s="29">
        <v>7.6923076923076927E-2</v>
      </c>
    </row>
    <row r="14" spans="1:5" ht="15" customHeight="1">
      <c r="B14" s="76"/>
      <c r="C14" s="31" t="s">
        <v>36</v>
      </c>
      <c r="D14" s="30">
        <v>3</v>
      </c>
      <c r="E14" s="29">
        <v>0.11538461538461539</v>
      </c>
    </row>
    <row r="15" spans="1:5" ht="15" customHeight="1">
      <c r="B15" s="77" t="s">
        <v>3</v>
      </c>
      <c r="C15" s="78"/>
      <c r="D15" s="25">
        <v>26</v>
      </c>
      <c r="E15" s="24">
        <v>1</v>
      </c>
    </row>
    <row r="16" spans="1:5" ht="15" customHeight="1">
      <c r="B16" s="5"/>
      <c r="C16" s="32"/>
      <c r="D16" s="32"/>
      <c r="E16" s="32"/>
    </row>
    <row r="17" spans="2:6" ht="15" customHeight="1">
      <c r="B17" s="1"/>
      <c r="C17" s="3" t="s">
        <v>59</v>
      </c>
      <c r="D17"/>
      <c r="E17"/>
      <c r="F17" s="1"/>
    </row>
    <row r="18" spans="2:6" ht="15" customHeight="1">
      <c r="B18" s="1"/>
      <c r="C18" s="5" t="s">
        <v>2</v>
      </c>
      <c r="D18"/>
      <c r="E18"/>
      <c r="F18" s="1"/>
    </row>
    <row r="19" spans="2:6" ht="15" customHeight="1">
      <c r="B19" s="1"/>
      <c r="C19" s="4" t="s">
        <v>1</v>
      </c>
      <c r="D19"/>
      <c r="E19"/>
      <c r="F19" s="1"/>
    </row>
    <row r="20" spans="2:6" ht="15" customHeight="1">
      <c r="B20" s="1"/>
      <c r="C20" s="3" t="s">
        <v>0</v>
      </c>
      <c r="D20"/>
      <c r="E20"/>
      <c r="F20" s="1"/>
    </row>
    <row r="21" spans="2:6" ht="15" customHeight="1">
      <c r="B21" s="1"/>
      <c r="C21" s="3" t="s">
        <v>60</v>
      </c>
      <c r="D21"/>
      <c r="E21"/>
      <c r="F21" s="1"/>
    </row>
    <row r="465" spans="2:2" s="21" customFormat="1" ht="15" customHeight="1">
      <c r="B465" s="22"/>
    </row>
    <row r="466" spans="2:2" s="21" customFormat="1" ht="15" customHeight="1">
      <c r="B466" s="23"/>
    </row>
    <row r="467" spans="2:2" s="21" customFormat="1" ht="15" customHeight="1">
      <c r="B467" s="23"/>
    </row>
    <row r="468" spans="2:2" s="21" customFormat="1" ht="15" customHeight="1">
      <c r="B468" s="22"/>
    </row>
    <row r="469" spans="2:2" s="21" customFormat="1" ht="15" customHeight="1">
      <c r="B469" s="22"/>
    </row>
  </sheetData>
  <mergeCells count="4">
    <mergeCell ref="B13:B14"/>
    <mergeCell ref="B15:C15"/>
    <mergeCell ref="B7:E8"/>
    <mergeCell ref="B10:B12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A1:E22"/>
  <sheetViews>
    <sheetView showGridLines="0" tabSelected="1" zoomScaleNormal="100" zoomScaleSheetLayoutView="115" workbookViewId="0">
      <selection activeCell="E22" sqref="E22"/>
    </sheetView>
  </sheetViews>
  <sheetFormatPr baseColWidth="10" defaultColWidth="11.42578125" defaultRowHeight="1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1:5" s="13" customFormat="1" ht="15" customHeight="1">
      <c r="C1" s="19"/>
    </row>
    <row r="2" spans="1:5" s="13" customFormat="1" ht="15" customHeight="1">
      <c r="C2" s="19"/>
    </row>
    <row r="3" spans="1:5" s="13" customFormat="1" ht="15" customHeight="1">
      <c r="C3" s="19"/>
    </row>
    <row r="4" spans="1:5" s="13" customFormat="1" ht="30" customHeight="1">
      <c r="C4" s="19"/>
      <c r="D4" s="18"/>
    </row>
    <row r="5" spans="1:5" s="13" customFormat="1" ht="15" customHeight="1">
      <c r="C5" s="19"/>
      <c r="D5" s="18"/>
    </row>
    <row r="6" spans="1:5" s="13" customFormat="1" ht="15" customHeight="1">
      <c r="C6" s="19"/>
      <c r="D6" s="18"/>
    </row>
    <row r="7" spans="1:5" s="13" customFormat="1" ht="15" customHeight="1">
      <c r="B7" s="72" t="s">
        <v>74</v>
      </c>
      <c r="C7" s="72"/>
      <c r="D7" s="72"/>
    </row>
    <row r="8" spans="1:5" s="13" customFormat="1" ht="15" customHeight="1">
      <c r="B8" s="72"/>
      <c r="C8" s="72"/>
      <c r="D8" s="72"/>
    </row>
    <row r="9" spans="1:5" s="13" customFormat="1" ht="33" customHeight="1">
      <c r="B9" s="72"/>
      <c r="C9" s="72"/>
      <c r="D9" s="72"/>
    </row>
    <row r="10" spans="1:5" s="13" customFormat="1" ht="4.5" customHeight="1">
      <c r="B10" s="17"/>
      <c r="C10" s="17"/>
      <c r="D10" s="17"/>
    </row>
    <row r="11" spans="1:5" s="13" customFormat="1" ht="33" customHeight="1">
      <c r="B11" s="16" t="s">
        <v>43</v>
      </c>
      <c r="C11" s="15" t="s">
        <v>12</v>
      </c>
      <c r="D11" s="14" t="s">
        <v>11</v>
      </c>
    </row>
    <row r="12" spans="1:5">
      <c r="B12" s="11" t="s">
        <v>42</v>
      </c>
      <c r="C12" s="10">
        <v>20</v>
      </c>
      <c r="D12" s="9">
        <v>0.76923076923076927</v>
      </c>
    </row>
    <row r="13" spans="1:5">
      <c r="B13" s="11" t="s">
        <v>41</v>
      </c>
      <c r="C13" s="10">
        <v>4</v>
      </c>
      <c r="D13" s="9">
        <v>0.15384615384615385</v>
      </c>
    </row>
    <row r="14" spans="1:5">
      <c r="A14" s="12"/>
      <c r="B14" s="11" t="s">
        <v>40</v>
      </c>
      <c r="C14" s="10">
        <v>1</v>
      </c>
      <c r="D14" s="9">
        <v>3.8461538461538464E-2</v>
      </c>
      <c r="E14" s="12"/>
    </row>
    <row r="15" spans="1:5">
      <c r="A15" s="12"/>
      <c r="B15" s="11" t="s">
        <v>39</v>
      </c>
      <c r="C15" s="10">
        <v>1</v>
      </c>
      <c r="D15" s="9">
        <v>3.8461538461538464E-2</v>
      </c>
      <c r="E15" s="12"/>
    </row>
    <row r="16" spans="1:5">
      <c r="B16" s="8" t="s">
        <v>3</v>
      </c>
      <c r="C16" s="7">
        <v>26</v>
      </c>
      <c r="D16" s="6">
        <v>1</v>
      </c>
    </row>
    <row r="17" spans="2:4">
      <c r="B17" s="4"/>
      <c r="C17" s="44"/>
      <c r="D17" s="44"/>
    </row>
    <row r="18" spans="2:4">
      <c r="B18" s="3" t="s">
        <v>59</v>
      </c>
      <c r="C18"/>
      <c r="D18"/>
    </row>
    <row r="19" spans="2:4">
      <c r="B19" s="5" t="s">
        <v>2</v>
      </c>
      <c r="C19"/>
      <c r="D19"/>
    </row>
    <row r="20" spans="2:4">
      <c r="B20" s="4" t="s">
        <v>1</v>
      </c>
      <c r="C20"/>
      <c r="D20"/>
    </row>
    <row r="21" spans="2:4">
      <c r="B21" s="3" t="s">
        <v>0</v>
      </c>
      <c r="C21"/>
      <c r="D21"/>
    </row>
    <row r="22" spans="2:4">
      <c r="B22" s="3" t="s">
        <v>60</v>
      </c>
      <c r="C22"/>
      <c r="D2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13</vt:i4>
      </vt:variant>
    </vt:vector>
  </HeadingPairs>
  <TitlesOfParts>
    <vt:vector size="22" baseType="lpstr">
      <vt:lpstr>Índice</vt:lpstr>
      <vt:lpstr>Vermont_Edomexgral</vt:lpstr>
      <vt:lpstr>Vermont_EDOMEX</vt:lpstr>
      <vt:lpstr>Vermont_Educagral</vt:lpstr>
      <vt:lpstr>Vermont_Eduedo</vt:lpstr>
      <vt:lpstr>Vermont_gengral</vt:lpstr>
      <vt:lpstr>Vermont_edomexgen</vt:lpstr>
      <vt:lpstr>Vermont_edadgen</vt:lpstr>
      <vt:lpstr>Vermont_ocupgral</vt:lpstr>
      <vt:lpstr>Índice!Área_de_impresión</vt:lpstr>
      <vt:lpstr>Vermont_edadgen!Área_de_impresión</vt:lpstr>
      <vt:lpstr>Vermont_EDOMEX!Área_de_impresión</vt:lpstr>
      <vt:lpstr>Vermont_edomexgen!Área_de_impresión</vt:lpstr>
      <vt:lpstr>Vermont_Eduedo!Área_de_impresión</vt:lpstr>
      <vt:lpstr>Vermont_edadgen!Títulos_a_imprimir</vt:lpstr>
      <vt:lpstr>Vermont_EDOMEX!Títulos_a_imprimir</vt:lpstr>
      <vt:lpstr>Vermont_edomexgen!Títulos_a_imprimir</vt:lpstr>
      <vt:lpstr>Vermont_Edomexgral!Títulos_a_imprimir</vt:lpstr>
      <vt:lpstr>Vermont_Educagral!Títulos_a_imprimir</vt:lpstr>
      <vt:lpstr>Vermont_Eduedo!Títulos_a_imprimir</vt:lpstr>
      <vt:lpstr>Vermont_gengral!Títulos_a_imprimir</vt:lpstr>
      <vt:lpstr>Vermont_ocupgral!Títulos_a_imprimir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2020-05-18T09:27:24Z</dcterms:created>
  <dcterms:modified xsi:type="dcterms:W3CDTF">2023-09-14T18:34:47Z</dcterms:modified>
</cp:coreProperties>
</file>