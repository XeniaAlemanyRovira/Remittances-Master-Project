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758" firstSheet="6" activeTab="8"/>
  </bookViews>
  <sheets>
    <sheet name="Índice" sheetId="1" r:id="rId1"/>
    <sheet name="Maine_Edomexgral" sheetId="2" r:id="rId2"/>
    <sheet name="Maine_EDOMEX" sheetId="11" r:id="rId3"/>
    <sheet name="Maine_Educagral" sheetId="4" r:id="rId4"/>
    <sheet name="Maine_Eduedo" sheetId="10" r:id="rId5"/>
    <sheet name="Maine_gengral" sheetId="6" r:id="rId6"/>
    <sheet name="Maine_edomexgen" sheetId="7" r:id="rId7"/>
    <sheet name="Maine_edadgen" sheetId="8" r:id="rId8"/>
    <sheet name="Maine_ocupgral" sheetId="9" r:id="rId9"/>
  </sheets>
  <definedNames>
    <definedName name="_xlnm._FilterDatabase" localSheetId="7" hidden="1">Maine_edadgen!$B$9:$E$9</definedName>
    <definedName name="_xlnm._FilterDatabase" localSheetId="2" hidden="1">Maine_EDOMEX!$B$9:$E$9</definedName>
    <definedName name="_xlnm._FilterDatabase" localSheetId="6" hidden="1">Maine_edomexgen!$B$9:$E$9</definedName>
    <definedName name="_xlnm._FilterDatabase" localSheetId="1" hidden="1">Maine_Edomexgral!$B$11:$D$11</definedName>
    <definedName name="_xlnm._FilterDatabase" localSheetId="3" hidden="1">Maine_Educagral!$B$11:$D$11</definedName>
    <definedName name="_xlnm._FilterDatabase" localSheetId="4" hidden="1">Maine_Eduedo!$B$9:$E$9</definedName>
    <definedName name="_xlnm._FilterDatabase" localSheetId="5" hidden="1">Maine_gengral!$B$11:$D$11</definedName>
    <definedName name="_xlnm._FilterDatabase" localSheetId="8" hidden="1">Maine_ocupgral!$B$11:$D$11</definedName>
    <definedName name="_xlnm.Print_Area" localSheetId="7">Maine_edadgen!$A$1:$E$9</definedName>
    <definedName name="_xlnm.Print_Area" localSheetId="2">Maine_EDOMEX!$A$1:$E$9</definedName>
    <definedName name="_xlnm.Print_Area" localSheetId="6">Maine_edomexgen!$A$1:$E$9</definedName>
    <definedName name="_xlnm.Print_Area" localSheetId="4">Maine_Eduedo!$A$1:$E$9</definedName>
    <definedName name="_xlnm.Print_Titles" localSheetId="7">Maine_edadgen!$1:$9</definedName>
    <definedName name="_xlnm.Print_Titles" localSheetId="2">Maine_EDOMEX!$1:$9</definedName>
    <definedName name="_xlnm.Print_Titles" localSheetId="6">Maine_edomexgen!$1:$9</definedName>
    <definedName name="_xlnm.Print_Titles" localSheetId="1">Maine_Edomexgral!$1:$11</definedName>
    <definedName name="_xlnm.Print_Titles" localSheetId="3">Maine_Educagral!$1:$11</definedName>
    <definedName name="_xlnm.Print_Titles" localSheetId="4">Maine_Eduedo!$1:$9</definedName>
    <definedName name="_xlnm.Print_Titles" localSheetId="5">Maine_gengral!$1:$11</definedName>
    <definedName name="_xlnm.Print_Titles" localSheetId="8">Maine_ocupgral!$1:$11</definedName>
  </definedNames>
  <calcPr calcId="152511"/>
</workbook>
</file>

<file path=xl/calcChain.xml><?xml version="1.0" encoding="utf-8"?>
<calcChain xmlns="http://schemas.openxmlformats.org/spreadsheetml/2006/main">
  <c r="D34" i="7" l="1"/>
  <c r="D36" i="11" l="1"/>
</calcChain>
</file>

<file path=xl/sharedStrings.xml><?xml version="1.0" encoding="utf-8"?>
<sst xmlns="http://schemas.openxmlformats.org/spreadsheetml/2006/main" count="230" uniqueCount="81">
  <si>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</si>
  <si>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</si>
  <si>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</si>
  <si>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</si>
  <si>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</si>
  <si>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</si>
  <si>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</si>
  <si>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</si>
  <si>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</si>
  <si>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</si>
  <si>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</si>
  <si>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</si>
  <si>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</si>
  <si>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</si>
  <si>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</si>
  <si>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</si>
  <si>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Michoacán</t>
  </si>
  <si>
    <t>Estado de México</t>
  </si>
  <si>
    <t>Guanajuato</t>
  </si>
  <si>
    <t>Jalisco</t>
  </si>
  <si>
    <t>Guerrero</t>
  </si>
  <si>
    <t>Veracruz</t>
  </si>
  <si>
    <t>Puebla</t>
  </si>
  <si>
    <t>Porcentaje de Matrículas</t>
  </si>
  <si>
    <t>Número de Matrículas</t>
  </si>
  <si>
    <t>Estado de Origen</t>
  </si>
  <si>
    <t>Atzalan</t>
  </si>
  <si>
    <t>Guadalajara</t>
  </si>
  <si>
    <t>Atlixtac</t>
  </si>
  <si>
    <t>Municipio Origen</t>
  </si>
  <si>
    <t>Preparatoria con certificado</t>
  </si>
  <si>
    <t>Secundaria con certificado</t>
  </si>
  <si>
    <t>3° Secundaria</t>
  </si>
  <si>
    <t>Primaria con certificado</t>
  </si>
  <si>
    <t>6° Primaria</t>
  </si>
  <si>
    <t>Nivel de Estudios</t>
  </si>
  <si>
    <t>MATRÍCULAS CONSULARES EXPEDIDAS EN EL ESTADO DE MAINE EN EE.UU. POR NIVEL DE EDUCACIÓN</t>
  </si>
  <si>
    <t>TOTAL</t>
  </si>
  <si>
    <t>MUJER</t>
  </si>
  <si>
    <t>HOMBRE</t>
  </si>
  <si>
    <t>Género</t>
  </si>
  <si>
    <t>Mujer</t>
  </si>
  <si>
    <t>Hombre</t>
  </si>
  <si>
    <t>Entre 40 y 49 Años</t>
  </si>
  <si>
    <t>Entre 29 y 39 Años</t>
  </si>
  <si>
    <t>Entre 18 y 28 Años</t>
  </si>
  <si>
    <t>Edad cumplida</t>
  </si>
  <si>
    <t>Mesero(a)</t>
  </si>
  <si>
    <t>Hogar</t>
  </si>
  <si>
    <t>Campesino(a)</t>
  </si>
  <si>
    <t>Empleado(a)</t>
  </si>
  <si>
    <t>Ocupación</t>
  </si>
  <si>
    <t>Matrículas consulares expedidas a mexicanos  en el estado Maine en el 2020</t>
  </si>
  <si>
    <t>MATRÍCULAS CONSULARES DE ALTA SEGURIDAD EXPEDIDAS EN EL ESTADO DE MAINE EN EE.UU. POR ESTADO DE LA REPÚBLICA MEXICANA DURANTE EL 2020</t>
  </si>
  <si>
    <t>Oaxaca</t>
  </si>
  <si>
    <t>Ciudad de México</t>
  </si>
  <si>
    <t>Hidalgo</t>
  </si>
  <si>
    <t>Nayarit</t>
  </si>
  <si>
    <t>Tamaño de la muestra: 497,795</t>
  </si>
  <si>
    <t>Octubre de 2021</t>
  </si>
  <si>
    <t>Sin Estudios</t>
  </si>
  <si>
    <t>Profesional Titulado</t>
  </si>
  <si>
    <t>Miguel Hidalgo</t>
  </si>
  <si>
    <t>Naucalpan de Juárez</t>
  </si>
  <si>
    <t>Temascaltepec</t>
  </si>
  <si>
    <t>GUANAJUATO</t>
  </si>
  <si>
    <t>Celaya</t>
  </si>
  <si>
    <t>Manuel Doblado</t>
  </si>
  <si>
    <t>Guerero</t>
  </si>
  <si>
    <t>Progreso de Obregón</t>
  </si>
  <si>
    <t>Tiquicheo de Nicolás Romero</t>
  </si>
  <si>
    <t>Compostela</t>
  </si>
  <si>
    <t>San Agustín Loxicha</t>
  </si>
  <si>
    <t>San Lorenzo</t>
  </si>
  <si>
    <t>Villa de Zaachila</t>
  </si>
  <si>
    <t>Jolalpan</t>
  </si>
  <si>
    <t>Profesional titulado</t>
  </si>
  <si>
    <t>MATRÍCULAS CONSULARES DE ALTA SEGURIDAD EXPEDIDAS EN EE.UU A MEXICANOS EN EL ESTADO DE MAINE, POR GÉNERO 2020</t>
  </si>
  <si>
    <t>MATRÍCULAS CONSULARES DE ALTA SEGURIDAD EXPEDIDAS EN EE.UU A MEXICANOS EN EL ESTADO DE  MAINE, POR PERFIL OCUPACIONAL 2020</t>
  </si>
  <si>
    <t>Cocinero(a)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</si>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</sst>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15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49" fontId="19" fillId="3" borderId="9" xfId="3" applyNumberFormat="1" applyFont="1" applyFill="1" applyBorder="1" applyAlignment="1">
      <alignment horizontal="center" vertical="center" wrapText="1"/>
    </xf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3" fontId="12" fillId="3" borderId="0" xfId="0" applyNumberFormat="1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9" fillId="6" borderId="13" xfId="0" applyNumberFormat="1" applyFont="1" applyFill="1" applyBorder="1" applyAlignment="1">
      <alignment horizontal="center" vertical="center" wrapText="1"/>
    </xf>
    <xf numFmtId="49" fontId="9" fillId="6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207870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52575"/>
          <a:ext cx="654972" cy="16024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MAINE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183931</xdr:rowOff>
    </xdr:from>
    <xdr:to>
      <xdr:col>4</xdr:col>
      <xdr:colOff>1057321</xdr:colOff>
      <xdr:row>7</xdr:row>
      <xdr:rowOff>363226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924707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MAINE,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450082</xdr:colOff>
      <xdr:row>7</xdr:row>
      <xdr:rowOff>104670</xdr:rowOff>
    </xdr:from>
    <xdr:to>
      <xdr:col>4</xdr:col>
      <xdr:colOff>1004087</xdr:colOff>
      <xdr:row>7</xdr:row>
      <xdr:rowOff>299058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4582" y="1438170"/>
          <a:ext cx="554005" cy="896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142875</xdr:rowOff>
    </xdr:from>
    <xdr:to>
      <xdr:col>5</xdr:col>
      <xdr:colOff>45372</xdr:colOff>
      <xdr:row>8</xdr:row>
      <xdr:rowOff>131670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6668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MAINE,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111672</xdr:rowOff>
    </xdr:from>
    <xdr:to>
      <xdr:col>4</xdr:col>
      <xdr:colOff>1031045</xdr:colOff>
      <xdr:row>7</xdr:row>
      <xdr:rowOff>290967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52448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MAINE,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152400</xdr:rowOff>
    </xdr:from>
    <xdr:to>
      <xdr:col>4</xdr:col>
      <xdr:colOff>1055022</xdr:colOff>
      <xdr:row>7</xdr:row>
      <xdr:rowOff>331695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8954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152400</xdr:rowOff>
    </xdr:from>
    <xdr:to>
      <xdr:col>5</xdr:col>
      <xdr:colOff>7272</xdr:colOff>
      <xdr:row>8</xdr:row>
      <xdr:rowOff>141195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764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146" t="s">
        <v>52</v>
      </c>
      <c r="B1" s="147"/>
      <c r="C1" s="147"/>
      <c r="D1" s="148"/>
    </row>
    <row r="2" spans="1:4" ht="18.75">
      <c r="A2" s="2"/>
      <c r="B2" s="3"/>
      <c r="C2" s="3"/>
      <c r="D2" s="4"/>
    </row>
    <row r="3" spans="1:4">
      <c r="A3" s="149" t="s">
        <v>0</v>
      </c>
      <c r="B3" s="150"/>
      <c r="C3" s="150"/>
      <c r="D3" s="151"/>
    </row>
    <row r="4" spans="1:4">
      <c r="A4" s="149"/>
      <c r="B4" s="150"/>
      <c r="C4" s="150"/>
      <c r="D4" s="151"/>
    </row>
    <row r="5" spans="1:4" ht="18.75">
      <c r="A5" s="5"/>
      <c r="B5" s="6"/>
      <c r="C5" s="6"/>
      <c r="D5" s="7"/>
    </row>
    <row r="6" spans="1:4" ht="18.75">
      <c r="A6" s="145" t="s">
        <v>1</v>
      </c>
      <c r="B6" s="143"/>
      <c r="C6" s="143"/>
      <c r="D6" s="14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143" t="s">
        <v>3</v>
      </c>
      <c r="C9" s="143"/>
      <c r="D9" s="14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143" t="s">
        <v>5</v>
      </c>
      <c r="C11" s="143"/>
      <c r="D11" s="144"/>
    </row>
    <row r="12" spans="1:4" ht="18.75">
      <c r="A12" s="11"/>
      <c r="B12" s="143" t="s">
        <v>6</v>
      </c>
      <c r="C12" s="143"/>
      <c r="D12" s="14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143" t="s">
        <v>8</v>
      </c>
      <c r="C15" s="143"/>
      <c r="D15" s="144"/>
    </row>
    <row r="16" spans="1:4" ht="18.75">
      <c r="A16" s="11"/>
      <c r="B16" s="143" t="s">
        <v>9</v>
      </c>
      <c r="C16" s="143"/>
      <c r="D16" s="144"/>
    </row>
    <row r="17" spans="1:4" ht="18.75">
      <c r="A17" s="11"/>
      <c r="B17" s="12"/>
      <c r="C17" s="12"/>
      <c r="D17" s="13"/>
    </row>
    <row r="18" spans="1:4" ht="18.75">
      <c r="A18" s="145" t="s">
        <v>10</v>
      </c>
      <c r="B18" s="143"/>
      <c r="C18" s="143"/>
      <c r="D18" s="144"/>
    </row>
    <row r="19" spans="1:4" ht="18.75">
      <c r="A19" s="11"/>
      <c r="B19" s="12"/>
      <c r="C19" s="12"/>
      <c r="D19" s="13"/>
    </row>
    <row r="20" spans="1:4" ht="18.75">
      <c r="A20" s="145" t="s">
        <v>11</v>
      </c>
      <c r="B20" s="143"/>
      <c r="C20" s="143"/>
      <c r="D20" s="144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ine_Edomexgral!A1" display="1. Por Estados de la República Mexicana"/>
    <hyperlink ref="B9" location="Alabama_EDOMEX!Área_de_impresión" display="2.1 Por estado de la República Mexicana y municipio de origen"/>
    <hyperlink ref="B11:D11" location="Maine_Educagral!A1" display="3.1 Educación general"/>
    <hyperlink ref="B12:D12" location="Maine_Eduedo!A1" display="3.2 Por Estado de la República Mexicana"/>
    <hyperlink ref="B15:D15" location="Maine_gengral!A1" display="4.1 Género General"/>
    <hyperlink ref="B16:D16" location="Maine_edomexgen!A1" display="4.2 Por Estados de la República Mexicana"/>
    <hyperlink ref="A18:D18" location="Maine_edadgen!A1" display="5. Por estructura de Edad"/>
    <hyperlink ref="A20:D20" location="Maine_ocupgral!A1" display="6. Por Ocupación"/>
    <hyperlink ref="B9:D9" location="Maine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29"/>
  <sheetViews>
    <sheetView showGridLines="0" zoomScaleNormal="100" zoomScaleSheetLayoutView="115" workbookViewId="0">
      <selection activeCell="D23" sqref="D23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53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25</v>
      </c>
      <c r="C11" s="29" t="s">
        <v>24</v>
      </c>
      <c r="D11" s="28" t="s">
        <v>23</v>
      </c>
    </row>
    <row r="12" spans="1:5">
      <c r="B12" s="25" t="s">
        <v>19</v>
      </c>
      <c r="C12" s="24">
        <v>3</v>
      </c>
      <c r="D12" s="23">
        <v>0.17647058823529413</v>
      </c>
    </row>
    <row r="13" spans="1:5">
      <c r="B13" s="25" t="s">
        <v>54</v>
      </c>
      <c r="C13" s="24">
        <v>3</v>
      </c>
      <c r="D13" s="23">
        <v>0.17647058823529413</v>
      </c>
    </row>
    <row r="14" spans="1:5">
      <c r="A14" s="26"/>
      <c r="B14" s="25" t="s">
        <v>17</v>
      </c>
      <c r="C14" s="24">
        <v>2</v>
      </c>
      <c r="D14" s="23">
        <v>0.11764705882352941</v>
      </c>
      <c r="E14" s="26"/>
    </row>
    <row r="15" spans="1:5">
      <c r="A15" s="26"/>
      <c r="B15" s="25" t="s">
        <v>18</v>
      </c>
      <c r="C15" s="24">
        <v>2</v>
      </c>
      <c r="D15" s="23">
        <v>0.11764705882352941</v>
      </c>
      <c r="E15" s="26"/>
    </row>
    <row r="16" spans="1:5">
      <c r="B16" s="25" t="s">
        <v>55</v>
      </c>
      <c r="C16" s="24">
        <v>1</v>
      </c>
      <c r="D16" s="23">
        <v>5.8823529411764705E-2</v>
      </c>
    </row>
    <row r="17" spans="2:4">
      <c r="B17" s="25" t="s">
        <v>20</v>
      </c>
      <c r="C17" s="24">
        <v>1</v>
      </c>
      <c r="D17" s="23">
        <v>5.8823529411764705E-2</v>
      </c>
    </row>
    <row r="18" spans="2:4">
      <c r="B18" s="25" t="s">
        <v>56</v>
      </c>
      <c r="C18" s="24">
        <v>1</v>
      </c>
      <c r="D18" s="23">
        <v>5.8823529411764705E-2</v>
      </c>
    </row>
    <row r="19" spans="2:4">
      <c r="B19" s="25" t="s">
        <v>16</v>
      </c>
      <c r="C19" s="24">
        <v>1</v>
      </c>
      <c r="D19" s="23">
        <v>5.8823529411764705E-2</v>
      </c>
    </row>
    <row r="20" spans="2:4">
      <c r="B20" s="25" t="s">
        <v>57</v>
      </c>
      <c r="C20" s="24">
        <v>1</v>
      </c>
      <c r="D20" s="23">
        <v>5.8823529411764705E-2</v>
      </c>
    </row>
    <row r="21" spans="2:4">
      <c r="B21" s="25" t="s">
        <v>22</v>
      </c>
      <c r="C21" s="24">
        <v>1</v>
      </c>
      <c r="D21" s="23">
        <v>5.8823529411764705E-2</v>
      </c>
    </row>
    <row r="22" spans="2:4">
      <c r="B22" s="25" t="s">
        <v>21</v>
      </c>
      <c r="C22" s="24">
        <v>1</v>
      </c>
      <c r="D22" s="23">
        <v>5.8823529411764705E-2</v>
      </c>
    </row>
    <row r="23" spans="2:4">
      <c r="B23" s="22" t="s">
        <v>15</v>
      </c>
      <c r="C23" s="21">
        <v>17</v>
      </c>
      <c r="D23" s="20">
        <v>1</v>
      </c>
    </row>
    <row r="25" spans="2:4">
      <c r="B25" s="54" t="s">
        <v>58</v>
      </c>
      <c r="C25" s="51"/>
      <c r="D25" s="51"/>
    </row>
    <row r="26" spans="2:4">
      <c r="B26" s="56" t="s">
        <v>14</v>
      </c>
      <c r="C26" s="51"/>
      <c r="D26" s="51"/>
    </row>
    <row r="27" spans="2:4">
      <c r="B27" s="55" t="s">
        <v>13</v>
      </c>
      <c r="C27" s="51"/>
      <c r="D27" s="51"/>
    </row>
    <row r="28" spans="2:4">
      <c r="B28" s="54" t="s">
        <v>12</v>
      </c>
      <c r="C28" s="51"/>
      <c r="D28" s="51"/>
    </row>
    <row r="29" spans="2:4">
      <c r="B29" s="54" t="s">
        <v>59</v>
      </c>
      <c r="C29" s="51"/>
      <c r="D29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47"/>
  <sheetViews>
    <sheetView topLeftCell="A20" zoomScaleNormal="100" zoomScaleSheetLayoutView="100" workbookViewId="0">
      <selection activeCell="D36" sqref="D3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25</v>
      </c>
      <c r="C9" s="41" t="s">
        <v>29</v>
      </c>
      <c r="D9" s="40" t="s">
        <v>24</v>
      </c>
      <c r="E9" s="39" t="s">
        <v>23</v>
      </c>
    </row>
    <row r="10" spans="1:5" ht="15" customHeight="1">
      <c r="B10" s="153" t="s">
        <v>55</v>
      </c>
      <c r="C10" s="76" t="s">
        <v>62</v>
      </c>
      <c r="D10" s="75">
        <v>1</v>
      </c>
      <c r="E10" s="74">
        <v>5.8823529411764705E-2</v>
      </c>
    </row>
    <row r="11" spans="1:5" ht="15" customHeight="1">
      <c r="B11" s="154"/>
      <c r="C11" s="73" t="s">
        <v>15</v>
      </c>
      <c r="D11" s="72">
        <v>1</v>
      </c>
      <c r="E11" s="71">
        <v>5.8823529411764705E-2</v>
      </c>
    </row>
    <row r="12" spans="1:5" ht="15" customHeight="1">
      <c r="B12" s="153" t="s">
        <v>17</v>
      </c>
      <c r="C12" s="76" t="s">
        <v>63</v>
      </c>
      <c r="D12" s="75">
        <v>1</v>
      </c>
      <c r="E12" s="74">
        <v>5.8823529411764705E-2</v>
      </c>
    </row>
    <row r="13" spans="1:5" ht="15" customHeight="1">
      <c r="B13" s="155"/>
      <c r="C13" s="76" t="s">
        <v>64</v>
      </c>
      <c r="D13" s="75">
        <v>1</v>
      </c>
      <c r="E13" s="74">
        <v>5.8823529411764705E-2</v>
      </c>
    </row>
    <row r="14" spans="1:5" ht="15" customHeight="1">
      <c r="B14" s="154"/>
      <c r="C14" s="73" t="s">
        <v>15</v>
      </c>
      <c r="D14" s="72">
        <v>2</v>
      </c>
      <c r="E14" s="71">
        <v>0.11764705882352941</v>
      </c>
    </row>
    <row r="15" spans="1:5" ht="15" customHeight="1">
      <c r="B15" s="153" t="s">
        <v>65</v>
      </c>
      <c r="C15" s="76" t="s">
        <v>66</v>
      </c>
      <c r="D15" s="75">
        <v>1</v>
      </c>
      <c r="E15" s="74">
        <v>5.8823529411764705E-2</v>
      </c>
    </row>
    <row r="16" spans="1:5" ht="15" customHeight="1">
      <c r="B16" s="154"/>
      <c r="C16" s="76" t="s">
        <v>67</v>
      </c>
      <c r="D16" s="75">
        <v>1</v>
      </c>
      <c r="E16" s="74">
        <v>5.8823529411764705E-2</v>
      </c>
    </row>
    <row r="17" spans="2:5" ht="15" customHeight="1">
      <c r="B17" s="50" t="s">
        <v>18</v>
      </c>
      <c r="C17" s="73" t="s">
        <v>15</v>
      </c>
      <c r="D17" s="72">
        <v>2</v>
      </c>
      <c r="E17" s="71">
        <v>0.11764705882352941</v>
      </c>
    </row>
    <row r="18" spans="2:5" ht="15" customHeight="1">
      <c r="B18" s="153" t="s">
        <v>68</v>
      </c>
      <c r="C18" s="76" t="s">
        <v>28</v>
      </c>
      <c r="D18" s="75">
        <v>1</v>
      </c>
      <c r="E18" s="74">
        <v>5.8823529411764705E-2</v>
      </c>
    </row>
    <row r="19" spans="2:5" ht="15" customHeight="1">
      <c r="B19" s="154"/>
      <c r="C19" s="73" t="s">
        <v>15</v>
      </c>
      <c r="D19" s="72">
        <v>1</v>
      </c>
      <c r="E19" s="71">
        <v>5.8823529411764705E-2</v>
      </c>
    </row>
    <row r="20" spans="2:5" ht="15" customHeight="1">
      <c r="B20" s="153" t="s">
        <v>56</v>
      </c>
      <c r="C20" s="76" t="s">
        <v>69</v>
      </c>
      <c r="D20" s="75">
        <v>1</v>
      </c>
      <c r="E20" s="74">
        <v>5.8823529411764705E-2</v>
      </c>
    </row>
    <row r="21" spans="2:5" ht="15" customHeight="1">
      <c r="B21" s="154"/>
      <c r="C21" s="73" t="s">
        <v>15</v>
      </c>
      <c r="D21" s="72">
        <v>1</v>
      </c>
      <c r="E21" s="71">
        <v>5.8823529411764705E-2</v>
      </c>
    </row>
    <row r="22" spans="2:5" ht="15" customHeight="1">
      <c r="B22" s="153" t="s">
        <v>19</v>
      </c>
      <c r="C22" s="76" t="s">
        <v>27</v>
      </c>
      <c r="D22" s="75">
        <v>3</v>
      </c>
      <c r="E22" s="74">
        <v>0.17647058823529413</v>
      </c>
    </row>
    <row r="23" spans="2:5" ht="15" customHeight="1">
      <c r="B23" s="154"/>
      <c r="C23" s="73" t="s">
        <v>15</v>
      </c>
      <c r="D23" s="72">
        <v>3</v>
      </c>
      <c r="E23" s="71">
        <v>0.17647058823529413</v>
      </c>
    </row>
    <row r="24" spans="2:5" ht="15" customHeight="1">
      <c r="B24" s="153" t="s">
        <v>16</v>
      </c>
      <c r="C24" s="76" t="s">
        <v>70</v>
      </c>
      <c r="D24" s="75">
        <v>1</v>
      </c>
      <c r="E24" s="74">
        <v>5.8823529411764705E-2</v>
      </c>
    </row>
    <row r="25" spans="2:5" ht="15" customHeight="1">
      <c r="B25" s="154"/>
      <c r="C25" s="73" t="s">
        <v>15</v>
      </c>
      <c r="D25" s="72">
        <v>1</v>
      </c>
      <c r="E25" s="71">
        <v>5.8823529411764705E-2</v>
      </c>
    </row>
    <row r="26" spans="2:5" ht="15" customHeight="1">
      <c r="B26" s="153" t="s">
        <v>57</v>
      </c>
      <c r="C26" s="76" t="s">
        <v>71</v>
      </c>
      <c r="D26" s="75">
        <v>1</v>
      </c>
      <c r="E26" s="74">
        <v>5.8823529411764705E-2</v>
      </c>
    </row>
    <row r="27" spans="2:5" ht="15" customHeight="1">
      <c r="B27" s="154"/>
      <c r="C27" s="73" t="s">
        <v>15</v>
      </c>
      <c r="D27" s="72">
        <v>1</v>
      </c>
      <c r="E27" s="71">
        <v>5.8823529411764705E-2</v>
      </c>
    </row>
    <row r="28" spans="2:5" ht="15" customHeight="1">
      <c r="B28" s="153" t="s">
        <v>54</v>
      </c>
      <c r="C28" s="76" t="s">
        <v>72</v>
      </c>
      <c r="D28" s="75">
        <v>1</v>
      </c>
      <c r="E28" s="74">
        <v>5.8823529411764705E-2</v>
      </c>
    </row>
    <row r="29" spans="2:5" ht="15" customHeight="1">
      <c r="B29" s="155"/>
      <c r="C29" s="76" t="s">
        <v>73</v>
      </c>
      <c r="D29" s="75">
        <v>1</v>
      </c>
      <c r="E29" s="74">
        <v>5.8823529411764705E-2</v>
      </c>
    </row>
    <row r="30" spans="2:5" ht="15" customHeight="1">
      <c r="B30" s="155"/>
      <c r="C30" s="76" t="s">
        <v>74</v>
      </c>
      <c r="D30" s="75">
        <v>1</v>
      </c>
      <c r="E30" s="74">
        <v>5.8823529411764705E-2</v>
      </c>
    </row>
    <row r="31" spans="2:5" ht="15" customHeight="1">
      <c r="B31" s="154"/>
      <c r="C31" s="73" t="s">
        <v>15</v>
      </c>
      <c r="D31" s="72">
        <v>3</v>
      </c>
      <c r="E31" s="71">
        <v>0.17647058823529413</v>
      </c>
    </row>
    <row r="32" spans="2:5" ht="15" customHeight="1">
      <c r="B32" s="153" t="s">
        <v>22</v>
      </c>
      <c r="C32" s="76" t="s">
        <v>75</v>
      </c>
      <c r="D32" s="75">
        <v>1</v>
      </c>
      <c r="E32" s="74">
        <v>5.8823529411764705E-2</v>
      </c>
    </row>
    <row r="33" spans="2:5" ht="15" customHeight="1">
      <c r="B33" s="154"/>
      <c r="C33" s="73" t="s">
        <v>15</v>
      </c>
      <c r="D33" s="72">
        <v>1</v>
      </c>
      <c r="E33" s="71">
        <v>5.8823529411764705E-2</v>
      </c>
    </row>
    <row r="34" spans="2:5" ht="15" customHeight="1">
      <c r="B34" s="153" t="s">
        <v>21</v>
      </c>
      <c r="C34" s="76" t="s">
        <v>26</v>
      </c>
      <c r="D34" s="75">
        <v>1</v>
      </c>
      <c r="E34" s="74">
        <v>5.8823529411764705E-2</v>
      </c>
    </row>
    <row r="35" spans="2:5" ht="15" customHeight="1">
      <c r="B35" s="154"/>
      <c r="C35" s="73" t="s">
        <v>15</v>
      </c>
      <c r="D35" s="72">
        <v>1</v>
      </c>
      <c r="E35" s="71">
        <v>5.8823529411764705E-2</v>
      </c>
    </row>
    <row r="36" spans="2:5" ht="15" customHeight="1">
      <c r="B36" s="156" t="s">
        <v>15</v>
      </c>
      <c r="C36" s="157"/>
      <c r="D36" s="70">
        <f>SUMIF(C$10:C35,"Total",D$10:D35)</f>
        <v>17</v>
      </c>
      <c r="E36" s="69">
        <v>1</v>
      </c>
    </row>
    <row r="37" spans="2:5" ht="15" customHeight="1">
      <c r="B37" s="68"/>
      <c r="C37" s="68"/>
      <c r="D37" s="68"/>
      <c r="E37" s="68"/>
    </row>
    <row r="38" spans="2:5" ht="15" customHeight="1">
      <c r="B38" s="78" t="s">
        <v>58</v>
      </c>
      <c r="C38" s="77"/>
      <c r="D38" s="77"/>
    </row>
    <row r="39" spans="2:5" ht="15" customHeight="1">
      <c r="B39" s="80" t="s">
        <v>14</v>
      </c>
      <c r="C39" s="77"/>
      <c r="D39" s="77"/>
    </row>
    <row r="40" spans="2:5" ht="15" customHeight="1">
      <c r="B40" s="79" t="s">
        <v>13</v>
      </c>
      <c r="C40" s="77"/>
      <c r="D40" s="77"/>
    </row>
    <row r="41" spans="2:5" ht="15" customHeight="1">
      <c r="B41" s="78" t="s">
        <v>12</v>
      </c>
      <c r="C41" s="77"/>
      <c r="D41" s="77"/>
    </row>
    <row r="42" spans="2:5" ht="15" customHeight="1">
      <c r="B42" s="78" t="s">
        <v>59</v>
      </c>
      <c r="C42" s="77"/>
      <c r="D42" s="77"/>
    </row>
    <row r="443" spans="1:2" s="35" customFormat="1" ht="15" customHeight="1">
      <c r="A443" s="34"/>
      <c r="B443" s="36"/>
    </row>
    <row r="444" spans="1:2" s="35" customFormat="1" ht="15" customHeight="1">
      <c r="A444" s="34"/>
      <c r="B444" s="37"/>
    </row>
    <row r="445" spans="1:2" s="35" customFormat="1" ht="15" customHeight="1">
      <c r="A445" s="34"/>
      <c r="B445" s="37"/>
    </row>
    <row r="446" spans="1:2" s="35" customFormat="1" ht="15" customHeight="1">
      <c r="A446" s="34"/>
      <c r="B446" s="36"/>
    </row>
    <row r="447" spans="1:2" s="35" customFormat="1" ht="15" customHeight="1">
      <c r="A447" s="34"/>
      <c r="B447" s="36"/>
    </row>
  </sheetData>
  <mergeCells count="13">
    <mergeCell ref="B20:B21"/>
    <mergeCell ref="B22:B23"/>
    <mergeCell ref="B24:B25"/>
    <mergeCell ref="B7:E8"/>
    <mergeCell ref="B10:B11"/>
    <mergeCell ref="B12:B14"/>
    <mergeCell ref="B15:B16"/>
    <mergeCell ref="B18:B19"/>
    <mergeCell ref="B26:B27"/>
    <mergeCell ref="B28:B31"/>
    <mergeCell ref="B32:B33"/>
    <mergeCell ref="B34:B35"/>
    <mergeCell ref="B36:C3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25"/>
  <sheetViews>
    <sheetView showGridLines="0" zoomScaleNormal="100" zoomScaleSheetLayoutView="115" workbookViewId="0">
      <selection activeCell="B30" sqref="B30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152" t="s">
        <v>36</v>
      </c>
      <c r="C7" s="152"/>
      <c r="D7" s="152"/>
    </row>
    <row r="8" spans="1:4" s="27" customFormat="1" ht="15" customHeight="1">
      <c r="B8" s="152"/>
      <c r="C8" s="152"/>
      <c r="D8" s="152"/>
    </row>
    <row r="9" spans="1:4" s="27" customFormat="1" ht="33" customHeight="1">
      <c r="B9" s="152"/>
      <c r="C9" s="152"/>
      <c r="D9" s="152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35</v>
      </c>
      <c r="C11" s="29" t="s">
        <v>24</v>
      </c>
      <c r="D11" s="28" t="s">
        <v>23</v>
      </c>
    </row>
    <row r="12" spans="1:4">
      <c r="A12" s="52"/>
      <c r="B12" s="62" t="s">
        <v>60</v>
      </c>
      <c r="C12" s="61">
        <v>1</v>
      </c>
      <c r="D12" s="60">
        <v>5.8823529411764705E-2</v>
      </c>
    </row>
    <row r="13" spans="1:4">
      <c r="A13" s="52"/>
      <c r="B13" s="62" t="s">
        <v>34</v>
      </c>
      <c r="C13" s="61">
        <v>2</v>
      </c>
      <c r="D13" s="60">
        <v>0.11764705882352941</v>
      </c>
    </row>
    <row r="14" spans="1:4">
      <c r="A14" s="63"/>
      <c r="B14" s="62" t="s">
        <v>33</v>
      </c>
      <c r="C14" s="61">
        <v>3</v>
      </c>
      <c r="D14" s="60">
        <v>0.17647058823529413</v>
      </c>
    </row>
    <row r="15" spans="1:4">
      <c r="A15" s="63"/>
      <c r="B15" s="62" t="s">
        <v>32</v>
      </c>
      <c r="C15" s="61">
        <v>2</v>
      </c>
      <c r="D15" s="60">
        <v>0.11764705882352941</v>
      </c>
    </row>
    <row r="16" spans="1:4">
      <c r="A16" s="52"/>
      <c r="B16" s="62" t="s">
        <v>31</v>
      </c>
      <c r="C16" s="61">
        <v>6</v>
      </c>
      <c r="D16" s="60">
        <v>0.35294117647058826</v>
      </c>
    </row>
    <row r="17" spans="1:4">
      <c r="A17" s="52"/>
      <c r="B17" s="62" t="s">
        <v>30</v>
      </c>
      <c r="C17" s="61">
        <v>2</v>
      </c>
      <c r="D17" s="60">
        <v>0.11764705882352941</v>
      </c>
    </row>
    <row r="18" spans="1:4">
      <c r="A18" s="52"/>
      <c r="B18" s="62" t="s">
        <v>61</v>
      </c>
      <c r="C18" s="61">
        <v>1</v>
      </c>
      <c r="D18" s="60">
        <v>5.8823529411764705E-2</v>
      </c>
    </row>
    <row r="19" spans="1:4">
      <c r="A19" s="52"/>
      <c r="B19" s="59" t="s">
        <v>15</v>
      </c>
      <c r="C19" s="58">
        <v>17</v>
      </c>
      <c r="D19" s="57">
        <v>1</v>
      </c>
    </row>
    <row r="20" spans="1:4">
      <c r="A20" s="52"/>
      <c r="B20" s="52"/>
      <c r="C20" s="53"/>
      <c r="D20" s="52"/>
    </row>
    <row r="21" spans="1:4">
      <c r="B21" s="65" t="s">
        <v>58</v>
      </c>
      <c r="C21" s="64"/>
      <c r="D21" s="64"/>
    </row>
    <row r="22" spans="1:4">
      <c r="B22" s="67" t="s">
        <v>14</v>
      </c>
      <c r="C22" s="64"/>
      <c r="D22" s="64"/>
    </row>
    <row r="23" spans="1:4">
      <c r="B23" s="66" t="s">
        <v>13</v>
      </c>
      <c r="C23" s="64"/>
      <c r="D23" s="64"/>
    </row>
    <row r="24" spans="1:4">
      <c r="B24" s="65" t="s">
        <v>12</v>
      </c>
      <c r="C24" s="64"/>
      <c r="D24" s="64"/>
    </row>
    <row r="25" spans="1:4">
      <c r="B25" s="65" t="s">
        <v>59</v>
      </c>
      <c r="C25" s="64"/>
      <c r="D25" s="6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9"/>
  <sheetViews>
    <sheetView topLeftCell="A3" zoomScale="91" zoomScaleNormal="91" zoomScaleSheetLayoutView="100" workbookViewId="0">
      <selection activeCell="C32" sqref="C3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35</v>
      </c>
      <c r="C9" s="41" t="s">
        <v>25</v>
      </c>
      <c r="D9" s="40" t="s">
        <v>24</v>
      </c>
      <c r="E9" s="39" t="s">
        <v>23</v>
      </c>
    </row>
    <row r="10" spans="1:5" ht="15" customHeight="1">
      <c r="B10" s="153" t="s">
        <v>60</v>
      </c>
      <c r="C10" s="89" t="s">
        <v>21</v>
      </c>
      <c r="D10" s="88">
        <v>1</v>
      </c>
      <c r="E10" s="87">
        <v>5.8823529411764705E-2</v>
      </c>
    </row>
    <row r="11" spans="1:5" ht="15" customHeight="1">
      <c r="B11" s="154"/>
      <c r="C11" s="86" t="s">
        <v>15</v>
      </c>
      <c r="D11" s="85">
        <v>1</v>
      </c>
      <c r="E11" s="84">
        <v>5.8823529411764705E-2</v>
      </c>
    </row>
    <row r="12" spans="1:5" ht="15" customHeight="1">
      <c r="B12" s="153" t="s">
        <v>34</v>
      </c>
      <c r="C12" s="89" t="s">
        <v>20</v>
      </c>
      <c r="D12" s="88">
        <v>1</v>
      </c>
      <c r="E12" s="87">
        <v>5.8823529411764705E-2</v>
      </c>
    </row>
    <row r="13" spans="1:5" ht="15" customHeight="1">
      <c r="B13" s="155"/>
      <c r="C13" s="89" t="s">
        <v>19</v>
      </c>
      <c r="D13" s="88">
        <v>1</v>
      </c>
      <c r="E13" s="87">
        <v>5.8823529411764705E-2</v>
      </c>
    </row>
    <row r="14" spans="1:5" ht="15" customHeight="1">
      <c r="B14" s="154"/>
      <c r="C14" s="86" t="s">
        <v>15</v>
      </c>
      <c r="D14" s="85">
        <v>2</v>
      </c>
      <c r="E14" s="84">
        <v>0.11764705882352941</v>
      </c>
    </row>
    <row r="15" spans="1:5" ht="15" customHeight="1">
      <c r="B15" s="153" t="s">
        <v>33</v>
      </c>
      <c r="C15" s="89" t="s">
        <v>56</v>
      </c>
      <c r="D15" s="88">
        <v>1</v>
      </c>
      <c r="E15" s="87">
        <v>5.8823529411764705E-2</v>
      </c>
    </row>
    <row r="16" spans="1:5" ht="15" customHeight="1">
      <c r="B16" s="155"/>
      <c r="C16" s="89" t="s">
        <v>16</v>
      </c>
      <c r="D16" s="88">
        <v>1</v>
      </c>
      <c r="E16" s="87">
        <v>5.8823529411764705E-2</v>
      </c>
    </row>
    <row r="17" spans="2:5" ht="15" customHeight="1">
      <c r="B17" s="155"/>
      <c r="C17" s="89" t="s">
        <v>54</v>
      </c>
      <c r="D17" s="88">
        <v>1</v>
      </c>
      <c r="E17" s="87">
        <v>5.8823529411764705E-2</v>
      </c>
    </row>
    <row r="18" spans="2:5" ht="15" customHeight="1">
      <c r="B18" s="154"/>
      <c r="C18" s="86" t="s">
        <v>15</v>
      </c>
      <c r="D18" s="85">
        <v>3</v>
      </c>
      <c r="E18" s="84">
        <v>0.17647058823529413</v>
      </c>
    </row>
    <row r="19" spans="2:5" ht="15" customHeight="1">
      <c r="B19" s="153" t="s">
        <v>32</v>
      </c>
      <c r="C19" s="89" t="s">
        <v>18</v>
      </c>
      <c r="D19" s="88">
        <v>1</v>
      </c>
      <c r="E19" s="87">
        <v>5.8823529411764705E-2</v>
      </c>
    </row>
    <row r="20" spans="2:5" ht="15" customHeight="1">
      <c r="B20" s="155"/>
      <c r="C20" s="89" t="s">
        <v>19</v>
      </c>
      <c r="D20" s="88">
        <v>1</v>
      </c>
      <c r="E20" s="87">
        <v>5.8823529411764705E-2</v>
      </c>
    </row>
    <row r="21" spans="2:5" ht="15" customHeight="1">
      <c r="B21" s="154"/>
      <c r="C21" s="86" t="s">
        <v>15</v>
      </c>
      <c r="D21" s="85">
        <v>2</v>
      </c>
      <c r="E21" s="84">
        <v>0.11764705882352941</v>
      </c>
    </row>
    <row r="22" spans="2:5" ht="15" customHeight="1">
      <c r="B22" s="153" t="s">
        <v>31</v>
      </c>
      <c r="C22" s="89" t="s">
        <v>55</v>
      </c>
      <c r="D22" s="88">
        <v>1</v>
      </c>
      <c r="E22" s="87">
        <v>5.8823529411764705E-2</v>
      </c>
    </row>
    <row r="23" spans="2:5" ht="15" customHeight="1">
      <c r="B23" s="155"/>
      <c r="C23" s="89" t="s">
        <v>17</v>
      </c>
      <c r="D23" s="88">
        <v>1</v>
      </c>
      <c r="E23" s="87">
        <v>5.8823529411764705E-2</v>
      </c>
    </row>
    <row r="24" spans="2:5" ht="15" customHeight="1">
      <c r="B24" s="155"/>
      <c r="C24" s="89" t="s">
        <v>18</v>
      </c>
      <c r="D24" s="88">
        <v>1</v>
      </c>
      <c r="E24" s="87">
        <v>5.8823529411764705E-2</v>
      </c>
    </row>
    <row r="25" spans="2:5" ht="15" customHeight="1">
      <c r="B25" s="155"/>
      <c r="C25" s="89" t="s">
        <v>57</v>
      </c>
      <c r="D25" s="88">
        <v>1</v>
      </c>
      <c r="E25" s="87">
        <v>5.8823529411764705E-2</v>
      </c>
    </row>
    <row r="26" spans="2:5" ht="15" customHeight="1">
      <c r="B26" s="155"/>
      <c r="C26" s="89" t="s">
        <v>54</v>
      </c>
      <c r="D26" s="88">
        <v>2</v>
      </c>
      <c r="E26" s="87">
        <v>0.11764705882352941</v>
      </c>
    </row>
    <row r="27" spans="2:5" ht="15" customHeight="1">
      <c r="B27" s="154"/>
      <c r="C27" s="86" t="s">
        <v>15</v>
      </c>
      <c r="D27" s="85">
        <v>6</v>
      </c>
      <c r="E27" s="84">
        <v>0.35294117647058826</v>
      </c>
    </row>
    <row r="28" spans="2:5" ht="15" customHeight="1">
      <c r="B28" s="153" t="s">
        <v>30</v>
      </c>
      <c r="C28" s="89" t="s">
        <v>19</v>
      </c>
      <c r="D28" s="88">
        <v>1</v>
      </c>
      <c r="E28" s="87">
        <v>5.8823529411764705E-2</v>
      </c>
    </row>
    <row r="29" spans="2:5" ht="15" customHeight="1">
      <c r="B29" s="155"/>
      <c r="C29" s="89" t="s">
        <v>22</v>
      </c>
      <c r="D29" s="88">
        <v>1</v>
      </c>
      <c r="E29" s="87">
        <v>5.8823529411764705E-2</v>
      </c>
    </row>
    <row r="30" spans="2:5" ht="15" customHeight="1">
      <c r="B30" s="154"/>
      <c r="C30" s="86" t="s">
        <v>15</v>
      </c>
      <c r="D30" s="85">
        <v>2</v>
      </c>
      <c r="E30" s="84">
        <v>0.11764705882352941</v>
      </c>
    </row>
    <row r="31" spans="2:5" ht="15" customHeight="1">
      <c r="B31" s="153" t="s">
        <v>76</v>
      </c>
      <c r="C31" s="89" t="s">
        <v>17</v>
      </c>
      <c r="D31" s="88">
        <v>1</v>
      </c>
      <c r="E31" s="87">
        <v>5.8823529411764705E-2</v>
      </c>
    </row>
    <row r="32" spans="2:5" ht="15" customHeight="1">
      <c r="B32" s="154"/>
      <c r="C32" s="86" t="s">
        <v>15</v>
      </c>
      <c r="D32" s="85">
        <v>1</v>
      </c>
      <c r="E32" s="84">
        <v>5.8823529411764705E-2</v>
      </c>
    </row>
    <row r="33" spans="2:5" ht="15" customHeight="1">
      <c r="B33" s="156" t="s">
        <v>15</v>
      </c>
      <c r="C33" s="157"/>
      <c r="D33" s="83">
        <v>17</v>
      </c>
      <c r="E33" s="82">
        <v>1</v>
      </c>
    </row>
    <row r="34" spans="2:5" ht="15" customHeight="1">
      <c r="B34" s="81"/>
      <c r="C34" s="81"/>
      <c r="D34" s="81"/>
      <c r="E34" s="81"/>
    </row>
    <row r="35" spans="2:5" ht="15" customHeight="1">
      <c r="B35" s="92" t="s">
        <v>58</v>
      </c>
      <c r="C35" s="90"/>
      <c r="D35" s="90"/>
    </row>
    <row r="36" spans="2:5" ht="15" customHeight="1">
      <c r="B36" s="94" t="s">
        <v>14</v>
      </c>
      <c r="C36" s="90"/>
      <c r="D36" s="90"/>
    </row>
    <row r="37" spans="2:5" ht="15" customHeight="1">
      <c r="B37" s="93" t="s">
        <v>13</v>
      </c>
      <c r="C37" s="90"/>
      <c r="D37" s="90"/>
    </row>
    <row r="38" spans="2:5" ht="15" customHeight="1">
      <c r="B38" s="92" t="s">
        <v>12</v>
      </c>
      <c r="C38" s="90"/>
      <c r="D38" s="90"/>
    </row>
    <row r="39" spans="2:5" ht="15" customHeight="1">
      <c r="B39" s="92" t="s">
        <v>59</v>
      </c>
      <c r="C39" s="90"/>
      <c r="D39" s="90"/>
    </row>
  </sheetData>
  <mergeCells count="9">
    <mergeCell ref="B28:B30"/>
    <mergeCell ref="B31:B32"/>
    <mergeCell ref="B33:C33"/>
    <mergeCell ref="B7:E8"/>
    <mergeCell ref="B10:B11"/>
    <mergeCell ref="B12:B14"/>
    <mergeCell ref="B15:B18"/>
    <mergeCell ref="B19:B21"/>
    <mergeCell ref="B22:B2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19" sqref="D19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77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40</v>
      </c>
      <c r="C11" s="29" t="s">
        <v>24</v>
      </c>
      <c r="D11" s="28" t="s">
        <v>23</v>
      </c>
    </row>
    <row r="12" spans="1:5">
      <c r="A12" s="91"/>
      <c r="B12" s="100" t="s">
        <v>39</v>
      </c>
      <c r="C12" s="99">
        <v>13</v>
      </c>
      <c r="D12" s="98">
        <v>0.76470588235294112</v>
      </c>
      <c r="E12" s="91"/>
    </row>
    <row r="13" spans="1:5">
      <c r="A13" s="91"/>
      <c r="B13" s="100" t="s">
        <v>38</v>
      </c>
      <c r="C13" s="99">
        <v>4</v>
      </c>
      <c r="D13" s="98">
        <v>0.23529411764705882</v>
      </c>
      <c r="E13" s="91"/>
    </row>
    <row r="14" spans="1:5">
      <c r="A14" s="91"/>
      <c r="B14" s="97" t="s">
        <v>37</v>
      </c>
      <c r="C14" s="96">
        <v>17</v>
      </c>
      <c r="D14" s="95">
        <v>1</v>
      </c>
      <c r="E14" s="91"/>
    </row>
    <row r="15" spans="1:5">
      <c r="A15" s="101"/>
      <c r="B15" s="101"/>
      <c r="C15" s="102"/>
      <c r="D15" s="101"/>
      <c r="E15" s="101"/>
    </row>
    <row r="16" spans="1:5">
      <c r="B16" s="104" t="s">
        <v>58</v>
      </c>
      <c r="C16" s="103"/>
      <c r="D16" s="103"/>
    </row>
    <row r="17" spans="2:4">
      <c r="B17" s="106" t="s">
        <v>14</v>
      </c>
      <c r="C17" s="103"/>
      <c r="D17" s="103"/>
    </row>
    <row r="18" spans="2:4">
      <c r="B18" s="105" t="s">
        <v>13</v>
      </c>
      <c r="C18" s="103"/>
      <c r="D18" s="103"/>
    </row>
    <row r="19" spans="2:4">
      <c r="B19" s="104" t="s">
        <v>12</v>
      </c>
      <c r="C19" s="103"/>
      <c r="D19" s="103"/>
    </row>
    <row r="20" spans="2:4">
      <c r="B20" s="104" t="s">
        <v>59</v>
      </c>
      <c r="C20" s="103"/>
      <c r="D20" s="10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zoomScale="90" zoomScaleNormal="90" zoomScaleSheetLayoutView="100" workbookViewId="0">
      <selection activeCell="E1" sqref="E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25</v>
      </c>
      <c r="C9" s="41" t="s">
        <v>40</v>
      </c>
      <c r="D9" s="40" t="s">
        <v>24</v>
      </c>
      <c r="E9" s="39" t="s">
        <v>23</v>
      </c>
    </row>
    <row r="10" spans="1:5" ht="15" customHeight="1">
      <c r="B10" s="153" t="s">
        <v>55</v>
      </c>
      <c r="C10" s="115" t="s">
        <v>41</v>
      </c>
      <c r="D10" s="114">
        <v>1</v>
      </c>
      <c r="E10" s="113">
        <v>5.8823529411764705E-2</v>
      </c>
    </row>
    <row r="11" spans="1:5" ht="15" customHeight="1">
      <c r="B11" s="154"/>
      <c r="C11" s="112" t="s">
        <v>15</v>
      </c>
      <c r="D11" s="111">
        <v>1</v>
      </c>
      <c r="E11" s="110">
        <v>5.8823529411764705E-2</v>
      </c>
    </row>
    <row r="12" spans="1:5" ht="15" customHeight="1">
      <c r="B12" s="153" t="s">
        <v>17</v>
      </c>
      <c r="C12" s="115" t="s">
        <v>42</v>
      </c>
      <c r="D12" s="114">
        <v>1</v>
      </c>
      <c r="E12" s="113">
        <v>5.8823529411764705E-2</v>
      </c>
    </row>
    <row r="13" spans="1:5" ht="15" customHeight="1">
      <c r="B13" s="155"/>
      <c r="C13" s="115" t="s">
        <v>41</v>
      </c>
      <c r="D13" s="114">
        <v>1</v>
      </c>
      <c r="E13" s="113">
        <v>5.8823529411764705E-2</v>
      </c>
    </row>
    <row r="14" spans="1:5" ht="15" customHeight="1">
      <c r="B14" s="154"/>
      <c r="C14" s="112" t="s">
        <v>15</v>
      </c>
      <c r="D14" s="111">
        <v>2</v>
      </c>
      <c r="E14" s="110">
        <v>0.11764705882352941</v>
      </c>
    </row>
    <row r="15" spans="1:5" ht="15" customHeight="1">
      <c r="B15" s="153" t="s">
        <v>18</v>
      </c>
      <c r="C15" s="115" t="s">
        <v>42</v>
      </c>
      <c r="D15" s="114">
        <v>2</v>
      </c>
      <c r="E15" s="113">
        <v>0.11764705882352941</v>
      </c>
    </row>
    <row r="16" spans="1:5" ht="15" customHeight="1">
      <c r="B16" s="154"/>
      <c r="C16" s="112" t="s">
        <v>15</v>
      </c>
      <c r="D16" s="111">
        <v>2</v>
      </c>
      <c r="E16" s="110">
        <v>0.11764705882352941</v>
      </c>
    </row>
    <row r="17" spans="2:5" ht="15" customHeight="1">
      <c r="B17" s="153" t="s">
        <v>20</v>
      </c>
      <c r="C17" s="115" t="s">
        <v>42</v>
      </c>
      <c r="D17" s="114">
        <v>1</v>
      </c>
      <c r="E17" s="113">
        <v>5.8823529411764705E-2</v>
      </c>
    </row>
    <row r="18" spans="2:5" ht="15" customHeight="1">
      <c r="B18" s="154"/>
      <c r="C18" s="112" t="s">
        <v>15</v>
      </c>
      <c r="D18" s="111">
        <v>1</v>
      </c>
      <c r="E18" s="110">
        <v>5.8823529411764705E-2</v>
      </c>
    </row>
    <row r="19" spans="2:5" ht="15" customHeight="1">
      <c r="B19" s="153" t="s">
        <v>56</v>
      </c>
      <c r="C19" s="115" t="s">
        <v>41</v>
      </c>
      <c r="D19" s="114">
        <v>1</v>
      </c>
      <c r="E19" s="113">
        <v>5.8823529411764705E-2</v>
      </c>
    </row>
    <row r="20" spans="2:5" ht="15" customHeight="1">
      <c r="B20" s="154"/>
      <c r="C20" s="112" t="s">
        <v>15</v>
      </c>
      <c r="D20" s="111">
        <v>1</v>
      </c>
      <c r="E20" s="110">
        <v>5.8823529411764705E-2</v>
      </c>
    </row>
    <row r="21" spans="2:5" ht="15" customHeight="1">
      <c r="B21" s="153" t="s">
        <v>19</v>
      </c>
      <c r="C21" s="115" t="s">
        <v>42</v>
      </c>
      <c r="D21" s="114">
        <v>2</v>
      </c>
      <c r="E21" s="113">
        <v>0.11764705882352941</v>
      </c>
    </row>
    <row r="22" spans="2:5" ht="15" customHeight="1">
      <c r="B22" s="155"/>
      <c r="C22" s="115" t="s">
        <v>41</v>
      </c>
      <c r="D22" s="114">
        <v>1</v>
      </c>
      <c r="E22" s="113">
        <v>5.8823529411764705E-2</v>
      </c>
    </row>
    <row r="23" spans="2:5" ht="15" customHeight="1">
      <c r="B23" s="154"/>
      <c r="C23" s="112" t="s">
        <v>15</v>
      </c>
      <c r="D23" s="111">
        <v>3</v>
      </c>
      <c r="E23" s="110">
        <v>0.17647058823529413</v>
      </c>
    </row>
    <row r="24" spans="2:5" ht="15" customHeight="1">
      <c r="B24" s="153" t="s">
        <v>16</v>
      </c>
      <c r="C24" s="115" t="s">
        <v>42</v>
      </c>
      <c r="D24" s="114">
        <v>1</v>
      </c>
      <c r="E24" s="113">
        <v>5.8823529411764705E-2</v>
      </c>
    </row>
    <row r="25" spans="2:5" ht="15" customHeight="1">
      <c r="B25" s="154"/>
      <c r="C25" s="112" t="s">
        <v>15</v>
      </c>
      <c r="D25" s="111">
        <v>1</v>
      </c>
      <c r="E25" s="110">
        <v>5.8823529411764705E-2</v>
      </c>
    </row>
    <row r="26" spans="2:5" ht="15" customHeight="1">
      <c r="B26" s="153" t="s">
        <v>57</v>
      </c>
      <c r="C26" s="115" t="s">
        <v>42</v>
      </c>
      <c r="D26" s="114">
        <v>1</v>
      </c>
      <c r="E26" s="113">
        <v>5.8823529411764705E-2</v>
      </c>
    </row>
    <row r="27" spans="2:5" ht="15" customHeight="1">
      <c r="B27" s="154"/>
      <c r="C27" s="112" t="s">
        <v>15</v>
      </c>
      <c r="D27" s="111">
        <v>1</v>
      </c>
      <c r="E27" s="110">
        <v>5.8823529411764705E-2</v>
      </c>
    </row>
    <row r="28" spans="2:5" ht="15" customHeight="1">
      <c r="B28" s="153" t="s">
        <v>54</v>
      </c>
      <c r="C28" s="115" t="s">
        <v>42</v>
      </c>
      <c r="D28" s="114">
        <v>3</v>
      </c>
      <c r="E28" s="113">
        <v>0.17647058823529413</v>
      </c>
    </row>
    <row r="29" spans="2:5" ht="15" customHeight="1">
      <c r="B29" s="154"/>
      <c r="C29" s="112" t="s">
        <v>15</v>
      </c>
      <c r="D29" s="111">
        <v>3</v>
      </c>
      <c r="E29" s="110">
        <v>0.17647058823529413</v>
      </c>
    </row>
    <row r="30" spans="2:5" ht="15" customHeight="1">
      <c r="B30" s="153" t="s">
        <v>22</v>
      </c>
      <c r="C30" s="115" t="s">
        <v>42</v>
      </c>
      <c r="D30" s="114">
        <v>1</v>
      </c>
      <c r="E30" s="113">
        <v>5.8823529411764705E-2</v>
      </c>
    </row>
    <row r="31" spans="2:5" ht="15" customHeight="1">
      <c r="B31" s="154"/>
      <c r="C31" s="112" t="s">
        <v>15</v>
      </c>
      <c r="D31" s="111">
        <v>1</v>
      </c>
      <c r="E31" s="110">
        <v>5.8823529411764705E-2</v>
      </c>
    </row>
    <row r="32" spans="2:5" ht="15" customHeight="1">
      <c r="B32" s="153" t="s">
        <v>21</v>
      </c>
      <c r="C32" s="115" t="s">
        <v>42</v>
      </c>
      <c r="D32" s="114">
        <v>1</v>
      </c>
      <c r="E32" s="113">
        <v>5.8823529411764705E-2</v>
      </c>
    </row>
    <row r="33" spans="2:5" ht="15" customHeight="1">
      <c r="B33" s="154"/>
      <c r="C33" s="112" t="s">
        <v>15</v>
      </c>
      <c r="D33" s="111">
        <v>1</v>
      </c>
      <c r="E33" s="110">
        <v>5.8823529411764705E-2</v>
      </c>
    </row>
    <row r="34" spans="2:5" ht="15" customHeight="1">
      <c r="B34" s="156" t="s">
        <v>15</v>
      </c>
      <c r="C34" s="157"/>
      <c r="D34" s="109">
        <f>SUMIF(C10:C33,"TOTAL",D10:D33)</f>
        <v>17</v>
      </c>
      <c r="E34" s="108">
        <v>1</v>
      </c>
    </row>
    <row r="35" spans="2:5" ht="15" customHeight="1">
      <c r="B35" s="107"/>
      <c r="C35" s="107"/>
      <c r="D35" s="107"/>
      <c r="E35" s="107"/>
    </row>
    <row r="36" spans="2:5" ht="15" customHeight="1">
      <c r="B36" s="117" t="s">
        <v>58</v>
      </c>
      <c r="C36" s="116"/>
      <c r="D36" s="116"/>
    </row>
    <row r="37" spans="2:5" ht="15" customHeight="1">
      <c r="B37" s="119" t="s">
        <v>14</v>
      </c>
      <c r="C37" s="116"/>
      <c r="D37" s="116"/>
    </row>
    <row r="38" spans="2:5" ht="15" customHeight="1">
      <c r="B38" s="118" t="s">
        <v>13</v>
      </c>
      <c r="C38" s="116"/>
      <c r="D38" s="116"/>
    </row>
    <row r="39" spans="2:5" ht="15" customHeight="1">
      <c r="B39" s="117" t="s">
        <v>12</v>
      </c>
      <c r="C39" s="116"/>
      <c r="D39" s="116"/>
    </row>
    <row r="40" spans="2:5" ht="15" customHeight="1">
      <c r="B40" s="117" t="s">
        <v>59</v>
      </c>
      <c r="C40" s="116"/>
      <c r="D40" s="116"/>
    </row>
    <row r="377" spans="2:2" s="35" customFormat="1" ht="15" customHeight="1">
      <c r="B377" s="36"/>
    </row>
    <row r="378" spans="2:2" s="35" customFormat="1" ht="15" customHeight="1">
      <c r="B378" s="37"/>
    </row>
    <row r="379" spans="2:2" s="35" customFormat="1" ht="15" customHeight="1">
      <c r="B379" s="37"/>
    </row>
    <row r="380" spans="2:2" s="35" customFormat="1" ht="15" customHeight="1">
      <c r="B380" s="36"/>
    </row>
    <row r="381" spans="2:2" s="35" customFormat="1" ht="15" customHeight="1">
      <c r="B381" s="36"/>
    </row>
  </sheetData>
  <mergeCells count="13">
    <mergeCell ref="B32:B33"/>
    <mergeCell ref="B34:C34"/>
    <mergeCell ref="B10:B11"/>
    <mergeCell ref="B7:E8"/>
    <mergeCell ref="B12:B14"/>
    <mergeCell ref="B15:B16"/>
    <mergeCell ref="B17:B18"/>
    <mergeCell ref="B19:B20"/>
    <mergeCell ref="B21:B23"/>
    <mergeCell ref="B24:B25"/>
    <mergeCell ref="B26:B27"/>
    <mergeCell ref="B28:B29"/>
    <mergeCell ref="B30:B3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69"/>
  <sheetViews>
    <sheetView zoomScale="70" zoomScaleNormal="70" zoomScaleSheetLayoutView="100" workbookViewId="0">
      <selection activeCell="E1" sqref="E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40</v>
      </c>
      <c r="C9" s="41" t="s">
        <v>46</v>
      </c>
      <c r="D9" s="40" t="s">
        <v>24</v>
      </c>
      <c r="E9" s="39" t="s">
        <v>23</v>
      </c>
    </row>
    <row r="10" spans="1:5" ht="15" customHeight="1">
      <c r="B10" s="153" t="s">
        <v>42</v>
      </c>
      <c r="C10" s="124" t="s">
        <v>45</v>
      </c>
      <c r="D10" s="123">
        <v>3</v>
      </c>
      <c r="E10" s="122">
        <v>0.17647058823529413</v>
      </c>
    </row>
    <row r="11" spans="1:5" ht="15" customHeight="1">
      <c r="B11" s="155"/>
      <c r="C11" s="124" t="s">
        <v>44</v>
      </c>
      <c r="D11" s="123">
        <v>7</v>
      </c>
      <c r="E11" s="122">
        <v>0.41176470588235292</v>
      </c>
    </row>
    <row r="12" spans="1:5" ht="15" customHeight="1">
      <c r="B12" s="154"/>
      <c r="C12" s="124" t="s">
        <v>43</v>
      </c>
      <c r="D12" s="123">
        <v>3</v>
      </c>
      <c r="E12" s="122">
        <v>0.17647058823529413</v>
      </c>
    </row>
    <row r="13" spans="1:5" ht="15" customHeight="1">
      <c r="B13" s="153" t="s">
        <v>41</v>
      </c>
      <c r="C13" s="124" t="s">
        <v>45</v>
      </c>
      <c r="D13" s="123">
        <v>1</v>
      </c>
      <c r="E13" s="122">
        <v>5.8823529411764705E-2</v>
      </c>
    </row>
    <row r="14" spans="1:5" ht="15" customHeight="1">
      <c r="B14" s="155"/>
      <c r="C14" s="124" t="s">
        <v>44</v>
      </c>
      <c r="D14" s="123">
        <v>2</v>
      </c>
      <c r="E14" s="122">
        <v>0.11764705882352941</v>
      </c>
    </row>
    <row r="15" spans="1:5" ht="15" customHeight="1">
      <c r="B15" s="154"/>
      <c r="C15" s="124" t="s">
        <v>43</v>
      </c>
      <c r="D15" s="123">
        <v>1</v>
      </c>
      <c r="E15" s="122">
        <v>5.8823529411764705E-2</v>
      </c>
    </row>
    <row r="16" spans="1:5" ht="15" customHeight="1">
      <c r="B16" s="156" t="s">
        <v>15</v>
      </c>
      <c r="C16" s="157"/>
      <c r="D16" s="121">
        <v>17</v>
      </c>
      <c r="E16" s="120">
        <v>1</v>
      </c>
    </row>
    <row r="17" spans="2:5" ht="15" customHeight="1">
      <c r="B17" s="118"/>
      <c r="C17" s="125"/>
      <c r="D17" s="125"/>
      <c r="E17" s="125"/>
    </row>
    <row r="18" spans="2:5" ht="15" customHeight="1">
      <c r="B18" s="129" t="s">
        <v>58</v>
      </c>
      <c r="C18" s="126"/>
      <c r="D18" s="126"/>
    </row>
    <row r="19" spans="2:5" ht="15" customHeight="1">
      <c r="B19" s="131" t="s">
        <v>14</v>
      </c>
      <c r="C19" s="126"/>
      <c r="D19" s="126"/>
    </row>
    <row r="20" spans="2:5" ht="15" customHeight="1">
      <c r="B20" s="130" t="s">
        <v>13</v>
      </c>
      <c r="C20" s="126"/>
      <c r="D20" s="126"/>
    </row>
    <row r="21" spans="2:5" ht="15" customHeight="1">
      <c r="B21" s="129" t="s">
        <v>12</v>
      </c>
      <c r="C21" s="126"/>
      <c r="D21" s="126"/>
    </row>
    <row r="22" spans="2:5" ht="15" customHeight="1">
      <c r="B22" s="129" t="s">
        <v>59</v>
      </c>
      <c r="C22" s="126"/>
      <c r="D22" s="126"/>
    </row>
    <row r="465" spans="2:2" s="35" customFormat="1" ht="15" customHeight="1">
      <c r="B465" s="36"/>
    </row>
    <row r="466" spans="2:2" s="35" customFormat="1" ht="15" customHeight="1">
      <c r="B466" s="37"/>
    </row>
    <row r="467" spans="2:2" s="35" customFormat="1" ht="15" customHeight="1">
      <c r="B467" s="37"/>
    </row>
    <row r="468" spans="2:2" s="35" customFormat="1" ht="15" customHeight="1">
      <c r="B468" s="36"/>
    </row>
    <row r="469" spans="2:2" s="35" customFormat="1" ht="15" customHeight="1">
      <c r="B469" s="36"/>
    </row>
  </sheetData>
  <mergeCells count="4">
    <mergeCell ref="B13:B15"/>
    <mergeCell ref="B16:C16"/>
    <mergeCell ref="B7:E8"/>
    <mergeCell ref="B10:B1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4"/>
  <sheetViews>
    <sheetView showGridLines="0" tabSelected="1" zoomScaleNormal="100" zoomScaleSheetLayoutView="115" workbookViewId="0">
      <selection activeCell="G22" sqref="G22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78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51</v>
      </c>
      <c r="C11" s="29" t="s">
        <v>24</v>
      </c>
      <c r="D11" s="28" t="s">
        <v>23</v>
      </c>
    </row>
    <row r="12" spans="1:5">
      <c r="A12" s="127"/>
      <c r="B12" s="137" t="s">
        <v>50</v>
      </c>
      <c r="C12" s="136">
        <v>11</v>
      </c>
      <c r="D12" s="135">
        <v>0.6470588235294118</v>
      </c>
      <c r="E12" s="127"/>
    </row>
    <row r="13" spans="1:5">
      <c r="A13" s="127"/>
      <c r="B13" s="137" t="s">
        <v>79</v>
      </c>
      <c r="C13" s="136">
        <v>2</v>
      </c>
      <c r="D13" s="135">
        <v>0.11764705882352941</v>
      </c>
      <c r="E13" s="127"/>
    </row>
    <row r="14" spans="1:5">
      <c r="A14" s="138"/>
      <c r="B14" s="137" t="s">
        <v>49</v>
      </c>
      <c r="C14" s="136">
        <v>1</v>
      </c>
      <c r="D14" s="135">
        <v>5.8823529411764705E-2</v>
      </c>
      <c r="E14" s="138"/>
    </row>
    <row r="15" spans="1:5">
      <c r="A15" s="138"/>
      <c r="B15" s="137" t="s">
        <v>48</v>
      </c>
      <c r="C15" s="136">
        <v>1</v>
      </c>
      <c r="D15" s="135">
        <v>5.8823529411764705E-2</v>
      </c>
      <c r="E15" s="138"/>
    </row>
    <row r="16" spans="1:5">
      <c r="A16" s="127"/>
      <c r="B16" s="137" t="s">
        <v>47</v>
      </c>
      <c r="C16" s="136">
        <v>1</v>
      </c>
      <c r="D16" s="135">
        <v>5.8823529411764705E-2</v>
      </c>
      <c r="E16" s="127"/>
    </row>
    <row r="17" spans="1:5">
      <c r="A17" s="127"/>
      <c r="B17" s="137" t="s">
        <v>80</v>
      </c>
      <c r="C17" s="136">
        <v>1</v>
      </c>
      <c r="D17" s="135">
        <v>5.8823529411764705E-2</v>
      </c>
      <c r="E17" s="127"/>
    </row>
    <row r="18" spans="1:5">
      <c r="A18" s="127"/>
      <c r="B18" s="134" t="s">
        <v>15</v>
      </c>
      <c r="C18" s="133">
        <v>17</v>
      </c>
      <c r="D18" s="132">
        <v>1</v>
      </c>
      <c r="E18" s="127"/>
    </row>
    <row r="19" spans="1:5">
      <c r="A19" s="127"/>
      <c r="B19" s="129"/>
      <c r="C19" s="128"/>
      <c r="D19" s="127"/>
      <c r="E19" s="127"/>
    </row>
    <row r="20" spans="1:5">
      <c r="B20" s="140" t="s">
        <v>58</v>
      </c>
      <c r="C20" s="139"/>
      <c r="D20" s="139"/>
    </row>
    <row r="21" spans="1:5">
      <c r="B21" s="142" t="s">
        <v>14</v>
      </c>
      <c r="C21" s="139"/>
      <c r="D21" s="139"/>
    </row>
    <row r="22" spans="1:5">
      <c r="B22" s="141" t="s">
        <v>13</v>
      </c>
      <c r="C22" s="139"/>
      <c r="D22" s="139"/>
    </row>
    <row r="23" spans="1:5">
      <c r="B23" s="140" t="s">
        <v>12</v>
      </c>
      <c r="C23" s="139"/>
      <c r="D23" s="139"/>
    </row>
    <row r="24" spans="1:5">
      <c r="B24" s="140" t="s">
        <v>59</v>
      </c>
      <c r="C24" s="139"/>
      <c r="D24" s="13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Maine_Edomexgral</vt:lpstr>
      <vt:lpstr>Maine_EDOMEX</vt:lpstr>
      <vt:lpstr>Maine_Educagral</vt:lpstr>
      <vt:lpstr>Maine_Eduedo</vt:lpstr>
      <vt:lpstr>Maine_gengral</vt:lpstr>
      <vt:lpstr>Maine_edomexgen</vt:lpstr>
      <vt:lpstr>Maine_edadgen</vt:lpstr>
      <vt:lpstr>Maine_ocupgral</vt:lpstr>
      <vt:lpstr>Maine_edadgen!Área_de_impresión</vt:lpstr>
      <vt:lpstr>Maine_EDOMEX!Área_de_impresión</vt:lpstr>
      <vt:lpstr>Maine_edomexgen!Área_de_impresión</vt:lpstr>
      <vt:lpstr>Maine_Eduedo!Área_de_impresión</vt:lpstr>
      <vt:lpstr>Maine_edadgen!Títulos_a_imprimir</vt:lpstr>
      <vt:lpstr>Maine_EDOMEX!Títulos_a_imprimir</vt:lpstr>
      <vt:lpstr>Maine_edomexgen!Títulos_a_imprimir</vt:lpstr>
      <vt:lpstr>Maine_Edomexgral!Títulos_a_imprimir</vt:lpstr>
      <vt:lpstr>Maine_Educagral!Títulos_a_imprimir</vt:lpstr>
      <vt:lpstr>Maine_Eduedo!Títulos_a_imprimir</vt:lpstr>
      <vt:lpstr>Maine_gengral!Títulos_a_imprimir</vt:lpstr>
      <vt:lpstr>Maine_ocupgral!Títulos_a_imprimir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2020-06-24T18:42:18Z</dcterms:created>
  <dcterms:modified xsi:type="dcterms:W3CDTF">2023-09-14T17:56:21Z</dcterms:modified>
</cp:coreProperties>
</file>