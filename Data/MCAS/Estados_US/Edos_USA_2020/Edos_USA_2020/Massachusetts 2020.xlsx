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/>
  </bookViews>
  <sheets>
    <sheet name="Índice" sheetId="1" r:id="rId1"/>
    <sheet name="Massachusetts_Edomexgral" sheetId="2" r:id="rId2"/>
    <sheet name="Massachusetts_EDOMEX" sheetId="11" r:id="rId3"/>
    <sheet name="Massachusetts_Educagral" sheetId="4" r:id="rId4"/>
    <sheet name="Massachusetts_Eduedo" sheetId="10" r:id="rId5"/>
    <sheet name="Massachusetts_gengral" sheetId="6" r:id="rId6"/>
    <sheet name="Massachusetts_edomexgen" sheetId="7" r:id="rId7"/>
    <sheet name="Massachusetts_edadgen" sheetId="8" r:id="rId8"/>
    <sheet name="Massachusetts_ocupgral" sheetId="9" r:id="rId9"/>
  </sheets>
  <definedNames>
    <definedName name="_xlnm._FilterDatabase" localSheetId="7" hidden="1">Massachusetts_edadgen!$B$9:$E$9</definedName>
    <definedName name="_xlnm._FilterDatabase" localSheetId="2" hidden="1">Massachusetts_EDOMEX!$B$9:$E$9</definedName>
    <definedName name="_xlnm._FilterDatabase" localSheetId="6" hidden="1">Massachusetts_edomexgen!$B$9:$E$9</definedName>
    <definedName name="_xlnm._FilterDatabase" localSheetId="1" hidden="1">Massachusetts_Edomexgral!$B$11:$D$11</definedName>
    <definedName name="_xlnm._FilterDatabase" localSheetId="3" hidden="1">Massachusetts_Educagral!$B$11:$D$11</definedName>
    <definedName name="_xlnm._FilterDatabase" localSheetId="4" hidden="1">Massachusetts_Eduedo!$B$9:$E$9</definedName>
    <definedName name="_xlnm._FilterDatabase" localSheetId="5" hidden="1">Massachusetts_gengral!$B$11:$D$11</definedName>
    <definedName name="_xlnm._FilterDatabase" localSheetId="8" hidden="1">Massachusetts_ocupgral!$B$11:$D$11</definedName>
    <definedName name="_xlnm.Print_Area" localSheetId="7">Massachusetts_edadgen!$A$1:$E$9</definedName>
    <definedName name="_xlnm.Print_Area" localSheetId="2">Massachusetts_EDOMEX!$A$1:$E$9</definedName>
    <definedName name="_xlnm.Print_Area" localSheetId="6">Massachusetts_edomexgen!$A$1:$E$9</definedName>
    <definedName name="_xlnm.Print_Area" localSheetId="4">Massachusetts_Eduedo!$A$1:$E$9</definedName>
    <definedName name="_xlnm.Print_Titles" localSheetId="7">Massachusetts_edadgen!$1:$9</definedName>
    <definedName name="_xlnm.Print_Titles" localSheetId="2">Massachusetts_EDOMEX!$1:$9</definedName>
    <definedName name="_xlnm.Print_Titles" localSheetId="6">Massachusetts_edomexgen!$1:$9</definedName>
    <definedName name="_xlnm.Print_Titles" localSheetId="1">Massachusetts_Edomexgral!$1:$11</definedName>
    <definedName name="_xlnm.Print_Titles" localSheetId="3">Massachusetts_Educagral!$1:$11</definedName>
    <definedName name="_xlnm.Print_Titles" localSheetId="4">Massachusetts_Eduedo!$1:$9</definedName>
    <definedName name="_xlnm.Print_Titles" localSheetId="5">Massachusetts_gengral!$1:$11</definedName>
    <definedName name="_xlnm.Print_Titles" localSheetId="8">Massachusetts_ocupgral!$1:$11</definedName>
  </definedNames>
  <calcPr calcId="152511"/>
</workbook>
</file>

<file path=xl/calcChain.xml><?xml version="1.0" encoding="utf-8"?>
<calcChain xmlns="http://schemas.openxmlformats.org/spreadsheetml/2006/main">
  <c r="D85" i="7" l="1"/>
  <c r="D265" i="11" l="1"/>
</calcChain>
</file>

<file path=xl/sharedStrings.xml><?xml version="1.0" encoding="utf-8"?>
<sst xmlns="http://schemas.openxmlformats.org/spreadsheetml/2006/main" count="743" uniqueCount="327">
  <si>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</si>
  <si>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</si>
  <si>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</si>
  <si>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</si>
  <si>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</si>
  <si>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</si>
  <si>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</si>
  <si>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</si>
  <si>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</si>
  <si>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</si>
  <si>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</si>
  <si>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</si>
  <si>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</si>
  <si>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</si>
  <si>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</si>
  <si>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</si>
  <si>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Zacatecas</t>
  </si>
  <si>
    <t>Yucatán</t>
  </si>
  <si>
    <t>Sinaloa</t>
  </si>
  <si>
    <t>Durango</t>
  </si>
  <si>
    <t>Colima</t>
  </si>
  <si>
    <t>Campeche</t>
  </si>
  <si>
    <t>Tabasco</t>
  </si>
  <si>
    <t>Chihuahua</t>
  </si>
  <si>
    <t>Baja California</t>
  </si>
  <si>
    <t>Aguascalientes</t>
  </si>
  <si>
    <t>Tlaxcala</t>
  </si>
  <si>
    <t>Tamaulipas</t>
  </si>
  <si>
    <t>Nuevo León</t>
  </si>
  <si>
    <t>Sonora</t>
  </si>
  <si>
    <t>Morelos</t>
  </si>
  <si>
    <t>San Luis Potosí</t>
  </si>
  <si>
    <t>Querétaro</t>
  </si>
  <si>
    <t>Hidalgo</t>
  </si>
  <si>
    <t>Estado de México</t>
  </si>
  <si>
    <t>Guanajuato</t>
  </si>
  <si>
    <t>Ciudad de México</t>
  </si>
  <si>
    <t>Michoacán</t>
  </si>
  <si>
    <t>Puebla</t>
  </si>
  <si>
    <t>Veracruz</t>
  </si>
  <si>
    <t>Oaxaca</t>
  </si>
  <si>
    <t>Jalisco</t>
  </si>
  <si>
    <t>Chiapas</t>
  </si>
  <si>
    <t>Guerrero</t>
  </si>
  <si>
    <t>Porcentaje de Matrículas</t>
  </si>
  <si>
    <t>Número de Matrículas</t>
  </si>
  <si>
    <t>Estado de Origen</t>
  </si>
  <si>
    <t>Pinos</t>
  </si>
  <si>
    <t>Motul</t>
  </si>
  <si>
    <t>Tlalixcoyan</t>
  </si>
  <si>
    <t>Tierra Blanca</t>
  </si>
  <si>
    <t>Álamo Temapache</t>
  </si>
  <si>
    <t>Minatitlán</t>
  </si>
  <si>
    <t>Martínez de la Torre</t>
  </si>
  <si>
    <t>Las Choapas</t>
  </si>
  <si>
    <t>José Azueta</t>
  </si>
  <si>
    <t>Ignacio de la Llave</t>
  </si>
  <si>
    <t>Huatusco</t>
  </si>
  <si>
    <t>Córdoba</t>
  </si>
  <si>
    <t>Coatzacoalcos</t>
  </si>
  <si>
    <t>Calcahualco</t>
  </si>
  <si>
    <t>Actopan</t>
  </si>
  <si>
    <t>Chiautempan</t>
  </si>
  <si>
    <t>Tampico</t>
  </si>
  <si>
    <t>Matamoros</t>
  </si>
  <si>
    <t>Huimanguillo</t>
  </si>
  <si>
    <t>Balancán</t>
  </si>
  <si>
    <t>Guasave</t>
  </si>
  <si>
    <t>Villa de Reyes</t>
  </si>
  <si>
    <t>Salinas</t>
  </si>
  <si>
    <t>El Marqués</t>
  </si>
  <si>
    <t>Tlahuapan</t>
  </si>
  <si>
    <t>Tianguismanalco</t>
  </si>
  <si>
    <t>Tepexco</t>
  </si>
  <si>
    <t>San Martín Texmelucan</t>
  </si>
  <si>
    <t>Nealtican</t>
  </si>
  <si>
    <t>Izúcar de Matamoros</t>
  </si>
  <si>
    <t>Huejotzingo</t>
  </si>
  <si>
    <t>Chiautzingo</t>
  </si>
  <si>
    <t>Chiautla</t>
  </si>
  <si>
    <t>Cañada Morelos</t>
  </si>
  <si>
    <t>Calpan</t>
  </si>
  <si>
    <t>Atlixco</t>
  </si>
  <si>
    <t>Totontepec Villa de Morelos</t>
  </si>
  <si>
    <t>Santo Domingo Tomaltepec</t>
  </si>
  <si>
    <t>Santa Cruz Zenzontepec</t>
  </si>
  <si>
    <t>San Dionisio del Mar</t>
  </si>
  <si>
    <t>San Antonino Monte Verde</t>
  </si>
  <si>
    <t>San Agustín Yatareni</t>
  </si>
  <si>
    <t>Heroica Ciudad de Juchitán de Zaragoza</t>
  </si>
  <si>
    <t>Monterrey</t>
  </si>
  <si>
    <t>Ocuituco</t>
  </si>
  <si>
    <t>Venustiano Carranza</t>
  </si>
  <si>
    <t>Tuxpan</t>
  </si>
  <si>
    <t>Tacámbaro</t>
  </si>
  <si>
    <t>San Lucas</t>
  </si>
  <si>
    <t>Pátzcuaro</t>
  </si>
  <si>
    <t>Apatzingán</t>
  </si>
  <si>
    <t>Unión de Tula</t>
  </si>
  <si>
    <t>San Pedro Tlaquepaque</t>
  </si>
  <si>
    <t>Tlajomulco de Zúñiga</t>
  </si>
  <si>
    <t>Tizapán el Alto</t>
  </si>
  <si>
    <t>Jesús María</t>
  </si>
  <si>
    <t>Guadalajara</t>
  </si>
  <si>
    <t>Ayutla</t>
  </si>
  <si>
    <t>Ayotlán</t>
  </si>
  <si>
    <t>Autlán de Navarro</t>
  </si>
  <si>
    <t>Ixmiquilpan</t>
  </si>
  <si>
    <t>Francisco I. Madero</t>
  </si>
  <si>
    <t>Alfajayucan</t>
  </si>
  <si>
    <t>Xalpatláhuac</t>
  </si>
  <si>
    <t>San Luis Acatlán</t>
  </si>
  <si>
    <t>Mártir de Cuilapan</t>
  </si>
  <si>
    <t>Malinaltepec</t>
  </si>
  <si>
    <t>Iguala de la Independencia</t>
  </si>
  <si>
    <t>Copanatoyac</t>
  </si>
  <si>
    <t>Chilapa de Álvarez</t>
  </si>
  <si>
    <t>Ayutla de los Libres</t>
  </si>
  <si>
    <t>Ahuacuotzingo</t>
  </si>
  <si>
    <t>Acapulco de Juárez</t>
  </si>
  <si>
    <t>Silao de la Victoria</t>
  </si>
  <si>
    <t>San Luis de la Paz</t>
  </si>
  <si>
    <t>Pénjamo</t>
  </si>
  <si>
    <t>Irapuato</t>
  </si>
  <si>
    <t>Dolores Hidalgo Cuna de la Independencia Nacional</t>
  </si>
  <si>
    <t>Celaya</t>
  </si>
  <si>
    <t>Apaseo el Grande</t>
  </si>
  <si>
    <t>Toluca</t>
  </si>
  <si>
    <t>Tejupilco</t>
  </si>
  <si>
    <t>Cuautitlán</t>
  </si>
  <si>
    <t>Aculco</t>
  </si>
  <si>
    <t>Iztacalco</t>
  </si>
  <si>
    <t>Cuauhtémoc</t>
  </si>
  <si>
    <t>Coyoacán</t>
  </si>
  <si>
    <t>Benito Juárez</t>
  </si>
  <si>
    <t>Azcapotzalco</t>
  </si>
  <si>
    <t>Álvaro Obregón</t>
  </si>
  <si>
    <t>Unión Juárez</t>
  </si>
  <si>
    <t>Tenejapa</t>
  </si>
  <si>
    <t>Tapachula</t>
  </si>
  <si>
    <t>Suchiate</t>
  </si>
  <si>
    <t>Siltepec</t>
  </si>
  <si>
    <t>Palenque</t>
  </si>
  <si>
    <t>Ocosingo</t>
  </si>
  <si>
    <t>Motozintla</t>
  </si>
  <si>
    <t>Mazapa de Madero</t>
  </si>
  <si>
    <t>Las Margaritas</t>
  </si>
  <si>
    <t>La Trinitaria</t>
  </si>
  <si>
    <t>La Concordia</t>
  </si>
  <si>
    <t>Huixtla</t>
  </si>
  <si>
    <t>Huehuetán</t>
  </si>
  <si>
    <t>Frontera Comalapa</t>
  </si>
  <si>
    <t>Escuintla</t>
  </si>
  <si>
    <t>El Porvenir</t>
  </si>
  <si>
    <t>Chapultenango</t>
  </si>
  <si>
    <t>Chamula</t>
  </si>
  <si>
    <t>Acacoyagua</t>
  </si>
  <si>
    <t>Tijuana</t>
  </si>
  <si>
    <t>Municipio Origen</t>
  </si>
  <si>
    <t>Posgrado [Maestría]</t>
  </si>
  <si>
    <t>Profesional Titulado</t>
  </si>
  <si>
    <t>Profesional pasante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</si>
  <si>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</si>
  <si>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</si>
  <si>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</si>
  <si>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</si>
  <si>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</si>
  <si>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</si>
  <si>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</si>
  <si>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</si>
  <si>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</si>
  <si>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</si>
  <si>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</si>
  <si>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</si>
  <si>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</si>
  <si>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</si>
  <si>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Sin Estudios</t>
  </si>
  <si>
    <t>Nivel de Estudios</t>
  </si>
  <si>
    <t>MATRÍCULAS CONSULARES EXPEDIDAS EN EL ESTADO DE MASSACHUSETTS EN EE.UU. POR NIVEL DE EDUCACIÓN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</si>
  <si>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</si>
  <si>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</si>
  <si>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</si>
  <si>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</si>
  <si>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</si>
  <si>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</si>
  <si>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</si>
  <si>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</si>
  <si>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</si>
  <si>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</si>
  <si>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</si>
  <si>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</si>
  <si>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</si>
  <si>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Profesionista</t>
  </si>
  <si>
    <t>Pintor(a)</t>
  </si>
  <si>
    <t>Panadero(a)</t>
  </si>
  <si>
    <t>Jardinero(a)</t>
  </si>
  <si>
    <t>Albañil</t>
  </si>
  <si>
    <t>Otro</t>
  </si>
  <si>
    <t>Campesino(a)</t>
  </si>
  <si>
    <t>Obrero(a)</t>
  </si>
  <si>
    <t>Estudiante</t>
  </si>
  <si>
    <t>Cocinero(a)</t>
  </si>
  <si>
    <t>Hogar</t>
  </si>
  <si>
    <t>Empleado(a)</t>
  </si>
  <si>
    <t>Ocupación</t>
  </si>
  <si>
    <t>Profesional titulado</t>
  </si>
  <si>
    <t>Capacitación técnica</t>
  </si>
  <si>
    <t>Matrículas consulares expedidas a mexicanos  en el estado Massachusetts en el 2020</t>
  </si>
  <si>
    <t>MATRÍCULAS CONSULARES DE ALTA SEGURIDAD EXPEDIDAS EN EL ESTADO DE MASSACHUSETTS EN EE.UU. POR ESTADO DE LA REPÚBLICA MEXICANA DURANTE EL 2020</t>
  </si>
  <si>
    <t>Tamaño de la muestra: 497,795</t>
  </si>
  <si>
    <t>Octubre de 2021</t>
  </si>
  <si>
    <t>Ensenada</t>
  </si>
  <si>
    <t>Carmen</t>
  </si>
  <si>
    <t>Acapetahua</t>
  </si>
  <si>
    <t>Amatenango de la Frontera</t>
  </si>
  <si>
    <t>Bella Vista</t>
  </si>
  <si>
    <t>Mapastepec</t>
  </si>
  <si>
    <t>Oxchuc</t>
  </si>
  <si>
    <t>Tecpatán</t>
  </si>
  <si>
    <t>Tonalá</t>
  </si>
  <si>
    <t>Tuxtla Chico</t>
  </si>
  <si>
    <t>Tuzantán</t>
  </si>
  <si>
    <t>Villa Corzo</t>
  </si>
  <si>
    <t>Nuevo Casas Grandes</t>
  </si>
  <si>
    <t>Comala</t>
  </si>
  <si>
    <t>Manzanillo</t>
  </si>
  <si>
    <t>Canatlán</t>
  </si>
  <si>
    <t>Acambay de Ruíz Castañeda</t>
  </si>
  <si>
    <t>Almoloya de Juárez</t>
  </si>
  <si>
    <t>Chimalhuacán</t>
  </si>
  <si>
    <t>Coyotepec</t>
  </si>
  <si>
    <t>Naucalpan de Juárez</t>
  </si>
  <si>
    <t>Tlalnepantla de Baz</t>
  </si>
  <si>
    <t>Zumpango</t>
  </si>
  <si>
    <t>GUANAJUATO</t>
  </si>
  <si>
    <t>Apaseo el Alto</t>
  </si>
  <si>
    <t>Moroleón</t>
  </si>
  <si>
    <t>Purísima del Rincón</t>
  </si>
  <si>
    <t>Valle de Santiago</t>
  </si>
  <si>
    <t>Yuriria</t>
  </si>
  <si>
    <t>Guerero</t>
  </si>
  <si>
    <t>Alcozauca de Guerero</t>
  </si>
  <si>
    <t>Arcelia</t>
  </si>
  <si>
    <t>Atenango del Río</t>
  </si>
  <si>
    <t>Atlamajalcingo del Monte</t>
  </si>
  <si>
    <t>Huamuxtitlán</t>
  </si>
  <si>
    <t>Olinalá</t>
  </si>
  <si>
    <t>Pungarabato</t>
  </si>
  <si>
    <t>Quechultenango</t>
  </si>
  <si>
    <t>San Marcos</t>
  </si>
  <si>
    <t>Tlalixtaquilla de Maldonado</t>
  </si>
  <si>
    <t>Chapulhuacán</t>
  </si>
  <si>
    <t>Chilcuautla</t>
  </si>
  <si>
    <t>Pachuca de Soto</t>
  </si>
  <si>
    <t>Tenango de Doria</t>
  </si>
  <si>
    <t>Ejutla</t>
  </si>
  <si>
    <t>Gómez Farías</t>
  </si>
  <si>
    <t>Lagos de Moreno</t>
  </si>
  <si>
    <t>Mexticacán</t>
  </si>
  <si>
    <t>Ocotlán</t>
  </si>
  <si>
    <t>Ojuelos de Jalisco</t>
  </si>
  <si>
    <t>Poncitlán</t>
  </si>
  <si>
    <t>Huiramba</t>
  </si>
  <si>
    <t>Jungapeo</t>
  </si>
  <si>
    <t>Puruándiro</t>
  </si>
  <si>
    <t>Tepalcatepec</t>
  </si>
  <si>
    <t>Axochiapan</t>
  </si>
  <si>
    <t>Cuernavaca</t>
  </si>
  <si>
    <t>Yautepec</t>
  </si>
  <si>
    <t>San Francisco Cahuacuá</t>
  </si>
  <si>
    <t>San Martín Itunyoso</t>
  </si>
  <si>
    <t>San Miguel Tequixtepec</t>
  </si>
  <si>
    <t>San Pedro el Alto</t>
  </si>
  <si>
    <t>San Pedro Pochutla</t>
  </si>
  <si>
    <t>Santa María Yolotepec</t>
  </si>
  <si>
    <t>Santiago Pinotepa Nacional</t>
  </si>
  <si>
    <t>Tlalixtac de Cabrera</t>
  </si>
  <si>
    <t>Villa Talea de Castro</t>
  </si>
  <si>
    <t>Atzitzihuacán</t>
  </si>
  <si>
    <t>Coatzingo</t>
  </si>
  <si>
    <t>Coronango</t>
  </si>
  <si>
    <t>Esperanza</t>
  </si>
  <si>
    <t>Huaquechula</t>
  </si>
  <si>
    <t>Juan N. Méndez</t>
  </si>
  <si>
    <t>Molcaxac</t>
  </si>
  <si>
    <t>San Pedro Cholula</t>
  </si>
  <si>
    <t>Tehuitzingo</t>
  </si>
  <si>
    <t>Tepatlaxco de Hidalgo</t>
  </si>
  <si>
    <t>Tepeojuma</t>
  </si>
  <si>
    <t>Tilapa</t>
  </si>
  <si>
    <t>Tlaola</t>
  </si>
  <si>
    <t>Tlapanalá</t>
  </si>
  <si>
    <t>Tochtepec</t>
  </si>
  <si>
    <t>Cerritos</t>
  </si>
  <si>
    <t>Ciudad Valles</t>
  </si>
  <si>
    <t>Rioverde</t>
  </si>
  <si>
    <t>Ahome</t>
  </si>
  <si>
    <t>Cosalá</t>
  </si>
  <si>
    <t>Elota</t>
  </si>
  <si>
    <t>Caborca</t>
  </si>
  <si>
    <t>Hermosillo</t>
  </si>
  <si>
    <t>Cárdenas</t>
  </si>
  <si>
    <t>Tacotalpa</t>
  </si>
  <si>
    <t>Ciudad Madero</t>
  </si>
  <si>
    <t>Nuevo Laredo</t>
  </si>
  <si>
    <t>Ocampo</t>
  </si>
  <si>
    <t>Apizaco</t>
  </si>
  <si>
    <t>Cazones de Herrera</t>
  </si>
  <si>
    <t>Coscomatepec</t>
  </si>
  <si>
    <t>Espinal</t>
  </si>
  <si>
    <t>Ixhuatlán de Madero</t>
  </si>
  <si>
    <t>Jáltipan</t>
  </si>
  <si>
    <t>Jamapa</t>
  </si>
  <si>
    <t>Orizaba</t>
  </si>
  <si>
    <t>Tecolutla</t>
  </si>
  <si>
    <t>Tepetzintla</t>
  </si>
  <si>
    <t>Tlachichilco</t>
  </si>
  <si>
    <t>Tizimín</t>
  </si>
  <si>
    <t>Jerez</t>
  </si>
  <si>
    <t>Villanueva</t>
  </si>
  <si>
    <t>3° Año de profesional</t>
  </si>
  <si>
    <t>4° Año de profesional</t>
  </si>
  <si>
    <t>MATRÍCULAS CONSULARES DE ALTA SEGURIDAD EXPEDIDAS EN EE.UU A MEXICANOS EN EL ESTADO DE MASSACHUSETTS, POR GÉNERO 2020</t>
  </si>
  <si>
    <t>MATRÍCULAS CONSULARES DE ALTA SEGURIDAD EXPEDIDAS EN EE.UU A MEXICANOS EN EL ESTADO DE  MASSACHUSETTS, POR PERFIL OCUPACIONAL 2020</t>
  </si>
  <si>
    <t>Comerciante</t>
  </si>
  <si>
    <t>Mesero(a)</t>
  </si>
  <si>
    <t>Operario(a)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</si>
</sst>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1" fillId="0" borderId="0"/>
  </cellStyleXfs>
  <cellXfs count="159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49" fontId="19" fillId="3" borderId="9" xfId="3" applyNumberFormat="1" applyFont="1" applyFill="1" applyBorder="1" applyAlignment="1">
      <alignment horizontal="center" vertical="center" wrapText="1"/>
    </xf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0" fillId="0" borderId="0" xfId="0"/>
    <xf numFmtId="0" fontId="0" fillId="3" borderId="0" xfId="0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3" fontId="12" fillId="3" borderId="0" xfId="0" applyNumberFormat="1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49" fontId="9" fillId="6" borderId="13" xfId="0" applyNumberFormat="1" applyFont="1" applyFill="1" applyBorder="1" applyAlignment="1">
      <alignment horizontal="center" vertical="center" wrapText="1"/>
    </xf>
    <xf numFmtId="49" fontId="9" fillId="6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332198</xdr:colOff>
      <xdr:row>2</xdr:row>
      <xdr:rowOff>19380</xdr:rowOff>
    </xdr:from>
    <xdr:to>
      <xdr:col>3</xdr:col>
      <xdr:colOff>844295</xdr:colOff>
      <xdr:row>3</xdr:row>
      <xdr:rowOff>19381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56423" y="743280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38100</xdr:rowOff>
    </xdr:from>
    <xdr:to>
      <xdr:col>5</xdr:col>
      <xdr:colOff>26322</xdr:colOff>
      <xdr:row>8</xdr:row>
      <xdr:rowOff>26895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371600"/>
          <a:ext cx="654972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MASSACHUSETTS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481263</xdr:colOff>
      <xdr:row>7</xdr:row>
      <xdr:rowOff>160421</xdr:rowOff>
    </xdr:from>
    <xdr:to>
      <xdr:col>4</xdr:col>
      <xdr:colOff>993360</xdr:colOff>
      <xdr:row>7</xdr:row>
      <xdr:rowOff>339716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9938" y="1903496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17145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MASSACHUSETTS,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447092</xdr:colOff>
      <xdr:row>7</xdr:row>
      <xdr:rowOff>126353</xdr:rowOff>
    </xdr:from>
    <xdr:to>
      <xdr:col>4</xdr:col>
      <xdr:colOff>1001097</xdr:colOff>
      <xdr:row>7</xdr:row>
      <xdr:rowOff>320741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2959" y="1875843"/>
          <a:ext cx="554005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8</xdr:row>
      <xdr:rowOff>19050</xdr:rowOff>
    </xdr:from>
    <xdr:to>
      <xdr:col>4</xdr:col>
      <xdr:colOff>616872</xdr:colOff>
      <xdr:row>8</xdr:row>
      <xdr:rowOff>198345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33900" y="17335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MASSACHUSETTS,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542925</xdr:colOff>
      <xdr:row>7</xdr:row>
      <xdr:rowOff>200026</xdr:rowOff>
    </xdr:from>
    <xdr:to>
      <xdr:col>4</xdr:col>
      <xdr:colOff>1057275</xdr:colOff>
      <xdr:row>7</xdr:row>
      <xdr:rowOff>371476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943101"/>
          <a:ext cx="514350" cy="1714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MASSACHUSETTS,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197069</xdr:rowOff>
    </xdr:from>
    <xdr:to>
      <xdr:col>4</xdr:col>
      <xdr:colOff>1057321</xdr:colOff>
      <xdr:row>7</xdr:row>
      <xdr:rowOff>376364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93784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7145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2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146" t="s">
        <v>207</v>
      </c>
      <c r="B1" s="147"/>
      <c r="C1" s="147"/>
      <c r="D1" s="148"/>
    </row>
    <row r="2" spans="1:4" ht="18.75">
      <c r="A2" s="2"/>
      <c r="B2" s="3"/>
      <c r="C2" s="3"/>
      <c r="D2" s="4"/>
    </row>
    <row r="3" spans="1:4">
      <c r="A3" s="149" t="s">
        <v>0</v>
      </c>
      <c r="B3" s="150"/>
      <c r="C3" s="150"/>
      <c r="D3" s="151"/>
    </row>
    <row r="4" spans="1:4">
      <c r="A4" s="149"/>
      <c r="B4" s="150"/>
      <c r="C4" s="150"/>
      <c r="D4" s="151"/>
    </row>
    <row r="5" spans="1:4" ht="18.75">
      <c r="A5" s="5"/>
      <c r="B5" s="6"/>
      <c r="C5" s="6"/>
      <c r="D5" s="7"/>
    </row>
    <row r="6" spans="1:4" ht="18.75">
      <c r="A6" s="145" t="s">
        <v>1</v>
      </c>
      <c r="B6" s="143"/>
      <c r="C6" s="143"/>
      <c r="D6" s="144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143" t="s">
        <v>3</v>
      </c>
      <c r="C9" s="143"/>
      <c r="D9" s="144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143" t="s">
        <v>5</v>
      </c>
      <c r="C11" s="143"/>
      <c r="D11" s="144"/>
    </row>
    <row r="12" spans="1:4" ht="18.75">
      <c r="A12" s="11"/>
      <c r="B12" s="143" t="s">
        <v>6</v>
      </c>
      <c r="C12" s="143"/>
      <c r="D12" s="144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143" t="s">
        <v>8</v>
      </c>
      <c r="C15" s="143"/>
      <c r="D15" s="144"/>
    </row>
    <row r="16" spans="1:4" ht="18.75">
      <c r="A16" s="11"/>
      <c r="B16" s="143" t="s">
        <v>9</v>
      </c>
      <c r="C16" s="143"/>
      <c r="D16" s="144"/>
    </row>
    <row r="17" spans="1:4" ht="18.75">
      <c r="A17" s="11"/>
      <c r="B17" s="12"/>
      <c r="C17" s="12"/>
      <c r="D17" s="13"/>
    </row>
    <row r="18" spans="1:4" ht="18.75">
      <c r="A18" s="145" t="s">
        <v>10</v>
      </c>
      <c r="B18" s="143"/>
      <c r="C18" s="143"/>
      <c r="D18" s="144"/>
    </row>
    <row r="19" spans="1:4" ht="18.75">
      <c r="A19" s="11"/>
      <c r="B19" s="12"/>
      <c r="C19" s="12"/>
      <c r="D19" s="13"/>
    </row>
    <row r="20" spans="1:4" ht="18.75">
      <c r="A20" s="145" t="s">
        <v>11</v>
      </c>
      <c r="B20" s="143"/>
      <c r="C20" s="143"/>
      <c r="D20" s="144"/>
    </row>
    <row r="21" spans="1:4" ht="19.5" thickBot="1">
      <c r="A21" s="14"/>
      <c r="B21" s="15"/>
      <c r="C21" s="15"/>
      <c r="D21" s="16"/>
    </row>
    <row r="22" spans="1:4" ht="18.75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assachusetts_Edomexgral!A1" display="1. Por Estados de la República Mexicana"/>
    <hyperlink ref="B9" location="Alabama_EDOMEX!Área_de_impresión" display="2.1 Por estado de la República Mexicana y municipio de origen"/>
    <hyperlink ref="B11:D11" location="Massachusetts_Educagral!A1" display="3.1 Educación general"/>
    <hyperlink ref="B12:D12" location="Massachusetts_Eduedo!A1" display="3.2 Por Estado de la República Mexicana"/>
    <hyperlink ref="B15:D15" location="Massachusetts_gengral!A1" display="4.1 Género General"/>
    <hyperlink ref="B16:D16" location="Massachusetts_edomexgen!A1" display="4.2 Por Estados de la República Mexicana"/>
    <hyperlink ref="A18:D18" location="Massachusetts_edadgen!A1" display="5. Por estructura de Edad"/>
    <hyperlink ref="A20:D20" location="Massachusetts_ocupgral!A1" display="6. Por Ocupación"/>
    <hyperlink ref="B9:D9" location="Massachusetts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46"/>
  <sheetViews>
    <sheetView showGridLines="0" topLeftCell="A2" zoomScaleNormal="100" zoomScaleSheetLayoutView="115" workbookViewId="0">
      <selection activeCell="D11" sqref="D11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2" t="s">
        <v>208</v>
      </c>
      <c r="C7" s="152"/>
      <c r="D7" s="152"/>
    </row>
    <row r="8" spans="1:5" s="27" customFormat="1" ht="15" customHeight="1">
      <c r="B8" s="152"/>
      <c r="C8" s="152"/>
      <c r="D8" s="152"/>
    </row>
    <row r="9" spans="1:5" s="27" customFormat="1" ht="33" customHeight="1">
      <c r="B9" s="152"/>
      <c r="C9" s="152"/>
      <c r="D9" s="152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46</v>
      </c>
      <c r="C11" s="29" t="s">
        <v>45</v>
      </c>
      <c r="D11" s="28" t="s">
        <v>44</v>
      </c>
    </row>
    <row r="12" spans="1:5">
      <c r="B12" s="25" t="s">
        <v>42</v>
      </c>
      <c r="C12" s="24">
        <v>55</v>
      </c>
      <c r="D12" s="23">
        <v>0.12141280353200883</v>
      </c>
    </row>
    <row r="13" spans="1:5">
      <c r="B13" s="25" t="s">
        <v>38</v>
      </c>
      <c r="C13" s="24">
        <v>55</v>
      </c>
      <c r="D13" s="23">
        <v>0.12141280353200883</v>
      </c>
    </row>
    <row r="14" spans="1:5">
      <c r="A14" s="26"/>
      <c r="B14" s="25" t="s">
        <v>43</v>
      </c>
      <c r="C14" s="24">
        <v>52</v>
      </c>
      <c r="D14" s="23">
        <v>0.11479028697571744</v>
      </c>
      <c r="E14" s="26"/>
    </row>
    <row r="15" spans="1:5">
      <c r="A15" s="26"/>
      <c r="B15" s="25" t="s">
        <v>41</v>
      </c>
      <c r="C15" s="24">
        <v>48</v>
      </c>
      <c r="D15" s="23">
        <v>0.10596026490066225</v>
      </c>
      <c r="E15" s="26"/>
    </row>
    <row r="16" spans="1:5">
      <c r="B16" s="25" t="s">
        <v>36</v>
      </c>
      <c r="C16" s="24">
        <v>36</v>
      </c>
      <c r="D16" s="23">
        <v>7.9470198675496692E-2</v>
      </c>
    </row>
    <row r="17" spans="2:4">
      <c r="B17" s="25" t="s">
        <v>39</v>
      </c>
      <c r="C17" s="24">
        <v>35</v>
      </c>
      <c r="D17" s="23">
        <v>7.7262693156732898E-2</v>
      </c>
    </row>
    <row r="18" spans="2:4">
      <c r="B18" s="25" t="s">
        <v>40</v>
      </c>
      <c r="C18" s="24">
        <v>27</v>
      </c>
      <c r="D18" s="23">
        <v>5.9602649006622516E-2</v>
      </c>
    </row>
    <row r="19" spans="2:4">
      <c r="B19" s="25" t="s">
        <v>35</v>
      </c>
      <c r="C19" s="24">
        <v>18</v>
      </c>
      <c r="D19" s="23">
        <v>3.9735099337748346E-2</v>
      </c>
    </row>
    <row r="20" spans="2:4">
      <c r="B20" s="25" t="s">
        <v>31</v>
      </c>
      <c r="C20" s="24">
        <v>18</v>
      </c>
      <c r="D20" s="23">
        <v>3.9735099337748346E-2</v>
      </c>
    </row>
    <row r="21" spans="2:4">
      <c r="B21" s="25" t="s">
        <v>33</v>
      </c>
      <c r="C21" s="24">
        <v>17</v>
      </c>
      <c r="D21" s="23">
        <v>3.7527593818984545E-2</v>
      </c>
    </row>
    <row r="22" spans="2:4">
      <c r="B22" s="25" t="s">
        <v>32</v>
      </c>
      <c r="C22" s="24">
        <v>14</v>
      </c>
      <c r="D22" s="23">
        <v>3.0905077262693158E-2</v>
      </c>
    </row>
    <row r="23" spans="2:4">
      <c r="B23" s="25" t="s">
        <v>34</v>
      </c>
      <c r="C23" s="24">
        <v>13</v>
      </c>
      <c r="D23" s="23">
        <v>2.8697571743929361E-2</v>
      </c>
    </row>
    <row r="24" spans="2:4">
      <c r="B24" s="25" t="s">
        <v>37</v>
      </c>
      <c r="C24" s="24">
        <v>13</v>
      </c>
      <c r="D24" s="23">
        <v>2.8697571743929361E-2</v>
      </c>
    </row>
    <row r="25" spans="2:4">
      <c r="B25" s="25" t="s">
        <v>27</v>
      </c>
      <c r="C25" s="24">
        <v>10</v>
      </c>
      <c r="D25" s="23">
        <v>2.2075055187637971E-2</v>
      </c>
    </row>
    <row r="26" spans="2:4">
      <c r="B26" s="25" t="s">
        <v>30</v>
      </c>
      <c r="C26" s="24">
        <v>6</v>
      </c>
      <c r="D26" s="23">
        <v>1.3245033112582781E-2</v>
      </c>
    </row>
    <row r="27" spans="2:4">
      <c r="B27" s="25" t="s">
        <v>18</v>
      </c>
      <c r="C27" s="24">
        <v>6</v>
      </c>
      <c r="D27" s="23">
        <v>1.3245033112582781E-2</v>
      </c>
    </row>
    <row r="28" spans="2:4">
      <c r="B28" s="25" t="s">
        <v>22</v>
      </c>
      <c r="C28" s="24">
        <v>6</v>
      </c>
      <c r="D28" s="23">
        <v>1.3245033112582781E-2</v>
      </c>
    </row>
    <row r="29" spans="2:4">
      <c r="B29" s="25" t="s">
        <v>24</v>
      </c>
      <c r="C29" s="24">
        <v>5</v>
      </c>
      <c r="D29" s="23">
        <v>1.1037527593818985E-2</v>
      </c>
    </row>
    <row r="30" spans="2:4">
      <c r="B30" s="25" t="s">
        <v>16</v>
      </c>
      <c r="C30" s="24">
        <v>4</v>
      </c>
      <c r="D30" s="23">
        <v>8.8300220750551876E-3</v>
      </c>
    </row>
    <row r="31" spans="2:4">
      <c r="B31" s="25" t="s">
        <v>29</v>
      </c>
      <c r="C31" s="24">
        <v>3</v>
      </c>
      <c r="D31" s="23">
        <v>6.6225165562913907E-3</v>
      </c>
    </row>
    <row r="32" spans="2:4">
      <c r="B32" s="25" t="s">
        <v>20</v>
      </c>
      <c r="C32" s="24">
        <v>2</v>
      </c>
      <c r="D32" s="23">
        <v>4.4150110375275938E-3</v>
      </c>
    </row>
    <row r="33" spans="2:4">
      <c r="B33" s="25" t="s">
        <v>19</v>
      </c>
      <c r="C33" s="24">
        <v>2</v>
      </c>
      <c r="D33" s="23">
        <v>4.4150110375275938E-3</v>
      </c>
    </row>
    <row r="34" spans="2:4">
      <c r="B34" s="25" t="s">
        <v>26</v>
      </c>
      <c r="C34" s="24">
        <v>2</v>
      </c>
      <c r="D34" s="23">
        <v>4.4150110375275938E-3</v>
      </c>
    </row>
    <row r="35" spans="2:4">
      <c r="B35" s="25" t="s">
        <v>17</v>
      </c>
      <c r="C35" s="24">
        <v>2</v>
      </c>
      <c r="D35" s="23">
        <v>4.4150110375275938E-3</v>
      </c>
    </row>
    <row r="36" spans="2:4">
      <c r="B36" s="25" t="s">
        <v>25</v>
      </c>
      <c r="C36" s="24">
        <v>1</v>
      </c>
      <c r="D36" s="23">
        <v>2.2075055187637969E-3</v>
      </c>
    </row>
    <row r="37" spans="2:4">
      <c r="B37" s="25" t="s">
        <v>21</v>
      </c>
      <c r="C37" s="24">
        <v>1</v>
      </c>
      <c r="D37" s="23">
        <v>2.2075055187637969E-3</v>
      </c>
    </row>
    <row r="38" spans="2:4">
      <c r="B38" s="25" t="s">
        <v>23</v>
      </c>
      <c r="C38" s="24">
        <v>1</v>
      </c>
      <c r="D38" s="23">
        <v>2.2075055187637969E-3</v>
      </c>
    </row>
    <row r="39" spans="2:4">
      <c r="B39" s="25" t="s">
        <v>28</v>
      </c>
      <c r="C39" s="24">
        <v>1</v>
      </c>
      <c r="D39" s="23">
        <v>2.2075055187637969E-3</v>
      </c>
    </row>
    <row r="40" spans="2:4">
      <c r="B40" s="22" t="s">
        <v>15</v>
      </c>
      <c r="C40" s="21">
        <v>453</v>
      </c>
      <c r="D40" s="20">
        <v>1</v>
      </c>
    </row>
    <row r="42" spans="2:4">
      <c r="B42" s="52" t="s">
        <v>209</v>
      </c>
      <c r="C42" s="51"/>
      <c r="D42" s="51"/>
    </row>
    <row r="43" spans="2:4">
      <c r="B43" s="54" t="s">
        <v>14</v>
      </c>
      <c r="C43" s="51"/>
      <c r="D43" s="51"/>
    </row>
    <row r="44" spans="2:4">
      <c r="B44" s="53" t="s">
        <v>13</v>
      </c>
      <c r="C44" s="51"/>
      <c r="D44" s="51"/>
    </row>
    <row r="45" spans="2:4">
      <c r="B45" s="52" t="s">
        <v>12</v>
      </c>
      <c r="C45" s="51"/>
      <c r="D45" s="51"/>
    </row>
    <row r="46" spans="2:4">
      <c r="B46" s="52" t="s">
        <v>210</v>
      </c>
      <c r="C46" s="51"/>
      <c r="D46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71"/>
  <sheetViews>
    <sheetView topLeftCell="A251" zoomScale="95" zoomScaleNormal="95" zoomScaleSheetLayoutView="100" workbookViewId="0">
      <selection activeCell="B267" sqref="B267:D27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158"/>
      <c r="C7" s="158"/>
      <c r="D7" s="158"/>
      <c r="E7" s="158"/>
    </row>
    <row r="8" spans="1:5" s="42" customFormat="1" ht="33" customHeight="1">
      <c r="A8" s="43"/>
      <c r="B8" s="158"/>
      <c r="C8" s="158"/>
      <c r="D8" s="158"/>
      <c r="E8" s="158"/>
    </row>
    <row r="9" spans="1:5" s="27" customFormat="1" ht="40.5" customHeight="1">
      <c r="B9" s="39" t="s">
        <v>46</v>
      </c>
      <c r="C9" s="41" t="s">
        <v>158</v>
      </c>
      <c r="D9" s="40" t="s">
        <v>45</v>
      </c>
      <c r="E9" s="39" t="s">
        <v>44</v>
      </c>
    </row>
    <row r="10" spans="1:5" ht="15" customHeight="1">
      <c r="B10" s="153" t="s">
        <v>25</v>
      </c>
      <c r="C10" s="63" t="s">
        <v>25</v>
      </c>
      <c r="D10" s="62">
        <v>1</v>
      </c>
      <c r="E10" s="61">
        <v>2.2075055187637969E-3</v>
      </c>
    </row>
    <row r="11" spans="1:5" ht="15" customHeight="1">
      <c r="B11" s="155"/>
      <c r="C11" s="60" t="s">
        <v>15</v>
      </c>
      <c r="D11" s="59">
        <v>1</v>
      </c>
      <c r="E11" s="58">
        <v>2.2075055187637969E-3</v>
      </c>
    </row>
    <row r="12" spans="1:5" ht="15" customHeight="1">
      <c r="B12" s="153" t="s">
        <v>24</v>
      </c>
      <c r="C12" s="63" t="s">
        <v>211</v>
      </c>
      <c r="D12" s="62">
        <v>3</v>
      </c>
      <c r="E12" s="61">
        <v>6.6225165562913907E-3</v>
      </c>
    </row>
    <row r="13" spans="1:5" ht="15" customHeight="1">
      <c r="B13" s="154"/>
      <c r="C13" s="63" t="s">
        <v>157</v>
      </c>
      <c r="D13" s="62">
        <v>2</v>
      </c>
      <c r="E13" s="61">
        <v>4.4150110375275938E-3</v>
      </c>
    </row>
    <row r="14" spans="1:5" ht="15" customHeight="1">
      <c r="B14" s="155"/>
      <c r="C14" s="60" t="s">
        <v>15</v>
      </c>
      <c r="D14" s="59">
        <v>5</v>
      </c>
      <c r="E14" s="58">
        <v>1.1037527593818985E-2</v>
      </c>
    </row>
    <row r="15" spans="1:5" ht="15" customHeight="1">
      <c r="B15" s="153" t="s">
        <v>21</v>
      </c>
      <c r="C15" s="63" t="s">
        <v>212</v>
      </c>
      <c r="D15" s="62">
        <v>1</v>
      </c>
      <c r="E15" s="61">
        <v>2.2075055187637969E-3</v>
      </c>
    </row>
    <row r="16" spans="1:5" ht="15" customHeight="1">
      <c r="B16" s="155"/>
      <c r="C16" s="60" t="s">
        <v>15</v>
      </c>
      <c r="D16" s="59">
        <v>1</v>
      </c>
      <c r="E16" s="58">
        <v>2.2075055187637969E-3</v>
      </c>
    </row>
    <row r="17" spans="2:5" ht="15" customHeight="1">
      <c r="B17" s="153" t="s">
        <v>42</v>
      </c>
      <c r="C17" s="63" t="s">
        <v>156</v>
      </c>
      <c r="D17" s="62">
        <v>2</v>
      </c>
      <c r="E17" s="61">
        <v>4.4150110375275938E-3</v>
      </c>
    </row>
    <row r="18" spans="2:5" ht="15" customHeight="1">
      <c r="B18" s="154"/>
      <c r="C18" s="63" t="s">
        <v>213</v>
      </c>
      <c r="D18" s="62">
        <v>1</v>
      </c>
      <c r="E18" s="61">
        <v>2.2075055187637969E-3</v>
      </c>
    </row>
    <row r="19" spans="2:5" ht="15" customHeight="1">
      <c r="B19" s="154"/>
      <c r="C19" s="63" t="s">
        <v>214</v>
      </c>
      <c r="D19" s="62">
        <v>1</v>
      </c>
      <c r="E19" s="61">
        <v>2.2075055187637969E-3</v>
      </c>
    </row>
    <row r="20" spans="2:5" ht="15" customHeight="1">
      <c r="B20" s="154"/>
      <c r="C20" s="63" t="s">
        <v>215</v>
      </c>
      <c r="D20" s="62">
        <v>1</v>
      </c>
      <c r="E20" s="61">
        <v>2.2075055187637969E-3</v>
      </c>
    </row>
    <row r="21" spans="2:5" ht="15" customHeight="1">
      <c r="B21" s="154"/>
      <c r="C21" s="63" t="s">
        <v>155</v>
      </c>
      <c r="D21" s="62">
        <v>1</v>
      </c>
      <c r="E21" s="61">
        <v>2.2075055187637969E-3</v>
      </c>
    </row>
    <row r="22" spans="2:5" ht="15" customHeight="1">
      <c r="B22" s="154"/>
      <c r="C22" s="63" t="s">
        <v>154</v>
      </c>
      <c r="D22" s="62">
        <v>1</v>
      </c>
      <c r="E22" s="61">
        <v>2.2075055187637969E-3</v>
      </c>
    </row>
    <row r="23" spans="2:5" ht="15" customHeight="1">
      <c r="B23" s="154"/>
      <c r="C23" s="63" t="s">
        <v>153</v>
      </c>
      <c r="D23" s="62">
        <v>2</v>
      </c>
      <c r="E23" s="61">
        <v>4.4150110375275938E-3</v>
      </c>
    </row>
    <row r="24" spans="2:5" ht="15" customHeight="1">
      <c r="B24" s="154"/>
      <c r="C24" s="63" t="s">
        <v>152</v>
      </c>
      <c r="D24" s="62">
        <v>1</v>
      </c>
      <c r="E24" s="61">
        <v>2.2075055187637969E-3</v>
      </c>
    </row>
    <row r="25" spans="2:5" ht="15" customHeight="1">
      <c r="B25" s="154"/>
      <c r="C25" s="63" t="s">
        <v>151</v>
      </c>
      <c r="D25" s="62">
        <v>3</v>
      </c>
      <c r="E25" s="61">
        <v>6.6225165562913907E-3</v>
      </c>
    </row>
    <row r="26" spans="2:5" ht="15" customHeight="1">
      <c r="B26" s="154"/>
      <c r="C26" s="63" t="s">
        <v>150</v>
      </c>
      <c r="D26" s="62">
        <v>1</v>
      </c>
      <c r="E26" s="61">
        <v>2.2075055187637969E-3</v>
      </c>
    </row>
    <row r="27" spans="2:5" ht="15" customHeight="1">
      <c r="B27" s="154"/>
      <c r="C27" s="63" t="s">
        <v>149</v>
      </c>
      <c r="D27" s="62">
        <v>1</v>
      </c>
      <c r="E27" s="61">
        <v>2.2075055187637969E-3</v>
      </c>
    </row>
    <row r="28" spans="2:5" ht="15" customHeight="1">
      <c r="B28" s="154"/>
      <c r="C28" s="63" t="s">
        <v>148</v>
      </c>
      <c r="D28" s="62">
        <v>1</v>
      </c>
      <c r="E28" s="61">
        <v>2.2075055187637969E-3</v>
      </c>
    </row>
    <row r="29" spans="2:5" ht="15" customHeight="1">
      <c r="B29" s="154"/>
      <c r="C29" s="63" t="s">
        <v>147</v>
      </c>
      <c r="D29" s="62">
        <v>1</v>
      </c>
      <c r="E29" s="61">
        <v>2.2075055187637969E-3</v>
      </c>
    </row>
    <row r="30" spans="2:5" ht="15" customHeight="1">
      <c r="B30" s="154"/>
      <c r="C30" s="63" t="s">
        <v>146</v>
      </c>
      <c r="D30" s="62">
        <v>4</v>
      </c>
      <c r="E30" s="61">
        <v>8.8300220750551876E-3</v>
      </c>
    </row>
    <row r="31" spans="2:5" ht="15" customHeight="1">
      <c r="B31" s="154"/>
      <c r="C31" s="63" t="s">
        <v>216</v>
      </c>
      <c r="D31" s="62">
        <v>3</v>
      </c>
      <c r="E31" s="61">
        <v>6.6225165562913907E-3</v>
      </c>
    </row>
    <row r="32" spans="2:5" ht="15" customHeight="1">
      <c r="B32" s="154"/>
      <c r="C32" s="63" t="s">
        <v>145</v>
      </c>
      <c r="D32" s="62">
        <v>1</v>
      </c>
      <c r="E32" s="61">
        <v>2.2075055187637969E-3</v>
      </c>
    </row>
    <row r="33" spans="2:5" ht="15" customHeight="1">
      <c r="B33" s="154"/>
      <c r="C33" s="63" t="s">
        <v>144</v>
      </c>
      <c r="D33" s="62">
        <v>1</v>
      </c>
      <c r="E33" s="61">
        <v>2.2075055187637969E-3</v>
      </c>
    </row>
    <row r="34" spans="2:5" ht="15" customHeight="1">
      <c r="B34" s="154"/>
      <c r="C34" s="63" t="s">
        <v>143</v>
      </c>
      <c r="D34" s="62">
        <v>3</v>
      </c>
      <c r="E34" s="61">
        <v>6.6225165562913907E-3</v>
      </c>
    </row>
    <row r="35" spans="2:5" ht="15" customHeight="1">
      <c r="B35" s="154"/>
      <c r="C35" s="63" t="s">
        <v>217</v>
      </c>
      <c r="D35" s="62">
        <v>1</v>
      </c>
      <c r="E35" s="61">
        <v>2.2075055187637969E-3</v>
      </c>
    </row>
    <row r="36" spans="2:5" ht="15" customHeight="1">
      <c r="B36" s="154"/>
      <c r="C36" s="63" t="s">
        <v>142</v>
      </c>
      <c r="D36" s="62">
        <v>1</v>
      </c>
      <c r="E36" s="61">
        <v>2.2075055187637969E-3</v>
      </c>
    </row>
    <row r="37" spans="2:5" ht="15" customHeight="1">
      <c r="B37" s="154"/>
      <c r="C37" s="63" t="s">
        <v>141</v>
      </c>
      <c r="D37" s="62">
        <v>4</v>
      </c>
      <c r="E37" s="61">
        <v>8.8300220750551876E-3</v>
      </c>
    </row>
    <row r="38" spans="2:5" ht="15" customHeight="1">
      <c r="B38" s="154"/>
      <c r="C38" s="63" t="s">
        <v>140</v>
      </c>
      <c r="D38" s="62">
        <v>1</v>
      </c>
      <c r="E38" s="61">
        <v>2.2075055187637969E-3</v>
      </c>
    </row>
    <row r="39" spans="2:5" ht="15" customHeight="1">
      <c r="B39" s="154"/>
      <c r="C39" s="63" t="s">
        <v>139</v>
      </c>
      <c r="D39" s="62">
        <v>5</v>
      </c>
      <c r="E39" s="61">
        <v>1.1037527593818985E-2</v>
      </c>
    </row>
    <row r="40" spans="2:5" ht="15" customHeight="1">
      <c r="B40" s="154"/>
      <c r="C40" s="63" t="s">
        <v>218</v>
      </c>
      <c r="D40" s="62">
        <v>1</v>
      </c>
      <c r="E40" s="61">
        <v>2.2075055187637969E-3</v>
      </c>
    </row>
    <row r="41" spans="2:5" ht="15" customHeight="1">
      <c r="B41" s="154"/>
      <c r="C41" s="63" t="s">
        <v>138</v>
      </c>
      <c r="D41" s="62">
        <v>1</v>
      </c>
      <c r="E41" s="61">
        <v>2.2075055187637969E-3</v>
      </c>
    </row>
    <row r="42" spans="2:5" ht="15" customHeight="1">
      <c r="B42" s="154"/>
      <c r="C42" s="63" t="s">
        <v>219</v>
      </c>
      <c r="D42" s="62">
        <v>1</v>
      </c>
      <c r="E42" s="61">
        <v>2.2075055187637969E-3</v>
      </c>
    </row>
    <row r="43" spans="2:5" ht="15" customHeight="1">
      <c r="B43" s="154"/>
      <c r="C43" s="63" t="s">
        <v>220</v>
      </c>
      <c r="D43" s="62">
        <v>2</v>
      </c>
      <c r="E43" s="61">
        <v>4.4150110375275938E-3</v>
      </c>
    </row>
    <row r="44" spans="2:5" ht="15" customHeight="1">
      <c r="B44" s="154"/>
      <c r="C44" s="63" t="s">
        <v>221</v>
      </c>
      <c r="D44" s="62">
        <v>2</v>
      </c>
      <c r="E44" s="61">
        <v>4.4150110375275938E-3</v>
      </c>
    </row>
    <row r="45" spans="2:5" ht="15" customHeight="1">
      <c r="B45" s="154"/>
      <c r="C45" s="63" t="s">
        <v>137</v>
      </c>
      <c r="D45" s="62">
        <v>4</v>
      </c>
      <c r="E45" s="61">
        <v>8.8300220750551876E-3</v>
      </c>
    </row>
    <row r="46" spans="2:5" ht="15" customHeight="1">
      <c r="B46" s="154"/>
      <c r="C46" s="63" t="s">
        <v>222</v>
      </c>
      <c r="D46" s="62">
        <v>3</v>
      </c>
      <c r="E46" s="61">
        <v>6.6225165562913907E-3</v>
      </c>
    </row>
    <row r="47" spans="2:5" ht="15" customHeight="1">
      <c r="B47" s="155"/>
      <c r="C47" s="60" t="s">
        <v>15</v>
      </c>
      <c r="D47" s="59">
        <v>55</v>
      </c>
      <c r="E47" s="58">
        <v>0.12141280353200883</v>
      </c>
    </row>
    <row r="48" spans="2:5" ht="15" customHeight="1">
      <c r="B48" s="153" t="s">
        <v>23</v>
      </c>
      <c r="C48" s="63" t="s">
        <v>223</v>
      </c>
      <c r="D48" s="62">
        <v>1</v>
      </c>
      <c r="E48" s="61">
        <v>2.2075055187637969E-3</v>
      </c>
    </row>
    <row r="49" spans="2:5" ht="15" customHeight="1">
      <c r="B49" s="155"/>
      <c r="C49" s="60" t="s">
        <v>15</v>
      </c>
      <c r="D49" s="59">
        <v>1</v>
      </c>
      <c r="E49" s="58">
        <v>2.2075055187637969E-3</v>
      </c>
    </row>
    <row r="50" spans="2:5" ht="15" customHeight="1">
      <c r="B50" s="153" t="s">
        <v>20</v>
      </c>
      <c r="C50" s="63" t="s">
        <v>224</v>
      </c>
      <c r="D50" s="62">
        <v>1</v>
      </c>
      <c r="E50" s="61">
        <v>2.2075055187637969E-3</v>
      </c>
    </row>
    <row r="51" spans="2:5" ht="15" customHeight="1">
      <c r="B51" s="154"/>
      <c r="C51" s="63" t="s">
        <v>225</v>
      </c>
      <c r="D51" s="62">
        <v>1</v>
      </c>
      <c r="E51" s="61">
        <v>2.2075055187637969E-3</v>
      </c>
    </row>
    <row r="52" spans="2:5" ht="15" customHeight="1">
      <c r="B52" s="155"/>
      <c r="C52" s="60" t="s">
        <v>15</v>
      </c>
      <c r="D52" s="59">
        <v>2</v>
      </c>
      <c r="E52" s="58">
        <v>4.4150110375275938E-3</v>
      </c>
    </row>
    <row r="53" spans="2:5" ht="15" customHeight="1">
      <c r="B53" s="153" t="s">
        <v>36</v>
      </c>
      <c r="C53" s="63" t="s">
        <v>136</v>
      </c>
      <c r="D53" s="62">
        <v>1</v>
      </c>
      <c r="E53" s="61">
        <v>2.2075055187637969E-3</v>
      </c>
    </row>
    <row r="54" spans="2:5" ht="15" customHeight="1">
      <c r="B54" s="154"/>
      <c r="C54" s="63" t="s">
        <v>135</v>
      </c>
      <c r="D54" s="62">
        <v>10</v>
      </c>
      <c r="E54" s="61">
        <v>2.2075055187637971E-2</v>
      </c>
    </row>
    <row r="55" spans="2:5" ht="15" customHeight="1">
      <c r="B55" s="154"/>
      <c r="C55" s="63" t="s">
        <v>134</v>
      </c>
      <c r="D55" s="62">
        <v>11</v>
      </c>
      <c r="E55" s="61">
        <v>2.4282560706401765E-2</v>
      </c>
    </row>
    <row r="56" spans="2:5" ht="15" customHeight="1">
      <c r="B56" s="154"/>
      <c r="C56" s="63" t="s">
        <v>133</v>
      </c>
      <c r="D56" s="62">
        <v>1</v>
      </c>
      <c r="E56" s="61">
        <v>2.2075055187637969E-3</v>
      </c>
    </row>
    <row r="57" spans="2:5" ht="15" customHeight="1">
      <c r="B57" s="154"/>
      <c r="C57" s="63" t="s">
        <v>132</v>
      </c>
      <c r="D57" s="62">
        <v>11</v>
      </c>
      <c r="E57" s="61">
        <v>2.4282560706401765E-2</v>
      </c>
    </row>
    <row r="58" spans="2:5" ht="15" customHeight="1">
      <c r="B58" s="154"/>
      <c r="C58" s="63" t="s">
        <v>131</v>
      </c>
      <c r="D58" s="62">
        <v>1</v>
      </c>
      <c r="E58" s="61">
        <v>2.2075055187637969E-3</v>
      </c>
    </row>
    <row r="59" spans="2:5" ht="15" customHeight="1">
      <c r="B59" s="154"/>
      <c r="C59" s="63" t="s">
        <v>92</v>
      </c>
      <c r="D59" s="62">
        <v>1</v>
      </c>
      <c r="E59" s="61">
        <v>2.2075055187637969E-3</v>
      </c>
    </row>
    <row r="60" spans="2:5" ht="15" customHeight="1">
      <c r="B60" s="155"/>
      <c r="C60" s="60" t="s">
        <v>15</v>
      </c>
      <c r="D60" s="59">
        <v>36</v>
      </c>
      <c r="E60" s="58">
        <v>7.9470198675496692E-2</v>
      </c>
    </row>
    <row r="61" spans="2:5" ht="15" customHeight="1">
      <c r="B61" s="153" t="s">
        <v>19</v>
      </c>
      <c r="C61" s="63" t="s">
        <v>226</v>
      </c>
      <c r="D61" s="62">
        <v>1</v>
      </c>
      <c r="E61" s="61">
        <v>2.2075055187637969E-3</v>
      </c>
    </row>
    <row r="62" spans="2:5" ht="15" customHeight="1">
      <c r="B62" s="154"/>
      <c r="C62" s="63" t="s">
        <v>19</v>
      </c>
      <c r="D62" s="62">
        <v>1</v>
      </c>
      <c r="E62" s="61">
        <v>2.2075055187637969E-3</v>
      </c>
    </row>
    <row r="63" spans="2:5" ht="15" customHeight="1">
      <c r="B63" s="155"/>
      <c r="C63" s="60" t="s">
        <v>15</v>
      </c>
      <c r="D63" s="59">
        <v>2</v>
      </c>
      <c r="E63" s="58">
        <v>4.4150110375275938E-3</v>
      </c>
    </row>
    <row r="64" spans="2:5" ht="15" customHeight="1">
      <c r="B64" s="153" t="s">
        <v>34</v>
      </c>
      <c r="C64" s="63" t="s">
        <v>227</v>
      </c>
      <c r="D64" s="62">
        <v>2</v>
      </c>
      <c r="E64" s="61">
        <v>4.4150110375275938E-3</v>
      </c>
    </row>
    <row r="65" spans="2:5" ht="15" customHeight="1">
      <c r="B65" s="154"/>
      <c r="C65" s="63" t="s">
        <v>130</v>
      </c>
      <c r="D65" s="62">
        <v>1</v>
      </c>
      <c r="E65" s="61">
        <v>2.2075055187637969E-3</v>
      </c>
    </row>
    <row r="66" spans="2:5" ht="15" customHeight="1">
      <c r="B66" s="154"/>
      <c r="C66" s="63" t="s">
        <v>228</v>
      </c>
      <c r="D66" s="62">
        <v>1</v>
      </c>
      <c r="E66" s="61">
        <v>2.2075055187637969E-3</v>
      </c>
    </row>
    <row r="67" spans="2:5" ht="15" customHeight="1">
      <c r="B67" s="154"/>
      <c r="C67" s="63" t="s">
        <v>229</v>
      </c>
      <c r="D67" s="62">
        <v>2</v>
      </c>
      <c r="E67" s="61">
        <v>4.4150110375275938E-3</v>
      </c>
    </row>
    <row r="68" spans="2:5" ht="15" customHeight="1">
      <c r="B68" s="154"/>
      <c r="C68" s="63" t="s">
        <v>230</v>
      </c>
      <c r="D68" s="62">
        <v>1</v>
      </c>
      <c r="E68" s="61">
        <v>2.2075055187637969E-3</v>
      </c>
    </row>
    <row r="69" spans="2:5" ht="15" customHeight="1">
      <c r="B69" s="154"/>
      <c r="C69" s="63" t="s">
        <v>129</v>
      </c>
      <c r="D69" s="62">
        <v>1</v>
      </c>
      <c r="E69" s="61">
        <v>2.2075055187637969E-3</v>
      </c>
    </row>
    <row r="70" spans="2:5" ht="15" customHeight="1">
      <c r="B70" s="154"/>
      <c r="C70" s="63" t="s">
        <v>231</v>
      </c>
      <c r="D70" s="62">
        <v>1</v>
      </c>
      <c r="E70" s="61">
        <v>2.2075055187637969E-3</v>
      </c>
    </row>
    <row r="71" spans="2:5" ht="15" customHeight="1">
      <c r="B71" s="154"/>
      <c r="C71" s="63" t="s">
        <v>128</v>
      </c>
      <c r="D71" s="62">
        <v>1</v>
      </c>
      <c r="E71" s="61">
        <v>2.2075055187637969E-3</v>
      </c>
    </row>
    <row r="72" spans="2:5" ht="15" customHeight="1">
      <c r="B72" s="154"/>
      <c r="C72" s="63" t="s">
        <v>232</v>
      </c>
      <c r="D72" s="62">
        <v>1</v>
      </c>
      <c r="E72" s="61">
        <v>2.2075055187637969E-3</v>
      </c>
    </row>
    <row r="73" spans="2:5" ht="15" customHeight="1">
      <c r="B73" s="154"/>
      <c r="C73" s="63" t="s">
        <v>127</v>
      </c>
      <c r="D73" s="62">
        <v>1</v>
      </c>
      <c r="E73" s="61">
        <v>2.2075055187637969E-3</v>
      </c>
    </row>
    <row r="74" spans="2:5" ht="15" customHeight="1">
      <c r="B74" s="154"/>
      <c r="C74" s="63" t="s">
        <v>233</v>
      </c>
      <c r="D74" s="62">
        <v>1</v>
      </c>
      <c r="E74" s="61">
        <v>2.2075055187637969E-3</v>
      </c>
    </row>
    <row r="75" spans="2:5" ht="15" customHeight="1">
      <c r="B75" s="155"/>
      <c r="C75" s="60" t="s">
        <v>15</v>
      </c>
      <c r="D75" s="59">
        <v>13</v>
      </c>
      <c r="E75" s="58">
        <v>2.8697571743929361E-2</v>
      </c>
    </row>
    <row r="76" spans="2:5" ht="15" customHeight="1">
      <c r="B76" s="153" t="s">
        <v>234</v>
      </c>
      <c r="C76" s="63" t="s">
        <v>235</v>
      </c>
      <c r="D76" s="62">
        <v>1</v>
      </c>
      <c r="E76" s="61">
        <v>2.2075055187637969E-3</v>
      </c>
    </row>
    <row r="77" spans="2:5" ht="15" customHeight="1">
      <c r="B77" s="154"/>
      <c r="C77" s="63" t="s">
        <v>126</v>
      </c>
      <c r="D77" s="62">
        <v>1</v>
      </c>
      <c r="E77" s="61">
        <v>2.2075055187637969E-3</v>
      </c>
    </row>
    <row r="78" spans="2:5" ht="15" customHeight="1">
      <c r="B78" s="154"/>
      <c r="C78" s="63" t="s">
        <v>125</v>
      </c>
      <c r="D78" s="62">
        <v>2</v>
      </c>
      <c r="E78" s="61">
        <v>4.4150110375275938E-3</v>
      </c>
    </row>
    <row r="79" spans="2:5" ht="15" customHeight="1">
      <c r="B79" s="154"/>
      <c r="C79" s="63" t="s">
        <v>124</v>
      </c>
      <c r="D79" s="62">
        <v>3</v>
      </c>
      <c r="E79" s="61">
        <v>6.6225165562913907E-3</v>
      </c>
    </row>
    <row r="80" spans="2:5" ht="15" customHeight="1">
      <c r="B80" s="154"/>
      <c r="C80" s="63" t="s">
        <v>123</v>
      </c>
      <c r="D80" s="62">
        <v>1</v>
      </c>
      <c r="E80" s="61">
        <v>2.2075055187637969E-3</v>
      </c>
    </row>
    <row r="81" spans="2:5" ht="15" customHeight="1">
      <c r="B81" s="154"/>
      <c r="C81" s="63" t="s">
        <v>236</v>
      </c>
      <c r="D81" s="62">
        <v>1</v>
      </c>
      <c r="E81" s="61">
        <v>2.2075055187637969E-3</v>
      </c>
    </row>
    <row r="82" spans="2:5" ht="15" customHeight="1">
      <c r="B82" s="154"/>
      <c r="C82" s="63" t="s">
        <v>122</v>
      </c>
      <c r="D82" s="62">
        <v>2</v>
      </c>
      <c r="E82" s="61">
        <v>4.4150110375275938E-3</v>
      </c>
    </row>
    <row r="83" spans="2:5" ht="15" customHeight="1">
      <c r="B83" s="154"/>
      <c r="C83" s="63" t="s">
        <v>237</v>
      </c>
      <c r="D83" s="62">
        <v>1</v>
      </c>
      <c r="E83" s="61">
        <v>2.2075055187637969E-3</v>
      </c>
    </row>
    <row r="84" spans="2:5" ht="15" customHeight="1">
      <c r="B84" s="154"/>
      <c r="C84" s="63" t="s">
        <v>121</v>
      </c>
      <c r="D84" s="62">
        <v>3</v>
      </c>
      <c r="E84" s="61">
        <v>6.6225165562913907E-3</v>
      </c>
    </row>
    <row r="85" spans="2:5" ht="15" customHeight="1">
      <c r="B85" s="154"/>
      <c r="C85" s="63" t="s">
        <v>120</v>
      </c>
      <c r="D85" s="62">
        <v>1</v>
      </c>
      <c r="E85" s="61">
        <v>2.2075055187637969E-3</v>
      </c>
    </row>
    <row r="86" spans="2:5" ht="15" customHeight="1">
      <c r="B86" s="154"/>
      <c r="C86" s="63" t="s">
        <v>238</v>
      </c>
      <c r="D86" s="62">
        <v>1</v>
      </c>
      <c r="E86" s="61">
        <v>2.2075055187637969E-3</v>
      </c>
    </row>
    <row r="87" spans="2:5" ht="15" customHeight="1">
      <c r="B87" s="155"/>
      <c r="C87" s="63" t="s">
        <v>239</v>
      </c>
      <c r="D87" s="62">
        <v>1</v>
      </c>
      <c r="E87" s="61">
        <v>2.2075055187637969E-3</v>
      </c>
    </row>
    <row r="88" spans="2:5" ht="15" customHeight="1">
      <c r="B88" s="50" t="s">
        <v>35</v>
      </c>
      <c r="C88" s="60" t="s">
        <v>15</v>
      </c>
      <c r="D88" s="59">
        <v>18</v>
      </c>
      <c r="E88" s="58">
        <v>3.9735099337748346E-2</v>
      </c>
    </row>
    <row r="89" spans="2:5" ht="15" customHeight="1">
      <c r="B89" s="153" t="s">
        <v>240</v>
      </c>
      <c r="C89" s="63" t="s">
        <v>119</v>
      </c>
      <c r="D89" s="62">
        <v>5</v>
      </c>
      <c r="E89" s="61">
        <v>1.1037527593818985E-2</v>
      </c>
    </row>
    <row r="90" spans="2:5" ht="15" customHeight="1">
      <c r="B90" s="154"/>
      <c r="C90" s="63" t="s">
        <v>118</v>
      </c>
      <c r="D90" s="62">
        <v>2</v>
      </c>
      <c r="E90" s="61">
        <v>4.4150110375275938E-3</v>
      </c>
    </row>
    <row r="91" spans="2:5" ht="15" customHeight="1">
      <c r="B91" s="154"/>
      <c r="C91" s="63" t="s">
        <v>241</v>
      </c>
      <c r="D91" s="62">
        <v>1</v>
      </c>
      <c r="E91" s="61">
        <v>2.2075055187637969E-3</v>
      </c>
    </row>
    <row r="92" spans="2:5" ht="15" customHeight="1">
      <c r="B92" s="154"/>
      <c r="C92" s="63" t="s">
        <v>242</v>
      </c>
      <c r="D92" s="62">
        <v>1</v>
      </c>
      <c r="E92" s="61">
        <v>2.2075055187637969E-3</v>
      </c>
    </row>
    <row r="93" spans="2:5" ht="15" customHeight="1">
      <c r="B93" s="154"/>
      <c r="C93" s="63" t="s">
        <v>243</v>
      </c>
      <c r="D93" s="62">
        <v>1</v>
      </c>
      <c r="E93" s="61">
        <v>2.2075055187637969E-3</v>
      </c>
    </row>
    <row r="94" spans="2:5" ht="15" customHeight="1">
      <c r="B94" s="154"/>
      <c r="C94" s="63" t="s">
        <v>244</v>
      </c>
      <c r="D94" s="62">
        <v>1</v>
      </c>
      <c r="E94" s="61">
        <v>2.2075055187637969E-3</v>
      </c>
    </row>
    <row r="95" spans="2:5" ht="15" customHeight="1">
      <c r="B95" s="154"/>
      <c r="C95" s="63" t="s">
        <v>117</v>
      </c>
      <c r="D95" s="62">
        <v>2</v>
      </c>
      <c r="E95" s="61">
        <v>4.4150110375275938E-3</v>
      </c>
    </row>
    <row r="96" spans="2:5" ht="15" customHeight="1">
      <c r="B96" s="154"/>
      <c r="C96" s="63" t="s">
        <v>116</v>
      </c>
      <c r="D96" s="62">
        <v>3</v>
      </c>
      <c r="E96" s="61">
        <v>6.6225165562913907E-3</v>
      </c>
    </row>
    <row r="97" spans="2:5" ht="15" customHeight="1">
      <c r="B97" s="154"/>
      <c r="C97" s="63" t="s">
        <v>115</v>
      </c>
      <c r="D97" s="62">
        <v>1</v>
      </c>
      <c r="E97" s="61">
        <v>2.2075055187637969E-3</v>
      </c>
    </row>
    <row r="98" spans="2:5" ht="15" customHeight="1">
      <c r="B98" s="154"/>
      <c r="C98" s="63" t="s">
        <v>245</v>
      </c>
      <c r="D98" s="62">
        <v>1</v>
      </c>
      <c r="E98" s="61">
        <v>2.2075055187637969E-3</v>
      </c>
    </row>
    <row r="99" spans="2:5" ht="15" customHeight="1">
      <c r="B99" s="154"/>
      <c r="C99" s="63" t="s">
        <v>114</v>
      </c>
      <c r="D99" s="62">
        <v>2</v>
      </c>
      <c r="E99" s="61">
        <v>4.4150110375275938E-3</v>
      </c>
    </row>
    <row r="100" spans="2:5" ht="15" customHeight="1">
      <c r="B100" s="154"/>
      <c r="C100" s="63" t="s">
        <v>113</v>
      </c>
      <c r="D100" s="62">
        <v>1</v>
      </c>
      <c r="E100" s="61">
        <v>2.2075055187637969E-3</v>
      </c>
    </row>
    <row r="101" spans="2:5" ht="15" customHeight="1">
      <c r="B101" s="154"/>
      <c r="C101" s="63" t="s">
        <v>112</v>
      </c>
      <c r="D101" s="62">
        <v>1</v>
      </c>
      <c r="E101" s="61">
        <v>2.2075055187637969E-3</v>
      </c>
    </row>
    <row r="102" spans="2:5" ht="15" customHeight="1">
      <c r="B102" s="154"/>
      <c r="C102" s="63" t="s">
        <v>246</v>
      </c>
      <c r="D102" s="62">
        <v>2</v>
      </c>
      <c r="E102" s="61">
        <v>4.4150110375275938E-3</v>
      </c>
    </row>
    <row r="103" spans="2:5" ht="15" customHeight="1">
      <c r="B103" s="154"/>
      <c r="C103" s="63" t="s">
        <v>247</v>
      </c>
      <c r="D103" s="62">
        <v>1</v>
      </c>
      <c r="E103" s="61">
        <v>2.2075055187637969E-3</v>
      </c>
    </row>
    <row r="104" spans="2:5" ht="15" customHeight="1">
      <c r="B104" s="154"/>
      <c r="C104" s="63" t="s">
        <v>248</v>
      </c>
      <c r="D104" s="62">
        <v>1</v>
      </c>
      <c r="E104" s="61">
        <v>2.2075055187637969E-3</v>
      </c>
    </row>
    <row r="105" spans="2:5" ht="15" customHeight="1">
      <c r="B105" s="154"/>
      <c r="C105" s="63" t="s">
        <v>111</v>
      </c>
      <c r="D105" s="62">
        <v>20</v>
      </c>
      <c r="E105" s="61">
        <v>4.4150110375275942E-2</v>
      </c>
    </row>
    <row r="106" spans="2:5" ht="15" customHeight="1">
      <c r="B106" s="154"/>
      <c r="C106" s="63" t="s">
        <v>249</v>
      </c>
      <c r="D106" s="62">
        <v>1</v>
      </c>
      <c r="E106" s="61">
        <v>2.2075055187637969E-3</v>
      </c>
    </row>
    <row r="107" spans="2:5" ht="15" customHeight="1">
      <c r="B107" s="154"/>
      <c r="C107" s="63" t="s">
        <v>250</v>
      </c>
      <c r="D107" s="62">
        <v>1</v>
      </c>
      <c r="E107" s="61">
        <v>2.2075055187637969E-3</v>
      </c>
    </row>
    <row r="108" spans="2:5" ht="15" customHeight="1">
      <c r="B108" s="154"/>
      <c r="C108" s="63" t="s">
        <v>110</v>
      </c>
      <c r="D108" s="62">
        <v>4</v>
      </c>
      <c r="E108" s="61">
        <v>8.8300220750551876E-3</v>
      </c>
    </row>
    <row r="109" spans="2:5" ht="15" customHeight="1">
      <c r="B109" s="155"/>
      <c r="C109" s="60" t="s">
        <v>15</v>
      </c>
      <c r="D109" s="59">
        <v>52</v>
      </c>
      <c r="E109" s="58">
        <v>0.11479028697571744</v>
      </c>
    </row>
    <row r="110" spans="2:5" ht="15" customHeight="1">
      <c r="B110" s="153" t="s">
        <v>33</v>
      </c>
      <c r="C110" s="63" t="s">
        <v>61</v>
      </c>
      <c r="D110" s="62">
        <v>3</v>
      </c>
      <c r="E110" s="61">
        <v>6.6225165562913907E-3</v>
      </c>
    </row>
    <row r="111" spans="2:5" ht="15" customHeight="1">
      <c r="B111" s="154"/>
      <c r="C111" s="63" t="s">
        <v>109</v>
      </c>
      <c r="D111" s="62">
        <v>3</v>
      </c>
      <c r="E111" s="61">
        <v>6.6225165562913907E-3</v>
      </c>
    </row>
    <row r="112" spans="2:5" ht="15" customHeight="1">
      <c r="B112" s="154"/>
      <c r="C112" s="63" t="s">
        <v>251</v>
      </c>
      <c r="D112" s="62">
        <v>1</v>
      </c>
      <c r="E112" s="61">
        <v>2.2075055187637969E-3</v>
      </c>
    </row>
    <row r="113" spans="2:5" ht="15" customHeight="1">
      <c r="B113" s="154"/>
      <c r="C113" s="63" t="s">
        <v>252</v>
      </c>
      <c r="D113" s="62">
        <v>1</v>
      </c>
      <c r="E113" s="61">
        <v>2.2075055187637969E-3</v>
      </c>
    </row>
    <row r="114" spans="2:5" ht="15" customHeight="1">
      <c r="B114" s="154"/>
      <c r="C114" s="63" t="s">
        <v>108</v>
      </c>
      <c r="D114" s="62">
        <v>1</v>
      </c>
      <c r="E114" s="61">
        <v>2.2075055187637969E-3</v>
      </c>
    </row>
    <row r="115" spans="2:5" ht="15" customHeight="1">
      <c r="B115" s="154"/>
      <c r="C115" s="63" t="s">
        <v>107</v>
      </c>
      <c r="D115" s="62">
        <v>6</v>
      </c>
      <c r="E115" s="61">
        <v>1.3245033112582781E-2</v>
      </c>
    </row>
    <row r="116" spans="2:5" ht="15" customHeight="1">
      <c r="B116" s="154"/>
      <c r="C116" s="63" t="s">
        <v>253</v>
      </c>
      <c r="D116" s="62">
        <v>1</v>
      </c>
      <c r="E116" s="61">
        <v>2.2075055187637969E-3</v>
      </c>
    </row>
    <row r="117" spans="2:5" ht="15" customHeight="1">
      <c r="B117" s="154"/>
      <c r="C117" s="63" t="s">
        <v>254</v>
      </c>
      <c r="D117" s="62">
        <v>1</v>
      </c>
      <c r="E117" s="61">
        <v>2.2075055187637969E-3</v>
      </c>
    </row>
    <row r="118" spans="2:5" ht="15" customHeight="1">
      <c r="B118" s="155"/>
      <c r="C118" s="60" t="s">
        <v>15</v>
      </c>
      <c r="D118" s="59">
        <v>17</v>
      </c>
      <c r="E118" s="58">
        <v>3.7527593818984545E-2</v>
      </c>
    </row>
    <row r="119" spans="2:5" ht="15" customHeight="1">
      <c r="B119" s="153" t="s">
        <v>41</v>
      </c>
      <c r="C119" s="63" t="s">
        <v>106</v>
      </c>
      <c r="D119" s="62">
        <v>3</v>
      </c>
      <c r="E119" s="61">
        <v>6.6225165562913907E-3</v>
      </c>
    </row>
    <row r="120" spans="2:5" ht="15" customHeight="1">
      <c r="B120" s="154"/>
      <c r="C120" s="63" t="s">
        <v>105</v>
      </c>
      <c r="D120" s="62">
        <v>1</v>
      </c>
      <c r="E120" s="61">
        <v>2.2075055187637969E-3</v>
      </c>
    </row>
    <row r="121" spans="2:5" ht="15" customHeight="1">
      <c r="B121" s="154"/>
      <c r="C121" s="63" t="s">
        <v>104</v>
      </c>
      <c r="D121" s="62">
        <v>1</v>
      </c>
      <c r="E121" s="61">
        <v>2.2075055187637969E-3</v>
      </c>
    </row>
    <row r="122" spans="2:5" ht="15" customHeight="1">
      <c r="B122" s="154"/>
      <c r="C122" s="63" t="s">
        <v>255</v>
      </c>
      <c r="D122" s="62">
        <v>1</v>
      </c>
      <c r="E122" s="61">
        <v>2.2075055187637969E-3</v>
      </c>
    </row>
    <row r="123" spans="2:5" ht="15" customHeight="1">
      <c r="B123" s="154"/>
      <c r="C123" s="63" t="s">
        <v>256</v>
      </c>
      <c r="D123" s="62">
        <v>1</v>
      </c>
      <c r="E123" s="61">
        <v>2.2075055187637969E-3</v>
      </c>
    </row>
    <row r="124" spans="2:5" ht="15" customHeight="1">
      <c r="B124" s="154"/>
      <c r="C124" s="63" t="s">
        <v>103</v>
      </c>
      <c r="D124" s="62">
        <v>17</v>
      </c>
      <c r="E124" s="61">
        <v>3.7527593818984545E-2</v>
      </c>
    </row>
    <row r="125" spans="2:5" ht="15" customHeight="1">
      <c r="B125" s="154"/>
      <c r="C125" s="63" t="s">
        <v>102</v>
      </c>
      <c r="D125" s="62">
        <v>1</v>
      </c>
      <c r="E125" s="61">
        <v>2.2075055187637969E-3</v>
      </c>
    </row>
    <row r="126" spans="2:5" ht="15" customHeight="1">
      <c r="B126" s="154"/>
      <c r="C126" s="63" t="s">
        <v>257</v>
      </c>
      <c r="D126" s="62">
        <v>1</v>
      </c>
      <c r="E126" s="61">
        <v>2.2075055187637969E-3</v>
      </c>
    </row>
    <row r="127" spans="2:5" ht="15" customHeight="1">
      <c r="B127" s="154"/>
      <c r="C127" s="63" t="s">
        <v>258</v>
      </c>
      <c r="D127" s="62">
        <v>1</v>
      </c>
      <c r="E127" s="61">
        <v>2.2075055187637969E-3</v>
      </c>
    </row>
    <row r="128" spans="2:5" ht="15" customHeight="1">
      <c r="B128" s="154"/>
      <c r="C128" s="63" t="s">
        <v>259</v>
      </c>
      <c r="D128" s="62">
        <v>1</v>
      </c>
      <c r="E128" s="61">
        <v>2.2075055187637969E-3</v>
      </c>
    </row>
    <row r="129" spans="2:5" ht="15" customHeight="1">
      <c r="B129" s="154"/>
      <c r="C129" s="63" t="s">
        <v>260</v>
      </c>
      <c r="D129" s="62">
        <v>1</v>
      </c>
      <c r="E129" s="61">
        <v>2.2075055187637969E-3</v>
      </c>
    </row>
    <row r="130" spans="2:5" ht="15" customHeight="1">
      <c r="B130" s="154"/>
      <c r="C130" s="63" t="s">
        <v>261</v>
      </c>
      <c r="D130" s="62">
        <v>2</v>
      </c>
      <c r="E130" s="61">
        <v>4.4150110375275938E-3</v>
      </c>
    </row>
    <row r="131" spans="2:5" ht="15" customHeight="1">
      <c r="B131" s="154"/>
      <c r="C131" s="63" t="s">
        <v>101</v>
      </c>
      <c r="D131" s="62">
        <v>7</v>
      </c>
      <c r="E131" s="61">
        <v>1.5452538631346579E-2</v>
      </c>
    </row>
    <row r="132" spans="2:5" ht="15" customHeight="1">
      <c r="B132" s="154"/>
      <c r="C132" s="63" t="s">
        <v>100</v>
      </c>
      <c r="D132" s="62">
        <v>2</v>
      </c>
      <c r="E132" s="61">
        <v>4.4150110375275938E-3</v>
      </c>
    </row>
    <row r="133" spans="2:5" ht="15" customHeight="1">
      <c r="B133" s="154"/>
      <c r="C133" s="63" t="s">
        <v>99</v>
      </c>
      <c r="D133" s="62">
        <v>2</v>
      </c>
      <c r="E133" s="61">
        <v>4.4150110375275938E-3</v>
      </c>
    </row>
    <row r="134" spans="2:5" ht="15" customHeight="1">
      <c r="B134" s="154"/>
      <c r="C134" s="63" t="s">
        <v>219</v>
      </c>
      <c r="D134" s="62">
        <v>1</v>
      </c>
      <c r="E134" s="61">
        <v>2.2075055187637969E-3</v>
      </c>
    </row>
    <row r="135" spans="2:5" ht="15" customHeight="1">
      <c r="B135" s="154"/>
      <c r="C135" s="63" t="s">
        <v>98</v>
      </c>
      <c r="D135" s="62">
        <v>5</v>
      </c>
      <c r="E135" s="61">
        <v>1.1037527593818985E-2</v>
      </c>
    </row>
    <row r="136" spans="2:5" ht="15" customHeight="1">
      <c r="B136" s="155"/>
      <c r="C136" s="60" t="s">
        <v>15</v>
      </c>
      <c r="D136" s="59">
        <v>48</v>
      </c>
      <c r="E136" s="58">
        <v>0.10596026490066225</v>
      </c>
    </row>
    <row r="137" spans="2:5" ht="15" customHeight="1">
      <c r="B137" s="153" t="s">
        <v>37</v>
      </c>
      <c r="C137" s="63" t="s">
        <v>97</v>
      </c>
      <c r="D137" s="62">
        <v>1</v>
      </c>
      <c r="E137" s="61">
        <v>2.2075055187637969E-3</v>
      </c>
    </row>
    <row r="138" spans="2:5" ht="15" customHeight="1">
      <c r="B138" s="154"/>
      <c r="C138" s="63" t="s">
        <v>262</v>
      </c>
      <c r="D138" s="62">
        <v>2</v>
      </c>
      <c r="E138" s="61">
        <v>4.4150110375275938E-3</v>
      </c>
    </row>
    <row r="139" spans="2:5" ht="15" customHeight="1">
      <c r="B139" s="154"/>
      <c r="C139" s="63" t="s">
        <v>263</v>
      </c>
      <c r="D139" s="62">
        <v>1</v>
      </c>
      <c r="E139" s="61">
        <v>2.2075055187637969E-3</v>
      </c>
    </row>
    <row r="140" spans="2:5" ht="15" customHeight="1">
      <c r="B140" s="154"/>
      <c r="C140" s="63" t="s">
        <v>96</v>
      </c>
      <c r="D140" s="62">
        <v>3</v>
      </c>
      <c r="E140" s="61">
        <v>6.6225165562913907E-3</v>
      </c>
    </row>
    <row r="141" spans="2:5" ht="15" customHeight="1">
      <c r="B141" s="154"/>
      <c r="C141" s="63" t="s">
        <v>264</v>
      </c>
      <c r="D141" s="62">
        <v>1</v>
      </c>
      <c r="E141" s="61">
        <v>2.2075055187637969E-3</v>
      </c>
    </row>
    <row r="142" spans="2:5" ht="15" customHeight="1">
      <c r="B142" s="154"/>
      <c r="C142" s="63" t="s">
        <v>95</v>
      </c>
      <c r="D142" s="62">
        <v>1</v>
      </c>
      <c r="E142" s="61">
        <v>2.2075055187637969E-3</v>
      </c>
    </row>
    <row r="143" spans="2:5" ht="15" customHeight="1">
      <c r="B143" s="154"/>
      <c r="C143" s="63" t="s">
        <v>94</v>
      </c>
      <c r="D143" s="62">
        <v>1</v>
      </c>
      <c r="E143" s="61">
        <v>2.2075055187637969E-3</v>
      </c>
    </row>
    <row r="144" spans="2:5" ht="15" customHeight="1">
      <c r="B144" s="154"/>
      <c r="C144" s="63" t="s">
        <v>265</v>
      </c>
      <c r="D144" s="62">
        <v>1</v>
      </c>
      <c r="E144" s="61">
        <v>2.2075055187637969E-3</v>
      </c>
    </row>
    <row r="145" spans="2:5" ht="15" customHeight="1">
      <c r="B145" s="154"/>
      <c r="C145" s="63" t="s">
        <v>93</v>
      </c>
      <c r="D145" s="62">
        <v>1</v>
      </c>
      <c r="E145" s="61">
        <v>2.2075055187637969E-3</v>
      </c>
    </row>
    <row r="146" spans="2:5" ht="15" customHeight="1">
      <c r="B146" s="154"/>
      <c r="C146" s="63" t="s">
        <v>92</v>
      </c>
      <c r="D146" s="62">
        <v>1</v>
      </c>
      <c r="E146" s="61">
        <v>2.2075055187637969E-3</v>
      </c>
    </row>
    <row r="147" spans="2:5" ht="15" customHeight="1">
      <c r="B147" s="155"/>
      <c r="C147" s="60" t="s">
        <v>15</v>
      </c>
      <c r="D147" s="59">
        <v>13</v>
      </c>
      <c r="E147" s="58">
        <v>2.8697571743929361E-2</v>
      </c>
    </row>
    <row r="148" spans="2:5" ht="15" customHeight="1">
      <c r="B148" s="153" t="s">
        <v>30</v>
      </c>
      <c r="C148" s="63" t="s">
        <v>266</v>
      </c>
      <c r="D148" s="62">
        <v>1</v>
      </c>
      <c r="E148" s="61">
        <v>2.2075055187637969E-3</v>
      </c>
    </row>
    <row r="149" spans="2:5" ht="15" customHeight="1">
      <c r="B149" s="154"/>
      <c r="C149" s="63" t="s">
        <v>267</v>
      </c>
      <c r="D149" s="62">
        <v>1</v>
      </c>
      <c r="E149" s="61">
        <v>2.2075055187637969E-3</v>
      </c>
    </row>
    <row r="150" spans="2:5" ht="15" customHeight="1">
      <c r="B150" s="154"/>
      <c r="C150" s="63" t="s">
        <v>91</v>
      </c>
      <c r="D150" s="62">
        <v>2</v>
      </c>
      <c r="E150" s="61">
        <v>4.4150110375275938E-3</v>
      </c>
    </row>
    <row r="151" spans="2:5" ht="15" customHeight="1">
      <c r="B151" s="154"/>
      <c r="C151" s="63" t="s">
        <v>268</v>
      </c>
      <c r="D151" s="62">
        <v>2</v>
      </c>
      <c r="E151" s="61">
        <v>4.4150110375275938E-3</v>
      </c>
    </row>
    <row r="152" spans="2:5" ht="15" customHeight="1">
      <c r="B152" s="155"/>
      <c r="C152" s="60" t="s">
        <v>15</v>
      </c>
      <c r="D152" s="59">
        <v>6</v>
      </c>
      <c r="E152" s="58">
        <v>1.3245033112582781E-2</v>
      </c>
    </row>
    <row r="153" spans="2:5" ht="15" customHeight="1">
      <c r="B153" s="153" t="s">
        <v>28</v>
      </c>
      <c r="C153" s="63" t="s">
        <v>90</v>
      </c>
      <c r="D153" s="62">
        <v>1</v>
      </c>
      <c r="E153" s="61">
        <v>2.2075055187637969E-3</v>
      </c>
    </row>
    <row r="154" spans="2:5" ht="15" customHeight="1">
      <c r="B154" s="155"/>
      <c r="C154" s="60" t="s">
        <v>15</v>
      </c>
      <c r="D154" s="59">
        <v>1</v>
      </c>
      <c r="E154" s="58">
        <v>2.2075055187637969E-3</v>
      </c>
    </row>
    <row r="155" spans="2:5" ht="15" customHeight="1">
      <c r="B155" s="153" t="s">
        <v>40</v>
      </c>
      <c r="C155" s="63" t="s">
        <v>89</v>
      </c>
      <c r="D155" s="62">
        <v>2</v>
      </c>
      <c r="E155" s="61">
        <v>4.4150110375275938E-3</v>
      </c>
    </row>
    <row r="156" spans="2:5" ht="15" customHeight="1">
      <c r="B156" s="154"/>
      <c r="C156" s="63" t="s">
        <v>88</v>
      </c>
      <c r="D156" s="62">
        <v>6</v>
      </c>
      <c r="E156" s="61">
        <v>1.3245033112582781E-2</v>
      </c>
    </row>
    <row r="157" spans="2:5" ht="15" customHeight="1">
      <c r="B157" s="154"/>
      <c r="C157" s="63" t="s">
        <v>87</v>
      </c>
      <c r="D157" s="62">
        <v>2</v>
      </c>
      <c r="E157" s="61">
        <v>4.4150110375275938E-3</v>
      </c>
    </row>
    <row r="158" spans="2:5" ht="15" customHeight="1">
      <c r="B158" s="154"/>
      <c r="C158" s="63" t="s">
        <v>86</v>
      </c>
      <c r="D158" s="62">
        <v>4</v>
      </c>
      <c r="E158" s="61">
        <v>8.8300220750551876E-3</v>
      </c>
    </row>
    <row r="159" spans="2:5" ht="15" customHeight="1">
      <c r="B159" s="154"/>
      <c r="C159" s="63" t="s">
        <v>269</v>
      </c>
      <c r="D159" s="62">
        <v>1</v>
      </c>
      <c r="E159" s="61">
        <v>2.2075055187637969E-3</v>
      </c>
    </row>
    <row r="160" spans="2:5" ht="15" customHeight="1">
      <c r="B160" s="154"/>
      <c r="C160" s="63" t="s">
        <v>270</v>
      </c>
      <c r="D160" s="62">
        <v>1</v>
      </c>
      <c r="E160" s="61">
        <v>2.2075055187637969E-3</v>
      </c>
    </row>
    <row r="161" spans="2:5" ht="15" customHeight="1">
      <c r="B161" s="154"/>
      <c r="C161" s="63" t="s">
        <v>271</v>
      </c>
      <c r="D161" s="62">
        <v>1</v>
      </c>
      <c r="E161" s="61">
        <v>2.2075055187637969E-3</v>
      </c>
    </row>
    <row r="162" spans="2:5" ht="15" customHeight="1">
      <c r="B162" s="154"/>
      <c r="C162" s="63" t="s">
        <v>272</v>
      </c>
      <c r="D162" s="62">
        <v>1</v>
      </c>
      <c r="E162" s="61">
        <v>2.2075055187637969E-3</v>
      </c>
    </row>
    <row r="163" spans="2:5" ht="15" customHeight="1">
      <c r="B163" s="154"/>
      <c r="C163" s="63" t="s">
        <v>273</v>
      </c>
      <c r="D163" s="62">
        <v>1</v>
      </c>
      <c r="E163" s="61">
        <v>2.2075055187637969E-3</v>
      </c>
    </row>
    <row r="164" spans="2:5" ht="15" customHeight="1">
      <c r="B164" s="154"/>
      <c r="C164" s="63" t="s">
        <v>85</v>
      </c>
      <c r="D164" s="62">
        <v>2</v>
      </c>
      <c r="E164" s="61">
        <v>4.4150110375275938E-3</v>
      </c>
    </row>
    <row r="165" spans="2:5" ht="15" customHeight="1">
      <c r="B165" s="154"/>
      <c r="C165" s="63" t="s">
        <v>274</v>
      </c>
      <c r="D165" s="62">
        <v>1</v>
      </c>
      <c r="E165" s="61">
        <v>2.2075055187637969E-3</v>
      </c>
    </row>
    <row r="166" spans="2:5" ht="15" customHeight="1">
      <c r="B166" s="154"/>
      <c r="C166" s="63" t="s">
        <v>275</v>
      </c>
      <c r="D166" s="62">
        <v>1</v>
      </c>
      <c r="E166" s="61">
        <v>2.2075055187637969E-3</v>
      </c>
    </row>
    <row r="167" spans="2:5" ht="15" customHeight="1">
      <c r="B167" s="154"/>
      <c r="C167" s="63" t="s">
        <v>84</v>
      </c>
      <c r="D167" s="62">
        <v>1</v>
      </c>
      <c r="E167" s="61">
        <v>2.2075055187637969E-3</v>
      </c>
    </row>
    <row r="168" spans="2:5" ht="15" customHeight="1">
      <c r="B168" s="154"/>
      <c r="C168" s="63" t="s">
        <v>276</v>
      </c>
      <c r="D168" s="62">
        <v>1</v>
      </c>
      <c r="E168" s="61">
        <v>2.2075055187637969E-3</v>
      </c>
    </row>
    <row r="169" spans="2:5" ht="15" customHeight="1">
      <c r="B169" s="154"/>
      <c r="C169" s="63" t="s">
        <v>83</v>
      </c>
      <c r="D169" s="62">
        <v>1</v>
      </c>
      <c r="E169" s="61">
        <v>2.2075055187637969E-3</v>
      </c>
    </row>
    <row r="170" spans="2:5" ht="15" customHeight="1">
      <c r="B170" s="154"/>
      <c r="C170" s="63" t="s">
        <v>277</v>
      </c>
      <c r="D170" s="62">
        <v>1</v>
      </c>
      <c r="E170" s="61">
        <v>2.2075055187637969E-3</v>
      </c>
    </row>
    <row r="171" spans="2:5" ht="15" customHeight="1">
      <c r="B171" s="155"/>
      <c r="C171" s="60" t="s">
        <v>15</v>
      </c>
      <c r="D171" s="59">
        <v>27</v>
      </c>
      <c r="E171" s="58">
        <v>5.9602649006622516E-2</v>
      </c>
    </row>
    <row r="172" spans="2:5" ht="15" customHeight="1">
      <c r="B172" s="153" t="s">
        <v>38</v>
      </c>
      <c r="C172" s="63" t="s">
        <v>82</v>
      </c>
      <c r="D172" s="62">
        <v>10</v>
      </c>
      <c r="E172" s="61">
        <v>2.2075055187637971E-2</v>
      </c>
    </row>
    <row r="173" spans="2:5" ht="15" customHeight="1">
      <c r="B173" s="154"/>
      <c r="C173" s="63" t="s">
        <v>278</v>
      </c>
      <c r="D173" s="62">
        <v>1</v>
      </c>
      <c r="E173" s="61">
        <v>2.2075055187637969E-3</v>
      </c>
    </row>
    <row r="174" spans="2:5" ht="15" customHeight="1">
      <c r="B174" s="154"/>
      <c r="C174" s="63" t="s">
        <v>81</v>
      </c>
      <c r="D174" s="62">
        <v>1</v>
      </c>
      <c r="E174" s="61">
        <v>2.2075055187637969E-3</v>
      </c>
    </row>
    <row r="175" spans="2:5" ht="15" customHeight="1">
      <c r="B175" s="154"/>
      <c r="C175" s="63" t="s">
        <v>80</v>
      </c>
      <c r="D175" s="62">
        <v>2</v>
      </c>
      <c r="E175" s="61">
        <v>4.4150110375275938E-3</v>
      </c>
    </row>
    <row r="176" spans="2:5" ht="15" customHeight="1">
      <c r="B176" s="154"/>
      <c r="C176" s="63" t="s">
        <v>79</v>
      </c>
      <c r="D176" s="62">
        <v>1</v>
      </c>
      <c r="E176" s="61">
        <v>2.2075055187637969E-3</v>
      </c>
    </row>
    <row r="177" spans="1:5" ht="15" customHeight="1">
      <c r="B177" s="154"/>
      <c r="C177" s="63" t="s">
        <v>78</v>
      </c>
      <c r="D177" s="62">
        <v>1</v>
      </c>
      <c r="E177" s="61">
        <v>2.2075055187637969E-3</v>
      </c>
    </row>
    <row r="178" spans="1:5" ht="15" customHeight="1">
      <c r="B178" s="154"/>
      <c r="C178" s="63" t="s">
        <v>279</v>
      </c>
      <c r="D178" s="62">
        <v>1</v>
      </c>
      <c r="E178" s="61">
        <v>2.2075055187637969E-3</v>
      </c>
    </row>
    <row r="179" spans="1:5" ht="15" customHeight="1">
      <c r="B179" s="154"/>
      <c r="C179" s="63" t="s">
        <v>280</v>
      </c>
      <c r="D179" s="62">
        <v>3</v>
      </c>
      <c r="E179" s="61">
        <v>6.6225165562913907E-3</v>
      </c>
    </row>
    <row r="180" spans="1:5" ht="15" customHeight="1">
      <c r="B180" s="154"/>
      <c r="C180" s="63" t="s">
        <v>281</v>
      </c>
      <c r="D180" s="62">
        <v>1</v>
      </c>
      <c r="E180" s="61">
        <v>2.2075055187637969E-3</v>
      </c>
    </row>
    <row r="181" spans="1:5" ht="15" customHeight="1">
      <c r="B181" s="154"/>
      <c r="C181" s="63" t="s">
        <v>282</v>
      </c>
      <c r="D181" s="62">
        <v>1</v>
      </c>
      <c r="E181" s="61">
        <v>2.2075055187637969E-3</v>
      </c>
    </row>
    <row r="182" spans="1:5" ht="15" customHeight="1">
      <c r="B182" s="154"/>
      <c r="C182" s="63" t="s">
        <v>77</v>
      </c>
      <c r="D182" s="62">
        <v>2</v>
      </c>
      <c r="E182" s="61">
        <v>4.4150110375275938E-3</v>
      </c>
    </row>
    <row r="183" spans="1:5" ht="15" customHeight="1">
      <c r="B183" s="154"/>
      <c r="C183" s="63" t="s">
        <v>76</v>
      </c>
      <c r="D183" s="62">
        <v>1</v>
      </c>
      <c r="E183" s="61">
        <v>2.2075055187637969E-3</v>
      </c>
    </row>
    <row r="184" spans="1:5" s="35" customFormat="1" ht="15" customHeight="1">
      <c r="A184" s="34"/>
      <c r="B184" s="154"/>
      <c r="C184" s="63" t="s">
        <v>283</v>
      </c>
      <c r="D184" s="62">
        <v>1</v>
      </c>
      <c r="E184" s="61">
        <v>2.2075055187637969E-3</v>
      </c>
    </row>
    <row r="185" spans="1:5" s="35" customFormat="1" ht="15" customHeight="1">
      <c r="A185" s="34"/>
      <c r="B185" s="154"/>
      <c r="C185" s="63" t="s">
        <v>284</v>
      </c>
      <c r="D185" s="62">
        <v>2</v>
      </c>
      <c r="E185" s="61">
        <v>4.4150110375275938E-3</v>
      </c>
    </row>
    <row r="186" spans="1:5" s="35" customFormat="1" ht="15" customHeight="1">
      <c r="A186" s="34"/>
      <c r="B186" s="154"/>
      <c r="C186" s="63" t="s">
        <v>75</v>
      </c>
      <c r="D186" s="62">
        <v>5</v>
      </c>
      <c r="E186" s="61">
        <v>1.1037527593818985E-2</v>
      </c>
    </row>
    <row r="187" spans="1:5" s="35" customFormat="1" ht="15" customHeight="1">
      <c r="A187" s="34"/>
      <c r="B187" s="154"/>
      <c r="C187" s="63" t="s">
        <v>38</v>
      </c>
      <c r="D187" s="62">
        <v>7</v>
      </c>
      <c r="E187" s="61">
        <v>1.5452538631346579E-2</v>
      </c>
    </row>
    <row r="188" spans="1:5" s="35" customFormat="1" ht="15" customHeight="1">
      <c r="A188" s="34"/>
      <c r="B188" s="154"/>
      <c r="C188" s="63" t="s">
        <v>74</v>
      </c>
      <c r="D188" s="62">
        <v>1</v>
      </c>
      <c r="E188" s="61">
        <v>2.2075055187637969E-3</v>
      </c>
    </row>
    <row r="189" spans="1:5" ht="15" customHeight="1">
      <c r="B189" s="154"/>
      <c r="C189" s="63" t="s">
        <v>285</v>
      </c>
      <c r="D189" s="62">
        <v>1</v>
      </c>
      <c r="E189" s="61">
        <v>2.2075055187637969E-3</v>
      </c>
    </row>
    <row r="190" spans="1:5" ht="15" customHeight="1">
      <c r="B190" s="154"/>
      <c r="C190" s="63" t="s">
        <v>286</v>
      </c>
      <c r="D190" s="62">
        <v>1</v>
      </c>
      <c r="E190" s="61">
        <v>2.2075055187637969E-3</v>
      </c>
    </row>
    <row r="191" spans="1:5" ht="15" customHeight="1">
      <c r="B191" s="154"/>
      <c r="C191" s="63" t="s">
        <v>287</v>
      </c>
      <c r="D191" s="62">
        <v>2</v>
      </c>
      <c r="E191" s="61">
        <v>4.4150110375275938E-3</v>
      </c>
    </row>
    <row r="192" spans="1:5" ht="15" customHeight="1">
      <c r="B192" s="154"/>
      <c r="C192" s="63" t="s">
        <v>288</v>
      </c>
      <c r="D192" s="62">
        <v>1</v>
      </c>
      <c r="E192" s="61">
        <v>2.2075055187637969E-3</v>
      </c>
    </row>
    <row r="193" spans="2:5" ht="15" customHeight="1">
      <c r="B193" s="154"/>
      <c r="C193" s="63" t="s">
        <v>73</v>
      </c>
      <c r="D193" s="62">
        <v>2</v>
      </c>
      <c r="E193" s="61">
        <v>4.4150110375275938E-3</v>
      </c>
    </row>
    <row r="194" spans="2:5" ht="15" customHeight="1">
      <c r="B194" s="154"/>
      <c r="C194" s="63" t="s">
        <v>72</v>
      </c>
      <c r="D194" s="62">
        <v>1</v>
      </c>
      <c r="E194" s="61">
        <v>2.2075055187637969E-3</v>
      </c>
    </row>
    <row r="195" spans="2:5" ht="15" customHeight="1">
      <c r="B195" s="154"/>
      <c r="C195" s="63" t="s">
        <v>289</v>
      </c>
      <c r="D195" s="62">
        <v>1</v>
      </c>
      <c r="E195" s="61">
        <v>2.2075055187637969E-3</v>
      </c>
    </row>
    <row r="196" spans="2:5" ht="15" customHeight="1">
      <c r="B196" s="154"/>
      <c r="C196" s="63" t="s">
        <v>71</v>
      </c>
      <c r="D196" s="62">
        <v>1</v>
      </c>
      <c r="E196" s="61">
        <v>2.2075055187637969E-3</v>
      </c>
    </row>
    <row r="197" spans="2:5" ht="15" customHeight="1">
      <c r="B197" s="154"/>
      <c r="C197" s="63" t="s">
        <v>290</v>
      </c>
      <c r="D197" s="62">
        <v>1</v>
      </c>
      <c r="E197" s="61">
        <v>2.2075055187637969E-3</v>
      </c>
    </row>
    <row r="198" spans="2:5" ht="15" customHeight="1">
      <c r="B198" s="154"/>
      <c r="C198" s="63" t="s">
        <v>291</v>
      </c>
      <c r="D198" s="62">
        <v>1</v>
      </c>
      <c r="E198" s="61">
        <v>2.2075055187637969E-3</v>
      </c>
    </row>
    <row r="199" spans="2:5" ht="15" customHeight="1">
      <c r="B199" s="154"/>
      <c r="C199" s="63" t="s">
        <v>292</v>
      </c>
      <c r="D199" s="62">
        <v>1</v>
      </c>
      <c r="E199" s="61">
        <v>2.2075055187637969E-3</v>
      </c>
    </row>
    <row r="200" spans="2:5" ht="15" customHeight="1">
      <c r="B200" s="154"/>
      <c r="C200" s="63" t="s">
        <v>92</v>
      </c>
      <c r="D200" s="62">
        <v>1</v>
      </c>
      <c r="E200" s="61">
        <v>2.2075055187637969E-3</v>
      </c>
    </row>
    <row r="201" spans="2:5" ht="15" customHeight="1">
      <c r="B201" s="155"/>
      <c r="C201" s="60" t="s">
        <v>15</v>
      </c>
      <c r="D201" s="59">
        <v>55</v>
      </c>
      <c r="E201" s="58">
        <v>0.12141280353200883</v>
      </c>
    </row>
    <row r="202" spans="2:5" ht="15" customHeight="1">
      <c r="B202" s="153" t="s">
        <v>32</v>
      </c>
      <c r="C202" s="63" t="s">
        <v>70</v>
      </c>
      <c r="D202" s="62">
        <v>5</v>
      </c>
      <c r="E202" s="61">
        <v>1.1037527593818985E-2</v>
      </c>
    </row>
    <row r="203" spans="2:5" ht="15" customHeight="1">
      <c r="B203" s="154"/>
      <c r="C203" s="63" t="s">
        <v>32</v>
      </c>
      <c r="D203" s="62">
        <v>9</v>
      </c>
      <c r="E203" s="61">
        <v>1.9867549668874173E-2</v>
      </c>
    </row>
    <row r="204" spans="2:5" ht="15" customHeight="1">
      <c r="B204" s="155"/>
      <c r="C204" s="60" t="s">
        <v>15</v>
      </c>
      <c r="D204" s="59">
        <v>14</v>
      </c>
      <c r="E204" s="58">
        <v>3.0905077262693158E-2</v>
      </c>
    </row>
    <row r="205" spans="2:5" ht="15" customHeight="1">
      <c r="B205" s="153" t="s">
        <v>31</v>
      </c>
      <c r="C205" s="63" t="s">
        <v>293</v>
      </c>
      <c r="D205" s="62">
        <v>1</v>
      </c>
      <c r="E205" s="61">
        <v>2.2075055187637969E-3</v>
      </c>
    </row>
    <row r="206" spans="2:5" ht="15" customHeight="1">
      <c r="B206" s="154"/>
      <c r="C206" s="63" t="s">
        <v>294</v>
      </c>
      <c r="D206" s="62">
        <v>1</v>
      </c>
      <c r="E206" s="61">
        <v>2.2075055187637969E-3</v>
      </c>
    </row>
    <row r="207" spans="2:5" ht="15" customHeight="1">
      <c r="B207" s="154"/>
      <c r="C207" s="63" t="s">
        <v>295</v>
      </c>
      <c r="D207" s="62">
        <v>3</v>
      </c>
      <c r="E207" s="61">
        <v>6.6225165562913907E-3</v>
      </c>
    </row>
    <row r="208" spans="2:5" ht="15" customHeight="1">
      <c r="B208" s="154"/>
      <c r="C208" s="63" t="s">
        <v>69</v>
      </c>
      <c r="D208" s="62">
        <v>8</v>
      </c>
      <c r="E208" s="61">
        <v>1.7660044150110375E-2</v>
      </c>
    </row>
    <row r="209" spans="2:5" ht="15" customHeight="1">
      <c r="B209" s="154"/>
      <c r="C209" s="63" t="s">
        <v>31</v>
      </c>
      <c r="D209" s="62">
        <v>4</v>
      </c>
      <c r="E209" s="61">
        <v>8.8300220750551876E-3</v>
      </c>
    </row>
    <row r="210" spans="2:5" ht="15" customHeight="1">
      <c r="B210" s="154"/>
      <c r="C210" s="63" t="s">
        <v>68</v>
      </c>
      <c r="D210" s="62">
        <v>1</v>
      </c>
      <c r="E210" s="61">
        <v>2.2075055187637969E-3</v>
      </c>
    </row>
    <row r="211" spans="2:5" ht="15" customHeight="1">
      <c r="B211" s="155"/>
      <c r="C211" s="60" t="s">
        <v>15</v>
      </c>
      <c r="D211" s="59">
        <v>18</v>
      </c>
      <c r="E211" s="58">
        <v>3.9735099337748346E-2</v>
      </c>
    </row>
    <row r="212" spans="2:5" ht="15" customHeight="1">
      <c r="B212" s="153" t="s">
        <v>18</v>
      </c>
      <c r="C212" s="63" t="s">
        <v>296</v>
      </c>
      <c r="D212" s="62">
        <v>2</v>
      </c>
      <c r="E212" s="61">
        <v>4.4150110375275938E-3</v>
      </c>
    </row>
    <row r="213" spans="2:5" ht="15" customHeight="1">
      <c r="B213" s="154"/>
      <c r="C213" s="63" t="s">
        <v>297</v>
      </c>
      <c r="D213" s="62">
        <v>1</v>
      </c>
      <c r="E213" s="61">
        <v>2.2075055187637969E-3</v>
      </c>
    </row>
    <row r="214" spans="2:5" ht="15" customHeight="1">
      <c r="B214" s="154"/>
      <c r="C214" s="63" t="s">
        <v>298</v>
      </c>
      <c r="D214" s="62">
        <v>1</v>
      </c>
      <c r="E214" s="61">
        <v>2.2075055187637969E-3</v>
      </c>
    </row>
    <row r="215" spans="2:5" ht="15" customHeight="1">
      <c r="B215" s="154"/>
      <c r="C215" s="63" t="s">
        <v>67</v>
      </c>
      <c r="D215" s="62">
        <v>2</v>
      </c>
      <c r="E215" s="61">
        <v>4.4150110375275938E-3</v>
      </c>
    </row>
    <row r="216" spans="2:5" ht="15" customHeight="1">
      <c r="B216" s="155"/>
      <c r="C216" s="60" t="s">
        <v>15</v>
      </c>
      <c r="D216" s="59">
        <v>6</v>
      </c>
      <c r="E216" s="58">
        <v>1.3245033112582781E-2</v>
      </c>
    </row>
    <row r="217" spans="2:5" ht="15" customHeight="1">
      <c r="B217" s="153" t="s">
        <v>29</v>
      </c>
      <c r="C217" s="63" t="s">
        <v>299</v>
      </c>
      <c r="D217" s="62">
        <v>1</v>
      </c>
      <c r="E217" s="61">
        <v>2.2075055187637969E-3</v>
      </c>
    </row>
    <row r="218" spans="2:5" ht="15" customHeight="1">
      <c r="B218" s="154"/>
      <c r="C218" s="63" t="s">
        <v>300</v>
      </c>
      <c r="D218" s="62">
        <v>2</v>
      </c>
      <c r="E218" s="61">
        <v>4.4150110375275938E-3</v>
      </c>
    </row>
    <row r="219" spans="2:5" ht="15" customHeight="1">
      <c r="B219" s="155"/>
      <c r="C219" s="60" t="s">
        <v>15</v>
      </c>
      <c r="D219" s="59">
        <v>3</v>
      </c>
      <c r="E219" s="58">
        <v>6.6225165562913907E-3</v>
      </c>
    </row>
    <row r="220" spans="2:5" ht="15" customHeight="1">
      <c r="B220" s="153" t="s">
        <v>22</v>
      </c>
      <c r="C220" s="63" t="s">
        <v>66</v>
      </c>
      <c r="D220" s="62">
        <v>2</v>
      </c>
      <c r="E220" s="61">
        <v>4.4150110375275938E-3</v>
      </c>
    </row>
    <row r="221" spans="2:5" ht="15" customHeight="1">
      <c r="B221" s="154"/>
      <c r="C221" s="63" t="s">
        <v>301</v>
      </c>
      <c r="D221" s="62">
        <v>1</v>
      </c>
      <c r="E221" s="61">
        <v>2.2075055187637969E-3</v>
      </c>
    </row>
    <row r="222" spans="2:5" ht="15" customHeight="1">
      <c r="B222" s="154"/>
      <c r="C222" s="63" t="s">
        <v>65</v>
      </c>
      <c r="D222" s="62">
        <v>2</v>
      </c>
      <c r="E222" s="61">
        <v>4.4150110375275938E-3</v>
      </c>
    </row>
    <row r="223" spans="2:5" ht="15" customHeight="1">
      <c r="B223" s="154"/>
      <c r="C223" s="63" t="s">
        <v>302</v>
      </c>
      <c r="D223" s="62">
        <v>1</v>
      </c>
      <c r="E223" s="61">
        <v>2.2075055187637969E-3</v>
      </c>
    </row>
    <row r="224" spans="2:5" ht="15" customHeight="1">
      <c r="B224" s="155"/>
      <c r="C224" s="60" t="s">
        <v>15</v>
      </c>
      <c r="D224" s="59">
        <v>6</v>
      </c>
      <c r="E224" s="58">
        <v>1.3245033112582781E-2</v>
      </c>
    </row>
    <row r="225" spans="2:5" ht="15" customHeight="1">
      <c r="B225" s="153" t="s">
        <v>27</v>
      </c>
      <c r="C225" s="63" t="s">
        <v>303</v>
      </c>
      <c r="D225" s="62">
        <v>1</v>
      </c>
      <c r="E225" s="61">
        <v>2.2075055187637969E-3</v>
      </c>
    </row>
    <row r="226" spans="2:5" ht="15" customHeight="1">
      <c r="B226" s="154"/>
      <c r="C226" s="63" t="s">
        <v>64</v>
      </c>
      <c r="D226" s="62">
        <v>2</v>
      </c>
      <c r="E226" s="61">
        <v>4.4150110375275938E-3</v>
      </c>
    </row>
    <row r="227" spans="2:5" ht="15" customHeight="1">
      <c r="B227" s="154"/>
      <c r="C227" s="63" t="s">
        <v>304</v>
      </c>
      <c r="D227" s="62">
        <v>1</v>
      </c>
      <c r="E227" s="61">
        <v>2.2075055187637969E-3</v>
      </c>
    </row>
    <row r="228" spans="2:5" ht="15" customHeight="1">
      <c r="B228" s="154"/>
      <c r="C228" s="63" t="s">
        <v>305</v>
      </c>
      <c r="D228" s="62">
        <v>3</v>
      </c>
      <c r="E228" s="61">
        <v>6.6225165562913907E-3</v>
      </c>
    </row>
    <row r="229" spans="2:5" ht="15" customHeight="1">
      <c r="B229" s="154"/>
      <c r="C229" s="63" t="s">
        <v>63</v>
      </c>
      <c r="D229" s="62">
        <v>3</v>
      </c>
      <c r="E229" s="61">
        <v>6.6225165562913907E-3</v>
      </c>
    </row>
    <row r="230" spans="2:5" ht="15" customHeight="1">
      <c r="B230" s="155"/>
      <c r="C230" s="60" t="s">
        <v>15</v>
      </c>
      <c r="D230" s="59">
        <v>10</v>
      </c>
      <c r="E230" s="58">
        <v>2.2075055187637971E-2</v>
      </c>
    </row>
    <row r="231" spans="2:5" ht="15" customHeight="1">
      <c r="B231" s="153" t="s">
        <v>26</v>
      </c>
      <c r="C231" s="63" t="s">
        <v>306</v>
      </c>
      <c r="D231" s="62">
        <v>1</v>
      </c>
      <c r="E231" s="61">
        <v>2.2075055187637969E-3</v>
      </c>
    </row>
    <row r="232" spans="2:5" ht="15" customHeight="1">
      <c r="B232" s="154"/>
      <c r="C232" s="63" t="s">
        <v>62</v>
      </c>
      <c r="D232" s="62">
        <v>1</v>
      </c>
      <c r="E232" s="61">
        <v>2.2075055187637969E-3</v>
      </c>
    </row>
    <row r="233" spans="2:5" ht="15" customHeight="1">
      <c r="B233" s="155"/>
      <c r="C233" s="60" t="s">
        <v>15</v>
      </c>
      <c r="D233" s="59">
        <v>2</v>
      </c>
      <c r="E233" s="58">
        <v>4.4150110375275938E-3</v>
      </c>
    </row>
    <row r="234" spans="2:5" ht="15" customHeight="1">
      <c r="B234" s="153" t="s">
        <v>39</v>
      </c>
      <c r="C234" s="63" t="s">
        <v>60</v>
      </c>
      <c r="D234" s="62">
        <v>1</v>
      </c>
      <c r="E234" s="61">
        <v>2.2075055187637969E-3</v>
      </c>
    </row>
    <row r="235" spans="2:5" ht="15" customHeight="1">
      <c r="B235" s="154"/>
      <c r="C235" s="63" t="s">
        <v>307</v>
      </c>
      <c r="D235" s="62">
        <v>1</v>
      </c>
      <c r="E235" s="61">
        <v>2.2075055187637969E-3</v>
      </c>
    </row>
    <row r="236" spans="2:5" ht="15" customHeight="1">
      <c r="B236" s="154"/>
      <c r="C236" s="63" t="s">
        <v>59</v>
      </c>
      <c r="D236" s="62">
        <v>2</v>
      </c>
      <c r="E236" s="61">
        <v>4.4150110375275938E-3</v>
      </c>
    </row>
    <row r="237" spans="2:5" ht="15" customHeight="1">
      <c r="B237" s="154"/>
      <c r="C237" s="63" t="s">
        <v>58</v>
      </c>
      <c r="D237" s="62">
        <v>1</v>
      </c>
      <c r="E237" s="61">
        <v>2.2075055187637969E-3</v>
      </c>
    </row>
    <row r="238" spans="2:5" ht="15" customHeight="1">
      <c r="B238" s="154"/>
      <c r="C238" s="63" t="s">
        <v>308</v>
      </c>
      <c r="D238" s="62">
        <v>2</v>
      </c>
      <c r="E238" s="61">
        <v>4.4150110375275938E-3</v>
      </c>
    </row>
    <row r="239" spans="2:5" ht="15" customHeight="1">
      <c r="B239" s="154"/>
      <c r="C239" s="63" t="s">
        <v>309</v>
      </c>
      <c r="D239" s="62">
        <v>2</v>
      </c>
      <c r="E239" s="61">
        <v>4.4150110375275938E-3</v>
      </c>
    </row>
    <row r="240" spans="2:5" ht="15" customHeight="1">
      <c r="B240" s="154"/>
      <c r="C240" s="63" t="s">
        <v>57</v>
      </c>
      <c r="D240" s="62">
        <v>2</v>
      </c>
      <c r="E240" s="61">
        <v>4.4150110375275938E-3</v>
      </c>
    </row>
    <row r="241" spans="2:5" ht="15" customHeight="1">
      <c r="B241" s="154"/>
      <c r="C241" s="63" t="s">
        <v>56</v>
      </c>
      <c r="D241" s="62">
        <v>2</v>
      </c>
      <c r="E241" s="61">
        <v>4.4150110375275938E-3</v>
      </c>
    </row>
    <row r="242" spans="2:5" ht="15" customHeight="1">
      <c r="B242" s="154"/>
      <c r="C242" s="63" t="s">
        <v>310</v>
      </c>
      <c r="D242" s="62">
        <v>1</v>
      </c>
      <c r="E242" s="61">
        <v>2.2075055187637969E-3</v>
      </c>
    </row>
    <row r="243" spans="2:5" ht="15" customHeight="1">
      <c r="B243" s="154"/>
      <c r="C243" s="63" t="s">
        <v>311</v>
      </c>
      <c r="D243" s="62">
        <v>1</v>
      </c>
      <c r="E243" s="61">
        <v>2.2075055187637969E-3</v>
      </c>
    </row>
    <row r="244" spans="2:5" ht="15" customHeight="1">
      <c r="B244" s="154"/>
      <c r="C244" s="63" t="s">
        <v>312</v>
      </c>
      <c r="D244" s="62">
        <v>1</v>
      </c>
      <c r="E244" s="61">
        <v>2.2075055187637969E-3</v>
      </c>
    </row>
    <row r="245" spans="2:5" ht="15" customHeight="1">
      <c r="B245" s="154"/>
      <c r="C245" s="63" t="s">
        <v>55</v>
      </c>
      <c r="D245" s="62">
        <v>1</v>
      </c>
      <c r="E245" s="61">
        <v>2.2075055187637969E-3</v>
      </c>
    </row>
    <row r="246" spans="2:5" ht="15" customHeight="1">
      <c r="B246" s="154"/>
      <c r="C246" s="63" t="s">
        <v>54</v>
      </c>
      <c r="D246" s="62">
        <v>3</v>
      </c>
      <c r="E246" s="61">
        <v>6.6225165562913907E-3</v>
      </c>
    </row>
    <row r="247" spans="2:5" ht="15" customHeight="1">
      <c r="B247" s="154"/>
      <c r="C247" s="63" t="s">
        <v>53</v>
      </c>
      <c r="D247" s="62">
        <v>1</v>
      </c>
      <c r="E247" s="61">
        <v>2.2075055187637969E-3</v>
      </c>
    </row>
    <row r="248" spans="2:5" ht="15" customHeight="1">
      <c r="B248" s="154"/>
      <c r="C248" s="63" t="s">
        <v>52</v>
      </c>
      <c r="D248" s="62">
        <v>2</v>
      </c>
      <c r="E248" s="61">
        <v>4.4150110375275938E-3</v>
      </c>
    </row>
    <row r="249" spans="2:5" ht="15" customHeight="1">
      <c r="B249" s="154"/>
      <c r="C249" s="63" t="s">
        <v>313</v>
      </c>
      <c r="D249" s="62">
        <v>1</v>
      </c>
      <c r="E249" s="61">
        <v>2.2075055187637969E-3</v>
      </c>
    </row>
    <row r="250" spans="2:5" ht="15" customHeight="1">
      <c r="B250" s="154"/>
      <c r="C250" s="63" t="s">
        <v>314</v>
      </c>
      <c r="D250" s="62">
        <v>1</v>
      </c>
      <c r="E250" s="61">
        <v>2.2075055187637969E-3</v>
      </c>
    </row>
    <row r="251" spans="2:5" ht="15" customHeight="1">
      <c r="B251" s="154"/>
      <c r="C251" s="63" t="s">
        <v>51</v>
      </c>
      <c r="D251" s="62">
        <v>2</v>
      </c>
      <c r="E251" s="61">
        <v>4.4150110375275938E-3</v>
      </c>
    </row>
    <row r="252" spans="2:5" ht="15" customHeight="1">
      <c r="B252" s="154"/>
      <c r="C252" s="63" t="s">
        <v>315</v>
      </c>
      <c r="D252" s="62">
        <v>1</v>
      </c>
      <c r="E252" s="61">
        <v>2.2075055187637969E-3</v>
      </c>
    </row>
    <row r="253" spans="2:5" ht="15" customHeight="1">
      <c r="B253" s="154"/>
      <c r="C253" s="63" t="s">
        <v>50</v>
      </c>
      <c r="D253" s="62">
        <v>1</v>
      </c>
      <c r="E253" s="61">
        <v>2.2075055187637969E-3</v>
      </c>
    </row>
    <row r="254" spans="2:5" ht="15" customHeight="1">
      <c r="B254" s="154"/>
      <c r="C254" s="63" t="s">
        <v>316</v>
      </c>
      <c r="D254" s="62">
        <v>1</v>
      </c>
      <c r="E254" s="61">
        <v>2.2075055187637969E-3</v>
      </c>
    </row>
    <row r="255" spans="2:5" ht="15" customHeight="1">
      <c r="B255" s="154"/>
      <c r="C255" s="63" t="s">
        <v>49</v>
      </c>
      <c r="D255" s="62">
        <v>3</v>
      </c>
      <c r="E255" s="61">
        <v>6.6225165562913907E-3</v>
      </c>
    </row>
    <row r="256" spans="2:5" ht="15" customHeight="1">
      <c r="B256" s="154"/>
      <c r="C256" s="63" t="s">
        <v>39</v>
      </c>
      <c r="D256" s="62">
        <v>2</v>
      </c>
      <c r="E256" s="61">
        <v>4.4150110375275938E-3</v>
      </c>
    </row>
    <row r="257" spans="2:5" ht="15" customHeight="1">
      <c r="B257" s="155"/>
      <c r="C257" s="60" t="s">
        <v>15</v>
      </c>
      <c r="D257" s="59">
        <v>35</v>
      </c>
      <c r="E257" s="58">
        <v>7.7262693156732898E-2</v>
      </c>
    </row>
    <row r="258" spans="2:5" ht="15" customHeight="1">
      <c r="B258" s="153" t="s">
        <v>17</v>
      </c>
      <c r="C258" s="63" t="s">
        <v>48</v>
      </c>
      <c r="D258" s="62">
        <v>1</v>
      </c>
      <c r="E258" s="61">
        <v>2.2075055187637969E-3</v>
      </c>
    </row>
    <row r="259" spans="2:5" ht="15" customHeight="1">
      <c r="B259" s="154"/>
      <c r="C259" s="63" t="s">
        <v>317</v>
      </c>
      <c r="D259" s="62">
        <v>1</v>
      </c>
      <c r="E259" s="61">
        <v>2.2075055187637969E-3</v>
      </c>
    </row>
    <row r="260" spans="2:5" ht="15" customHeight="1">
      <c r="B260" s="155"/>
      <c r="C260" s="60" t="s">
        <v>15</v>
      </c>
      <c r="D260" s="59">
        <v>2</v>
      </c>
      <c r="E260" s="58">
        <v>4.4150110375275938E-3</v>
      </c>
    </row>
    <row r="261" spans="2:5" ht="15" customHeight="1">
      <c r="B261" s="153" t="s">
        <v>16</v>
      </c>
      <c r="C261" s="63" t="s">
        <v>318</v>
      </c>
      <c r="D261" s="62">
        <v>1</v>
      </c>
      <c r="E261" s="61">
        <v>2.2075055187637969E-3</v>
      </c>
    </row>
    <row r="262" spans="2:5" ht="15" customHeight="1">
      <c r="B262" s="154"/>
      <c r="C262" s="63" t="s">
        <v>47</v>
      </c>
      <c r="D262" s="62">
        <v>2</v>
      </c>
      <c r="E262" s="61">
        <v>4.4150110375275938E-3</v>
      </c>
    </row>
    <row r="263" spans="2:5" ht="15" customHeight="1">
      <c r="B263" s="154"/>
      <c r="C263" s="63" t="s">
        <v>319</v>
      </c>
      <c r="D263" s="62">
        <v>1</v>
      </c>
      <c r="E263" s="61">
        <v>2.2075055187637969E-3</v>
      </c>
    </row>
    <row r="264" spans="2:5" ht="15" customHeight="1">
      <c r="B264" s="155"/>
      <c r="C264" s="60" t="s">
        <v>15</v>
      </c>
      <c r="D264" s="59">
        <v>4</v>
      </c>
      <c r="E264" s="58">
        <v>8.8300220750551876E-3</v>
      </c>
    </row>
    <row r="265" spans="2:5" ht="15" customHeight="1">
      <c r="B265" s="156" t="s">
        <v>15</v>
      </c>
      <c r="C265" s="157"/>
      <c r="D265" s="57">
        <f>SUMIF(C$10:C264,"Total",D$10:D264)</f>
        <v>453</v>
      </c>
      <c r="E265" s="56">
        <v>1</v>
      </c>
    </row>
    <row r="266" spans="2:5" ht="15" customHeight="1">
      <c r="B266" s="55"/>
      <c r="C266" s="55"/>
      <c r="D266" s="55"/>
      <c r="E266" s="55"/>
    </row>
    <row r="267" spans="2:5" ht="15" customHeight="1">
      <c r="B267" s="67" t="s">
        <v>209</v>
      </c>
      <c r="C267" s="64"/>
      <c r="D267" s="64"/>
    </row>
    <row r="268" spans="2:5" ht="15" customHeight="1">
      <c r="B268" s="69" t="s">
        <v>14</v>
      </c>
      <c r="C268" s="64"/>
      <c r="D268" s="64"/>
    </row>
    <row r="269" spans="2:5" ht="15" customHeight="1">
      <c r="B269" s="68" t="s">
        <v>13</v>
      </c>
      <c r="C269" s="64"/>
      <c r="D269" s="64"/>
    </row>
    <row r="270" spans="2:5" ht="15" customHeight="1">
      <c r="B270" s="67" t="s">
        <v>12</v>
      </c>
      <c r="C270" s="64"/>
      <c r="D270" s="64"/>
    </row>
    <row r="271" spans="2:5" ht="15" customHeight="1">
      <c r="B271" s="67" t="s">
        <v>210</v>
      </c>
      <c r="C271" s="64"/>
      <c r="D271" s="64"/>
    </row>
  </sheetData>
  <mergeCells count="30">
    <mergeCell ref="B153:B154"/>
    <mergeCell ref="B155:B171"/>
    <mergeCell ref="B172:B201"/>
    <mergeCell ref="B202:B204"/>
    <mergeCell ref="B7:E8"/>
    <mergeCell ref="B10:B11"/>
    <mergeCell ref="B12:B14"/>
    <mergeCell ref="B15:B16"/>
    <mergeCell ref="B17:B47"/>
    <mergeCell ref="B48:B49"/>
    <mergeCell ref="B50:B52"/>
    <mergeCell ref="B53:B60"/>
    <mergeCell ref="B61:B63"/>
    <mergeCell ref="B64:B75"/>
    <mergeCell ref="B76:B87"/>
    <mergeCell ref="B89:B109"/>
    <mergeCell ref="B110:B118"/>
    <mergeCell ref="B119:B136"/>
    <mergeCell ref="B137:B147"/>
    <mergeCell ref="B148:B152"/>
    <mergeCell ref="B205:B211"/>
    <mergeCell ref="B212:B216"/>
    <mergeCell ref="B217:B219"/>
    <mergeCell ref="B220:B224"/>
    <mergeCell ref="B225:B230"/>
    <mergeCell ref="B231:B233"/>
    <mergeCell ref="B234:B257"/>
    <mergeCell ref="B258:B260"/>
    <mergeCell ref="B261:B264"/>
    <mergeCell ref="B265:C265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A1:D38"/>
  <sheetViews>
    <sheetView showGridLines="0" zoomScaleNormal="100" zoomScaleSheetLayoutView="115" workbookViewId="0">
      <selection activeCell="C11" sqref="C11"/>
    </sheetView>
  </sheetViews>
  <sheetFormatPr baseColWidth="10" defaultColWidth="11.42578125" defaultRowHeight="15"/>
  <cols>
    <col min="1" max="1" width="9.28515625" style="18" customWidth="1"/>
    <col min="2" max="2" width="30.570312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152" t="s">
        <v>178</v>
      </c>
      <c r="C7" s="152"/>
      <c r="D7" s="152"/>
    </row>
    <row r="8" spans="1:4" s="27" customFormat="1" ht="15" customHeight="1">
      <c r="B8" s="152"/>
      <c r="C8" s="152"/>
      <c r="D8" s="152"/>
    </row>
    <row r="9" spans="1:4" s="27" customFormat="1" ht="33" customHeight="1">
      <c r="B9" s="152"/>
      <c r="C9" s="152"/>
      <c r="D9" s="152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177</v>
      </c>
      <c r="C11" s="29" t="s">
        <v>45</v>
      </c>
      <c r="D11" s="28" t="s">
        <v>44</v>
      </c>
    </row>
    <row r="12" spans="1:4">
      <c r="A12" s="65"/>
      <c r="B12" s="75" t="s">
        <v>176</v>
      </c>
      <c r="C12" s="74">
        <v>11</v>
      </c>
      <c r="D12" s="73">
        <v>2.4282560706401765E-2</v>
      </c>
    </row>
    <row r="13" spans="1:4">
      <c r="A13" s="65"/>
      <c r="B13" s="75" t="s">
        <v>175</v>
      </c>
      <c r="C13" s="74">
        <v>2</v>
      </c>
      <c r="D13" s="73">
        <v>4.4150110375275938E-3</v>
      </c>
    </row>
    <row r="14" spans="1:4">
      <c r="A14" s="76"/>
      <c r="B14" s="75" t="s">
        <v>174</v>
      </c>
      <c r="C14" s="74">
        <v>7</v>
      </c>
      <c r="D14" s="73">
        <v>1.5452538631346579E-2</v>
      </c>
    </row>
    <row r="15" spans="1:4">
      <c r="A15" s="76"/>
      <c r="B15" s="75" t="s">
        <v>173</v>
      </c>
      <c r="C15" s="74">
        <v>8</v>
      </c>
      <c r="D15" s="73">
        <v>1.7660044150110375E-2</v>
      </c>
    </row>
    <row r="16" spans="1:4">
      <c r="A16" s="65"/>
      <c r="B16" s="75" t="s">
        <v>172</v>
      </c>
      <c r="C16" s="74">
        <v>5</v>
      </c>
      <c r="D16" s="73">
        <v>1.1037527593818985E-2</v>
      </c>
    </row>
    <row r="17" spans="1:4">
      <c r="A17" s="65"/>
      <c r="B17" s="75" t="s">
        <v>171</v>
      </c>
      <c r="C17" s="74">
        <v>32</v>
      </c>
      <c r="D17" s="73">
        <v>7.0640176600441501E-2</v>
      </c>
    </row>
    <row r="18" spans="1:4">
      <c r="A18" s="65"/>
      <c r="B18" s="75" t="s">
        <v>170</v>
      </c>
      <c r="C18" s="74">
        <v>87</v>
      </c>
      <c r="D18" s="73">
        <v>0.19205298013245034</v>
      </c>
    </row>
    <row r="19" spans="1:4">
      <c r="A19" s="65"/>
      <c r="B19" s="75" t="s">
        <v>169</v>
      </c>
      <c r="C19" s="74">
        <v>3</v>
      </c>
      <c r="D19" s="73">
        <v>6.6225165562913907E-3</v>
      </c>
    </row>
    <row r="20" spans="1:4">
      <c r="A20" s="65"/>
      <c r="B20" s="75" t="s">
        <v>168</v>
      </c>
      <c r="C20" s="74">
        <v>8</v>
      </c>
      <c r="D20" s="73">
        <v>1.7660044150110375E-2</v>
      </c>
    </row>
    <row r="21" spans="1:4">
      <c r="A21" s="65"/>
      <c r="B21" s="75" t="s">
        <v>167</v>
      </c>
      <c r="C21" s="74">
        <v>10</v>
      </c>
      <c r="D21" s="73">
        <v>2.2075055187637971E-2</v>
      </c>
    </row>
    <row r="22" spans="1:4">
      <c r="A22" s="65"/>
      <c r="B22" s="75" t="s">
        <v>166</v>
      </c>
      <c r="C22" s="74">
        <v>136</v>
      </c>
      <c r="D22" s="73">
        <v>0.30022075055187636</v>
      </c>
    </row>
    <row r="23" spans="1:4">
      <c r="A23" s="65"/>
      <c r="B23" s="75" t="s">
        <v>165</v>
      </c>
      <c r="C23" s="74">
        <v>3</v>
      </c>
      <c r="D23" s="73">
        <v>6.6225165562913907E-3</v>
      </c>
    </row>
    <row r="24" spans="1:4">
      <c r="A24" s="65"/>
      <c r="B24" s="75" t="s">
        <v>164</v>
      </c>
      <c r="C24" s="74">
        <v>21</v>
      </c>
      <c r="D24" s="73">
        <v>4.6357615894039736E-2</v>
      </c>
    </row>
    <row r="25" spans="1:4">
      <c r="A25" s="65"/>
      <c r="B25" s="75" t="s">
        <v>163</v>
      </c>
      <c r="C25" s="74">
        <v>89</v>
      </c>
      <c r="D25" s="73">
        <v>0.19646799116997793</v>
      </c>
    </row>
    <row r="26" spans="1:4">
      <c r="A26" s="65"/>
      <c r="B26" s="75" t="s">
        <v>162</v>
      </c>
      <c r="C26" s="74">
        <v>1</v>
      </c>
      <c r="D26" s="73">
        <v>2.2075055187637969E-3</v>
      </c>
    </row>
    <row r="27" spans="1:4">
      <c r="A27" s="65"/>
      <c r="B27" s="75" t="s">
        <v>320</v>
      </c>
      <c r="C27" s="74">
        <v>1</v>
      </c>
      <c r="D27" s="73">
        <v>2.2075055187637969E-3</v>
      </c>
    </row>
    <row r="28" spans="1:4">
      <c r="A28" s="65"/>
      <c r="B28" s="75" t="s">
        <v>321</v>
      </c>
      <c r="C28" s="74">
        <v>1</v>
      </c>
      <c r="D28" s="73">
        <v>2.2075055187637969E-3</v>
      </c>
    </row>
    <row r="29" spans="1:4">
      <c r="A29" s="65"/>
      <c r="B29" s="75" t="s">
        <v>161</v>
      </c>
      <c r="C29" s="74">
        <v>7</v>
      </c>
      <c r="D29" s="73">
        <v>1.5452538631346579E-2</v>
      </c>
    </row>
    <row r="30" spans="1:4">
      <c r="A30" s="65"/>
      <c r="B30" s="75" t="s">
        <v>160</v>
      </c>
      <c r="C30" s="74">
        <v>18</v>
      </c>
      <c r="D30" s="73">
        <v>3.9735099337748346E-2</v>
      </c>
    </row>
    <row r="31" spans="1:4">
      <c r="A31" s="65"/>
      <c r="B31" s="75" t="s">
        <v>159</v>
      </c>
      <c r="C31" s="74">
        <v>3</v>
      </c>
      <c r="D31" s="73">
        <v>6.6225165562913907E-3</v>
      </c>
    </row>
    <row r="32" spans="1:4">
      <c r="A32" s="65"/>
      <c r="B32" s="72" t="s">
        <v>15</v>
      </c>
      <c r="C32" s="71">
        <v>453</v>
      </c>
      <c r="D32" s="70">
        <v>1</v>
      </c>
    </row>
    <row r="33" spans="1:4">
      <c r="A33" s="65"/>
      <c r="B33" s="65"/>
      <c r="C33" s="66"/>
      <c r="D33" s="65"/>
    </row>
    <row r="34" spans="1:4">
      <c r="B34" s="78" t="s">
        <v>209</v>
      </c>
      <c r="C34" s="77"/>
      <c r="D34" s="77"/>
    </row>
    <row r="35" spans="1:4">
      <c r="B35" s="80" t="s">
        <v>14</v>
      </c>
      <c r="C35" s="77"/>
      <c r="D35" s="77"/>
    </row>
    <row r="36" spans="1:4">
      <c r="B36" s="79" t="s">
        <v>13</v>
      </c>
      <c r="C36" s="77"/>
      <c r="D36" s="77"/>
    </row>
    <row r="37" spans="1:4">
      <c r="B37" s="78" t="s">
        <v>12</v>
      </c>
      <c r="C37" s="77"/>
      <c r="D37" s="77"/>
    </row>
    <row r="38" spans="1:4">
      <c r="B38" s="78" t="s">
        <v>210</v>
      </c>
      <c r="C38" s="77"/>
      <c r="D38" s="7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9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80"/>
  <sheetViews>
    <sheetView zoomScale="98" zoomScaleNormal="98" zoomScaleSheetLayoutView="100" workbookViewId="0">
      <selection activeCell="C9" sqref="C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158"/>
      <c r="C7" s="158"/>
      <c r="D7" s="158"/>
      <c r="E7" s="158"/>
    </row>
    <row r="8" spans="1:5" s="42" customFormat="1" ht="33" customHeight="1">
      <c r="A8" s="43"/>
      <c r="B8" s="158"/>
      <c r="C8" s="158"/>
      <c r="D8" s="158"/>
      <c r="E8" s="158"/>
    </row>
    <row r="9" spans="1:5" s="27" customFormat="1" ht="40.5" customHeight="1">
      <c r="B9" s="39" t="s">
        <v>177</v>
      </c>
      <c r="C9" s="41" t="s">
        <v>46</v>
      </c>
      <c r="D9" s="40" t="s">
        <v>45</v>
      </c>
      <c r="E9" s="39" t="s">
        <v>44</v>
      </c>
    </row>
    <row r="10" spans="1:5" ht="15" customHeight="1">
      <c r="B10" s="153" t="s">
        <v>176</v>
      </c>
      <c r="C10" s="89" t="s">
        <v>42</v>
      </c>
      <c r="D10" s="88">
        <v>4</v>
      </c>
      <c r="E10" s="87">
        <v>8.8300220750551876E-3</v>
      </c>
    </row>
    <row r="11" spans="1:5" ht="15" customHeight="1">
      <c r="B11" s="154"/>
      <c r="C11" s="89" t="s">
        <v>43</v>
      </c>
      <c r="D11" s="88">
        <v>1</v>
      </c>
      <c r="E11" s="87">
        <v>2.2075055187637969E-3</v>
      </c>
    </row>
    <row r="12" spans="1:5" ht="15" customHeight="1">
      <c r="B12" s="154"/>
      <c r="C12" s="89" t="s">
        <v>33</v>
      </c>
      <c r="D12" s="88">
        <v>1</v>
      </c>
      <c r="E12" s="87">
        <v>2.2075055187637969E-3</v>
      </c>
    </row>
    <row r="13" spans="1:5" ht="15" customHeight="1">
      <c r="B13" s="154"/>
      <c r="C13" s="89" t="s">
        <v>37</v>
      </c>
      <c r="D13" s="88">
        <v>1</v>
      </c>
      <c r="E13" s="87">
        <v>2.2075055187637969E-3</v>
      </c>
    </row>
    <row r="14" spans="1:5" ht="15" customHeight="1">
      <c r="B14" s="154"/>
      <c r="C14" s="89" t="s">
        <v>38</v>
      </c>
      <c r="D14" s="88">
        <v>1</v>
      </c>
      <c r="E14" s="87">
        <v>2.2075055187637969E-3</v>
      </c>
    </row>
    <row r="15" spans="1:5" ht="15" customHeight="1">
      <c r="B15" s="154"/>
      <c r="C15" s="89" t="s">
        <v>31</v>
      </c>
      <c r="D15" s="88">
        <v>1</v>
      </c>
      <c r="E15" s="87">
        <v>2.2075055187637969E-3</v>
      </c>
    </row>
    <row r="16" spans="1:5" ht="15" customHeight="1">
      <c r="B16" s="154"/>
      <c r="C16" s="89" t="s">
        <v>39</v>
      </c>
      <c r="D16" s="88">
        <v>2</v>
      </c>
      <c r="E16" s="87">
        <v>4.4150110375275938E-3</v>
      </c>
    </row>
    <row r="17" spans="2:5" ht="15" customHeight="1">
      <c r="B17" s="155"/>
      <c r="C17" s="86" t="s">
        <v>15</v>
      </c>
      <c r="D17" s="85">
        <v>11</v>
      </c>
      <c r="E17" s="84">
        <v>2.4282560706401765E-2</v>
      </c>
    </row>
    <row r="18" spans="2:5" ht="15" customHeight="1">
      <c r="B18" s="153" t="s">
        <v>175</v>
      </c>
      <c r="C18" s="89" t="s">
        <v>43</v>
      </c>
      <c r="D18" s="88">
        <v>1</v>
      </c>
      <c r="E18" s="87">
        <v>2.2075055187637969E-3</v>
      </c>
    </row>
    <row r="19" spans="2:5" ht="15" customHeight="1">
      <c r="B19" s="154"/>
      <c r="C19" s="89" t="s">
        <v>38</v>
      </c>
      <c r="D19" s="88">
        <v>1</v>
      </c>
      <c r="E19" s="87">
        <v>2.2075055187637969E-3</v>
      </c>
    </row>
    <row r="20" spans="2:5" ht="15" customHeight="1">
      <c r="B20" s="155"/>
      <c r="C20" s="86" t="s">
        <v>15</v>
      </c>
      <c r="D20" s="85">
        <v>2</v>
      </c>
      <c r="E20" s="84">
        <v>4.4150110375275938E-3</v>
      </c>
    </row>
    <row r="21" spans="2:5" ht="15" customHeight="1">
      <c r="B21" s="153" t="s">
        <v>174</v>
      </c>
      <c r="C21" s="89" t="s">
        <v>42</v>
      </c>
      <c r="D21" s="88">
        <v>1</v>
      </c>
      <c r="E21" s="87">
        <v>2.2075055187637969E-3</v>
      </c>
    </row>
    <row r="22" spans="2:5" ht="15" customHeight="1">
      <c r="B22" s="154"/>
      <c r="C22" s="89" t="s">
        <v>35</v>
      </c>
      <c r="D22" s="88">
        <v>1</v>
      </c>
      <c r="E22" s="87">
        <v>2.2075055187637969E-3</v>
      </c>
    </row>
    <row r="23" spans="2:5" ht="15" customHeight="1">
      <c r="B23" s="154"/>
      <c r="C23" s="89" t="s">
        <v>43</v>
      </c>
      <c r="D23" s="88">
        <v>1</v>
      </c>
      <c r="E23" s="87">
        <v>2.2075055187637969E-3</v>
      </c>
    </row>
    <row r="24" spans="2:5" ht="15" customHeight="1">
      <c r="B24" s="154"/>
      <c r="C24" s="89" t="s">
        <v>40</v>
      </c>
      <c r="D24" s="88">
        <v>1</v>
      </c>
      <c r="E24" s="87">
        <v>2.2075055187637969E-3</v>
      </c>
    </row>
    <row r="25" spans="2:5" ht="15" customHeight="1">
      <c r="B25" s="154"/>
      <c r="C25" s="89" t="s">
        <v>38</v>
      </c>
      <c r="D25" s="88">
        <v>1</v>
      </c>
      <c r="E25" s="87">
        <v>2.2075055187637969E-3</v>
      </c>
    </row>
    <row r="26" spans="2:5" ht="15" customHeight="1">
      <c r="B26" s="154"/>
      <c r="C26" s="89" t="s">
        <v>31</v>
      </c>
      <c r="D26" s="88">
        <v>1</v>
      </c>
      <c r="E26" s="87">
        <v>2.2075055187637969E-3</v>
      </c>
    </row>
    <row r="27" spans="2:5" ht="15" customHeight="1">
      <c r="B27" s="154"/>
      <c r="C27" s="89" t="s">
        <v>39</v>
      </c>
      <c r="D27" s="88">
        <v>1</v>
      </c>
      <c r="E27" s="87">
        <v>2.2075055187637969E-3</v>
      </c>
    </row>
    <row r="28" spans="2:5" ht="15" customHeight="1">
      <c r="B28" s="155"/>
      <c r="C28" s="86" t="s">
        <v>15</v>
      </c>
      <c r="D28" s="85">
        <v>7</v>
      </c>
      <c r="E28" s="84">
        <v>1.5452538631346579E-2</v>
      </c>
    </row>
    <row r="29" spans="2:5" ht="15" customHeight="1">
      <c r="B29" s="153" t="s">
        <v>173</v>
      </c>
      <c r="C29" s="89" t="s">
        <v>42</v>
      </c>
      <c r="D29" s="88">
        <v>1</v>
      </c>
      <c r="E29" s="87">
        <v>2.2075055187637969E-3</v>
      </c>
    </row>
    <row r="30" spans="2:5" ht="15" customHeight="1">
      <c r="B30" s="154"/>
      <c r="C30" s="89" t="s">
        <v>43</v>
      </c>
      <c r="D30" s="88">
        <v>1</v>
      </c>
      <c r="E30" s="87">
        <v>2.2075055187637969E-3</v>
      </c>
    </row>
    <row r="31" spans="2:5" ht="15" customHeight="1">
      <c r="B31" s="154"/>
      <c r="C31" s="89" t="s">
        <v>41</v>
      </c>
      <c r="D31" s="88">
        <v>1</v>
      </c>
      <c r="E31" s="87">
        <v>2.2075055187637969E-3</v>
      </c>
    </row>
    <row r="32" spans="2:5" ht="15" customHeight="1">
      <c r="B32" s="154"/>
      <c r="C32" s="89" t="s">
        <v>37</v>
      </c>
      <c r="D32" s="88">
        <v>1</v>
      </c>
      <c r="E32" s="87">
        <v>2.2075055187637969E-3</v>
      </c>
    </row>
    <row r="33" spans="2:5" ht="15" customHeight="1">
      <c r="B33" s="154"/>
      <c r="C33" s="89" t="s">
        <v>38</v>
      </c>
      <c r="D33" s="88">
        <v>4</v>
      </c>
      <c r="E33" s="87">
        <v>8.8300220750551876E-3</v>
      </c>
    </row>
    <row r="34" spans="2:5" ht="15" customHeight="1">
      <c r="B34" s="155"/>
      <c r="C34" s="86" t="s">
        <v>15</v>
      </c>
      <c r="D34" s="85">
        <v>8</v>
      </c>
      <c r="E34" s="84">
        <v>1.7660044150110375E-2</v>
      </c>
    </row>
    <row r="35" spans="2:5" ht="15" customHeight="1">
      <c r="B35" s="153" t="s">
        <v>172</v>
      </c>
      <c r="C35" s="89" t="s">
        <v>42</v>
      </c>
      <c r="D35" s="88">
        <v>2</v>
      </c>
      <c r="E35" s="87">
        <v>4.4150110375275938E-3</v>
      </c>
    </row>
    <row r="36" spans="2:5" ht="15" customHeight="1">
      <c r="B36" s="154"/>
      <c r="C36" s="89" t="s">
        <v>34</v>
      </c>
      <c r="D36" s="88">
        <v>1</v>
      </c>
      <c r="E36" s="87">
        <v>2.2075055187637969E-3</v>
      </c>
    </row>
    <row r="37" spans="2:5" ht="15" customHeight="1">
      <c r="B37" s="154"/>
      <c r="C37" s="89" t="s">
        <v>41</v>
      </c>
      <c r="D37" s="88">
        <v>1</v>
      </c>
      <c r="E37" s="87">
        <v>2.2075055187637969E-3</v>
      </c>
    </row>
    <row r="38" spans="2:5" ht="15" customHeight="1">
      <c r="B38" s="154"/>
      <c r="C38" s="89" t="s">
        <v>37</v>
      </c>
      <c r="D38" s="88">
        <v>1</v>
      </c>
      <c r="E38" s="87">
        <v>2.2075055187637969E-3</v>
      </c>
    </row>
    <row r="39" spans="2:5" ht="15" customHeight="1">
      <c r="B39" s="155"/>
      <c r="C39" s="86" t="s">
        <v>15</v>
      </c>
      <c r="D39" s="85">
        <v>5</v>
      </c>
      <c r="E39" s="84">
        <v>1.1037527593818985E-2</v>
      </c>
    </row>
    <row r="40" spans="2:5" ht="15" customHeight="1">
      <c r="B40" s="153" t="s">
        <v>171</v>
      </c>
      <c r="C40" s="89" t="s">
        <v>42</v>
      </c>
      <c r="D40" s="88">
        <v>7</v>
      </c>
      <c r="E40" s="87">
        <v>1.5452538631346579E-2</v>
      </c>
    </row>
    <row r="41" spans="2:5" ht="15" customHeight="1">
      <c r="B41" s="154"/>
      <c r="C41" s="89" t="s">
        <v>36</v>
      </c>
      <c r="D41" s="88">
        <v>1</v>
      </c>
      <c r="E41" s="87">
        <v>2.2075055187637969E-3</v>
      </c>
    </row>
    <row r="42" spans="2:5" ht="15" customHeight="1">
      <c r="B42" s="154"/>
      <c r="C42" s="89" t="s">
        <v>35</v>
      </c>
      <c r="D42" s="88">
        <v>2</v>
      </c>
      <c r="E42" s="87">
        <v>4.4150110375275938E-3</v>
      </c>
    </row>
    <row r="43" spans="2:5" ht="15" customHeight="1">
      <c r="B43" s="154"/>
      <c r="C43" s="89" t="s">
        <v>43</v>
      </c>
      <c r="D43" s="88">
        <v>2</v>
      </c>
      <c r="E43" s="87">
        <v>4.4150110375275938E-3</v>
      </c>
    </row>
    <row r="44" spans="2:5" ht="15" customHeight="1">
      <c r="B44" s="154"/>
      <c r="C44" s="89" t="s">
        <v>33</v>
      </c>
      <c r="D44" s="88">
        <v>1</v>
      </c>
      <c r="E44" s="87">
        <v>2.2075055187637969E-3</v>
      </c>
    </row>
    <row r="45" spans="2:5" ht="15" customHeight="1">
      <c r="B45" s="154"/>
      <c r="C45" s="89" t="s">
        <v>41</v>
      </c>
      <c r="D45" s="88">
        <v>5</v>
      </c>
      <c r="E45" s="87">
        <v>1.1037527593818985E-2</v>
      </c>
    </row>
    <row r="46" spans="2:5" ht="15" customHeight="1">
      <c r="B46" s="154"/>
      <c r="C46" s="89" t="s">
        <v>30</v>
      </c>
      <c r="D46" s="88">
        <v>3</v>
      </c>
      <c r="E46" s="87">
        <v>6.6225165562913907E-3</v>
      </c>
    </row>
    <row r="47" spans="2:5" ht="15" customHeight="1">
      <c r="B47" s="154"/>
      <c r="C47" s="89" t="s">
        <v>40</v>
      </c>
      <c r="D47" s="88">
        <v>1</v>
      </c>
      <c r="E47" s="87">
        <v>2.2075055187637969E-3</v>
      </c>
    </row>
    <row r="48" spans="2:5" ht="15" customHeight="1">
      <c r="B48" s="154"/>
      <c r="C48" s="89" t="s">
        <v>38</v>
      </c>
      <c r="D48" s="88">
        <v>5</v>
      </c>
      <c r="E48" s="87">
        <v>1.1037527593818985E-2</v>
      </c>
    </row>
    <row r="49" spans="2:5" ht="15" customHeight="1">
      <c r="B49" s="154"/>
      <c r="C49" s="89" t="s">
        <v>32</v>
      </c>
      <c r="D49" s="88">
        <v>3</v>
      </c>
      <c r="E49" s="87">
        <v>6.6225165562913907E-3</v>
      </c>
    </row>
    <row r="50" spans="2:5" ht="15" customHeight="1">
      <c r="B50" s="154"/>
      <c r="C50" s="89" t="s">
        <v>39</v>
      </c>
      <c r="D50" s="88">
        <v>2</v>
      </c>
      <c r="E50" s="87">
        <v>4.4150110375275938E-3</v>
      </c>
    </row>
    <row r="51" spans="2:5" ht="15" customHeight="1">
      <c r="B51" s="155"/>
      <c r="C51" s="86" t="s">
        <v>15</v>
      </c>
      <c r="D51" s="85">
        <v>32</v>
      </c>
      <c r="E51" s="84">
        <v>7.0640176600441501E-2</v>
      </c>
    </row>
    <row r="52" spans="2:5" ht="15" customHeight="1">
      <c r="B52" s="153" t="s">
        <v>170</v>
      </c>
      <c r="C52" s="89" t="s">
        <v>42</v>
      </c>
      <c r="D52" s="88">
        <v>15</v>
      </c>
      <c r="E52" s="87">
        <v>3.3112582781456956E-2</v>
      </c>
    </row>
    <row r="53" spans="2:5" ht="15" customHeight="1">
      <c r="B53" s="154"/>
      <c r="C53" s="89" t="s">
        <v>36</v>
      </c>
      <c r="D53" s="88">
        <v>4</v>
      </c>
      <c r="E53" s="87">
        <v>8.8300220750551876E-3</v>
      </c>
    </row>
    <row r="54" spans="2:5" ht="15" customHeight="1">
      <c r="B54" s="154"/>
      <c r="C54" s="89" t="s">
        <v>19</v>
      </c>
      <c r="D54" s="88">
        <v>1</v>
      </c>
      <c r="E54" s="87">
        <v>2.2075055187637969E-3</v>
      </c>
    </row>
    <row r="55" spans="2:5" ht="15" customHeight="1">
      <c r="B55" s="154"/>
      <c r="C55" s="89" t="s">
        <v>34</v>
      </c>
      <c r="D55" s="88">
        <v>1</v>
      </c>
      <c r="E55" s="87">
        <v>2.2075055187637969E-3</v>
      </c>
    </row>
    <row r="56" spans="2:5" ht="15" customHeight="1">
      <c r="B56" s="154"/>
      <c r="C56" s="89" t="s">
        <v>35</v>
      </c>
      <c r="D56" s="88">
        <v>2</v>
      </c>
      <c r="E56" s="87">
        <v>4.4150110375275938E-3</v>
      </c>
    </row>
    <row r="57" spans="2:5" ht="15" customHeight="1">
      <c r="B57" s="154"/>
      <c r="C57" s="89" t="s">
        <v>43</v>
      </c>
      <c r="D57" s="88">
        <v>10</v>
      </c>
      <c r="E57" s="87">
        <v>2.2075055187637971E-2</v>
      </c>
    </row>
    <row r="58" spans="2:5" ht="15" customHeight="1">
      <c r="B58" s="154"/>
      <c r="C58" s="89" t="s">
        <v>33</v>
      </c>
      <c r="D58" s="88">
        <v>2</v>
      </c>
      <c r="E58" s="87">
        <v>4.4150110375275938E-3</v>
      </c>
    </row>
    <row r="59" spans="2:5" ht="15" customHeight="1">
      <c r="B59" s="154"/>
      <c r="C59" s="89" t="s">
        <v>41</v>
      </c>
      <c r="D59" s="88">
        <v>10</v>
      </c>
      <c r="E59" s="87">
        <v>2.2075055187637971E-2</v>
      </c>
    </row>
    <row r="60" spans="2:5" ht="15" customHeight="1">
      <c r="B60" s="154"/>
      <c r="C60" s="89" t="s">
        <v>37</v>
      </c>
      <c r="D60" s="88">
        <v>5</v>
      </c>
      <c r="E60" s="87">
        <v>1.1037527593818985E-2</v>
      </c>
    </row>
    <row r="61" spans="2:5" ht="15" customHeight="1">
      <c r="B61" s="154"/>
      <c r="C61" s="89" t="s">
        <v>40</v>
      </c>
      <c r="D61" s="88">
        <v>9</v>
      </c>
      <c r="E61" s="87">
        <v>1.9867549668874173E-2</v>
      </c>
    </row>
    <row r="62" spans="2:5" ht="15" customHeight="1">
      <c r="B62" s="154"/>
      <c r="C62" s="89" t="s">
        <v>38</v>
      </c>
      <c r="D62" s="88">
        <v>11</v>
      </c>
      <c r="E62" s="87">
        <v>2.4282560706401765E-2</v>
      </c>
    </row>
    <row r="63" spans="2:5" ht="15" customHeight="1">
      <c r="B63" s="154"/>
      <c r="C63" s="89" t="s">
        <v>32</v>
      </c>
      <c r="D63" s="88">
        <v>2</v>
      </c>
      <c r="E63" s="87">
        <v>4.4150110375275938E-3</v>
      </c>
    </row>
    <row r="64" spans="2:5" ht="15" customHeight="1">
      <c r="B64" s="154"/>
      <c r="C64" s="89" t="s">
        <v>31</v>
      </c>
      <c r="D64" s="88">
        <v>3</v>
      </c>
      <c r="E64" s="87">
        <v>6.6225165562913907E-3</v>
      </c>
    </row>
    <row r="65" spans="2:5" ht="15" customHeight="1">
      <c r="B65" s="154"/>
      <c r="C65" s="89" t="s">
        <v>18</v>
      </c>
      <c r="D65" s="88">
        <v>1</v>
      </c>
      <c r="E65" s="87">
        <v>2.2075055187637969E-3</v>
      </c>
    </row>
    <row r="66" spans="2:5" ht="15" customHeight="1">
      <c r="B66" s="154"/>
      <c r="C66" s="89" t="s">
        <v>22</v>
      </c>
      <c r="D66" s="88">
        <v>2</v>
      </c>
      <c r="E66" s="87">
        <v>4.4150110375275938E-3</v>
      </c>
    </row>
    <row r="67" spans="2:5" ht="15" customHeight="1">
      <c r="B67" s="154"/>
      <c r="C67" s="89" t="s">
        <v>39</v>
      </c>
      <c r="D67" s="88">
        <v>7</v>
      </c>
      <c r="E67" s="87">
        <v>1.5452538631346579E-2</v>
      </c>
    </row>
    <row r="68" spans="2:5" ht="15" customHeight="1">
      <c r="B68" s="154"/>
      <c r="C68" s="89" t="s">
        <v>16</v>
      </c>
      <c r="D68" s="88">
        <v>2</v>
      </c>
      <c r="E68" s="87">
        <v>4.4150110375275938E-3</v>
      </c>
    </row>
    <row r="69" spans="2:5" ht="15" customHeight="1">
      <c r="B69" s="155"/>
      <c r="C69" s="86" t="s">
        <v>15</v>
      </c>
      <c r="D69" s="85">
        <v>87</v>
      </c>
      <c r="E69" s="84">
        <v>0.19205298013245034</v>
      </c>
    </row>
    <row r="70" spans="2:5" ht="15" customHeight="1">
      <c r="B70" s="153" t="s">
        <v>169</v>
      </c>
      <c r="C70" s="89" t="s">
        <v>43</v>
      </c>
      <c r="D70" s="88">
        <v>1</v>
      </c>
      <c r="E70" s="87">
        <v>2.2075055187637969E-3</v>
      </c>
    </row>
    <row r="71" spans="2:5" ht="15" customHeight="1">
      <c r="B71" s="154"/>
      <c r="C71" s="89" t="s">
        <v>32</v>
      </c>
      <c r="D71" s="88">
        <v>1</v>
      </c>
      <c r="E71" s="87">
        <v>2.2075055187637969E-3</v>
      </c>
    </row>
    <row r="72" spans="2:5" ht="15" customHeight="1">
      <c r="B72" s="154"/>
      <c r="C72" s="89" t="s">
        <v>31</v>
      </c>
      <c r="D72" s="88">
        <v>1</v>
      </c>
      <c r="E72" s="87">
        <v>2.2075055187637969E-3</v>
      </c>
    </row>
    <row r="73" spans="2:5" ht="15" customHeight="1">
      <c r="B73" s="155"/>
      <c r="C73" s="86" t="s">
        <v>15</v>
      </c>
      <c r="D73" s="85">
        <v>3</v>
      </c>
      <c r="E73" s="84">
        <v>6.6225165562913907E-3</v>
      </c>
    </row>
    <row r="74" spans="2:5" ht="15" customHeight="1">
      <c r="B74" s="153" t="s">
        <v>168</v>
      </c>
      <c r="C74" s="89" t="s">
        <v>42</v>
      </c>
      <c r="D74" s="88">
        <v>2</v>
      </c>
      <c r="E74" s="87">
        <v>4.4150110375275938E-3</v>
      </c>
    </row>
    <row r="75" spans="2:5" ht="15" customHeight="1">
      <c r="B75" s="154"/>
      <c r="C75" s="89" t="s">
        <v>35</v>
      </c>
      <c r="D75" s="88">
        <v>1</v>
      </c>
      <c r="E75" s="87">
        <v>2.2075055187637969E-3</v>
      </c>
    </row>
    <row r="76" spans="2:5" ht="15" customHeight="1">
      <c r="B76" s="154"/>
      <c r="C76" s="89" t="s">
        <v>43</v>
      </c>
      <c r="D76" s="88">
        <v>1</v>
      </c>
      <c r="E76" s="87">
        <v>2.2075055187637969E-3</v>
      </c>
    </row>
    <row r="77" spans="2:5" ht="15" customHeight="1">
      <c r="B77" s="154"/>
      <c r="C77" s="89" t="s">
        <v>41</v>
      </c>
      <c r="D77" s="88">
        <v>1</v>
      </c>
      <c r="E77" s="87">
        <v>2.2075055187637969E-3</v>
      </c>
    </row>
    <row r="78" spans="2:5" ht="15" customHeight="1">
      <c r="B78" s="154"/>
      <c r="C78" s="89" t="s">
        <v>40</v>
      </c>
      <c r="D78" s="88">
        <v>1</v>
      </c>
      <c r="E78" s="87">
        <v>2.2075055187637969E-3</v>
      </c>
    </row>
    <row r="79" spans="2:5" ht="15" customHeight="1">
      <c r="B79" s="154"/>
      <c r="C79" s="89" t="s">
        <v>38</v>
      </c>
      <c r="D79" s="88">
        <v>2</v>
      </c>
      <c r="E79" s="87">
        <v>4.4150110375275938E-3</v>
      </c>
    </row>
    <row r="80" spans="2:5" ht="15" customHeight="1">
      <c r="B80" s="155"/>
      <c r="C80" s="86" t="s">
        <v>15</v>
      </c>
      <c r="D80" s="85">
        <v>8</v>
      </c>
      <c r="E80" s="84">
        <v>1.7660044150110375E-2</v>
      </c>
    </row>
    <row r="81" spans="2:5" ht="15" customHeight="1">
      <c r="B81" s="153" t="s">
        <v>167</v>
      </c>
      <c r="C81" s="89" t="s">
        <v>42</v>
      </c>
      <c r="D81" s="88">
        <v>2</v>
      </c>
      <c r="E81" s="87">
        <v>4.4150110375275938E-3</v>
      </c>
    </row>
    <row r="82" spans="2:5" ht="15" customHeight="1">
      <c r="B82" s="154"/>
      <c r="C82" s="89" t="s">
        <v>34</v>
      </c>
      <c r="D82" s="88">
        <v>1</v>
      </c>
      <c r="E82" s="87">
        <v>2.2075055187637969E-3</v>
      </c>
    </row>
    <row r="83" spans="2:5" ht="15" customHeight="1">
      <c r="B83" s="154"/>
      <c r="C83" s="89" t="s">
        <v>35</v>
      </c>
      <c r="D83" s="88">
        <v>2</v>
      </c>
      <c r="E83" s="87">
        <v>4.4150110375275938E-3</v>
      </c>
    </row>
    <row r="84" spans="2:5" ht="15" customHeight="1">
      <c r="B84" s="154"/>
      <c r="C84" s="89" t="s">
        <v>43</v>
      </c>
      <c r="D84" s="88">
        <v>1</v>
      </c>
      <c r="E84" s="87">
        <v>2.2075055187637969E-3</v>
      </c>
    </row>
    <row r="85" spans="2:5" ht="15" customHeight="1">
      <c r="B85" s="154"/>
      <c r="C85" s="89" t="s">
        <v>33</v>
      </c>
      <c r="D85" s="88">
        <v>1</v>
      </c>
      <c r="E85" s="87">
        <v>2.2075055187637969E-3</v>
      </c>
    </row>
    <row r="86" spans="2:5" ht="15" customHeight="1">
      <c r="B86" s="154"/>
      <c r="C86" s="89" t="s">
        <v>31</v>
      </c>
      <c r="D86" s="88">
        <v>2</v>
      </c>
      <c r="E86" s="87">
        <v>4.4150110375275938E-3</v>
      </c>
    </row>
    <row r="87" spans="2:5" ht="15" customHeight="1">
      <c r="B87" s="154"/>
      <c r="C87" s="89" t="s">
        <v>22</v>
      </c>
      <c r="D87" s="88">
        <v>1</v>
      </c>
      <c r="E87" s="87">
        <v>2.2075055187637969E-3</v>
      </c>
    </row>
    <row r="88" spans="2:5" ht="15" customHeight="1">
      <c r="B88" s="155"/>
      <c r="C88" s="86" t="s">
        <v>15</v>
      </c>
      <c r="D88" s="85">
        <v>10</v>
      </c>
      <c r="E88" s="84">
        <v>2.2075055187637971E-2</v>
      </c>
    </row>
    <row r="89" spans="2:5" ht="15" customHeight="1">
      <c r="B89" s="153" t="s">
        <v>166</v>
      </c>
      <c r="C89" s="89" t="s">
        <v>24</v>
      </c>
      <c r="D89" s="88">
        <v>1</v>
      </c>
      <c r="E89" s="87">
        <v>2.2075055187637969E-3</v>
      </c>
    </row>
    <row r="90" spans="2:5" ht="15" customHeight="1">
      <c r="B90" s="154"/>
      <c r="C90" s="89" t="s">
        <v>21</v>
      </c>
      <c r="D90" s="88">
        <v>1</v>
      </c>
      <c r="E90" s="87">
        <v>2.2075055187637969E-3</v>
      </c>
    </row>
    <row r="91" spans="2:5" ht="15" customHeight="1">
      <c r="B91" s="154"/>
      <c r="C91" s="89" t="s">
        <v>42</v>
      </c>
      <c r="D91" s="88">
        <v>17</v>
      </c>
      <c r="E91" s="87">
        <v>3.7527593818984545E-2</v>
      </c>
    </row>
    <row r="92" spans="2:5" ht="15" customHeight="1">
      <c r="B92" s="154"/>
      <c r="C92" s="89" t="s">
        <v>20</v>
      </c>
      <c r="D92" s="88">
        <v>1</v>
      </c>
      <c r="E92" s="87">
        <v>2.2075055187637969E-3</v>
      </c>
    </row>
    <row r="93" spans="2:5" ht="15" customHeight="1">
      <c r="B93" s="154"/>
      <c r="C93" s="89" t="s">
        <v>36</v>
      </c>
      <c r="D93" s="88">
        <v>10</v>
      </c>
      <c r="E93" s="87">
        <v>2.2075055187637971E-2</v>
      </c>
    </row>
    <row r="94" spans="2:5" ht="15" customHeight="1">
      <c r="B94" s="154"/>
      <c r="C94" s="89" t="s">
        <v>19</v>
      </c>
      <c r="D94" s="88">
        <v>1</v>
      </c>
      <c r="E94" s="87">
        <v>2.2075055187637969E-3</v>
      </c>
    </row>
    <row r="95" spans="2:5" ht="15" customHeight="1">
      <c r="B95" s="154"/>
      <c r="C95" s="89" t="s">
        <v>34</v>
      </c>
      <c r="D95" s="88">
        <v>3</v>
      </c>
      <c r="E95" s="87">
        <v>6.6225165562913907E-3</v>
      </c>
    </row>
    <row r="96" spans="2:5" ht="15" customHeight="1">
      <c r="B96" s="154"/>
      <c r="C96" s="89" t="s">
        <v>35</v>
      </c>
      <c r="D96" s="88">
        <v>6</v>
      </c>
      <c r="E96" s="87">
        <v>1.3245033112582781E-2</v>
      </c>
    </row>
    <row r="97" spans="2:5" ht="15" customHeight="1">
      <c r="B97" s="154"/>
      <c r="C97" s="89" t="s">
        <v>43</v>
      </c>
      <c r="D97" s="88">
        <v>10</v>
      </c>
      <c r="E97" s="87">
        <v>2.2075055187637971E-2</v>
      </c>
    </row>
    <row r="98" spans="2:5" ht="15" customHeight="1">
      <c r="B98" s="154"/>
      <c r="C98" s="89" t="s">
        <v>33</v>
      </c>
      <c r="D98" s="88">
        <v>6</v>
      </c>
      <c r="E98" s="87">
        <v>1.3245033112582781E-2</v>
      </c>
    </row>
    <row r="99" spans="2:5" ht="15" customHeight="1">
      <c r="B99" s="154"/>
      <c r="C99" s="89" t="s">
        <v>41</v>
      </c>
      <c r="D99" s="88">
        <v>16</v>
      </c>
      <c r="E99" s="87">
        <v>3.5320088300220751E-2</v>
      </c>
    </row>
    <row r="100" spans="2:5" ht="15" customHeight="1">
      <c r="B100" s="154"/>
      <c r="C100" s="89" t="s">
        <v>37</v>
      </c>
      <c r="D100" s="88">
        <v>3</v>
      </c>
      <c r="E100" s="87">
        <v>6.6225165562913907E-3</v>
      </c>
    </row>
    <row r="101" spans="2:5" ht="15" customHeight="1">
      <c r="B101" s="154"/>
      <c r="C101" s="89" t="s">
        <v>30</v>
      </c>
      <c r="D101" s="88">
        <v>2</v>
      </c>
      <c r="E101" s="87">
        <v>4.4150110375275938E-3</v>
      </c>
    </row>
    <row r="102" spans="2:5" ht="15" customHeight="1">
      <c r="B102" s="154"/>
      <c r="C102" s="89" t="s">
        <v>40</v>
      </c>
      <c r="D102" s="88">
        <v>12</v>
      </c>
      <c r="E102" s="87">
        <v>2.6490066225165563E-2</v>
      </c>
    </row>
    <row r="103" spans="2:5" ht="15" customHeight="1">
      <c r="B103" s="154"/>
      <c r="C103" s="89" t="s">
        <v>38</v>
      </c>
      <c r="D103" s="88">
        <v>17</v>
      </c>
      <c r="E103" s="87">
        <v>3.7527593818984545E-2</v>
      </c>
    </row>
    <row r="104" spans="2:5" ht="15" customHeight="1">
      <c r="B104" s="154"/>
      <c r="C104" s="89" t="s">
        <v>32</v>
      </c>
      <c r="D104" s="88">
        <v>6</v>
      </c>
      <c r="E104" s="87">
        <v>1.3245033112582781E-2</v>
      </c>
    </row>
    <row r="105" spans="2:5" ht="15" customHeight="1">
      <c r="B105" s="154"/>
      <c r="C105" s="89" t="s">
        <v>31</v>
      </c>
      <c r="D105" s="88">
        <v>5</v>
      </c>
      <c r="E105" s="87">
        <v>1.1037527593818985E-2</v>
      </c>
    </row>
    <row r="106" spans="2:5" ht="15" customHeight="1">
      <c r="B106" s="154"/>
      <c r="C106" s="89" t="s">
        <v>22</v>
      </c>
      <c r="D106" s="88">
        <v>3</v>
      </c>
      <c r="E106" s="87">
        <v>6.6225165562913907E-3</v>
      </c>
    </row>
    <row r="107" spans="2:5" ht="15" customHeight="1">
      <c r="B107" s="154"/>
      <c r="C107" s="89" t="s">
        <v>27</v>
      </c>
      <c r="D107" s="88">
        <v>3</v>
      </c>
      <c r="E107" s="87">
        <v>6.6225165562913907E-3</v>
      </c>
    </row>
    <row r="108" spans="2:5" ht="15" customHeight="1">
      <c r="B108" s="154"/>
      <c r="C108" s="89" t="s">
        <v>26</v>
      </c>
      <c r="D108" s="88">
        <v>2</v>
      </c>
      <c r="E108" s="87">
        <v>4.4150110375275938E-3</v>
      </c>
    </row>
    <row r="109" spans="2:5" ht="15" customHeight="1">
      <c r="B109" s="154"/>
      <c r="C109" s="89" t="s">
        <v>39</v>
      </c>
      <c r="D109" s="88">
        <v>10</v>
      </c>
      <c r="E109" s="87">
        <v>2.2075055187637971E-2</v>
      </c>
    </row>
    <row r="110" spans="2:5" ht="15" customHeight="1">
      <c r="B110" s="154"/>
      <c r="C110" s="89" t="s">
        <v>16</v>
      </c>
      <c r="D110" s="88">
        <v>1</v>
      </c>
      <c r="E110" s="87">
        <v>2.2075055187637969E-3</v>
      </c>
    </row>
    <row r="111" spans="2:5" ht="15" customHeight="1">
      <c r="B111" s="155"/>
      <c r="C111" s="86" t="s">
        <v>15</v>
      </c>
      <c r="D111" s="85">
        <v>136</v>
      </c>
      <c r="E111" s="84">
        <v>0.30022075055187636</v>
      </c>
    </row>
    <row r="112" spans="2:5" ht="15" customHeight="1">
      <c r="B112" s="153" t="s">
        <v>206</v>
      </c>
      <c r="C112" s="89" t="s">
        <v>41</v>
      </c>
      <c r="D112" s="88">
        <v>3</v>
      </c>
      <c r="E112" s="87">
        <v>6.6225165562913907E-3</v>
      </c>
    </row>
    <row r="113" spans="2:5" ht="15" customHeight="1">
      <c r="B113" s="155"/>
      <c r="C113" s="86" t="s">
        <v>15</v>
      </c>
      <c r="D113" s="85">
        <v>3</v>
      </c>
      <c r="E113" s="84">
        <v>6.6225165562913907E-3</v>
      </c>
    </row>
    <row r="114" spans="2:5" ht="15" customHeight="1">
      <c r="B114" s="153" t="s">
        <v>164</v>
      </c>
      <c r="C114" s="89" t="s">
        <v>25</v>
      </c>
      <c r="D114" s="88">
        <v>1</v>
      </c>
      <c r="E114" s="87">
        <v>2.2075055187637969E-3</v>
      </c>
    </row>
    <row r="115" spans="2:5" ht="15" customHeight="1">
      <c r="B115" s="154"/>
      <c r="C115" s="89" t="s">
        <v>42</v>
      </c>
      <c r="D115" s="88">
        <v>1</v>
      </c>
      <c r="E115" s="87">
        <v>2.2075055187637969E-3</v>
      </c>
    </row>
    <row r="116" spans="2:5" ht="15" customHeight="1">
      <c r="B116" s="154"/>
      <c r="C116" s="89" t="s">
        <v>23</v>
      </c>
      <c r="D116" s="88">
        <v>1</v>
      </c>
      <c r="E116" s="87">
        <v>2.2075055187637969E-3</v>
      </c>
    </row>
    <row r="117" spans="2:5" ht="15" customHeight="1">
      <c r="B117" s="154"/>
      <c r="C117" s="89" t="s">
        <v>36</v>
      </c>
      <c r="D117" s="88">
        <v>2</v>
      </c>
      <c r="E117" s="87">
        <v>4.4150110375275938E-3</v>
      </c>
    </row>
    <row r="118" spans="2:5" ht="15" customHeight="1">
      <c r="B118" s="154"/>
      <c r="C118" s="89" t="s">
        <v>34</v>
      </c>
      <c r="D118" s="88">
        <v>1</v>
      </c>
      <c r="E118" s="87">
        <v>2.2075055187637969E-3</v>
      </c>
    </row>
    <row r="119" spans="2:5" ht="15" customHeight="1">
      <c r="B119" s="154"/>
      <c r="C119" s="89" t="s">
        <v>43</v>
      </c>
      <c r="D119" s="88">
        <v>1</v>
      </c>
      <c r="E119" s="87">
        <v>2.2075055187637969E-3</v>
      </c>
    </row>
    <row r="120" spans="2:5" ht="15" customHeight="1">
      <c r="B120" s="154"/>
      <c r="C120" s="89" t="s">
        <v>33</v>
      </c>
      <c r="D120" s="88">
        <v>2</v>
      </c>
      <c r="E120" s="87">
        <v>4.4150110375275938E-3</v>
      </c>
    </row>
    <row r="121" spans="2:5" ht="15" customHeight="1">
      <c r="B121" s="154"/>
      <c r="C121" s="89" t="s">
        <v>41</v>
      </c>
      <c r="D121" s="88">
        <v>2</v>
      </c>
      <c r="E121" s="87">
        <v>4.4150110375275938E-3</v>
      </c>
    </row>
    <row r="122" spans="2:5" ht="15" customHeight="1">
      <c r="B122" s="154"/>
      <c r="C122" s="89" t="s">
        <v>30</v>
      </c>
      <c r="D122" s="88">
        <v>1</v>
      </c>
      <c r="E122" s="87">
        <v>2.2075055187637969E-3</v>
      </c>
    </row>
    <row r="123" spans="2:5" ht="15" customHeight="1">
      <c r="B123" s="154"/>
      <c r="C123" s="89" t="s">
        <v>38</v>
      </c>
      <c r="D123" s="88">
        <v>2</v>
      </c>
      <c r="E123" s="87">
        <v>4.4150110375275938E-3</v>
      </c>
    </row>
    <row r="124" spans="2:5" ht="15" customHeight="1">
      <c r="B124" s="154"/>
      <c r="C124" s="89" t="s">
        <v>18</v>
      </c>
      <c r="D124" s="88">
        <v>1</v>
      </c>
      <c r="E124" s="87">
        <v>2.2075055187637969E-3</v>
      </c>
    </row>
    <row r="125" spans="2:5" ht="15" customHeight="1">
      <c r="B125" s="154"/>
      <c r="C125" s="89" t="s">
        <v>29</v>
      </c>
      <c r="D125" s="88">
        <v>1</v>
      </c>
      <c r="E125" s="87">
        <v>2.2075055187637969E-3</v>
      </c>
    </row>
    <row r="126" spans="2:5" ht="15" customHeight="1">
      <c r="B126" s="154"/>
      <c r="C126" s="89" t="s">
        <v>27</v>
      </c>
      <c r="D126" s="88">
        <v>3</v>
      </c>
      <c r="E126" s="87">
        <v>6.6225165562913907E-3</v>
      </c>
    </row>
    <row r="127" spans="2:5" ht="15" customHeight="1">
      <c r="B127" s="154"/>
      <c r="C127" s="89" t="s">
        <v>39</v>
      </c>
      <c r="D127" s="88">
        <v>2</v>
      </c>
      <c r="E127" s="87">
        <v>4.4150110375275938E-3</v>
      </c>
    </row>
    <row r="128" spans="2:5" ht="15" customHeight="1">
      <c r="B128" s="155"/>
      <c r="C128" s="86" t="s">
        <v>15</v>
      </c>
      <c r="D128" s="85">
        <v>21</v>
      </c>
      <c r="E128" s="84">
        <v>4.6357615894039736E-2</v>
      </c>
    </row>
    <row r="129" spans="2:5" ht="15" customHeight="1">
      <c r="B129" s="153" t="s">
        <v>163</v>
      </c>
      <c r="C129" s="89" t="s">
        <v>24</v>
      </c>
      <c r="D129" s="88">
        <v>3</v>
      </c>
      <c r="E129" s="87">
        <v>6.6225165562913907E-3</v>
      </c>
    </row>
    <row r="130" spans="2:5" ht="15" customHeight="1">
      <c r="B130" s="154"/>
      <c r="C130" s="89" t="s">
        <v>42</v>
      </c>
      <c r="D130" s="88">
        <v>3</v>
      </c>
      <c r="E130" s="87">
        <v>6.6225165562913907E-3</v>
      </c>
    </row>
    <row r="131" spans="2:5" ht="15" customHeight="1">
      <c r="B131" s="154"/>
      <c r="C131" s="89" t="s">
        <v>20</v>
      </c>
      <c r="D131" s="88">
        <v>1</v>
      </c>
      <c r="E131" s="87">
        <v>2.2075055187637969E-3</v>
      </c>
    </row>
    <row r="132" spans="2:5" ht="15" customHeight="1">
      <c r="B132" s="154"/>
      <c r="C132" s="89" t="s">
        <v>36</v>
      </c>
      <c r="D132" s="88">
        <v>8</v>
      </c>
      <c r="E132" s="87">
        <v>1.7660044150110375E-2</v>
      </c>
    </row>
    <row r="133" spans="2:5" ht="15" customHeight="1">
      <c r="B133" s="154"/>
      <c r="C133" s="89" t="s">
        <v>34</v>
      </c>
      <c r="D133" s="88">
        <v>4</v>
      </c>
      <c r="E133" s="87">
        <v>8.8300220750551876E-3</v>
      </c>
    </row>
    <row r="134" spans="2:5" ht="15" customHeight="1">
      <c r="B134" s="154"/>
      <c r="C134" s="89" t="s">
        <v>35</v>
      </c>
      <c r="D134" s="88">
        <v>4</v>
      </c>
      <c r="E134" s="87">
        <v>8.8300220750551876E-3</v>
      </c>
    </row>
    <row r="135" spans="2:5" ht="15" customHeight="1">
      <c r="B135" s="154"/>
      <c r="C135" s="89" t="s">
        <v>43</v>
      </c>
      <c r="D135" s="88">
        <v>21</v>
      </c>
      <c r="E135" s="87">
        <v>4.6357615894039736E-2</v>
      </c>
    </row>
    <row r="136" spans="2:5" ht="15" customHeight="1">
      <c r="B136" s="154"/>
      <c r="C136" s="89" t="s">
        <v>33</v>
      </c>
      <c r="D136" s="88">
        <v>3</v>
      </c>
      <c r="E136" s="87">
        <v>6.6225165562913907E-3</v>
      </c>
    </row>
    <row r="137" spans="2:5" ht="15" customHeight="1">
      <c r="B137" s="154"/>
      <c r="C137" s="89" t="s">
        <v>41</v>
      </c>
      <c r="D137" s="88">
        <v>8</v>
      </c>
      <c r="E137" s="87">
        <v>1.7660044150110375E-2</v>
      </c>
    </row>
    <row r="138" spans="2:5" ht="15" customHeight="1">
      <c r="B138" s="154"/>
      <c r="C138" s="89" t="s">
        <v>37</v>
      </c>
      <c r="D138" s="88">
        <v>2</v>
      </c>
      <c r="E138" s="87">
        <v>4.4150110375275938E-3</v>
      </c>
    </row>
    <row r="139" spans="2:5" ht="15" customHeight="1">
      <c r="B139" s="154"/>
      <c r="C139" s="89" t="s">
        <v>40</v>
      </c>
      <c r="D139" s="88">
        <v>3</v>
      </c>
      <c r="E139" s="87">
        <v>6.6225165562913907E-3</v>
      </c>
    </row>
    <row r="140" spans="2:5" ht="15" customHeight="1">
      <c r="B140" s="154"/>
      <c r="C140" s="89" t="s">
        <v>38</v>
      </c>
      <c r="D140" s="88">
        <v>10</v>
      </c>
      <c r="E140" s="87">
        <v>2.2075055187637971E-2</v>
      </c>
    </row>
    <row r="141" spans="2:5" ht="15" customHeight="1">
      <c r="B141" s="154"/>
      <c r="C141" s="89" t="s">
        <v>32</v>
      </c>
      <c r="D141" s="88">
        <v>2</v>
      </c>
      <c r="E141" s="87">
        <v>4.4150110375275938E-3</v>
      </c>
    </row>
    <row r="142" spans="2:5" ht="15" customHeight="1">
      <c r="B142" s="154"/>
      <c r="C142" s="89" t="s">
        <v>31</v>
      </c>
      <c r="D142" s="88">
        <v>3</v>
      </c>
      <c r="E142" s="87">
        <v>6.6225165562913907E-3</v>
      </c>
    </row>
    <row r="143" spans="2:5" ht="15" customHeight="1">
      <c r="B143" s="154"/>
      <c r="C143" s="89" t="s">
        <v>18</v>
      </c>
      <c r="D143" s="88">
        <v>2</v>
      </c>
      <c r="E143" s="87">
        <v>4.4150110375275938E-3</v>
      </c>
    </row>
    <row r="144" spans="2:5" ht="15" customHeight="1">
      <c r="B144" s="154"/>
      <c r="C144" s="89" t="s">
        <v>27</v>
      </c>
      <c r="D144" s="88">
        <v>3</v>
      </c>
      <c r="E144" s="87">
        <v>6.6225165562913907E-3</v>
      </c>
    </row>
    <row r="145" spans="2:5" ht="15" customHeight="1">
      <c r="B145" s="154"/>
      <c r="C145" s="89" t="s">
        <v>39</v>
      </c>
      <c r="D145" s="88">
        <v>7</v>
      </c>
      <c r="E145" s="87">
        <v>1.5452538631346579E-2</v>
      </c>
    </row>
    <row r="146" spans="2:5" ht="15" customHeight="1">
      <c r="B146" s="154"/>
      <c r="C146" s="89" t="s">
        <v>17</v>
      </c>
      <c r="D146" s="88">
        <v>2</v>
      </c>
      <c r="E146" s="87">
        <v>4.4150110375275938E-3</v>
      </c>
    </row>
    <row r="147" spans="2:5" ht="15" customHeight="1">
      <c r="B147" s="155"/>
      <c r="C147" s="86" t="s">
        <v>15</v>
      </c>
      <c r="D147" s="85">
        <v>89</v>
      </c>
      <c r="E147" s="84">
        <v>0.19646799116997793</v>
      </c>
    </row>
    <row r="148" spans="2:5" ht="15" customHeight="1">
      <c r="B148" s="153" t="s">
        <v>162</v>
      </c>
      <c r="C148" s="89" t="s">
        <v>36</v>
      </c>
      <c r="D148" s="88">
        <v>1</v>
      </c>
      <c r="E148" s="87">
        <v>2.2075055187637969E-3</v>
      </c>
    </row>
    <row r="149" spans="2:5" ht="15" customHeight="1">
      <c r="B149" s="155"/>
      <c r="C149" s="86" t="s">
        <v>15</v>
      </c>
      <c r="D149" s="85">
        <v>1</v>
      </c>
      <c r="E149" s="84">
        <v>2.2075055187637969E-3</v>
      </c>
    </row>
    <row r="150" spans="2:5" ht="15" customHeight="1">
      <c r="B150" s="153" t="s">
        <v>320</v>
      </c>
      <c r="C150" s="89" t="s">
        <v>31</v>
      </c>
      <c r="D150" s="88">
        <v>1</v>
      </c>
      <c r="E150" s="87">
        <v>2.2075055187637969E-3</v>
      </c>
    </row>
    <row r="151" spans="2:5" ht="15" customHeight="1">
      <c r="B151" s="155"/>
      <c r="C151" s="86" t="s">
        <v>15</v>
      </c>
      <c r="D151" s="85">
        <v>1</v>
      </c>
      <c r="E151" s="84">
        <v>2.2075055187637969E-3</v>
      </c>
    </row>
    <row r="152" spans="2:5" ht="15" customHeight="1">
      <c r="B152" s="153" t="s">
        <v>321</v>
      </c>
      <c r="C152" s="89" t="s">
        <v>39</v>
      </c>
      <c r="D152" s="88">
        <v>1</v>
      </c>
      <c r="E152" s="87">
        <v>2.2075055187637969E-3</v>
      </c>
    </row>
    <row r="153" spans="2:5" ht="15" customHeight="1">
      <c r="B153" s="155"/>
      <c r="C153" s="86" t="s">
        <v>15</v>
      </c>
      <c r="D153" s="85">
        <v>1</v>
      </c>
      <c r="E153" s="84">
        <v>2.2075055187637969E-3</v>
      </c>
    </row>
    <row r="154" spans="2:5" ht="15" customHeight="1">
      <c r="B154" s="153" t="s">
        <v>161</v>
      </c>
      <c r="C154" s="89" t="s">
        <v>36</v>
      </c>
      <c r="D154" s="88">
        <v>2</v>
      </c>
      <c r="E154" s="87">
        <v>4.4150110375275938E-3</v>
      </c>
    </row>
    <row r="155" spans="2:5" ht="15" customHeight="1">
      <c r="B155" s="154"/>
      <c r="C155" s="89" t="s">
        <v>34</v>
      </c>
      <c r="D155" s="88">
        <v>1</v>
      </c>
      <c r="E155" s="87">
        <v>2.2075055187637969E-3</v>
      </c>
    </row>
    <row r="156" spans="2:5" ht="15" customHeight="1">
      <c r="B156" s="154"/>
      <c r="C156" s="89" t="s">
        <v>43</v>
      </c>
      <c r="D156" s="88">
        <v>1</v>
      </c>
      <c r="E156" s="87">
        <v>2.2075055187637969E-3</v>
      </c>
    </row>
    <row r="157" spans="2:5" ht="15" customHeight="1">
      <c r="B157" s="154"/>
      <c r="C157" s="89" t="s">
        <v>28</v>
      </c>
      <c r="D157" s="88">
        <v>1</v>
      </c>
      <c r="E157" s="87">
        <v>2.2075055187637969E-3</v>
      </c>
    </row>
    <row r="158" spans="2:5" ht="15" customHeight="1">
      <c r="B158" s="154"/>
      <c r="C158" s="89" t="s">
        <v>38</v>
      </c>
      <c r="D158" s="88">
        <v>1</v>
      </c>
      <c r="E158" s="87">
        <v>2.2075055187637969E-3</v>
      </c>
    </row>
    <row r="159" spans="2:5" ht="15" customHeight="1">
      <c r="B159" s="154"/>
      <c r="C159" s="89" t="s">
        <v>31</v>
      </c>
      <c r="D159" s="88">
        <v>1</v>
      </c>
      <c r="E159" s="87">
        <v>2.2075055187637969E-3</v>
      </c>
    </row>
    <row r="160" spans="2:5" ht="15" customHeight="1">
      <c r="B160" s="155"/>
      <c r="C160" s="86" t="s">
        <v>15</v>
      </c>
      <c r="D160" s="85">
        <v>7</v>
      </c>
      <c r="E160" s="84">
        <v>1.5452538631346579E-2</v>
      </c>
    </row>
    <row r="161" spans="2:5" ht="15" customHeight="1">
      <c r="B161" s="153" t="s">
        <v>205</v>
      </c>
      <c r="C161" s="89" t="s">
        <v>24</v>
      </c>
      <c r="D161" s="88">
        <v>1</v>
      </c>
      <c r="E161" s="87">
        <v>2.2075055187637969E-3</v>
      </c>
    </row>
    <row r="162" spans="2:5" ht="15" customHeight="1">
      <c r="B162" s="154"/>
      <c r="C162" s="89" t="s">
        <v>36</v>
      </c>
      <c r="D162" s="88">
        <v>7</v>
      </c>
      <c r="E162" s="87">
        <v>1.5452538631346579E-2</v>
      </c>
    </row>
    <row r="163" spans="2:5" ht="15" customHeight="1">
      <c r="B163" s="154"/>
      <c r="C163" s="89" t="s">
        <v>34</v>
      </c>
      <c r="D163" s="88">
        <v>1</v>
      </c>
      <c r="E163" s="87">
        <v>2.2075055187637969E-3</v>
      </c>
    </row>
    <row r="164" spans="2:5" ht="15" customHeight="1">
      <c r="B164" s="154"/>
      <c r="C164" s="89" t="s">
        <v>18</v>
      </c>
      <c r="D164" s="88">
        <v>2</v>
      </c>
      <c r="E164" s="87">
        <v>4.4150110375275938E-3</v>
      </c>
    </row>
    <row r="165" spans="2:5" ht="15" customHeight="1">
      <c r="B165" s="154"/>
      <c r="C165" s="89" t="s">
        <v>29</v>
      </c>
      <c r="D165" s="88">
        <v>2</v>
      </c>
      <c r="E165" s="87">
        <v>4.4150110375275938E-3</v>
      </c>
    </row>
    <row r="166" spans="2:5" ht="15" customHeight="1">
      <c r="B166" s="154"/>
      <c r="C166" s="89" t="s">
        <v>27</v>
      </c>
      <c r="D166" s="88">
        <v>1</v>
      </c>
      <c r="E166" s="87">
        <v>2.2075055187637969E-3</v>
      </c>
    </row>
    <row r="167" spans="2:5" ht="15" customHeight="1">
      <c r="B167" s="154"/>
      <c r="C167" s="89" t="s">
        <v>39</v>
      </c>
      <c r="D167" s="88">
        <v>3</v>
      </c>
      <c r="E167" s="87">
        <v>6.6225165562913907E-3</v>
      </c>
    </row>
    <row r="168" spans="2:5" ht="15" customHeight="1">
      <c r="B168" s="154"/>
      <c r="C168" s="89" t="s">
        <v>16</v>
      </c>
      <c r="D168" s="88">
        <v>1</v>
      </c>
      <c r="E168" s="87">
        <v>2.2075055187637969E-3</v>
      </c>
    </row>
    <row r="169" spans="2:5" ht="15" customHeight="1">
      <c r="B169" s="155"/>
      <c r="C169" s="86" t="s">
        <v>15</v>
      </c>
      <c r="D169" s="85">
        <v>18</v>
      </c>
      <c r="E169" s="84">
        <v>3.9735099337748346E-2</v>
      </c>
    </row>
    <row r="170" spans="2:5" ht="15" customHeight="1">
      <c r="B170" s="153" t="s">
        <v>159</v>
      </c>
      <c r="C170" s="89" t="s">
        <v>36</v>
      </c>
      <c r="D170" s="88">
        <v>1</v>
      </c>
      <c r="E170" s="87">
        <v>2.2075055187637969E-3</v>
      </c>
    </row>
    <row r="171" spans="2:5" ht="15" customHeight="1">
      <c r="B171" s="154"/>
      <c r="C171" s="89" t="s">
        <v>33</v>
      </c>
      <c r="D171" s="88">
        <v>1</v>
      </c>
      <c r="E171" s="87">
        <v>2.2075055187637969E-3</v>
      </c>
    </row>
    <row r="172" spans="2:5" ht="15" customHeight="1">
      <c r="B172" s="154"/>
      <c r="C172" s="89" t="s">
        <v>41</v>
      </c>
      <c r="D172" s="88">
        <v>1</v>
      </c>
      <c r="E172" s="87">
        <v>2.2075055187637969E-3</v>
      </c>
    </row>
    <row r="173" spans="2:5" ht="15" customHeight="1">
      <c r="B173" s="155"/>
      <c r="C173" s="86" t="s">
        <v>15</v>
      </c>
      <c r="D173" s="85">
        <v>3</v>
      </c>
      <c r="E173" s="84">
        <v>6.6225165562913907E-3</v>
      </c>
    </row>
    <row r="174" spans="2:5" ht="15" customHeight="1">
      <c r="B174" s="156" t="s">
        <v>15</v>
      </c>
      <c r="C174" s="157"/>
      <c r="D174" s="83">
        <v>453</v>
      </c>
      <c r="E174" s="82">
        <v>1</v>
      </c>
    </row>
    <row r="175" spans="2:5" ht="15" customHeight="1">
      <c r="B175" s="81"/>
      <c r="C175" s="81"/>
      <c r="D175" s="81"/>
      <c r="E175" s="81"/>
    </row>
    <row r="176" spans="2:5" ht="15" customHeight="1">
      <c r="B176" s="92" t="s">
        <v>209</v>
      </c>
      <c r="C176" s="90"/>
      <c r="D176" s="90"/>
    </row>
    <row r="177" spans="2:4" ht="15" customHeight="1">
      <c r="B177" s="94" t="s">
        <v>14</v>
      </c>
      <c r="C177" s="90"/>
      <c r="D177" s="90"/>
    </row>
    <row r="178" spans="2:4" ht="15" customHeight="1">
      <c r="B178" s="93" t="s">
        <v>13</v>
      </c>
      <c r="C178" s="90"/>
      <c r="D178" s="90"/>
    </row>
    <row r="179" spans="2:4" ht="15" customHeight="1">
      <c r="B179" s="92" t="s">
        <v>12</v>
      </c>
      <c r="C179" s="90"/>
      <c r="D179" s="90"/>
    </row>
    <row r="180" spans="2:4" ht="15" customHeight="1">
      <c r="B180" s="92" t="s">
        <v>210</v>
      </c>
      <c r="C180" s="90"/>
      <c r="D180" s="90"/>
    </row>
  </sheetData>
  <mergeCells count="22">
    <mergeCell ref="B170:B173"/>
    <mergeCell ref="B174:C174"/>
    <mergeCell ref="B7:E8"/>
    <mergeCell ref="B10:B17"/>
    <mergeCell ref="B18:B20"/>
    <mergeCell ref="B21:B28"/>
    <mergeCell ref="B29:B34"/>
    <mergeCell ref="B81:B88"/>
    <mergeCell ref="B150:B151"/>
    <mergeCell ref="B152:B153"/>
    <mergeCell ref="B154:B160"/>
    <mergeCell ref="B161:B169"/>
    <mergeCell ref="B35:B39"/>
    <mergeCell ref="B40:B51"/>
    <mergeCell ref="B52:B69"/>
    <mergeCell ref="B70:B73"/>
    <mergeCell ref="B74:B80"/>
    <mergeCell ref="B89:B111"/>
    <mergeCell ref="B112:B113"/>
    <mergeCell ref="B114:B128"/>
    <mergeCell ref="B129:B147"/>
    <mergeCell ref="B148:B14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2">
    <tabColor rgb="FF00B050"/>
    <pageSetUpPr fitToPage="1"/>
  </sheetPr>
  <dimension ref="A1:E20"/>
  <sheetViews>
    <sheetView showGridLines="0" zoomScaleNormal="100" zoomScaleSheetLayoutView="115" workbookViewId="0">
      <selection activeCell="D11" sqref="D11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2" t="s">
        <v>322</v>
      </c>
      <c r="C7" s="152"/>
      <c r="D7" s="152"/>
    </row>
    <row r="8" spans="1:5" s="27" customFormat="1" ht="15" customHeight="1">
      <c r="B8" s="152"/>
      <c r="C8" s="152"/>
      <c r="D8" s="152"/>
    </row>
    <row r="9" spans="1:5" s="27" customFormat="1" ht="33" customHeight="1">
      <c r="B9" s="152"/>
      <c r="C9" s="152"/>
      <c r="D9" s="152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182</v>
      </c>
      <c r="C11" s="29" t="s">
        <v>45</v>
      </c>
      <c r="D11" s="28" t="s">
        <v>44</v>
      </c>
    </row>
    <row r="12" spans="1:5">
      <c r="A12" s="91"/>
      <c r="B12" s="100" t="s">
        <v>181</v>
      </c>
      <c r="C12" s="99">
        <v>329</v>
      </c>
      <c r="D12" s="98">
        <v>0.72626931567328923</v>
      </c>
      <c r="E12" s="91"/>
    </row>
    <row r="13" spans="1:5">
      <c r="A13" s="91"/>
      <c r="B13" s="100" t="s">
        <v>180</v>
      </c>
      <c r="C13" s="99">
        <v>124</v>
      </c>
      <c r="D13" s="98">
        <v>0.27373068432671083</v>
      </c>
      <c r="E13" s="91"/>
    </row>
    <row r="14" spans="1:5">
      <c r="A14" s="91"/>
      <c r="B14" s="97" t="s">
        <v>179</v>
      </c>
      <c r="C14" s="96">
        <v>453</v>
      </c>
      <c r="D14" s="95">
        <v>1</v>
      </c>
      <c r="E14" s="91"/>
    </row>
    <row r="15" spans="1:5">
      <c r="A15" s="101"/>
      <c r="B15" s="101"/>
      <c r="C15" s="102"/>
      <c r="D15" s="101"/>
      <c r="E15" s="101"/>
    </row>
    <row r="16" spans="1:5">
      <c r="B16" s="104" t="s">
        <v>209</v>
      </c>
      <c r="C16" s="103"/>
      <c r="D16" s="103"/>
    </row>
    <row r="17" spans="2:4">
      <c r="B17" s="106" t="s">
        <v>14</v>
      </c>
      <c r="C17" s="103"/>
      <c r="D17" s="103"/>
    </row>
    <row r="18" spans="2:4">
      <c r="B18" s="105" t="s">
        <v>13</v>
      </c>
      <c r="C18" s="103"/>
      <c r="D18" s="103"/>
    </row>
    <row r="19" spans="2:4">
      <c r="B19" s="104" t="s">
        <v>12</v>
      </c>
      <c r="C19" s="103"/>
      <c r="D19" s="103"/>
    </row>
    <row r="20" spans="2:4">
      <c r="B20" s="104" t="s">
        <v>210</v>
      </c>
      <c r="C20" s="103"/>
      <c r="D20" s="10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381"/>
  <sheetViews>
    <sheetView zoomScaleNormal="100" zoomScaleSheetLayoutView="100" workbookViewId="0">
      <selection activeCell="D9" sqref="D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158"/>
      <c r="C7" s="158"/>
      <c r="D7" s="158"/>
      <c r="E7" s="158"/>
    </row>
    <row r="8" spans="1:5" s="42" customFormat="1" ht="33" customHeight="1">
      <c r="A8" s="43"/>
      <c r="B8" s="158"/>
      <c r="C8" s="158"/>
      <c r="D8" s="158"/>
      <c r="E8" s="158"/>
    </row>
    <row r="9" spans="1:5" s="27" customFormat="1" ht="40.5" customHeight="1">
      <c r="B9" s="39" t="s">
        <v>46</v>
      </c>
      <c r="C9" s="41" t="s">
        <v>182</v>
      </c>
      <c r="D9" s="40" t="s">
        <v>45</v>
      </c>
      <c r="E9" s="39" t="s">
        <v>44</v>
      </c>
    </row>
    <row r="10" spans="1:5" ht="15" customHeight="1">
      <c r="B10" s="153" t="s">
        <v>25</v>
      </c>
      <c r="C10" s="115" t="s">
        <v>183</v>
      </c>
      <c r="D10" s="114">
        <v>1</v>
      </c>
      <c r="E10" s="113">
        <v>2.2075055187637969E-3</v>
      </c>
    </row>
    <row r="11" spans="1:5" ht="15" customHeight="1">
      <c r="B11" s="155"/>
      <c r="C11" s="112" t="s">
        <v>15</v>
      </c>
      <c r="D11" s="111">
        <v>1</v>
      </c>
      <c r="E11" s="110">
        <v>2.2075055187637969E-3</v>
      </c>
    </row>
    <row r="12" spans="1:5" ht="15" customHeight="1">
      <c r="B12" s="153" t="s">
        <v>24</v>
      </c>
      <c r="C12" s="115" t="s">
        <v>184</v>
      </c>
      <c r="D12" s="114">
        <v>2</v>
      </c>
      <c r="E12" s="113">
        <v>4.4150110375275938E-3</v>
      </c>
    </row>
    <row r="13" spans="1:5" ht="15" customHeight="1">
      <c r="B13" s="154"/>
      <c r="C13" s="115" t="s">
        <v>183</v>
      </c>
      <c r="D13" s="114">
        <v>3</v>
      </c>
      <c r="E13" s="113">
        <v>6.6225165562913907E-3</v>
      </c>
    </row>
    <row r="14" spans="1:5" ht="15" customHeight="1">
      <c r="B14" s="155"/>
      <c r="C14" s="112" t="s">
        <v>15</v>
      </c>
      <c r="D14" s="111">
        <v>5</v>
      </c>
      <c r="E14" s="110">
        <v>1.1037527593818985E-2</v>
      </c>
    </row>
    <row r="15" spans="1:5" ht="15" customHeight="1">
      <c r="B15" s="153" t="s">
        <v>21</v>
      </c>
      <c r="C15" s="115" t="s">
        <v>184</v>
      </c>
      <c r="D15" s="114">
        <v>1</v>
      </c>
      <c r="E15" s="113">
        <v>2.2075055187637969E-3</v>
      </c>
    </row>
    <row r="16" spans="1:5" ht="15" customHeight="1">
      <c r="B16" s="155"/>
      <c r="C16" s="112" t="s">
        <v>15</v>
      </c>
      <c r="D16" s="111">
        <v>1</v>
      </c>
      <c r="E16" s="110">
        <v>2.2075055187637969E-3</v>
      </c>
    </row>
    <row r="17" spans="2:5" ht="15" customHeight="1">
      <c r="B17" s="153" t="s">
        <v>42</v>
      </c>
      <c r="C17" s="115" t="s">
        <v>184</v>
      </c>
      <c r="D17" s="114">
        <v>37</v>
      </c>
      <c r="E17" s="113">
        <v>8.1677704194260486E-2</v>
      </c>
    </row>
    <row r="18" spans="2:5" ht="15" customHeight="1">
      <c r="B18" s="154"/>
      <c r="C18" s="115" t="s">
        <v>183</v>
      </c>
      <c r="D18" s="114">
        <v>18</v>
      </c>
      <c r="E18" s="113">
        <v>3.9735099337748346E-2</v>
      </c>
    </row>
    <row r="19" spans="2:5" ht="15" customHeight="1">
      <c r="B19" s="155"/>
      <c r="C19" s="112" t="s">
        <v>15</v>
      </c>
      <c r="D19" s="111">
        <v>55</v>
      </c>
      <c r="E19" s="110">
        <v>0.12141280353200883</v>
      </c>
    </row>
    <row r="20" spans="2:5" ht="15" customHeight="1">
      <c r="B20" s="153" t="s">
        <v>23</v>
      </c>
      <c r="C20" s="115" t="s">
        <v>184</v>
      </c>
      <c r="D20" s="114">
        <v>1</v>
      </c>
      <c r="E20" s="113">
        <v>2.2075055187637969E-3</v>
      </c>
    </row>
    <row r="21" spans="2:5" ht="15" customHeight="1">
      <c r="B21" s="155"/>
      <c r="C21" s="112" t="s">
        <v>15</v>
      </c>
      <c r="D21" s="111">
        <v>1</v>
      </c>
      <c r="E21" s="110">
        <v>2.2075055187637969E-3</v>
      </c>
    </row>
    <row r="22" spans="2:5" ht="15" customHeight="1">
      <c r="B22" s="153" t="s">
        <v>20</v>
      </c>
      <c r="C22" s="115" t="s">
        <v>183</v>
      </c>
      <c r="D22" s="114">
        <v>2</v>
      </c>
      <c r="E22" s="113">
        <v>4.4150110375275938E-3</v>
      </c>
    </row>
    <row r="23" spans="2:5" ht="15" customHeight="1">
      <c r="B23" s="155"/>
      <c r="C23" s="112" t="s">
        <v>15</v>
      </c>
      <c r="D23" s="111">
        <v>2</v>
      </c>
      <c r="E23" s="110">
        <v>4.4150110375275938E-3</v>
      </c>
    </row>
    <row r="24" spans="2:5" ht="15" customHeight="1">
      <c r="B24" s="153" t="s">
        <v>36</v>
      </c>
      <c r="C24" s="115" t="s">
        <v>184</v>
      </c>
      <c r="D24" s="114">
        <v>22</v>
      </c>
      <c r="E24" s="113">
        <v>4.856512141280353E-2</v>
      </c>
    </row>
    <row r="25" spans="2:5" ht="15" customHeight="1">
      <c r="B25" s="154"/>
      <c r="C25" s="115" t="s">
        <v>183</v>
      </c>
      <c r="D25" s="114">
        <v>14</v>
      </c>
      <c r="E25" s="113">
        <v>3.0905077262693158E-2</v>
      </c>
    </row>
    <row r="26" spans="2:5" ht="15" customHeight="1">
      <c r="B26" s="155"/>
      <c r="C26" s="112" t="s">
        <v>15</v>
      </c>
      <c r="D26" s="111">
        <v>36</v>
      </c>
      <c r="E26" s="110">
        <v>7.9470198675496692E-2</v>
      </c>
    </row>
    <row r="27" spans="2:5" ht="15" customHeight="1">
      <c r="B27" s="153" t="s">
        <v>19</v>
      </c>
      <c r="C27" s="115" t="s">
        <v>183</v>
      </c>
      <c r="D27" s="114">
        <v>2</v>
      </c>
      <c r="E27" s="113">
        <v>4.4150110375275938E-3</v>
      </c>
    </row>
    <row r="28" spans="2:5" ht="15" customHeight="1">
      <c r="B28" s="155"/>
      <c r="C28" s="112" t="s">
        <v>15</v>
      </c>
      <c r="D28" s="111">
        <v>2</v>
      </c>
      <c r="E28" s="110">
        <v>4.4150110375275938E-3</v>
      </c>
    </row>
    <row r="29" spans="2:5" ht="15" customHeight="1">
      <c r="B29" s="153" t="s">
        <v>34</v>
      </c>
      <c r="C29" s="115" t="s">
        <v>184</v>
      </c>
      <c r="D29" s="114">
        <v>7</v>
      </c>
      <c r="E29" s="113">
        <v>1.5452538631346579E-2</v>
      </c>
    </row>
    <row r="30" spans="2:5" ht="15" customHeight="1">
      <c r="B30" s="154"/>
      <c r="C30" s="115" t="s">
        <v>183</v>
      </c>
      <c r="D30" s="114">
        <v>6</v>
      </c>
      <c r="E30" s="113">
        <v>1.3245033112582781E-2</v>
      </c>
    </row>
    <row r="31" spans="2:5" ht="15" customHeight="1">
      <c r="B31" s="155"/>
      <c r="C31" s="112" t="s">
        <v>15</v>
      </c>
      <c r="D31" s="111">
        <v>13</v>
      </c>
      <c r="E31" s="110">
        <v>2.8697571743929361E-2</v>
      </c>
    </row>
    <row r="32" spans="2:5" ht="15" customHeight="1">
      <c r="B32" s="153" t="s">
        <v>35</v>
      </c>
      <c r="C32" s="115" t="s">
        <v>184</v>
      </c>
      <c r="D32" s="114">
        <v>15</v>
      </c>
      <c r="E32" s="113">
        <v>3.3112582781456956E-2</v>
      </c>
    </row>
    <row r="33" spans="2:5" ht="15" customHeight="1">
      <c r="B33" s="154"/>
      <c r="C33" s="115" t="s">
        <v>183</v>
      </c>
      <c r="D33" s="114">
        <v>3</v>
      </c>
      <c r="E33" s="113">
        <v>6.6225165562913907E-3</v>
      </c>
    </row>
    <row r="34" spans="2:5" ht="15" customHeight="1">
      <c r="B34" s="155"/>
      <c r="C34" s="112" t="s">
        <v>15</v>
      </c>
      <c r="D34" s="111">
        <v>18</v>
      </c>
      <c r="E34" s="110">
        <v>3.9735099337748346E-2</v>
      </c>
    </row>
    <row r="35" spans="2:5" ht="15" customHeight="1">
      <c r="B35" s="153" t="s">
        <v>43</v>
      </c>
      <c r="C35" s="115" t="s">
        <v>184</v>
      </c>
      <c r="D35" s="114">
        <v>38</v>
      </c>
      <c r="E35" s="113">
        <v>8.3885209713024281E-2</v>
      </c>
    </row>
    <row r="36" spans="2:5" ht="15" customHeight="1">
      <c r="B36" s="154"/>
      <c r="C36" s="115" t="s">
        <v>183</v>
      </c>
      <c r="D36" s="114">
        <v>14</v>
      </c>
      <c r="E36" s="113">
        <v>3.0905077262693158E-2</v>
      </c>
    </row>
    <row r="37" spans="2:5" ht="15" customHeight="1">
      <c r="B37" s="155"/>
      <c r="C37" s="112" t="s">
        <v>15</v>
      </c>
      <c r="D37" s="111">
        <v>52</v>
      </c>
      <c r="E37" s="110">
        <v>0.11479028697571744</v>
      </c>
    </row>
    <row r="38" spans="2:5" ht="15" customHeight="1">
      <c r="B38" s="153" t="s">
        <v>33</v>
      </c>
      <c r="C38" s="115" t="s">
        <v>184</v>
      </c>
      <c r="D38" s="114">
        <v>15</v>
      </c>
      <c r="E38" s="113">
        <v>3.3112582781456956E-2</v>
      </c>
    </row>
    <row r="39" spans="2:5" ht="15" customHeight="1">
      <c r="B39" s="154"/>
      <c r="C39" s="115" t="s">
        <v>183</v>
      </c>
      <c r="D39" s="114">
        <v>2</v>
      </c>
      <c r="E39" s="113">
        <v>4.4150110375275938E-3</v>
      </c>
    </row>
    <row r="40" spans="2:5" ht="15" customHeight="1">
      <c r="B40" s="155"/>
      <c r="C40" s="112" t="s">
        <v>15</v>
      </c>
      <c r="D40" s="111">
        <v>17</v>
      </c>
      <c r="E40" s="110">
        <v>3.7527593818984545E-2</v>
      </c>
    </row>
    <row r="41" spans="2:5" ht="15" customHeight="1">
      <c r="B41" s="153" t="s">
        <v>41</v>
      </c>
      <c r="C41" s="115" t="s">
        <v>184</v>
      </c>
      <c r="D41" s="114">
        <v>33</v>
      </c>
      <c r="E41" s="113">
        <v>7.2847682119205295E-2</v>
      </c>
    </row>
    <row r="42" spans="2:5" ht="15" customHeight="1">
      <c r="B42" s="154"/>
      <c r="C42" s="115" t="s">
        <v>183</v>
      </c>
      <c r="D42" s="114">
        <v>15</v>
      </c>
      <c r="E42" s="113">
        <v>3.3112582781456956E-2</v>
      </c>
    </row>
    <row r="43" spans="2:5" ht="15" customHeight="1">
      <c r="B43" s="155"/>
      <c r="C43" s="112" t="s">
        <v>15</v>
      </c>
      <c r="D43" s="111">
        <v>48</v>
      </c>
      <c r="E43" s="110">
        <v>0.10596026490066225</v>
      </c>
    </row>
    <row r="44" spans="2:5" ht="15" customHeight="1">
      <c r="B44" s="153" t="s">
        <v>37</v>
      </c>
      <c r="C44" s="115" t="s">
        <v>184</v>
      </c>
      <c r="D44" s="114">
        <v>12</v>
      </c>
      <c r="E44" s="113">
        <v>2.6490066225165563E-2</v>
      </c>
    </row>
    <row r="45" spans="2:5" ht="15" customHeight="1">
      <c r="B45" s="154"/>
      <c r="C45" s="115" t="s">
        <v>183</v>
      </c>
      <c r="D45" s="114">
        <v>1</v>
      </c>
      <c r="E45" s="113">
        <v>2.2075055187637969E-3</v>
      </c>
    </row>
    <row r="46" spans="2:5" ht="15" customHeight="1">
      <c r="B46" s="155"/>
      <c r="C46" s="112" t="s">
        <v>15</v>
      </c>
      <c r="D46" s="111">
        <v>13</v>
      </c>
      <c r="E46" s="110">
        <v>2.8697571743929361E-2</v>
      </c>
    </row>
    <row r="47" spans="2:5" ht="15" customHeight="1">
      <c r="B47" s="153" t="s">
        <v>30</v>
      </c>
      <c r="C47" s="115" t="s">
        <v>184</v>
      </c>
      <c r="D47" s="114">
        <v>6</v>
      </c>
      <c r="E47" s="113">
        <v>1.3245033112582781E-2</v>
      </c>
    </row>
    <row r="48" spans="2:5" ht="15" customHeight="1">
      <c r="B48" s="155"/>
      <c r="C48" s="112" t="s">
        <v>15</v>
      </c>
      <c r="D48" s="111">
        <v>6</v>
      </c>
      <c r="E48" s="110">
        <v>1.3245033112582781E-2</v>
      </c>
    </row>
    <row r="49" spans="2:5" ht="15" customHeight="1">
      <c r="B49" s="153" t="s">
        <v>28</v>
      </c>
      <c r="C49" s="115" t="s">
        <v>184</v>
      </c>
      <c r="D49" s="114">
        <v>1</v>
      </c>
      <c r="E49" s="113">
        <v>2.2075055187637969E-3</v>
      </c>
    </row>
    <row r="50" spans="2:5" ht="15" customHeight="1">
      <c r="B50" s="155"/>
      <c r="C50" s="112" t="s">
        <v>15</v>
      </c>
      <c r="D50" s="111">
        <v>1</v>
      </c>
      <c r="E50" s="110">
        <v>2.2075055187637969E-3</v>
      </c>
    </row>
    <row r="51" spans="2:5" ht="15" customHeight="1">
      <c r="B51" s="153" t="s">
        <v>40</v>
      </c>
      <c r="C51" s="115" t="s">
        <v>184</v>
      </c>
      <c r="D51" s="114">
        <v>19</v>
      </c>
      <c r="E51" s="113">
        <v>4.194260485651214E-2</v>
      </c>
    </row>
    <row r="52" spans="2:5" ht="15" customHeight="1">
      <c r="B52" s="154"/>
      <c r="C52" s="115" t="s">
        <v>183</v>
      </c>
      <c r="D52" s="114">
        <v>8</v>
      </c>
      <c r="E52" s="113">
        <v>1.7660044150110375E-2</v>
      </c>
    </row>
    <row r="53" spans="2:5" ht="15" customHeight="1">
      <c r="B53" s="155"/>
      <c r="C53" s="112" t="s">
        <v>15</v>
      </c>
      <c r="D53" s="111">
        <v>27</v>
      </c>
      <c r="E53" s="110">
        <v>5.9602649006622516E-2</v>
      </c>
    </row>
    <row r="54" spans="2:5" ht="15" customHeight="1">
      <c r="B54" s="153" t="s">
        <v>38</v>
      </c>
      <c r="C54" s="115" t="s">
        <v>184</v>
      </c>
      <c r="D54" s="114">
        <v>41</v>
      </c>
      <c r="E54" s="113">
        <v>9.0507726269315678E-2</v>
      </c>
    </row>
    <row r="55" spans="2:5" ht="15" customHeight="1">
      <c r="B55" s="154"/>
      <c r="C55" s="115" t="s">
        <v>183</v>
      </c>
      <c r="D55" s="114">
        <v>14</v>
      </c>
      <c r="E55" s="113">
        <v>3.0905077262693158E-2</v>
      </c>
    </row>
    <row r="56" spans="2:5" ht="15" customHeight="1">
      <c r="B56" s="155"/>
      <c r="C56" s="112" t="s">
        <v>15</v>
      </c>
      <c r="D56" s="111">
        <v>55</v>
      </c>
      <c r="E56" s="110">
        <v>0.12141280353200883</v>
      </c>
    </row>
    <row r="57" spans="2:5" ht="15" customHeight="1">
      <c r="B57" s="153" t="s">
        <v>32</v>
      </c>
      <c r="C57" s="115" t="s">
        <v>184</v>
      </c>
      <c r="D57" s="114">
        <v>14</v>
      </c>
      <c r="E57" s="113">
        <v>3.0905077262693158E-2</v>
      </c>
    </row>
    <row r="58" spans="2:5" ht="15" customHeight="1">
      <c r="B58" s="155"/>
      <c r="C58" s="112" t="s">
        <v>15</v>
      </c>
      <c r="D58" s="111">
        <v>14</v>
      </c>
      <c r="E58" s="110">
        <v>3.0905077262693158E-2</v>
      </c>
    </row>
    <row r="59" spans="2:5" ht="15" customHeight="1">
      <c r="B59" s="153" t="s">
        <v>31</v>
      </c>
      <c r="C59" s="115" t="s">
        <v>184</v>
      </c>
      <c r="D59" s="114">
        <v>15</v>
      </c>
      <c r="E59" s="113">
        <v>3.3112582781456956E-2</v>
      </c>
    </row>
    <row r="60" spans="2:5" ht="15" customHeight="1">
      <c r="B60" s="154"/>
      <c r="C60" s="115" t="s">
        <v>183</v>
      </c>
      <c r="D60" s="114">
        <v>3</v>
      </c>
      <c r="E60" s="113">
        <v>6.6225165562913907E-3</v>
      </c>
    </row>
    <row r="61" spans="2:5" ht="15" customHeight="1">
      <c r="B61" s="155"/>
      <c r="C61" s="112" t="s">
        <v>15</v>
      </c>
      <c r="D61" s="111">
        <v>18</v>
      </c>
      <c r="E61" s="110">
        <v>3.9735099337748346E-2</v>
      </c>
    </row>
    <row r="62" spans="2:5" ht="15" customHeight="1">
      <c r="B62" s="153" t="s">
        <v>18</v>
      </c>
      <c r="C62" s="115" t="s">
        <v>184</v>
      </c>
      <c r="D62" s="114">
        <v>5</v>
      </c>
      <c r="E62" s="113">
        <v>1.1037527593818985E-2</v>
      </c>
    </row>
    <row r="63" spans="2:5" ht="15" customHeight="1">
      <c r="B63" s="154"/>
      <c r="C63" s="115" t="s">
        <v>183</v>
      </c>
      <c r="D63" s="114">
        <v>1</v>
      </c>
      <c r="E63" s="113">
        <v>2.2075055187637969E-3</v>
      </c>
    </row>
    <row r="64" spans="2:5" ht="15" customHeight="1">
      <c r="B64" s="155"/>
      <c r="C64" s="112" t="s">
        <v>15</v>
      </c>
      <c r="D64" s="111">
        <v>6</v>
      </c>
      <c r="E64" s="110">
        <v>1.3245033112582781E-2</v>
      </c>
    </row>
    <row r="65" spans="2:5" ht="15" customHeight="1">
      <c r="B65" s="153" t="s">
        <v>29</v>
      </c>
      <c r="C65" s="115" t="s">
        <v>184</v>
      </c>
      <c r="D65" s="114">
        <v>1</v>
      </c>
      <c r="E65" s="113">
        <v>2.2075055187637969E-3</v>
      </c>
    </row>
    <row r="66" spans="2:5" ht="15" customHeight="1">
      <c r="B66" s="154"/>
      <c r="C66" s="115" t="s">
        <v>183</v>
      </c>
      <c r="D66" s="114">
        <v>2</v>
      </c>
      <c r="E66" s="113">
        <v>4.4150110375275938E-3</v>
      </c>
    </row>
    <row r="67" spans="2:5" ht="15" customHeight="1">
      <c r="B67" s="155"/>
      <c r="C67" s="112" t="s">
        <v>15</v>
      </c>
      <c r="D67" s="111">
        <v>3</v>
      </c>
      <c r="E67" s="110">
        <v>6.6225165562913907E-3</v>
      </c>
    </row>
    <row r="68" spans="2:5" ht="15" customHeight="1">
      <c r="B68" s="153" t="s">
        <v>22</v>
      </c>
      <c r="C68" s="115" t="s">
        <v>184</v>
      </c>
      <c r="D68" s="114">
        <v>4</v>
      </c>
      <c r="E68" s="113">
        <v>8.8300220750551876E-3</v>
      </c>
    </row>
    <row r="69" spans="2:5" ht="15" customHeight="1">
      <c r="B69" s="154"/>
      <c r="C69" s="115" t="s">
        <v>183</v>
      </c>
      <c r="D69" s="114">
        <v>2</v>
      </c>
      <c r="E69" s="113">
        <v>4.4150110375275938E-3</v>
      </c>
    </row>
    <row r="70" spans="2:5" ht="15" customHeight="1">
      <c r="B70" s="155"/>
      <c r="C70" s="112" t="s">
        <v>15</v>
      </c>
      <c r="D70" s="111">
        <v>6</v>
      </c>
      <c r="E70" s="110">
        <v>1.3245033112582781E-2</v>
      </c>
    </row>
    <row r="71" spans="2:5" ht="15" customHeight="1">
      <c r="B71" s="153" t="s">
        <v>27</v>
      </c>
      <c r="C71" s="115" t="s">
        <v>184</v>
      </c>
      <c r="D71" s="114">
        <v>6</v>
      </c>
      <c r="E71" s="113">
        <v>1.3245033112582781E-2</v>
      </c>
    </row>
    <row r="72" spans="2:5" ht="15" customHeight="1">
      <c r="B72" s="154"/>
      <c r="C72" s="115" t="s">
        <v>183</v>
      </c>
      <c r="D72" s="114">
        <v>4</v>
      </c>
      <c r="E72" s="113">
        <v>8.8300220750551876E-3</v>
      </c>
    </row>
    <row r="73" spans="2:5" ht="15" customHeight="1">
      <c r="B73" s="155"/>
      <c r="C73" s="112" t="s">
        <v>15</v>
      </c>
      <c r="D73" s="111">
        <v>10</v>
      </c>
      <c r="E73" s="110">
        <v>2.2075055187637971E-2</v>
      </c>
    </row>
    <row r="74" spans="2:5" ht="15" customHeight="1">
      <c r="B74" s="153" t="s">
        <v>26</v>
      </c>
      <c r="C74" s="115" t="s">
        <v>184</v>
      </c>
      <c r="D74" s="114">
        <v>1</v>
      </c>
      <c r="E74" s="113">
        <v>2.2075055187637969E-3</v>
      </c>
    </row>
    <row r="75" spans="2:5" ht="15" customHeight="1">
      <c r="B75" s="154"/>
      <c r="C75" s="115" t="s">
        <v>183</v>
      </c>
      <c r="D75" s="114">
        <v>1</v>
      </c>
      <c r="E75" s="113">
        <v>2.2075055187637969E-3</v>
      </c>
    </row>
    <row r="76" spans="2:5" ht="15" customHeight="1">
      <c r="B76" s="155"/>
      <c r="C76" s="112" t="s">
        <v>15</v>
      </c>
      <c r="D76" s="111">
        <v>2</v>
      </c>
      <c r="E76" s="110">
        <v>4.4150110375275938E-3</v>
      </c>
    </row>
    <row r="77" spans="2:5" ht="15" customHeight="1">
      <c r="B77" s="153" t="s">
        <v>39</v>
      </c>
      <c r="C77" s="115" t="s">
        <v>184</v>
      </c>
      <c r="D77" s="114">
        <v>28</v>
      </c>
      <c r="E77" s="113">
        <v>6.1810154525386317E-2</v>
      </c>
    </row>
    <row r="78" spans="2:5" ht="15" customHeight="1">
      <c r="B78" s="154"/>
      <c r="C78" s="115" t="s">
        <v>183</v>
      </c>
      <c r="D78" s="114">
        <v>7</v>
      </c>
      <c r="E78" s="113">
        <v>1.5452538631346579E-2</v>
      </c>
    </row>
    <row r="79" spans="2:5" ht="15" customHeight="1">
      <c r="B79" s="155"/>
      <c r="C79" s="112" t="s">
        <v>15</v>
      </c>
      <c r="D79" s="111">
        <v>35</v>
      </c>
      <c r="E79" s="110">
        <v>7.7262693156732898E-2</v>
      </c>
    </row>
    <row r="80" spans="2:5" ht="15" customHeight="1">
      <c r="B80" s="153" t="s">
        <v>17</v>
      </c>
      <c r="C80" s="115" t="s">
        <v>184</v>
      </c>
      <c r="D80" s="114">
        <v>2</v>
      </c>
      <c r="E80" s="113">
        <v>4.4150110375275938E-3</v>
      </c>
    </row>
    <row r="81" spans="2:5" ht="15" customHeight="1">
      <c r="B81" s="155"/>
      <c r="C81" s="112" t="s">
        <v>15</v>
      </c>
      <c r="D81" s="111">
        <v>2</v>
      </c>
      <c r="E81" s="110">
        <v>4.4150110375275938E-3</v>
      </c>
    </row>
    <row r="82" spans="2:5" ht="15" customHeight="1">
      <c r="B82" s="153" t="s">
        <v>16</v>
      </c>
      <c r="C82" s="115" t="s">
        <v>184</v>
      </c>
      <c r="D82" s="114">
        <v>3</v>
      </c>
      <c r="E82" s="113">
        <v>6.6225165562913907E-3</v>
      </c>
    </row>
    <row r="83" spans="2:5" ht="15" customHeight="1">
      <c r="B83" s="154"/>
      <c r="C83" s="115" t="s">
        <v>183</v>
      </c>
      <c r="D83" s="114">
        <v>1</v>
      </c>
      <c r="E83" s="113">
        <v>2.2075055187637969E-3</v>
      </c>
    </row>
    <row r="84" spans="2:5" ht="15" customHeight="1">
      <c r="B84" s="155"/>
      <c r="C84" s="112" t="s">
        <v>15</v>
      </c>
      <c r="D84" s="111">
        <v>4</v>
      </c>
      <c r="E84" s="110">
        <v>8.8300220750551876E-3</v>
      </c>
    </row>
    <row r="85" spans="2:5" ht="15" customHeight="1">
      <c r="B85" s="156" t="s">
        <v>15</v>
      </c>
      <c r="C85" s="157"/>
      <c r="D85" s="109">
        <f>SUMIF(C10:C84,"TOTAL",D10:D84)</f>
        <v>453</v>
      </c>
      <c r="E85" s="108">
        <v>1</v>
      </c>
    </row>
    <row r="86" spans="2:5" ht="15" customHeight="1">
      <c r="B86" s="107"/>
      <c r="C86" s="107"/>
      <c r="D86" s="107"/>
      <c r="E86" s="107"/>
    </row>
    <row r="87" spans="2:5" ht="15" customHeight="1">
      <c r="B87" s="117" t="s">
        <v>209</v>
      </c>
      <c r="C87" s="116"/>
      <c r="D87" s="116"/>
    </row>
    <row r="88" spans="2:5" ht="15" customHeight="1">
      <c r="B88" s="119" t="s">
        <v>14</v>
      </c>
      <c r="C88" s="116"/>
      <c r="D88" s="116"/>
    </row>
    <row r="89" spans="2:5" ht="15" customHeight="1">
      <c r="B89" s="118" t="s">
        <v>13</v>
      </c>
      <c r="C89" s="116"/>
      <c r="D89" s="116"/>
    </row>
    <row r="90" spans="2:5" ht="15" customHeight="1">
      <c r="B90" s="117" t="s">
        <v>12</v>
      </c>
      <c r="C90" s="116"/>
      <c r="D90" s="116"/>
    </row>
    <row r="91" spans="2:5" ht="15" customHeight="1">
      <c r="B91" s="117" t="s">
        <v>210</v>
      </c>
      <c r="C91" s="116"/>
      <c r="D91" s="116"/>
    </row>
    <row r="377" spans="2:2" s="35" customFormat="1" ht="15" customHeight="1">
      <c r="B377" s="36"/>
    </row>
    <row r="378" spans="2:2" s="35" customFormat="1" ht="15" customHeight="1">
      <c r="B378" s="37"/>
    </row>
    <row r="379" spans="2:2" s="35" customFormat="1" ht="15" customHeight="1">
      <c r="B379" s="37"/>
    </row>
    <row r="380" spans="2:2" s="35" customFormat="1" ht="15" customHeight="1">
      <c r="B380" s="36"/>
    </row>
    <row r="381" spans="2:2" s="35" customFormat="1" ht="15" customHeight="1">
      <c r="B381" s="36"/>
    </row>
  </sheetData>
  <mergeCells count="30">
    <mergeCell ref="B77:B79"/>
    <mergeCell ref="B80:B81"/>
    <mergeCell ref="B85:C85"/>
    <mergeCell ref="B44:B46"/>
    <mergeCell ref="B47:B48"/>
    <mergeCell ref="B49:B50"/>
    <mergeCell ref="B51:B53"/>
    <mergeCell ref="B54:B56"/>
    <mergeCell ref="B57:B58"/>
    <mergeCell ref="B74:B76"/>
    <mergeCell ref="B82:B84"/>
    <mergeCell ref="B59:B61"/>
    <mergeCell ref="B62:B64"/>
    <mergeCell ref="B65:B67"/>
    <mergeCell ref="B68:B70"/>
    <mergeCell ref="B71:B73"/>
    <mergeCell ref="B32:B34"/>
    <mergeCell ref="B35:B37"/>
    <mergeCell ref="B38:B40"/>
    <mergeCell ref="B41:B43"/>
    <mergeCell ref="B7:E8"/>
    <mergeCell ref="B10:B11"/>
    <mergeCell ref="B12:B14"/>
    <mergeCell ref="B15:B16"/>
    <mergeCell ref="B17:B19"/>
    <mergeCell ref="B20:B21"/>
    <mergeCell ref="B22:B23"/>
    <mergeCell ref="B24:B26"/>
    <mergeCell ref="B27:B28"/>
    <mergeCell ref="B29:B3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66"/>
  <sheetViews>
    <sheetView topLeftCell="A7" zoomScale="106" zoomScaleNormal="106" zoomScaleSheetLayoutView="100" workbookViewId="0">
      <selection activeCell="D9" sqref="D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158"/>
      <c r="C7" s="158"/>
      <c r="D7" s="158"/>
      <c r="E7" s="158"/>
    </row>
    <row r="8" spans="1:5" s="42" customFormat="1" ht="33" customHeight="1">
      <c r="A8" s="43"/>
      <c r="B8" s="158"/>
      <c r="C8" s="158"/>
      <c r="D8" s="158"/>
      <c r="E8" s="158"/>
    </row>
    <row r="9" spans="1:5" s="27" customFormat="1" ht="40.5" customHeight="1">
      <c r="B9" s="39" t="s">
        <v>182</v>
      </c>
      <c r="C9" s="41" t="s">
        <v>191</v>
      </c>
      <c r="D9" s="40" t="s">
        <v>45</v>
      </c>
      <c r="E9" s="39" t="s">
        <v>44</v>
      </c>
    </row>
    <row r="10" spans="1:5" ht="15" customHeight="1">
      <c r="B10" s="153" t="s">
        <v>184</v>
      </c>
      <c r="C10" s="125" t="s">
        <v>190</v>
      </c>
      <c r="D10" s="124">
        <v>1</v>
      </c>
      <c r="E10" s="123">
        <v>2.2075055187637969E-3</v>
      </c>
    </row>
    <row r="11" spans="1:5" ht="15" customHeight="1">
      <c r="B11" s="154"/>
      <c r="C11" s="125" t="s">
        <v>189</v>
      </c>
      <c r="D11" s="124">
        <v>71</v>
      </c>
      <c r="E11" s="123">
        <v>0.15673289183222958</v>
      </c>
    </row>
    <row r="12" spans="1:5" ht="15" customHeight="1">
      <c r="B12" s="154"/>
      <c r="C12" s="125" t="s">
        <v>188</v>
      </c>
      <c r="D12" s="124">
        <v>124</v>
      </c>
      <c r="E12" s="123">
        <v>0.27373068432671083</v>
      </c>
    </row>
    <row r="13" spans="1:5" ht="15" customHeight="1">
      <c r="B13" s="154"/>
      <c r="C13" s="125" t="s">
        <v>187</v>
      </c>
      <c r="D13" s="124">
        <v>95</v>
      </c>
      <c r="E13" s="123">
        <v>0.20971302428256069</v>
      </c>
    </row>
    <row r="14" spans="1:5" ht="15" customHeight="1">
      <c r="B14" s="154"/>
      <c r="C14" s="125" t="s">
        <v>186</v>
      </c>
      <c r="D14" s="124">
        <v>37</v>
      </c>
      <c r="E14" s="123">
        <v>8.1677704194260486E-2</v>
      </c>
    </row>
    <row r="15" spans="1:5" ht="15" customHeight="1">
      <c r="B15" s="155"/>
      <c r="C15" s="125" t="s">
        <v>185</v>
      </c>
      <c r="D15" s="124">
        <v>1</v>
      </c>
      <c r="E15" s="123">
        <v>2.2075055187637969E-3</v>
      </c>
    </row>
    <row r="16" spans="1:5" ht="15" customHeight="1">
      <c r="B16" s="153" t="s">
        <v>183</v>
      </c>
      <c r="C16" s="125" t="s">
        <v>190</v>
      </c>
      <c r="D16" s="124">
        <v>3</v>
      </c>
      <c r="E16" s="123">
        <v>6.6225165562913907E-3</v>
      </c>
    </row>
    <row r="17" spans="2:5" ht="15" customHeight="1">
      <c r="B17" s="154"/>
      <c r="C17" s="125" t="s">
        <v>189</v>
      </c>
      <c r="D17" s="124">
        <v>18</v>
      </c>
      <c r="E17" s="123">
        <v>3.9735099337748346E-2</v>
      </c>
    </row>
    <row r="18" spans="2:5" ht="15" customHeight="1">
      <c r="B18" s="154"/>
      <c r="C18" s="125" t="s">
        <v>188</v>
      </c>
      <c r="D18" s="124">
        <v>46</v>
      </c>
      <c r="E18" s="123">
        <v>0.10154525386313466</v>
      </c>
    </row>
    <row r="19" spans="2:5" ht="15" customHeight="1">
      <c r="B19" s="154"/>
      <c r="C19" s="125" t="s">
        <v>187</v>
      </c>
      <c r="D19" s="124">
        <v>38</v>
      </c>
      <c r="E19" s="123">
        <v>8.3885209713024281E-2</v>
      </c>
    </row>
    <row r="20" spans="2:5" ht="15" customHeight="1">
      <c r="B20" s="154"/>
      <c r="C20" s="125" t="s">
        <v>186</v>
      </c>
      <c r="D20" s="124">
        <v>17</v>
      </c>
      <c r="E20" s="123">
        <v>3.7527593818984545E-2</v>
      </c>
    </row>
    <row r="21" spans="2:5" ht="15" customHeight="1">
      <c r="B21" s="155"/>
      <c r="C21" s="125" t="s">
        <v>185</v>
      </c>
      <c r="D21" s="124">
        <v>2</v>
      </c>
      <c r="E21" s="123">
        <v>4.4150110375275938E-3</v>
      </c>
    </row>
    <row r="22" spans="2:5" ht="15" customHeight="1">
      <c r="B22" s="156" t="s">
        <v>15</v>
      </c>
      <c r="C22" s="157"/>
      <c r="D22" s="122">
        <v>453</v>
      </c>
      <c r="E22" s="121">
        <v>1</v>
      </c>
    </row>
    <row r="23" spans="2:5" ht="15" customHeight="1">
      <c r="B23" s="120"/>
      <c r="C23" s="120"/>
      <c r="D23" s="120"/>
      <c r="E23" s="120"/>
    </row>
    <row r="24" spans="2:5" ht="15" customHeight="1">
      <c r="B24" s="129" t="s">
        <v>209</v>
      </c>
      <c r="C24" s="126"/>
      <c r="D24" s="126"/>
    </row>
    <row r="25" spans="2:5" ht="15" customHeight="1">
      <c r="B25" s="131" t="s">
        <v>14</v>
      </c>
      <c r="C25" s="126"/>
      <c r="D25" s="126"/>
    </row>
    <row r="26" spans="2:5" ht="15" customHeight="1">
      <c r="B26" s="130" t="s">
        <v>13</v>
      </c>
      <c r="C26" s="126"/>
      <c r="D26" s="126"/>
    </row>
    <row r="27" spans="2:5" ht="15" customHeight="1">
      <c r="B27" s="129" t="s">
        <v>12</v>
      </c>
      <c r="C27" s="126"/>
      <c r="D27" s="126"/>
    </row>
    <row r="28" spans="2:5" ht="15" customHeight="1">
      <c r="B28" s="129" t="s">
        <v>210</v>
      </c>
      <c r="C28" s="126"/>
      <c r="D28" s="126"/>
    </row>
    <row r="462" spans="2:2" s="35" customFormat="1" ht="15" customHeight="1">
      <c r="B462" s="36"/>
    </row>
    <row r="463" spans="2:2" s="35" customFormat="1" ht="15" customHeight="1">
      <c r="B463" s="37"/>
    </row>
    <row r="464" spans="2:2" s="35" customFormat="1" ht="15" customHeight="1">
      <c r="B464" s="37"/>
    </row>
    <row r="465" spans="2:2" s="35" customFormat="1" ht="15" customHeight="1">
      <c r="B465" s="36"/>
    </row>
    <row r="466" spans="2:2" s="35" customFormat="1" ht="15" customHeight="1">
      <c r="B466" s="36"/>
    </row>
  </sheetData>
  <mergeCells count="4">
    <mergeCell ref="B16:B21"/>
    <mergeCell ref="B22:C22"/>
    <mergeCell ref="B7:E8"/>
    <mergeCell ref="B10:B1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3"/>
  <sheetViews>
    <sheetView showGridLines="0" zoomScaleNormal="100" zoomScaleSheetLayoutView="115" workbookViewId="0">
      <selection activeCell="D20" sqref="D20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2" t="s">
        <v>323</v>
      </c>
      <c r="C7" s="152"/>
      <c r="D7" s="152"/>
    </row>
    <row r="8" spans="1:5" s="27" customFormat="1" ht="15" customHeight="1">
      <c r="B8" s="152"/>
      <c r="C8" s="152"/>
      <c r="D8" s="152"/>
    </row>
    <row r="9" spans="1:5" s="27" customFormat="1" ht="33" customHeight="1">
      <c r="B9" s="152"/>
      <c r="C9" s="152"/>
      <c r="D9" s="152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204</v>
      </c>
      <c r="C11" s="29" t="s">
        <v>45</v>
      </c>
      <c r="D11" s="28" t="s">
        <v>44</v>
      </c>
    </row>
    <row r="12" spans="1:5">
      <c r="A12" s="127"/>
      <c r="B12" s="137" t="s">
        <v>203</v>
      </c>
      <c r="C12" s="136">
        <v>346</v>
      </c>
      <c r="D12" s="135">
        <v>0.76379690949227375</v>
      </c>
      <c r="E12" s="127"/>
    </row>
    <row r="13" spans="1:5">
      <c r="A13" s="127"/>
      <c r="B13" s="137" t="s">
        <v>202</v>
      </c>
      <c r="C13" s="136">
        <v>51</v>
      </c>
      <c r="D13" s="135">
        <v>0.11258278145695365</v>
      </c>
      <c r="E13" s="127"/>
    </row>
    <row r="14" spans="1:5">
      <c r="A14" s="138"/>
      <c r="B14" s="137" t="s">
        <v>199</v>
      </c>
      <c r="C14" s="136">
        <v>14</v>
      </c>
      <c r="D14" s="135">
        <v>3.0905077262693158E-2</v>
      </c>
      <c r="E14" s="138"/>
    </row>
    <row r="15" spans="1:5">
      <c r="A15" s="138"/>
      <c r="B15" s="137" t="s">
        <v>200</v>
      </c>
      <c r="C15" s="136">
        <v>13</v>
      </c>
      <c r="D15" s="135">
        <v>2.8697571743929361E-2</v>
      </c>
      <c r="E15" s="138"/>
    </row>
    <row r="16" spans="1:5">
      <c r="A16" s="127"/>
      <c r="B16" s="137" t="s">
        <v>201</v>
      </c>
      <c r="C16" s="136">
        <v>9</v>
      </c>
      <c r="D16" s="135">
        <v>1.9867549668874173E-2</v>
      </c>
      <c r="E16" s="127"/>
    </row>
    <row r="17" spans="1:5">
      <c r="A17" s="127"/>
      <c r="B17" s="137" t="s">
        <v>196</v>
      </c>
      <c r="C17" s="136">
        <v>6</v>
      </c>
      <c r="D17" s="135">
        <v>1.3245033112582781E-2</v>
      </c>
      <c r="E17" s="127"/>
    </row>
    <row r="18" spans="1:5">
      <c r="A18" s="127"/>
      <c r="B18" s="137" t="s">
        <v>197</v>
      </c>
      <c r="C18" s="136">
        <v>4</v>
      </c>
      <c r="D18" s="135">
        <v>8.8300220750551876E-3</v>
      </c>
      <c r="E18" s="127"/>
    </row>
    <row r="19" spans="1:5">
      <c r="A19" s="127"/>
      <c r="B19" s="137" t="s">
        <v>198</v>
      </c>
      <c r="C19" s="136">
        <v>3</v>
      </c>
      <c r="D19" s="135">
        <v>6.6225165562913907E-3</v>
      </c>
      <c r="E19" s="127"/>
    </row>
    <row r="20" spans="1:5">
      <c r="A20" s="127"/>
      <c r="B20" s="137" t="s">
        <v>324</v>
      </c>
      <c r="C20" s="136">
        <v>1</v>
      </c>
      <c r="D20" s="135">
        <v>2.2075055187637969E-3</v>
      </c>
      <c r="E20" s="127"/>
    </row>
    <row r="21" spans="1:5">
      <c r="A21" s="127"/>
      <c r="B21" s="137" t="s">
        <v>195</v>
      </c>
      <c r="C21" s="136">
        <v>1</v>
      </c>
      <c r="D21" s="135">
        <v>2.2075055187637969E-3</v>
      </c>
      <c r="E21" s="127"/>
    </row>
    <row r="22" spans="1:5">
      <c r="A22" s="127"/>
      <c r="B22" s="137" t="s">
        <v>325</v>
      </c>
      <c r="C22" s="136">
        <v>1</v>
      </c>
      <c r="D22" s="135">
        <v>2.2075055187637969E-3</v>
      </c>
      <c r="E22" s="127"/>
    </row>
    <row r="23" spans="1:5">
      <c r="A23" s="127"/>
      <c r="B23" s="137" t="s">
        <v>326</v>
      </c>
      <c r="C23" s="136">
        <v>1</v>
      </c>
      <c r="D23" s="135">
        <v>2.2075055187637969E-3</v>
      </c>
      <c r="E23" s="127"/>
    </row>
    <row r="24" spans="1:5">
      <c r="A24" s="127"/>
      <c r="B24" s="137" t="s">
        <v>194</v>
      </c>
      <c r="C24" s="136">
        <v>1</v>
      </c>
      <c r="D24" s="135">
        <v>2.2075055187637969E-3</v>
      </c>
      <c r="E24" s="127"/>
    </row>
    <row r="25" spans="1:5">
      <c r="A25" s="127"/>
      <c r="B25" s="137" t="s">
        <v>193</v>
      </c>
      <c r="C25" s="136">
        <v>1</v>
      </c>
      <c r="D25" s="135">
        <v>2.2075055187637969E-3</v>
      </c>
      <c r="E25" s="127"/>
    </row>
    <row r="26" spans="1:5">
      <c r="A26" s="127"/>
      <c r="B26" s="137" t="s">
        <v>192</v>
      </c>
      <c r="C26" s="136">
        <v>1</v>
      </c>
      <c r="D26" s="135">
        <v>2.2075055187637969E-3</v>
      </c>
      <c r="E26" s="127"/>
    </row>
    <row r="27" spans="1:5">
      <c r="A27" s="127"/>
      <c r="B27" s="134" t="s">
        <v>15</v>
      </c>
      <c r="C27" s="133">
        <v>453</v>
      </c>
      <c r="D27" s="132">
        <v>1</v>
      </c>
      <c r="E27" s="127"/>
    </row>
    <row r="28" spans="1:5">
      <c r="A28" s="127"/>
      <c r="B28" s="127"/>
      <c r="C28" s="128"/>
      <c r="D28" s="127"/>
      <c r="E28" s="127"/>
    </row>
    <row r="29" spans="1:5">
      <c r="B29" s="140" t="s">
        <v>209</v>
      </c>
      <c r="C29" s="139"/>
      <c r="D29" s="139"/>
    </row>
    <row r="30" spans="1:5">
      <c r="B30" s="142" t="s">
        <v>14</v>
      </c>
      <c r="C30" s="139"/>
      <c r="D30" s="139"/>
    </row>
    <row r="31" spans="1:5">
      <c r="B31" s="141" t="s">
        <v>13</v>
      </c>
      <c r="C31" s="139"/>
      <c r="D31" s="139"/>
    </row>
    <row r="32" spans="1:5">
      <c r="B32" s="140" t="s">
        <v>12</v>
      </c>
      <c r="C32" s="139"/>
      <c r="D32" s="139"/>
    </row>
    <row r="33" spans="2:4">
      <c r="B33" s="140" t="s">
        <v>210</v>
      </c>
      <c r="C33" s="139"/>
      <c r="D33" s="13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Massachusetts_Edomexgral</vt:lpstr>
      <vt:lpstr>Massachusetts_EDOMEX</vt:lpstr>
      <vt:lpstr>Massachusetts_Educagral</vt:lpstr>
      <vt:lpstr>Massachusetts_Eduedo</vt:lpstr>
      <vt:lpstr>Massachusetts_gengral</vt:lpstr>
      <vt:lpstr>Massachusetts_edomexgen</vt:lpstr>
      <vt:lpstr>Massachusetts_edadgen</vt:lpstr>
      <vt:lpstr>Massachusetts_ocupgral</vt:lpstr>
      <vt:lpstr>Massachusetts_edadgen!Área_de_impresión</vt:lpstr>
      <vt:lpstr>Massachusetts_EDOMEX!Área_de_impresión</vt:lpstr>
      <vt:lpstr>Massachusetts_edomexgen!Área_de_impresión</vt:lpstr>
      <vt:lpstr>Massachusetts_Eduedo!Área_de_impresión</vt:lpstr>
      <vt:lpstr>Massachusetts_edadgen!Títulos_a_imprimir</vt:lpstr>
      <vt:lpstr>Massachusetts_EDOMEX!Títulos_a_imprimir</vt:lpstr>
      <vt:lpstr>Massachusetts_edomexgen!Títulos_a_imprimir</vt:lpstr>
      <vt:lpstr>Massachusetts_Edomexgral!Títulos_a_imprimir</vt:lpstr>
      <vt:lpstr>Massachusetts_Educagral!Títulos_a_imprimir</vt:lpstr>
      <vt:lpstr>Massachusetts_Eduedo!Títulos_a_imprimir</vt:lpstr>
      <vt:lpstr>Massachusetts_gengral!Títulos_a_imprimir</vt:lpstr>
      <vt:lpstr>Massachusetts_ocupgral!Títulos_a_imprimir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2020-06-24T18:43:26Z</dcterms:created>
  <dcterms:modified xsi:type="dcterms:W3CDTF">2023-09-14T18:00:12Z</dcterms:modified>
</cp:coreProperties>
</file>