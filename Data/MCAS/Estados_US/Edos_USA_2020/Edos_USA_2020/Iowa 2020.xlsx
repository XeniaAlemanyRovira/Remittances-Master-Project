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2020\USA\Finales_USA\"/>
    </mc:Choice>
  </mc:AlternateContent>
  <bookViews>
    <workbookView xWindow="0" yWindow="0" windowWidth="24000" windowHeight="9735" tabRatio="806"/>
  </bookViews>
  <sheets>
    <sheet name="Índice" sheetId="1" r:id="rId1"/>
    <sheet name="Iowa_Edomexgral" sheetId="2" r:id="rId2"/>
    <sheet name="Iowa_EDOMEX" sheetId="11" r:id="rId3"/>
    <sheet name="Iowa_Educagral" sheetId="4" r:id="rId4"/>
    <sheet name="Iowa_Eduedo" sheetId="10" r:id="rId5"/>
    <sheet name="Iowa_gengral" sheetId="6" r:id="rId6"/>
    <sheet name="Iowa_edomexgen" sheetId="7" r:id="rId7"/>
    <sheet name="Iowa_edadgen" sheetId="8" r:id="rId8"/>
    <sheet name="Iowa_ocupgral" sheetId="9" r:id="rId9"/>
  </sheets>
  <definedNames>
    <definedName name="_xlnm._FilterDatabase" localSheetId="7" hidden="1">Iowa_edadgen!$B$9:$E$9</definedName>
    <definedName name="_xlnm._FilterDatabase" localSheetId="2" hidden="1">Iowa_EDOMEX!$B$9:$E$9</definedName>
    <definedName name="_xlnm._FilterDatabase" localSheetId="6" hidden="1">Iowa_edomexgen!$B$9:$E$9</definedName>
    <definedName name="_xlnm._FilterDatabase" localSheetId="1" hidden="1">Iowa_Edomexgral!$B$11:$D$11</definedName>
    <definedName name="_xlnm._FilterDatabase" localSheetId="3" hidden="1">Iowa_Educagral!$B$11:$D$11</definedName>
    <definedName name="_xlnm._FilterDatabase" localSheetId="4" hidden="1">Iowa_Eduedo!$B$9:$E$9</definedName>
    <definedName name="_xlnm._FilterDatabase" localSheetId="5" hidden="1">Iowa_gengral!$B$11:$D$11</definedName>
    <definedName name="_xlnm._FilterDatabase" localSheetId="8" hidden="1">Iowa_ocupgral!$B$11:$D$11</definedName>
    <definedName name="_xlnm.Print_Area" localSheetId="7">Iowa_edadgen!$A$1:$E$9</definedName>
    <definedName name="_xlnm.Print_Area" localSheetId="2">Iowa_EDOMEX!$A$1:$E$9</definedName>
    <definedName name="_xlnm.Print_Area" localSheetId="6">Iowa_edomexgen!$A$1:$E$9</definedName>
    <definedName name="_xlnm.Print_Area" localSheetId="4">Iowa_Eduedo!$A$1:$E$9</definedName>
    <definedName name="_xlnm.Print_Titles" localSheetId="7">Iowa_edadgen!$1:$9</definedName>
    <definedName name="_xlnm.Print_Titles" localSheetId="2">Iowa_EDOMEX!$1:$9</definedName>
    <definedName name="_xlnm.Print_Titles" localSheetId="6">Iowa_edomexgen!$1:$9</definedName>
    <definedName name="_xlnm.Print_Titles" localSheetId="1">Iowa_Edomexgral!$1:$11</definedName>
    <definedName name="_xlnm.Print_Titles" localSheetId="3">Iowa_Educagral!$1:$11</definedName>
    <definedName name="_xlnm.Print_Titles" localSheetId="4">Iowa_Eduedo!$1:$9</definedName>
    <definedName name="_xlnm.Print_Titles" localSheetId="5">Iowa_gengral!$1:$11</definedName>
    <definedName name="_xlnm.Print_Titles" localSheetId="8">Iowa_ocupgral!$1:$11</definedName>
  </definedNames>
  <calcPr calcId="152511"/>
</workbook>
</file>

<file path=xl/calcChain.xml><?xml version="1.0" encoding="utf-8"?>
<calcChain xmlns="http://schemas.openxmlformats.org/spreadsheetml/2006/main">
  <c r="D98" i="7" l="1"/>
  <c r="D580" i="11" l="1"/>
</calcChain>
</file>

<file path=xl/sharedStrings.xml><?xml version="1.0" encoding="utf-8"?>
<sst xmlns="http://schemas.openxmlformats.org/spreadsheetml/2006/main" count="1276" uniqueCount="630">
  <si>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</si>
  <si>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</si>
  <si>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</si>
  <si>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</si>
  <si>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</si>
  <si>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</si>
  <si>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</si>
  <si>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</si>
  <si>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</si>
  <si>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</si>
  <si>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</si>
  <si>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</si>
  <si>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</si>
  <si>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</si>
  <si>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</si>
  <si>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</si>
  <si>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</si>
  <si>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Tlaxcala</t>
  </si>
  <si>
    <t>Sonora</t>
  </si>
  <si>
    <t>Colima</t>
  </si>
  <si>
    <t>Tabasco</t>
  </si>
  <si>
    <t>Nuevo León</t>
  </si>
  <si>
    <t>Querétaro</t>
  </si>
  <si>
    <t>Sinaloa</t>
  </si>
  <si>
    <t>Baja California</t>
  </si>
  <si>
    <t>Coahuila</t>
  </si>
  <si>
    <t>Campeche</t>
  </si>
  <si>
    <t>Nayarit</t>
  </si>
  <si>
    <t>Chiapas</t>
  </si>
  <si>
    <t>Morelos</t>
  </si>
  <si>
    <t>Aguascalientes</t>
  </si>
  <si>
    <t>Tamaulipas</t>
  </si>
  <si>
    <t>Hidalgo</t>
  </si>
  <si>
    <t>Chihuahua</t>
  </si>
  <si>
    <t>Estado de México</t>
  </si>
  <si>
    <t>San Luis Potosí</t>
  </si>
  <si>
    <t>Puebla</t>
  </si>
  <si>
    <t>Durango</t>
  </si>
  <si>
    <t>Ciudad de México</t>
  </si>
  <si>
    <t>Zacatecas</t>
  </si>
  <si>
    <t>Guerrero</t>
  </si>
  <si>
    <t>Guanajuato</t>
  </si>
  <si>
    <t>Veracruz</t>
  </si>
  <si>
    <t>Oaxaca</t>
  </si>
  <si>
    <t>Jalisco</t>
  </si>
  <si>
    <t>Michoacán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</si>
  <si>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</si>
  <si>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</si>
  <si>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</si>
  <si>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</si>
  <si>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</si>
  <si>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</si>
  <si>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de Cos</t>
  </si>
  <si>
    <t>Valparaíso</t>
  </si>
  <si>
    <t>Sombrerete</t>
  </si>
  <si>
    <t>Sain Alto</t>
  </si>
  <si>
    <t>Río Grande</t>
  </si>
  <si>
    <t>Pinos</t>
  </si>
  <si>
    <t>Ojocaliente</t>
  </si>
  <si>
    <t>Monte Escobedo</t>
  </si>
  <si>
    <t>Juan Aldama</t>
  </si>
  <si>
    <t>Jerez</t>
  </si>
  <si>
    <t>Jalpa</t>
  </si>
  <si>
    <t>Guadalupe</t>
  </si>
  <si>
    <t>General Pánfilo Natera</t>
  </si>
  <si>
    <t>General Francisco R. Murguía</t>
  </si>
  <si>
    <t>Fresnillo</t>
  </si>
  <si>
    <t>El Plateado de Joaquín Amaro</t>
  </si>
  <si>
    <t>Calera</t>
  </si>
  <si>
    <t>Benito Juárez</t>
  </si>
  <si>
    <t>Mérida</t>
  </si>
  <si>
    <t>Zongolica</t>
  </si>
  <si>
    <t>Zacualpan</t>
  </si>
  <si>
    <t>Yecuatla</t>
  </si>
  <si>
    <t>Xalapa</t>
  </si>
  <si>
    <t>Tlalixcoyan</t>
  </si>
  <si>
    <t>Tierra Blanca</t>
  </si>
  <si>
    <t>Tepetlán</t>
  </si>
  <si>
    <t>Soledad de Doblado</t>
  </si>
  <si>
    <t>San Andrés Tuxtla</t>
  </si>
  <si>
    <t>Poza Rica de Hidalgo</t>
  </si>
  <si>
    <t>Playa Vicente</t>
  </si>
  <si>
    <t>Paso de Ovejas</t>
  </si>
  <si>
    <t>Papantla</t>
  </si>
  <si>
    <t>Pánuco</t>
  </si>
  <si>
    <t>Orizaba</t>
  </si>
  <si>
    <t>Omealca</t>
  </si>
  <si>
    <t>Misantla</t>
  </si>
  <si>
    <t>Minatitlán</t>
  </si>
  <si>
    <t>Las Choapas</t>
  </si>
  <si>
    <t>Juchique de Ferrer</t>
  </si>
  <si>
    <t>Huayacocotla</t>
  </si>
  <si>
    <t>Huatusco</t>
  </si>
  <si>
    <t>Hidalgotitlán</t>
  </si>
  <si>
    <t>Cotaxtla</t>
  </si>
  <si>
    <t>Cosamaloapan de Carpio</t>
  </si>
  <si>
    <t>Córdoba</t>
  </si>
  <si>
    <t>Comapa</t>
  </si>
  <si>
    <t>Catemaco</t>
  </si>
  <si>
    <t>Atzalan</t>
  </si>
  <si>
    <t>Angel R. Cabada</t>
  </si>
  <si>
    <t>Alto Lucero de Gutiérrez Barrios</t>
  </si>
  <si>
    <t>Actopan</t>
  </si>
  <si>
    <t>Huamantla</t>
  </si>
  <si>
    <t>Calpulalpan</t>
  </si>
  <si>
    <t>Tampico</t>
  </si>
  <si>
    <t>Río Bravo</t>
  </si>
  <si>
    <t>Reynosa</t>
  </si>
  <si>
    <t>Ocampo</t>
  </si>
  <si>
    <t>Nuevo Laredo</t>
  </si>
  <si>
    <t>Matamoros</t>
  </si>
  <si>
    <t>González</t>
  </si>
  <si>
    <t>El Mante</t>
  </si>
  <si>
    <t>Ciudad Madero</t>
  </si>
  <si>
    <t>Huimanguillo</t>
  </si>
  <si>
    <t>Cunduacán</t>
  </si>
  <si>
    <t>Centro</t>
  </si>
  <si>
    <t>San Luis Río Colorado</t>
  </si>
  <si>
    <t>Hermosillo</t>
  </si>
  <si>
    <t>Culiacán</t>
  </si>
  <si>
    <t>Badiraguato</t>
  </si>
  <si>
    <t>Angostura</t>
  </si>
  <si>
    <t>Villa de Ramos</t>
  </si>
  <si>
    <t>Tamazunchale</t>
  </si>
  <si>
    <t>Tamasopo</t>
  </si>
  <si>
    <t>Santo Domingo</t>
  </si>
  <si>
    <t>Santa María del Río</t>
  </si>
  <si>
    <t>Salinas</t>
  </si>
  <si>
    <t>Rioverde</t>
  </si>
  <si>
    <t>Rayón</t>
  </si>
  <si>
    <t>Ciudad Valles</t>
  </si>
  <si>
    <t>Cerritos</t>
  </si>
  <si>
    <t>San Juan del Río</t>
  </si>
  <si>
    <t>Pedro Escobedo</t>
  </si>
  <si>
    <t>Huimilpan</t>
  </si>
  <si>
    <t>Xicotepec</t>
  </si>
  <si>
    <t>Venustiano Carranza</t>
  </si>
  <si>
    <t>Tochimilco</t>
  </si>
  <si>
    <t>Tehuacán</t>
  </si>
  <si>
    <t>Huauchinango</t>
  </si>
  <si>
    <t>Chiautla</t>
  </si>
  <si>
    <t>Atlixco</t>
  </si>
  <si>
    <t>Zimatlán de Álvarez</t>
  </si>
  <si>
    <t>Trinidad Zaachila</t>
  </si>
  <si>
    <t>Silacayoápam</t>
  </si>
  <si>
    <t>Santiago Tamazola</t>
  </si>
  <si>
    <t>Santiago Juxtlahuaca</t>
  </si>
  <si>
    <t>Santiago Jocotepec</t>
  </si>
  <si>
    <t>Santiago Jamiltepec</t>
  </si>
  <si>
    <t>Santa María Jacatepec</t>
  </si>
  <si>
    <t>Santa Catarina Juquila</t>
  </si>
  <si>
    <t>San Vicente Coatlán</t>
  </si>
  <si>
    <t>San Pedro Pochutla</t>
  </si>
  <si>
    <t>San Miguel Panixtlahuaca</t>
  </si>
  <si>
    <t>San Juan Yucuita</t>
  </si>
  <si>
    <t>San Juan Quiahije</t>
  </si>
  <si>
    <t>San Juan Cotzocón</t>
  </si>
  <si>
    <t>San Juan Cacahuatepec</t>
  </si>
  <si>
    <t>San Juan Bautista Tuxtepec</t>
  </si>
  <si>
    <t>San Antonino el Alto</t>
  </si>
  <si>
    <t>San Agustín Loxicha</t>
  </si>
  <si>
    <t>San Agustín Atenango</t>
  </si>
  <si>
    <t>San Agustín Amatengo</t>
  </si>
  <si>
    <t>Oaxaca de Juárez</t>
  </si>
  <si>
    <t>Miahuatlán de Porfirio Díaz</t>
  </si>
  <si>
    <t>Loma Bonita</t>
  </si>
  <si>
    <t>Heroica Ciudad de Ejutla de Crespo</t>
  </si>
  <si>
    <t>Cosolapa</t>
  </si>
  <si>
    <t>Acatlán de Pérez Figueroa</t>
  </si>
  <si>
    <t>San Nicolás de los Garza</t>
  </si>
  <si>
    <t>Monterrey</t>
  </si>
  <si>
    <t>Allende</t>
  </si>
  <si>
    <t>Tuxpan</t>
  </si>
  <si>
    <t>Tepic</t>
  </si>
  <si>
    <t>Tecuala</t>
  </si>
  <si>
    <t>Santiago Ixcuintla</t>
  </si>
  <si>
    <t>San Blas</t>
  </si>
  <si>
    <t>Rosamorada</t>
  </si>
  <si>
    <t>Compostela</t>
  </si>
  <si>
    <t>Amatlán de Cañas</t>
  </si>
  <si>
    <t>Yautepec</t>
  </si>
  <si>
    <t>Tlaquiltenango</t>
  </si>
  <si>
    <t>Tlaltizapán de Zapata</t>
  </si>
  <si>
    <t>Tepalcingo</t>
  </si>
  <si>
    <t>Temixco</t>
  </si>
  <si>
    <t>Ocuituco</t>
  </si>
  <si>
    <t>Miacatlán</t>
  </si>
  <si>
    <t>Jojutla</t>
  </si>
  <si>
    <t>Emiliano Zapata</t>
  </si>
  <si>
    <t>Cuernavaca</t>
  </si>
  <si>
    <t>Cuautla</t>
  </si>
  <si>
    <t>Zitácuaro</t>
  </si>
  <si>
    <t>Zinapécuaro</t>
  </si>
  <si>
    <t>Zamora</t>
  </si>
  <si>
    <t>Zacapu</t>
  </si>
  <si>
    <t>Yurécuaro</t>
  </si>
  <si>
    <t>Uruapan</t>
  </si>
  <si>
    <t>Tzitzio</t>
  </si>
  <si>
    <t>Tuzantla</t>
  </si>
  <si>
    <t>Tepalcatepec</t>
  </si>
  <si>
    <t>Tangamandapio</t>
  </si>
  <si>
    <t>Tacámbaro</t>
  </si>
  <si>
    <t>Senguio</t>
  </si>
  <si>
    <t>Santa Ana Maya</t>
  </si>
  <si>
    <t>Quiroga</t>
  </si>
  <si>
    <t>Queréndaro</t>
  </si>
  <si>
    <t>Puruándiro</t>
  </si>
  <si>
    <t>Pátzcuaro</t>
  </si>
  <si>
    <t>Paracho</t>
  </si>
  <si>
    <t>Numarán</t>
  </si>
  <si>
    <t>Múgica</t>
  </si>
  <si>
    <t>Morelia</t>
  </si>
  <si>
    <t>Maravatío</t>
  </si>
  <si>
    <t>Madero</t>
  </si>
  <si>
    <t>Los Reyes</t>
  </si>
  <si>
    <t>Lázaro Cárdenas</t>
  </si>
  <si>
    <t>La Piedad</t>
  </si>
  <si>
    <t>La Huacana</t>
  </si>
  <si>
    <t>José Sixto Verduzco</t>
  </si>
  <si>
    <t>Jiménez</t>
  </si>
  <si>
    <t>Jacona</t>
  </si>
  <si>
    <t>Ixtlán</t>
  </si>
  <si>
    <t>Gabriel Zamora</t>
  </si>
  <si>
    <t>Ecuandureo</t>
  </si>
  <si>
    <t>Cuitzeo</t>
  </si>
  <si>
    <t>Contepec</t>
  </si>
  <si>
    <t>Coeneo</t>
  </si>
  <si>
    <t>Ario</t>
  </si>
  <si>
    <t>Aquila</t>
  </si>
  <si>
    <t>Apatzingán</t>
  </si>
  <si>
    <t>Angamacutiro</t>
  </si>
  <si>
    <t>Aguililla</t>
  </si>
  <si>
    <t>Acuitzio</t>
  </si>
  <si>
    <t>Zapotlanejo</t>
  </si>
  <si>
    <t>Zapotlán el Grande</t>
  </si>
  <si>
    <t>Zapopan</t>
  </si>
  <si>
    <t>Valle de Juárez</t>
  </si>
  <si>
    <t>Unión de San Antonio</t>
  </si>
  <si>
    <t>Tototlán</t>
  </si>
  <si>
    <t>Tonalá</t>
  </si>
  <si>
    <t>San Pedro Tlaquepaque</t>
  </si>
  <si>
    <t>Tizapán el Alto</t>
  </si>
  <si>
    <t>Tequila</t>
  </si>
  <si>
    <t>Tepatitlán de Morelos</t>
  </si>
  <si>
    <t>Tenamaxtlán</t>
  </si>
  <si>
    <t>Tecolotlán</t>
  </si>
  <si>
    <t>Tecalitlán</t>
  </si>
  <si>
    <t>Tamazula de Gordiano</t>
  </si>
  <si>
    <t>Santa María de los Ángeles</t>
  </si>
  <si>
    <t>San Miguel el Alto</t>
  </si>
  <si>
    <t>San Julián</t>
  </si>
  <si>
    <t>San Cristóbal de la Barranca</t>
  </si>
  <si>
    <t>Quitupan</t>
  </si>
  <si>
    <t>Pihuamo</t>
  </si>
  <si>
    <t>Ocotlán</t>
  </si>
  <si>
    <t>Mixtlán</t>
  </si>
  <si>
    <t>Mascota</t>
  </si>
  <si>
    <t>Magdalena</t>
  </si>
  <si>
    <t>Lagos de Moreno</t>
  </si>
  <si>
    <t>La Barca</t>
  </si>
  <si>
    <t>Jilotlán de los Dolores</t>
  </si>
  <si>
    <t>Jesús María</t>
  </si>
  <si>
    <t>Ixtlahuacán del Río</t>
  </si>
  <si>
    <t>Hostotipaquillo</t>
  </si>
  <si>
    <t>Guadalajara</t>
  </si>
  <si>
    <t>Guachinango</t>
  </si>
  <si>
    <t>Degollado</t>
  </si>
  <si>
    <t>Cuquío</t>
  </si>
  <si>
    <t>Colotlán</t>
  </si>
  <si>
    <t>Cocula</t>
  </si>
  <si>
    <t>Cihuatlán</t>
  </si>
  <si>
    <t>Ayutla</t>
  </si>
  <si>
    <t>Ayotlán</t>
  </si>
  <si>
    <t>Autlán de Navarro</t>
  </si>
  <si>
    <t>Atengo</t>
  </si>
  <si>
    <t>Arandas</t>
  </si>
  <si>
    <t>Ameca</t>
  </si>
  <si>
    <t>Zimapán</t>
  </si>
  <si>
    <t>Tulancingo de Bravo</t>
  </si>
  <si>
    <t>Tepeapulco</t>
  </si>
  <si>
    <t>Pachuca de Soto</t>
  </si>
  <si>
    <t>Metztitlán</t>
  </si>
  <si>
    <t>Metepec</t>
  </si>
  <si>
    <t>Ixmiquilpan</t>
  </si>
  <si>
    <t>Huichapan</t>
  </si>
  <si>
    <t>Francisco I. Madero</t>
  </si>
  <si>
    <t>Cuautepec de Hinojosa</t>
  </si>
  <si>
    <t>Atotonilco el Grande</t>
  </si>
  <si>
    <t>Agua Blanca de Iturbide</t>
  </si>
  <si>
    <t>Acaxochitlán</t>
  </si>
  <si>
    <t>Zirándaro</t>
  </si>
  <si>
    <t>Tlapehuala</t>
  </si>
  <si>
    <t>Tlalixtaquilla de Maldonado</t>
  </si>
  <si>
    <t>Tlalchapa</t>
  </si>
  <si>
    <t>Tlacoachistlahuaca</t>
  </si>
  <si>
    <t>Teloloapan</t>
  </si>
  <si>
    <t>Técpan de Galeana</t>
  </si>
  <si>
    <t>San Marcos</t>
  </si>
  <si>
    <t>Petatlán</t>
  </si>
  <si>
    <t>Pedro Ascencio Alquisiras</t>
  </si>
  <si>
    <t>Ometepec</t>
  </si>
  <si>
    <t>Metlatónoc</t>
  </si>
  <si>
    <t>Mártir de Cuilapan</t>
  </si>
  <si>
    <t>Leonardo Bravo</t>
  </si>
  <si>
    <t>Igualapa</t>
  </si>
  <si>
    <t>Iguala de la Independencia</t>
  </si>
  <si>
    <t>Huamuxtitlán</t>
  </si>
  <si>
    <t>Florencio Villarreal</t>
  </si>
  <si>
    <t>Eduardo Neri</t>
  </si>
  <si>
    <t>Cutzamala de Pinzón</t>
  </si>
  <si>
    <t>Coyuca de Benítez</t>
  </si>
  <si>
    <t>Copala</t>
  </si>
  <si>
    <t>Coahuayutla de José María Izazaga</t>
  </si>
  <si>
    <t>Chilapa de Álvarez</t>
  </si>
  <si>
    <t>Buenavista de Cuéllar</t>
  </si>
  <si>
    <t>Azoyú</t>
  </si>
  <si>
    <t>Ayutla de los Libres</t>
  </si>
  <si>
    <t>Atoyac de Álvarez</t>
  </si>
  <si>
    <t>Arcelia</t>
  </si>
  <si>
    <t>Alpoyeca</t>
  </si>
  <si>
    <t>Ajuchitlán del Progreso</t>
  </si>
  <si>
    <t>Acapulco de Juárez</t>
  </si>
  <si>
    <t>Yuriria</t>
  </si>
  <si>
    <t>Valle de Santiago</t>
  </si>
  <si>
    <t>Tarimoro</t>
  </si>
  <si>
    <t>Silao de la Victoria</t>
  </si>
  <si>
    <t>Santa Cruz de Juventino Rosas</t>
  </si>
  <si>
    <t>San Luis de la Paz</t>
  </si>
  <si>
    <t>San Francisco del Rincón</t>
  </si>
  <si>
    <t>San Felipe</t>
  </si>
  <si>
    <t>Salvatierra</t>
  </si>
  <si>
    <t>Salamanca</t>
  </si>
  <si>
    <t>Romita</t>
  </si>
  <si>
    <t>Purísima del Rincón</t>
  </si>
  <si>
    <t>Pénjamo</t>
  </si>
  <si>
    <t>Moroleón</t>
  </si>
  <si>
    <t>León</t>
  </si>
  <si>
    <t>Jerécuaro</t>
  </si>
  <si>
    <t>Jaral del Progreso</t>
  </si>
  <si>
    <t>Irapuato</t>
  </si>
  <si>
    <t>Huanímaro</t>
  </si>
  <si>
    <t>Cuerámaro</t>
  </si>
  <si>
    <t>Celaya</t>
  </si>
  <si>
    <t>Apaseo el Alto</t>
  </si>
  <si>
    <t>Acámbaro</t>
  </si>
  <si>
    <t>Abasolo</t>
  </si>
  <si>
    <t>Toluca</t>
  </si>
  <si>
    <t>Tlatlaya</t>
  </si>
  <si>
    <t>Tlalnepantla de Baz</t>
  </si>
  <si>
    <t>Texcoco</t>
  </si>
  <si>
    <t>Teotihuacán</t>
  </si>
  <si>
    <t>Tenancingo</t>
  </si>
  <si>
    <t>Tejupilco</t>
  </si>
  <si>
    <t>San Felipe del Progreso</t>
  </si>
  <si>
    <t>Nicolás Romero</t>
  </si>
  <si>
    <t>Nezahualcóyotl</t>
  </si>
  <si>
    <t>Ixtlahuaca</t>
  </si>
  <si>
    <t>Ecatepec de Morelos</t>
  </si>
  <si>
    <t>Chalco</t>
  </si>
  <si>
    <t>Atlacomulco</t>
  </si>
  <si>
    <t>Atizapán de Zaragoza</t>
  </si>
  <si>
    <t>Atizapán</t>
  </si>
  <si>
    <t>Amatepec</t>
  </si>
  <si>
    <t>Almoloya de Juárez</t>
  </si>
  <si>
    <t>Santiago Papasquiaro</t>
  </si>
  <si>
    <t>San Dimas</t>
  </si>
  <si>
    <t>Nuevo Ideal</t>
  </si>
  <si>
    <t>Lerdo</t>
  </si>
  <si>
    <t>Indé</t>
  </si>
  <si>
    <t>Guanaceví</t>
  </si>
  <si>
    <t>Guadalupe Victoria</t>
  </si>
  <si>
    <t>Gómez Palacio</t>
  </si>
  <si>
    <t>El Oro</t>
  </si>
  <si>
    <t>Cuencamé</t>
  </si>
  <si>
    <t>Tlalpan</t>
  </si>
  <si>
    <t>Tláhuac</t>
  </si>
  <si>
    <t>Miguel Hidalgo</t>
  </si>
  <si>
    <t>Iztapalapa</t>
  </si>
  <si>
    <t>Iztacalco</t>
  </si>
  <si>
    <t>Gustavo A. Madero</t>
  </si>
  <si>
    <t>Cuauhtémoc</t>
  </si>
  <si>
    <t>Azcapotzalco</t>
  </si>
  <si>
    <t>Álvaro Obregón</t>
  </si>
  <si>
    <t>Tecomán</t>
  </si>
  <si>
    <t>Torreón</t>
  </si>
  <si>
    <t>San Pedro</t>
  </si>
  <si>
    <t>Piedras Negras</t>
  </si>
  <si>
    <t>Valle de Zaragoza</t>
  </si>
  <si>
    <t>Nuevo Casas Grandes</t>
  </si>
  <si>
    <t>Namiquipa</t>
  </si>
  <si>
    <t>Juárez</t>
  </si>
  <si>
    <t>Hidalgo del Parral</t>
  </si>
  <si>
    <t>Galeana</t>
  </si>
  <si>
    <t>Delicias</t>
  </si>
  <si>
    <t>Camargo</t>
  </si>
  <si>
    <t>Buenaventura</t>
  </si>
  <si>
    <t>Tecpatán</t>
  </si>
  <si>
    <t>Tapachula</t>
  </si>
  <si>
    <t>Suchiate</t>
  </si>
  <si>
    <t>Siltepec</t>
  </si>
  <si>
    <t>Ocotepec</t>
  </si>
  <si>
    <t>Mapastepec</t>
  </si>
  <si>
    <t>Las Margaritas</t>
  </si>
  <si>
    <t>La Trinitaria</t>
  </si>
  <si>
    <t>Chicomuselo</t>
  </si>
  <si>
    <t>Altamirano</t>
  </si>
  <si>
    <t>Escárcega</t>
  </si>
  <si>
    <t>Champotón</t>
  </si>
  <si>
    <t>Carmen</t>
  </si>
  <si>
    <t>Tijuana</t>
  </si>
  <si>
    <t>Mexicali</t>
  </si>
  <si>
    <t>Ensenada</t>
  </si>
  <si>
    <t>San Francisco de los Romo</t>
  </si>
  <si>
    <t>Rincón de Romos</t>
  </si>
  <si>
    <t>Municipio Origen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</si>
  <si>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</si>
  <si>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</si>
  <si>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</si>
  <si>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</si>
  <si>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</si>
  <si>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</si>
  <si>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</si>
  <si>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</si>
  <si>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</si>
  <si>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</si>
  <si>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</si>
  <si>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</si>
  <si>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</si>
  <si>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</si>
  <si>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</si>
  <si>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</si>
  <si>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</si>
  <si>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</si>
  <si>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</si>
  <si>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</si>
  <si>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</si>
  <si>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</si>
  <si>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</si>
  <si>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</si>
  <si>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IOWA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</si>
  <si>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</si>
  <si>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</si>
  <si>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</si>
  <si>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</si>
  <si>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</si>
  <si>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</si>
  <si>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</si>
  <si>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</si>
  <si>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</si>
  <si>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</si>
  <si>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</si>
  <si>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</si>
  <si>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</si>
  <si>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</si>
  <si>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</si>
  <si>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Jubilado(a)</t>
  </si>
  <si>
    <t>Carnicero</t>
  </si>
  <si>
    <t>Comerciante</t>
  </si>
  <si>
    <t>Chofer</t>
  </si>
  <si>
    <t>Operario(a)</t>
  </si>
  <si>
    <t>Pintor(a)</t>
  </si>
  <si>
    <t>Jardinero(a)</t>
  </si>
  <si>
    <t>Mesero(a)</t>
  </si>
  <si>
    <t>Albañil</t>
  </si>
  <si>
    <t>Campesino(a)</t>
  </si>
  <si>
    <t>Otro</t>
  </si>
  <si>
    <t>Estudiante</t>
  </si>
  <si>
    <t>Cocinero(a)</t>
  </si>
  <si>
    <t>Obrero(a)</t>
  </si>
  <si>
    <t>Hogar</t>
  </si>
  <si>
    <t>Empleado(a)</t>
  </si>
  <si>
    <t>Ocupación</t>
  </si>
  <si>
    <t>Menores De Edad</t>
  </si>
  <si>
    <t>Profesional titulado</t>
  </si>
  <si>
    <t>Capacitación técnica</t>
  </si>
  <si>
    <t>Matrículas consulares expedidas a mexicanos  en el estado Iowa en el 2020</t>
  </si>
  <si>
    <t>MATRÍCULAS CONSULARES DE ALTA SEGURIDAD EXPEDIDAS EN EL ESTADO DE IOWA EN EE.UU. POR ESTADO DE LA REPÚBLICA MEXICANA DURANTE EL 2020</t>
  </si>
  <si>
    <t>Tamaño de la muestra: 497,795</t>
  </si>
  <si>
    <t>Octubre de 2021</t>
  </si>
  <si>
    <t>Amatenango de la Frontera</t>
  </si>
  <si>
    <t>Cacahoatán</t>
  </si>
  <si>
    <t>Chamula</t>
  </si>
  <si>
    <t>Chenalhó</t>
  </si>
  <si>
    <t>Marqués de Comillas</t>
  </si>
  <si>
    <t>Mazapa de Madero</t>
  </si>
  <si>
    <t>Ostuacán</t>
  </si>
  <si>
    <t>Palenque</t>
  </si>
  <si>
    <t>Tenejapa</t>
  </si>
  <si>
    <t>Tuxtla Gutiérrez</t>
  </si>
  <si>
    <t>Cusihuiriachi</t>
  </si>
  <si>
    <t>Satevó</t>
  </si>
  <si>
    <t>Saucillo</t>
  </si>
  <si>
    <t>Castaños</t>
  </si>
  <si>
    <t>Nava</t>
  </si>
  <si>
    <t>San Buenaventura</t>
  </si>
  <si>
    <t>San Juan de Sabinas</t>
  </si>
  <si>
    <t>Manzanillo</t>
  </si>
  <si>
    <t>La Magdalena Contreras</t>
  </si>
  <si>
    <t>Mapimí</t>
  </si>
  <si>
    <t>Pánuco de Coronado</t>
  </si>
  <si>
    <t>Poanas</t>
  </si>
  <si>
    <t>San Pedro del Gallo</t>
  </si>
  <si>
    <t>Tamazula</t>
  </si>
  <si>
    <t>Vicente Guerero</t>
  </si>
  <si>
    <t>Acolman</t>
  </si>
  <si>
    <t>Apaxco</t>
  </si>
  <si>
    <t>Chiconcuac</t>
  </si>
  <si>
    <t>Ixtapan de la Sal</t>
  </si>
  <si>
    <t>Naucalpan de Juárez</t>
  </si>
  <si>
    <t>Soyaniquilpan de Juárez</t>
  </si>
  <si>
    <t>Sultepec</t>
  </si>
  <si>
    <t>Temascalapa</t>
  </si>
  <si>
    <t>Villa de Allende</t>
  </si>
  <si>
    <t>Villa Guerero</t>
  </si>
  <si>
    <t>GUANAJUATO</t>
  </si>
  <si>
    <t>Apaseo el Grande</t>
  </si>
  <si>
    <t>Doctor Mora</t>
  </si>
  <si>
    <t>Guerero</t>
  </si>
  <si>
    <t>General Heliodoro Castillo</t>
  </si>
  <si>
    <t>Zihuatanejo de Azueta</t>
  </si>
  <si>
    <t>Olinalá</t>
  </si>
  <si>
    <t>Pungarabato</t>
  </si>
  <si>
    <t>Tecoanapa</t>
  </si>
  <si>
    <t>Tlapa de Comonfort</t>
  </si>
  <si>
    <t>Cardonal</t>
  </si>
  <si>
    <t>Huasca de Ocampo</t>
  </si>
  <si>
    <t>Huejutla de Reyes</t>
  </si>
  <si>
    <t>Mineral del Chico</t>
  </si>
  <si>
    <t>San Bartolo Tutotepec</t>
  </si>
  <si>
    <t>Zempoala</t>
  </si>
  <si>
    <t>Acatlán de Juárez</t>
  </si>
  <si>
    <t>Atemajac de Brizuela</t>
  </si>
  <si>
    <t>Jalostotitlán</t>
  </si>
  <si>
    <t>Jamay</t>
  </si>
  <si>
    <t>La Huerta</t>
  </si>
  <si>
    <t>La Manzanilla de la Paz</t>
  </si>
  <si>
    <t>Puerto Vallarta</t>
  </si>
  <si>
    <t>San Diego de Alejandría</t>
  </si>
  <si>
    <t>San Sebastián del Oeste</t>
  </si>
  <si>
    <t>Tapalpa</t>
  </si>
  <si>
    <t>Unión de Tula</t>
  </si>
  <si>
    <t>Yahualica de González Gallo</t>
  </si>
  <si>
    <t>Zacoalco de Torres</t>
  </si>
  <si>
    <t>Arteaga</t>
  </si>
  <si>
    <t>Chavinda</t>
  </si>
  <si>
    <t>Coalcomán de Vázquez Pallares</t>
  </si>
  <si>
    <t>Cojumatlán de Régules</t>
  </si>
  <si>
    <t>Cotija</t>
  </si>
  <si>
    <t>Erongarícuaro</t>
  </si>
  <si>
    <t>Huetamo</t>
  </si>
  <si>
    <t>Irimbo</t>
  </si>
  <si>
    <t>Nuevo Urecho</t>
  </si>
  <si>
    <t>Pajacuarán</t>
  </si>
  <si>
    <t>Penjamillo</t>
  </si>
  <si>
    <t>Sahuayo</t>
  </si>
  <si>
    <t>Tangancícuaro</t>
  </si>
  <si>
    <t>Tingüindín</t>
  </si>
  <si>
    <t>Tlalpujahua</t>
  </si>
  <si>
    <t>Tumbiscatío</t>
  </si>
  <si>
    <t>Turicato</t>
  </si>
  <si>
    <t>Ayala</t>
  </si>
  <si>
    <t>Coatlán del Río</t>
  </si>
  <si>
    <t>Jiutepec</t>
  </si>
  <si>
    <t>Zacatepec</t>
  </si>
  <si>
    <t>Acaponeta</t>
  </si>
  <si>
    <t>General Terán</t>
  </si>
  <si>
    <t>MonteMorelos</t>
  </si>
  <si>
    <t>Rayones</t>
  </si>
  <si>
    <t>Candelaria Loxicha</t>
  </si>
  <si>
    <t>San Felipe Jalapa de Díaz</t>
  </si>
  <si>
    <t>San Juan Lachao</t>
  </si>
  <si>
    <t>San Lucas Ojitlán</t>
  </si>
  <si>
    <t>San Miguel Chimalapa</t>
  </si>
  <si>
    <t>San Miguel del Puerto</t>
  </si>
  <si>
    <t>San Miguel Mixtepec</t>
  </si>
  <si>
    <t>San Miguel Quetzaltepec</t>
  </si>
  <si>
    <t>San Miguel Soyaltepec</t>
  </si>
  <si>
    <t>Santa Cruz Nundaco</t>
  </si>
  <si>
    <t>Santa María Yolotepec</t>
  </si>
  <si>
    <t>Santiago Yosondúa</t>
  </si>
  <si>
    <t>Ahuehuetitla</t>
  </si>
  <si>
    <t>Chiconcuautla</t>
  </si>
  <si>
    <t>Chignahuapan</t>
  </si>
  <si>
    <t>Izúcar de Matamoros</t>
  </si>
  <si>
    <t>Palmar de Bravo</t>
  </si>
  <si>
    <t>Piaxtla</t>
  </si>
  <si>
    <t>Tecali de Herrera</t>
  </si>
  <si>
    <t>Tepexco</t>
  </si>
  <si>
    <t>Ezequiel Montes</t>
  </si>
  <si>
    <t>Charcas</t>
  </si>
  <si>
    <t>Ciudad Fernández</t>
  </si>
  <si>
    <t>Matehuala</t>
  </si>
  <si>
    <t>Matlapa</t>
  </si>
  <si>
    <t>Tamuín</t>
  </si>
  <si>
    <t>Salvador Alvarado</t>
  </si>
  <si>
    <t>Huatabampo</t>
  </si>
  <si>
    <t>Nacozari de García</t>
  </si>
  <si>
    <t>Burgos</t>
  </si>
  <si>
    <t>Padilla</t>
  </si>
  <si>
    <t>Victoria</t>
  </si>
  <si>
    <t>Teolocholco</t>
  </si>
  <si>
    <t>Terrenate</t>
  </si>
  <si>
    <t>Agua Dulce</t>
  </si>
  <si>
    <t>Alpatláhuac</t>
  </si>
  <si>
    <t>Altotonga</t>
  </si>
  <si>
    <t>Camerino Z. Mendoza</t>
  </si>
  <si>
    <t>Cerro Azul</t>
  </si>
  <si>
    <t>Chacaltianguis</t>
  </si>
  <si>
    <t>Ignacio de la Llave</t>
  </si>
  <si>
    <t>Jalcomulco</t>
  </si>
  <si>
    <t>Jesús Carranza</t>
  </si>
  <si>
    <t>José Azueta</t>
  </si>
  <si>
    <t>Martínez de la Torre</t>
  </si>
  <si>
    <t>Medellín de Bravo</t>
  </si>
  <si>
    <t>Pueblo Viejo</t>
  </si>
  <si>
    <t>San Juan Evangelista</t>
  </si>
  <si>
    <t>Santiago Tuxtla</t>
  </si>
  <si>
    <t>Tepetzintla</t>
  </si>
  <si>
    <t>Tihuatlán</t>
  </si>
  <si>
    <t>Vega de Alatorre</t>
  </si>
  <si>
    <t>Apozol</t>
  </si>
  <si>
    <t>Concepción del Oro</t>
  </si>
  <si>
    <t>Loreto</t>
  </si>
  <si>
    <t>Melchor Ocampo</t>
  </si>
  <si>
    <t>Mezquital del Oro</t>
  </si>
  <si>
    <t>Tepetongo</t>
  </si>
  <si>
    <t>MATRÍCULAS CONSULARES DE ALTA SEGURIDAD EXPEDIDAS EN EE.UU A MEXICANOS EN EL ESTADO DE IOWA, POR GÉNERO 2020</t>
  </si>
  <si>
    <t>Cajero(a)</t>
  </si>
  <si>
    <t>Profesionista</t>
  </si>
  <si>
    <t>MATRÍCULAS CONSULARES DE ALTA SEGURIDAD EXPEDIDAS EN EE.UU A MEXICANOS EN EL ESTADO DE  IOWA, POR PERFIL OCUPACIONAL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</si>
</sst>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8" fillId="0" borderId="0"/>
  </cellStyleXfs>
  <cellXfs count="15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14" fillId="0" borderId="0" xfId="0" applyFont="1"/>
    <xf numFmtId="0" fontId="10" fillId="2" borderId="10" xfId="0" applyFont="1" applyFill="1" applyBorder="1" applyAlignment="1">
      <alignment horizontal="center" vertical="center" wrapText="1"/>
    </xf>
    <xf numFmtId="1" fontId="10" fillId="2" borderId="10" xfId="0" applyNumberFormat="1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17" fillId="3" borderId="0" xfId="0" applyFont="1" applyFill="1"/>
    <xf numFmtId="0" fontId="18" fillId="3" borderId="0" xfId="0" applyFont="1" applyFill="1"/>
    <xf numFmtId="0" fontId="20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10" fillId="2" borderId="10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23" fillId="0" borderId="0" xfId="0" applyFont="1" applyBorder="1"/>
    <xf numFmtId="0" fontId="23" fillId="0" borderId="0" xfId="0" applyFont="1" applyBorder="1" applyAlignment="1">
      <alignment vertical="top"/>
    </xf>
    <xf numFmtId="49" fontId="19" fillId="3" borderId="9" xfId="3" applyNumberFormat="1" applyFont="1" applyFill="1" applyBorder="1" applyAlignment="1">
      <alignment horizontal="center" vertical="center" wrapText="1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3" fontId="13" fillId="3" borderId="0" xfId="0" applyNumberFormat="1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5" fontId="10" fillId="5" borderId="9" xfId="1" applyNumberFormat="1" applyFont="1" applyFill="1" applyBorder="1" applyAlignment="1">
      <alignment vertical="center" wrapText="1"/>
    </xf>
    <xf numFmtId="3" fontId="10" fillId="5" borderId="9" xfId="3" applyNumberFormat="1" applyFont="1" applyFill="1" applyBorder="1" applyAlignment="1">
      <alignment horizontal="right" vertical="center" wrapText="1"/>
    </xf>
    <xf numFmtId="49" fontId="10" fillId="5" borderId="9" xfId="3" applyNumberFormat="1" applyFont="1" applyFill="1" applyBorder="1" applyAlignment="1">
      <alignment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18" fillId="3" borderId="0" xfId="0" applyFont="1" applyFill="1"/>
    <xf numFmtId="164" fontId="10" fillId="6" borderId="9" xfId="0" applyNumberFormat="1" applyFont="1" applyFill="1" applyBorder="1" applyAlignment="1">
      <alignment horizontal="right" vertical="center" wrapText="1"/>
    </xf>
    <xf numFmtId="3" fontId="10" fillId="6" borderId="9" xfId="0" applyNumberFormat="1" applyFont="1" applyFill="1" applyBorder="1" applyAlignment="1">
      <alignment horizontal="right" vertical="center" wrapText="1"/>
    </xf>
    <xf numFmtId="164" fontId="19" fillId="3" borderId="9" xfId="3" applyNumberFormat="1" applyFont="1" applyFill="1" applyBorder="1" applyAlignment="1">
      <alignment horizontal="right" vertical="center" wrapText="1"/>
    </xf>
    <xf numFmtId="166" fontId="19" fillId="3" borderId="9" xfId="3" applyNumberFormat="1" applyFont="1" applyFill="1" applyBorder="1" applyAlignment="1">
      <alignment horizontal="right" vertical="center" wrapText="1"/>
    </xf>
    <xf numFmtId="49" fontId="19" fillId="3" borderId="9" xfId="3" applyNumberFormat="1" applyFont="1" applyFill="1" applyBorder="1" applyAlignment="1">
      <alignment vertical="center" wrapText="1"/>
    </xf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top" wrapText="1"/>
    </xf>
    <xf numFmtId="3" fontId="10" fillId="4" borderId="9" xfId="0" applyNumberFormat="1" applyFont="1" applyFill="1" applyBorder="1" applyAlignment="1">
      <alignment horizontal="right" vertical="top" wrapText="1"/>
    </xf>
    <xf numFmtId="49" fontId="10" fillId="4" borderId="9" xfId="0" applyNumberFormat="1" applyFont="1" applyFill="1" applyBorder="1" applyAlignment="1">
      <alignment vertical="top" wrapText="1"/>
    </xf>
    <xf numFmtId="164" fontId="11" fillId="3" borderId="9" xfId="0" applyNumberFormat="1" applyFont="1" applyFill="1" applyBorder="1" applyAlignment="1">
      <alignment horizontal="right" vertical="top" wrapText="1"/>
    </xf>
    <xf numFmtId="3" fontId="11" fillId="3" borderId="9" xfId="0" applyNumberFormat="1" applyFont="1" applyFill="1" applyBorder="1" applyAlignment="1">
      <alignment horizontal="right" vertical="top" wrapText="1"/>
    </xf>
    <xf numFmtId="49" fontId="12" fillId="3" borderId="9" xfId="0" applyNumberFormat="1" applyFont="1" applyFill="1" applyBorder="1" applyAlignment="1">
      <alignment vertical="top" wrapText="1"/>
    </xf>
    <xf numFmtId="0" fontId="13" fillId="3" borderId="0" xfId="0" applyFont="1" applyFill="1"/>
    <xf numFmtId="0" fontId="0" fillId="0" borderId="0" xfId="0"/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6" fillId="0" borderId="0" xfId="0" applyFont="1" applyBorder="1" applyAlignment="1">
      <alignment horizontal="center" vertical="center" wrapText="1"/>
    </xf>
    <xf numFmtId="49" fontId="19" fillId="3" borderId="10" xfId="3" applyNumberFormat="1" applyFont="1" applyFill="1" applyBorder="1" applyAlignment="1">
      <alignment horizontal="center" vertical="center" wrapText="1"/>
    </xf>
    <xf numFmtId="49" fontId="19" fillId="3" borderId="14" xfId="3" applyNumberFormat="1" applyFont="1" applyFill="1" applyBorder="1" applyAlignment="1">
      <alignment horizontal="center" vertical="center" wrapText="1"/>
    </xf>
    <xf numFmtId="49" fontId="19" fillId="3" borderId="15" xfId="3" applyNumberFormat="1" applyFont="1" applyFill="1" applyBorder="1" applyAlignment="1">
      <alignment horizontal="center" vertical="center" wrapText="1"/>
    </xf>
    <xf numFmtId="49" fontId="10" fillId="6" borderId="13" xfId="0" applyNumberFormat="1" applyFont="1" applyFill="1" applyBorder="1" applyAlignment="1">
      <alignment horizontal="center" vertical="center" wrapText="1"/>
    </xf>
    <xf numFmtId="49" fontId="10" fillId="6" borderId="12" xfId="0" applyNumberFormat="1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332198</xdr:colOff>
      <xdr:row>2</xdr:row>
      <xdr:rowOff>19380</xdr:rowOff>
    </xdr:from>
    <xdr:to>
      <xdr:col>3</xdr:col>
      <xdr:colOff>844295</xdr:colOff>
      <xdr:row>3</xdr:row>
      <xdr:rowOff>19381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56423" y="743280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152400</xdr:colOff>
      <xdr:row>7</xdr:row>
      <xdr:rowOff>171450</xdr:rowOff>
    </xdr:from>
    <xdr:to>
      <xdr:col>5</xdr:col>
      <xdr:colOff>45372</xdr:colOff>
      <xdr:row>8</xdr:row>
      <xdr:rowOff>160245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4581525" y="169545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IOWA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565546</xdr:colOff>
      <xdr:row>7</xdr:row>
      <xdr:rowOff>188516</xdr:rowOff>
    </xdr:from>
    <xdr:to>
      <xdr:col>4</xdr:col>
      <xdr:colOff>1077643</xdr:colOff>
      <xdr:row>7</xdr:row>
      <xdr:rowOff>367811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4221" y="193159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123825</xdr:colOff>
      <xdr:row>7</xdr:row>
      <xdr:rowOff>85725</xdr:rowOff>
    </xdr:from>
    <xdr:to>
      <xdr:col>5</xdr:col>
      <xdr:colOff>16797</xdr:colOff>
      <xdr:row>8</xdr:row>
      <xdr:rowOff>74520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6097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IOWA,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466725</xdr:colOff>
      <xdr:row>7</xdr:row>
      <xdr:rowOff>114300</xdr:rowOff>
    </xdr:from>
    <xdr:to>
      <xdr:col>4</xdr:col>
      <xdr:colOff>1020730</xdr:colOff>
      <xdr:row>7</xdr:row>
      <xdr:rowOff>308688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5400" y="1857375"/>
          <a:ext cx="554005" cy="194388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161925</xdr:rowOff>
    </xdr:from>
    <xdr:to>
      <xdr:col>5</xdr:col>
      <xdr:colOff>92997</xdr:colOff>
      <xdr:row>8</xdr:row>
      <xdr:rowOff>150720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68592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IOWA,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472965</xdr:colOff>
      <xdr:row>7</xdr:row>
      <xdr:rowOff>118241</xdr:rowOff>
    </xdr:from>
    <xdr:to>
      <xdr:col>4</xdr:col>
      <xdr:colOff>985062</xdr:colOff>
      <xdr:row>7</xdr:row>
      <xdr:rowOff>297536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0655" y="1859017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IOWA,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466396</xdr:colOff>
      <xdr:row>7</xdr:row>
      <xdr:rowOff>157655</xdr:rowOff>
    </xdr:from>
    <xdr:to>
      <xdr:col>4</xdr:col>
      <xdr:colOff>978493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04086" y="1898431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IOWA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7</xdr:row>
      <xdr:rowOff>152400</xdr:rowOff>
    </xdr:from>
    <xdr:to>
      <xdr:col>5</xdr:col>
      <xdr:colOff>92997</xdr:colOff>
      <xdr:row>8</xdr:row>
      <xdr:rowOff>141195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6764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tabSelected="1" view="pageBreakPreview" zoomScaleNormal="100" zoomScaleSheetLayoutView="100" workbookViewId="0">
      <selection sqref="A1:D1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146" t="s">
        <v>475</v>
      </c>
      <c r="B1" s="147"/>
      <c r="C1" s="147"/>
      <c r="D1" s="148"/>
    </row>
    <row r="2" spans="1:4" ht="18.75">
      <c r="A2" s="2"/>
      <c r="B2" s="3"/>
      <c r="C2" s="3"/>
      <c r="D2" s="4"/>
    </row>
    <row r="3" spans="1:4">
      <c r="A3" s="149" t="s">
        <v>0</v>
      </c>
      <c r="B3" s="150"/>
      <c r="C3" s="150"/>
      <c r="D3" s="151"/>
    </row>
    <row r="4" spans="1:4">
      <c r="A4" s="149"/>
      <c r="B4" s="150"/>
      <c r="C4" s="150"/>
      <c r="D4" s="151"/>
    </row>
    <row r="5" spans="1:4" ht="18.75">
      <c r="A5" s="5"/>
      <c r="B5" s="6"/>
      <c r="C5" s="6"/>
      <c r="D5" s="7"/>
    </row>
    <row r="6" spans="1:4" ht="18.75">
      <c r="A6" s="145" t="s">
        <v>1</v>
      </c>
      <c r="B6" s="143"/>
      <c r="C6" s="143"/>
      <c r="D6" s="144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143" t="s">
        <v>3</v>
      </c>
      <c r="C9" s="143"/>
      <c r="D9" s="144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143" t="s">
        <v>5</v>
      </c>
      <c r="C11" s="143"/>
      <c r="D11" s="144"/>
    </row>
    <row r="12" spans="1:4" ht="18.75">
      <c r="A12" s="11"/>
      <c r="B12" s="143" t="s">
        <v>6</v>
      </c>
      <c r="C12" s="143"/>
      <c r="D12" s="144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143" t="s">
        <v>8</v>
      </c>
      <c r="C15" s="143"/>
      <c r="D15" s="144"/>
    </row>
    <row r="16" spans="1:4" ht="18.75">
      <c r="A16" s="11"/>
      <c r="B16" s="143" t="s">
        <v>9</v>
      </c>
      <c r="C16" s="143"/>
      <c r="D16" s="144"/>
    </row>
    <row r="17" spans="1:4" ht="18.75">
      <c r="A17" s="11"/>
      <c r="B17" s="12"/>
      <c r="C17" s="12"/>
      <c r="D17" s="13"/>
    </row>
    <row r="18" spans="1:4" ht="18.75">
      <c r="A18" s="145" t="s">
        <v>10</v>
      </c>
      <c r="B18" s="143"/>
      <c r="C18" s="143"/>
      <c r="D18" s="144"/>
    </row>
    <row r="19" spans="1:4" ht="18.75">
      <c r="A19" s="11"/>
      <c r="B19" s="12"/>
      <c r="C19" s="12"/>
      <c r="D19" s="13"/>
    </row>
    <row r="20" spans="1:4" ht="18.75">
      <c r="A20" s="145" t="s">
        <v>11</v>
      </c>
      <c r="B20" s="143"/>
      <c r="C20" s="143"/>
      <c r="D20" s="144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Iowa_Edomexgral!A1" display="1. Por Estados de la República Mexicana"/>
    <hyperlink ref="B9" location="Alabama_EDOMEX!Área_de_impresión" display="2.1 Por estado de la República Mexicana y municipio de origen"/>
    <hyperlink ref="B11:D11" location="Iowa_Educagral!A1" display="3.1 Educación general"/>
    <hyperlink ref="B12:D12" location="Iowa_Eduedo!A1" display="3.2 Por Estado de la República Mexicana"/>
    <hyperlink ref="B15:D15" location="Iowa_gengral!A1" display="4.1 Género General"/>
    <hyperlink ref="B16:D16" location="Iowa_edomexgen!A1" display="4.2 Por Estados de la República Mexicana"/>
    <hyperlink ref="A18:D18" location="Iowa_edadgen!A1" display="5. Por estructura de Edad"/>
    <hyperlink ref="A20:D20" location="Iowa_ocupgral!A1" display="6. Por Ocupación"/>
    <hyperlink ref="B9:D9" location="Iow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48"/>
  <sheetViews>
    <sheetView showGridLines="0" topLeftCell="A31" zoomScaleNormal="100" zoomScaleSheetLayoutView="115" workbookViewId="0">
      <selection activeCell="A42" sqref="A42:XFD43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476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48</v>
      </c>
      <c r="C11" s="29" t="s">
        <v>47</v>
      </c>
      <c r="D11" s="28" t="s">
        <v>46</v>
      </c>
    </row>
    <row r="12" spans="1:5">
      <c r="B12" s="25" t="s">
        <v>45</v>
      </c>
      <c r="C12" s="24">
        <v>275</v>
      </c>
      <c r="D12" s="23">
        <v>0.1569634703196347</v>
      </c>
    </row>
    <row r="13" spans="1:5">
      <c r="B13" s="25" t="s">
        <v>44</v>
      </c>
      <c r="C13" s="24">
        <v>203</v>
      </c>
      <c r="D13" s="23">
        <v>0.1158675799086758</v>
      </c>
    </row>
    <row r="14" spans="1:5">
      <c r="A14" s="26"/>
      <c r="B14" s="25" t="s">
        <v>42</v>
      </c>
      <c r="C14" s="24">
        <v>129</v>
      </c>
      <c r="D14" s="23">
        <v>7.3630136986301373E-2</v>
      </c>
      <c r="E14" s="26"/>
    </row>
    <row r="15" spans="1:5">
      <c r="A15" s="26"/>
      <c r="B15" s="25" t="s">
        <v>39</v>
      </c>
      <c r="C15" s="24">
        <v>115</v>
      </c>
      <c r="D15" s="23">
        <v>6.5639269406392697E-2</v>
      </c>
      <c r="E15" s="26"/>
    </row>
    <row r="16" spans="1:5">
      <c r="B16" s="25" t="s">
        <v>40</v>
      </c>
      <c r="C16" s="24">
        <v>113</v>
      </c>
      <c r="D16" s="23">
        <v>6.4497716894977172E-2</v>
      </c>
    </row>
    <row r="17" spans="2:4">
      <c r="B17" s="25" t="s">
        <v>41</v>
      </c>
      <c r="C17" s="24">
        <v>94</v>
      </c>
      <c r="D17" s="23">
        <v>5.3652968036529677E-2</v>
      </c>
    </row>
    <row r="18" spans="2:4">
      <c r="B18" s="25" t="s">
        <v>43</v>
      </c>
      <c r="C18" s="24">
        <v>92</v>
      </c>
      <c r="D18" s="23">
        <v>5.2511415525114152E-2</v>
      </c>
    </row>
    <row r="19" spans="2:4">
      <c r="B19" s="25" t="s">
        <v>38</v>
      </c>
      <c r="C19" s="24">
        <v>90</v>
      </c>
      <c r="D19" s="23">
        <v>5.1369863013698627E-2</v>
      </c>
    </row>
    <row r="20" spans="2:4">
      <c r="B20" s="25" t="s">
        <v>34</v>
      </c>
      <c r="C20" s="24">
        <v>74</v>
      </c>
      <c r="D20" s="23">
        <v>4.2237442922374427E-2</v>
      </c>
    </row>
    <row r="21" spans="2:4">
      <c r="B21" s="25" t="s">
        <v>37</v>
      </c>
      <c r="C21" s="24">
        <v>72</v>
      </c>
      <c r="D21" s="23">
        <v>4.1095890410958902E-2</v>
      </c>
    </row>
    <row r="22" spans="2:4">
      <c r="B22" s="25" t="s">
        <v>32</v>
      </c>
      <c r="C22" s="24">
        <v>71</v>
      </c>
      <c r="D22" s="23">
        <v>4.0525114155251139E-2</v>
      </c>
    </row>
    <row r="23" spans="2:4">
      <c r="B23" s="25" t="s">
        <v>33</v>
      </c>
      <c r="C23" s="24">
        <v>57</v>
      </c>
      <c r="D23" s="23">
        <v>3.2534246575342464E-2</v>
      </c>
    </row>
    <row r="24" spans="2:4">
      <c r="B24" s="25" t="s">
        <v>35</v>
      </c>
      <c r="C24" s="24">
        <v>53</v>
      </c>
      <c r="D24" s="23">
        <v>3.0251141552511414E-2</v>
      </c>
    </row>
    <row r="25" spans="2:4">
      <c r="B25" s="25" t="s">
        <v>36</v>
      </c>
      <c r="C25" s="24">
        <v>49</v>
      </c>
      <c r="D25" s="23">
        <v>2.7968036529680364E-2</v>
      </c>
    </row>
    <row r="26" spans="2:4">
      <c r="B26" s="25" t="s">
        <v>29</v>
      </c>
      <c r="C26" s="24">
        <v>36</v>
      </c>
      <c r="D26" s="23">
        <v>2.0547945205479451E-2</v>
      </c>
    </row>
    <row r="27" spans="2:4">
      <c r="B27" s="25" t="s">
        <v>28</v>
      </c>
      <c r="C27" s="24">
        <v>35</v>
      </c>
      <c r="D27" s="23">
        <v>1.9977168949771688E-2</v>
      </c>
    </row>
    <row r="28" spans="2:4">
      <c r="B28" s="25" t="s">
        <v>27</v>
      </c>
      <c r="C28" s="24">
        <v>33</v>
      </c>
      <c r="D28" s="23">
        <v>1.8835616438356163E-2</v>
      </c>
    </row>
    <row r="29" spans="2:4">
      <c r="B29" s="25" t="s">
        <v>25</v>
      </c>
      <c r="C29" s="24">
        <v>27</v>
      </c>
      <c r="D29" s="23">
        <v>1.5410958904109588E-2</v>
      </c>
    </row>
    <row r="30" spans="2:4">
      <c r="B30" s="25" t="s">
        <v>30</v>
      </c>
      <c r="C30" s="24">
        <v>26</v>
      </c>
      <c r="D30" s="23">
        <v>1.4840182648401826E-2</v>
      </c>
    </row>
    <row r="31" spans="2:4">
      <c r="B31" s="25" t="s">
        <v>31</v>
      </c>
      <c r="C31" s="24">
        <v>20</v>
      </c>
      <c r="D31" s="23">
        <v>1.1415525114155251E-2</v>
      </c>
    </row>
    <row r="32" spans="2:4">
      <c r="B32" s="25" t="s">
        <v>22</v>
      </c>
      <c r="C32" s="24">
        <v>15</v>
      </c>
      <c r="D32" s="23">
        <v>8.5616438356164379E-3</v>
      </c>
    </row>
    <row r="33" spans="2:4">
      <c r="B33" s="25" t="s">
        <v>21</v>
      </c>
      <c r="C33" s="24">
        <v>14</v>
      </c>
      <c r="D33" s="23">
        <v>7.9908675799086754E-3</v>
      </c>
    </row>
    <row r="34" spans="2:4">
      <c r="B34" s="25" t="s">
        <v>19</v>
      </c>
      <c r="C34" s="24">
        <v>13</v>
      </c>
      <c r="D34" s="23">
        <v>7.4200913242009128E-3</v>
      </c>
    </row>
    <row r="35" spans="2:4">
      <c r="B35" s="25" t="s">
        <v>24</v>
      </c>
      <c r="C35" s="24">
        <v>11</v>
      </c>
      <c r="D35" s="23">
        <v>6.2785388127853878E-3</v>
      </c>
    </row>
    <row r="36" spans="2:4">
      <c r="B36" s="25" t="s">
        <v>26</v>
      </c>
      <c r="C36" s="24">
        <v>9</v>
      </c>
      <c r="D36" s="23">
        <v>5.1369863013698627E-3</v>
      </c>
    </row>
    <row r="37" spans="2:4">
      <c r="B37" s="25" t="s">
        <v>23</v>
      </c>
      <c r="C37" s="24">
        <v>8</v>
      </c>
      <c r="D37" s="23">
        <v>4.5662100456621002E-3</v>
      </c>
    </row>
    <row r="38" spans="2:4">
      <c r="B38" s="25" t="s">
        <v>20</v>
      </c>
      <c r="C38" s="24">
        <v>7</v>
      </c>
      <c r="D38" s="23">
        <v>3.9954337899543377E-3</v>
      </c>
    </row>
    <row r="39" spans="2:4">
      <c r="B39" s="25" t="s">
        <v>18</v>
      </c>
      <c r="C39" s="24">
        <v>6</v>
      </c>
      <c r="D39" s="23">
        <v>3.4246575342465752E-3</v>
      </c>
    </row>
    <row r="40" spans="2:4">
      <c r="B40" s="25" t="s">
        <v>17</v>
      </c>
      <c r="C40" s="24">
        <v>4</v>
      </c>
      <c r="D40" s="23">
        <v>2.2831050228310501E-3</v>
      </c>
    </row>
    <row r="41" spans="2:4">
      <c r="B41" s="25" t="s">
        <v>16</v>
      </c>
      <c r="C41" s="24">
        <v>1</v>
      </c>
      <c r="D41" s="23">
        <v>5.7077625570776253E-4</v>
      </c>
    </row>
    <row r="42" spans="2:4">
      <c r="B42" s="22" t="s">
        <v>15</v>
      </c>
      <c r="C42" s="21">
        <v>1752</v>
      </c>
      <c r="D42" s="20">
        <v>1</v>
      </c>
    </row>
    <row r="44" spans="2:4">
      <c r="B44" s="52" t="s">
        <v>477</v>
      </c>
      <c r="C44" s="51"/>
      <c r="D44" s="51"/>
    </row>
    <row r="45" spans="2:4">
      <c r="B45" s="54" t="s">
        <v>14</v>
      </c>
      <c r="C45" s="51"/>
      <c r="D45" s="51"/>
    </row>
    <row r="46" spans="2:4">
      <c r="B46" s="53" t="s">
        <v>13</v>
      </c>
      <c r="C46" s="51"/>
      <c r="D46" s="51"/>
    </row>
    <row r="47" spans="2:4">
      <c r="B47" s="52" t="s">
        <v>12</v>
      </c>
      <c r="C47" s="51"/>
      <c r="D47" s="51"/>
    </row>
    <row r="48" spans="2:4">
      <c r="B48" s="52" t="s">
        <v>478</v>
      </c>
      <c r="C48" s="51"/>
      <c r="D48" s="51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586"/>
  <sheetViews>
    <sheetView zoomScale="96" zoomScaleNormal="96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48</v>
      </c>
      <c r="C9" s="39" t="s">
        <v>414</v>
      </c>
      <c r="D9" s="38" t="s">
        <v>47</v>
      </c>
      <c r="E9" s="37" t="s">
        <v>46</v>
      </c>
    </row>
    <row r="10" spans="1:5" ht="15" customHeight="1">
      <c r="B10" s="153" t="s">
        <v>30</v>
      </c>
      <c r="C10" s="63" t="s">
        <v>30</v>
      </c>
      <c r="D10" s="62">
        <v>13</v>
      </c>
      <c r="E10" s="61">
        <v>7.4200913242009128E-3</v>
      </c>
    </row>
    <row r="11" spans="1:5" ht="15" customHeight="1">
      <c r="B11" s="155"/>
      <c r="C11" s="63" t="s">
        <v>261</v>
      </c>
      <c r="D11" s="62">
        <v>7</v>
      </c>
      <c r="E11" s="61">
        <v>3.9954337899543377E-3</v>
      </c>
    </row>
    <row r="12" spans="1:5" ht="15" customHeight="1">
      <c r="B12" s="155"/>
      <c r="C12" s="63" t="s">
        <v>413</v>
      </c>
      <c r="D12" s="62">
        <v>4</v>
      </c>
      <c r="E12" s="61">
        <v>2.2831050228310501E-3</v>
      </c>
    </row>
    <row r="13" spans="1:5" ht="15" customHeight="1">
      <c r="B13" s="155"/>
      <c r="C13" s="63" t="s">
        <v>412</v>
      </c>
      <c r="D13" s="62">
        <v>2</v>
      </c>
      <c r="E13" s="61">
        <v>1.1415525114155251E-3</v>
      </c>
    </row>
    <row r="14" spans="1:5" ht="15" customHeight="1">
      <c r="B14" s="154"/>
      <c r="C14" s="60" t="s">
        <v>15</v>
      </c>
      <c r="D14" s="59">
        <v>26</v>
      </c>
      <c r="E14" s="58">
        <v>1.4840182648401826E-2</v>
      </c>
    </row>
    <row r="15" spans="1:5" ht="15" customHeight="1">
      <c r="B15" s="153" t="s">
        <v>24</v>
      </c>
      <c r="C15" s="63" t="s">
        <v>411</v>
      </c>
      <c r="D15" s="62">
        <v>3</v>
      </c>
      <c r="E15" s="61">
        <v>1.7123287671232876E-3</v>
      </c>
    </row>
    <row r="16" spans="1:5" ht="15" customHeight="1">
      <c r="B16" s="155"/>
      <c r="C16" s="63" t="s">
        <v>410</v>
      </c>
      <c r="D16" s="62">
        <v>4</v>
      </c>
      <c r="E16" s="61">
        <v>2.2831050228310501E-3</v>
      </c>
    </row>
    <row r="17" spans="2:5" ht="15" customHeight="1">
      <c r="B17" s="155"/>
      <c r="C17" s="63" t="s">
        <v>409</v>
      </c>
      <c r="D17" s="62">
        <v>4</v>
      </c>
      <c r="E17" s="61">
        <v>2.2831050228310501E-3</v>
      </c>
    </row>
    <row r="18" spans="2:5" ht="15" customHeight="1">
      <c r="B18" s="154"/>
      <c r="C18" s="60" t="s">
        <v>15</v>
      </c>
      <c r="D18" s="59">
        <v>11</v>
      </c>
      <c r="E18" s="58">
        <v>6.2785388127853878E-3</v>
      </c>
    </row>
    <row r="19" spans="2:5" ht="15" customHeight="1">
      <c r="B19" s="153" t="s">
        <v>26</v>
      </c>
      <c r="C19" s="63" t="s">
        <v>26</v>
      </c>
      <c r="D19" s="62">
        <v>3</v>
      </c>
      <c r="E19" s="61">
        <v>1.7123287671232876E-3</v>
      </c>
    </row>
    <row r="20" spans="2:5" ht="15" customHeight="1">
      <c r="B20" s="155"/>
      <c r="C20" s="63" t="s">
        <v>408</v>
      </c>
      <c r="D20" s="62">
        <v>1</v>
      </c>
      <c r="E20" s="61">
        <v>5.7077625570776253E-4</v>
      </c>
    </row>
    <row r="21" spans="2:5" ht="15" customHeight="1">
      <c r="B21" s="155"/>
      <c r="C21" s="63" t="s">
        <v>407</v>
      </c>
      <c r="D21" s="62">
        <v>2</v>
      </c>
      <c r="E21" s="61">
        <v>1.1415525114155251E-3</v>
      </c>
    </row>
    <row r="22" spans="2:5" ht="15" customHeight="1">
      <c r="B22" s="155"/>
      <c r="C22" s="63" t="s">
        <v>406</v>
      </c>
      <c r="D22" s="62">
        <v>3</v>
      </c>
      <c r="E22" s="61">
        <v>1.7123287671232876E-3</v>
      </c>
    </row>
    <row r="23" spans="2:5" ht="15" customHeight="1">
      <c r="B23" s="154"/>
      <c r="C23" s="60" t="s">
        <v>15</v>
      </c>
      <c r="D23" s="59">
        <v>9</v>
      </c>
      <c r="E23" s="58">
        <v>5.1369863013698627E-3</v>
      </c>
    </row>
    <row r="24" spans="2:5" ht="15" customHeight="1">
      <c r="B24" s="153" t="s">
        <v>28</v>
      </c>
      <c r="C24" s="63" t="s">
        <v>405</v>
      </c>
      <c r="D24" s="62">
        <v>1</v>
      </c>
      <c r="E24" s="61">
        <v>5.7077625570776253E-4</v>
      </c>
    </row>
    <row r="25" spans="2:5" ht="15" customHeight="1">
      <c r="B25" s="155"/>
      <c r="C25" s="63" t="s">
        <v>479</v>
      </c>
      <c r="D25" s="62">
        <v>1</v>
      </c>
      <c r="E25" s="61">
        <v>5.7077625570776253E-4</v>
      </c>
    </row>
    <row r="26" spans="2:5" ht="15" customHeight="1">
      <c r="B26" s="155"/>
      <c r="C26" s="63" t="s">
        <v>480</v>
      </c>
      <c r="D26" s="62">
        <v>2</v>
      </c>
      <c r="E26" s="61">
        <v>1.1415525114155251E-3</v>
      </c>
    </row>
    <row r="27" spans="2:5" ht="15" customHeight="1">
      <c r="B27" s="155"/>
      <c r="C27" s="63" t="s">
        <v>481</v>
      </c>
      <c r="D27" s="62">
        <v>1</v>
      </c>
      <c r="E27" s="61">
        <v>5.7077625570776253E-4</v>
      </c>
    </row>
    <row r="28" spans="2:5" ht="15" customHeight="1">
      <c r="B28" s="155"/>
      <c r="C28" s="63" t="s">
        <v>482</v>
      </c>
      <c r="D28" s="62">
        <v>1</v>
      </c>
      <c r="E28" s="61">
        <v>5.7077625570776253E-4</v>
      </c>
    </row>
    <row r="29" spans="2:5" ht="15" customHeight="1">
      <c r="B29" s="155"/>
      <c r="C29" s="63" t="s">
        <v>404</v>
      </c>
      <c r="D29" s="62">
        <v>1</v>
      </c>
      <c r="E29" s="61">
        <v>5.7077625570776253E-4</v>
      </c>
    </row>
    <row r="30" spans="2:5" ht="15" customHeight="1">
      <c r="B30" s="155"/>
      <c r="C30" s="63" t="s">
        <v>403</v>
      </c>
      <c r="D30" s="62">
        <v>2</v>
      </c>
      <c r="E30" s="61">
        <v>1.1415525114155251E-3</v>
      </c>
    </row>
    <row r="31" spans="2:5" ht="15" customHeight="1">
      <c r="B31" s="155"/>
      <c r="C31" s="63" t="s">
        <v>402</v>
      </c>
      <c r="D31" s="62">
        <v>6</v>
      </c>
      <c r="E31" s="61">
        <v>3.4246575342465752E-3</v>
      </c>
    </row>
    <row r="32" spans="2:5" ht="15" customHeight="1">
      <c r="B32" s="155"/>
      <c r="C32" s="63" t="s">
        <v>401</v>
      </c>
      <c r="D32" s="62">
        <v>2</v>
      </c>
      <c r="E32" s="61">
        <v>1.1415525114155251E-3</v>
      </c>
    </row>
    <row r="33" spans="2:5" ht="15" customHeight="1">
      <c r="B33" s="155"/>
      <c r="C33" s="63" t="s">
        <v>483</v>
      </c>
      <c r="D33" s="62">
        <v>1</v>
      </c>
      <c r="E33" s="61">
        <v>5.7077625570776253E-4</v>
      </c>
    </row>
    <row r="34" spans="2:5" ht="15" customHeight="1">
      <c r="B34" s="155"/>
      <c r="C34" s="63" t="s">
        <v>484</v>
      </c>
      <c r="D34" s="62">
        <v>1</v>
      </c>
      <c r="E34" s="61">
        <v>5.7077625570776253E-4</v>
      </c>
    </row>
    <row r="35" spans="2:5" ht="15" customHeight="1">
      <c r="B35" s="155"/>
      <c r="C35" s="63" t="s">
        <v>400</v>
      </c>
      <c r="D35" s="62">
        <v>1</v>
      </c>
      <c r="E35" s="61">
        <v>5.7077625570776253E-4</v>
      </c>
    </row>
    <row r="36" spans="2:5" ht="15" customHeight="1">
      <c r="B36" s="155"/>
      <c r="C36" s="63" t="s">
        <v>485</v>
      </c>
      <c r="D36" s="62">
        <v>1</v>
      </c>
      <c r="E36" s="61">
        <v>5.7077625570776253E-4</v>
      </c>
    </row>
    <row r="37" spans="2:5" ht="15" customHeight="1">
      <c r="B37" s="155"/>
      <c r="C37" s="63" t="s">
        <v>486</v>
      </c>
      <c r="D37" s="62">
        <v>3</v>
      </c>
      <c r="E37" s="61">
        <v>1.7123287671232876E-3</v>
      </c>
    </row>
    <row r="38" spans="2:5" ht="15" customHeight="1">
      <c r="B38" s="155"/>
      <c r="C38" s="63" t="s">
        <v>399</v>
      </c>
      <c r="D38" s="62">
        <v>2</v>
      </c>
      <c r="E38" s="61">
        <v>1.1415525114155251E-3</v>
      </c>
    </row>
    <row r="39" spans="2:5" ht="15" customHeight="1">
      <c r="B39" s="155"/>
      <c r="C39" s="63" t="s">
        <v>398</v>
      </c>
      <c r="D39" s="62">
        <v>1</v>
      </c>
      <c r="E39" s="61">
        <v>5.7077625570776253E-4</v>
      </c>
    </row>
    <row r="40" spans="2:5" ht="15" customHeight="1">
      <c r="B40" s="155"/>
      <c r="C40" s="63" t="s">
        <v>397</v>
      </c>
      <c r="D40" s="62">
        <v>3</v>
      </c>
      <c r="E40" s="61">
        <v>1.7123287671232876E-3</v>
      </c>
    </row>
    <row r="41" spans="2:5" ht="15" customHeight="1">
      <c r="B41" s="155"/>
      <c r="C41" s="63" t="s">
        <v>396</v>
      </c>
      <c r="D41" s="62">
        <v>2</v>
      </c>
      <c r="E41" s="61">
        <v>1.1415525114155251E-3</v>
      </c>
    </row>
    <row r="42" spans="2:5" ht="15" customHeight="1">
      <c r="B42" s="155"/>
      <c r="C42" s="63" t="s">
        <v>487</v>
      </c>
      <c r="D42" s="62">
        <v>1</v>
      </c>
      <c r="E42" s="61">
        <v>5.7077625570776253E-4</v>
      </c>
    </row>
    <row r="43" spans="2:5" ht="15" customHeight="1">
      <c r="B43" s="155"/>
      <c r="C43" s="63" t="s">
        <v>488</v>
      </c>
      <c r="D43" s="62">
        <v>1</v>
      </c>
      <c r="E43" s="61">
        <v>5.7077625570776253E-4</v>
      </c>
    </row>
    <row r="44" spans="2:5" ht="15" customHeight="1">
      <c r="B44" s="155"/>
      <c r="C44" s="63" t="s">
        <v>136</v>
      </c>
      <c r="D44" s="62">
        <v>1</v>
      </c>
      <c r="E44" s="61">
        <v>5.7077625570776253E-4</v>
      </c>
    </row>
    <row r="45" spans="2:5" ht="15" customHeight="1">
      <c r="B45" s="154"/>
      <c r="C45" s="60" t="s">
        <v>15</v>
      </c>
      <c r="D45" s="59">
        <v>35</v>
      </c>
      <c r="E45" s="58">
        <v>1.9977168949771688E-2</v>
      </c>
    </row>
    <row r="46" spans="2:5" ht="15" customHeight="1">
      <c r="B46" s="153" t="s">
        <v>33</v>
      </c>
      <c r="C46" s="63" t="s">
        <v>395</v>
      </c>
      <c r="D46" s="62">
        <v>1</v>
      </c>
      <c r="E46" s="61">
        <v>5.7077625570776253E-4</v>
      </c>
    </row>
    <row r="47" spans="2:5" ht="15" customHeight="1">
      <c r="B47" s="155"/>
      <c r="C47" s="63" t="s">
        <v>394</v>
      </c>
      <c r="D47" s="62">
        <v>1</v>
      </c>
      <c r="E47" s="61">
        <v>5.7077625570776253E-4</v>
      </c>
    </row>
    <row r="48" spans="2:5" ht="15" customHeight="1">
      <c r="B48" s="155"/>
      <c r="C48" s="63" t="s">
        <v>33</v>
      </c>
      <c r="D48" s="62">
        <v>16</v>
      </c>
      <c r="E48" s="61">
        <v>9.1324200913242004E-3</v>
      </c>
    </row>
    <row r="49" spans="2:5" ht="15" customHeight="1">
      <c r="B49" s="155"/>
      <c r="C49" s="63" t="s">
        <v>380</v>
      </c>
      <c r="D49" s="62">
        <v>4</v>
      </c>
      <c r="E49" s="61">
        <v>2.2831050228310501E-3</v>
      </c>
    </row>
    <row r="50" spans="2:5" ht="15" customHeight="1">
      <c r="B50" s="155"/>
      <c r="C50" s="63" t="s">
        <v>489</v>
      </c>
      <c r="D50" s="62">
        <v>1</v>
      </c>
      <c r="E50" s="61">
        <v>5.7077625570776253E-4</v>
      </c>
    </row>
    <row r="51" spans="2:5" ht="15" customHeight="1">
      <c r="B51" s="155"/>
      <c r="C51" s="63" t="s">
        <v>393</v>
      </c>
      <c r="D51" s="62">
        <v>2</v>
      </c>
      <c r="E51" s="61">
        <v>1.1415525114155251E-3</v>
      </c>
    </row>
    <row r="52" spans="2:5" ht="15" customHeight="1">
      <c r="B52" s="155"/>
      <c r="C52" s="63" t="s">
        <v>391</v>
      </c>
      <c r="D52" s="62">
        <v>1</v>
      </c>
      <c r="E52" s="61">
        <v>5.7077625570776253E-4</v>
      </c>
    </row>
    <row r="53" spans="2:5" ht="15" customHeight="1">
      <c r="B53" s="155"/>
      <c r="C53" s="63" t="s">
        <v>390</v>
      </c>
      <c r="D53" s="62">
        <v>20</v>
      </c>
      <c r="E53" s="61">
        <v>1.1415525114155251E-2</v>
      </c>
    </row>
    <row r="54" spans="2:5" ht="15" customHeight="1">
      <c r="B54" s="155"/>
      <c r="C54" s="63" t="s">
        <v>110</v>
      </c>
      <c r="D54" s="62">
        <v>1</v>
      </c>
      <c r="E54" s="61">
        <v>5.7077625570776253E-4</v>
      </c>
    </row>
    <row r="55" spans="2:5" ht="15" customHeight="1">
      <c r="B55" s="155"/>
      <c r="C55" s="63" t="s">
        <v>389</v>
      </c>
      <c r="D55" s="62">
        <v>1</v>
      </c>
      <c r="E55" s="61">
        <v>5.7077625570776253E-4</v>
      </c>
    </row>
    <row r="56" spans="2:5" ht="15" customHeight="1">
      <c r="B56" s="155"/>
      <c r="C56" s="63" t="s">
        <v>388</v>
      </c>
      <c r="D56" s="62">
        <v>6</v>
      </c>
      <c r="E56" s="61">
        <v>3.4246575342465752E-3</v>
      </c>
    </row>
    <row r="57" spans="2:5" ht="15" customHeight="1">
      <c r="B57" s="155"/>
      <c r="C57" s="63" t="s">
        <v>490</v>
      </c>
      <c r="D57" s="62">
        <v>1</v>
      </c>
      <c r="E57" s="61">
        <v>5.7077625570776253E-4</v>
      </c>
    </row>
    <row r="58" spans="2:5" ht="15" customHeight="1">
      <c r="B58" s="155"/>
      <c r="C58" s="63" t="s">
        <v>491</v>
      </c>
      <c r="D58" s="62">
        <v>1</v>
      </c>
      <c r="E58" s="61">
        <v>5.7077625570776253E-4</v>
      </c>
    </row>
    <row r="59" spans="2:5" ht="15" customHeight="1">
      <c r="B59" s="155"/>
      <c r="C59" s="63" t="s">
        <v>387</v>
      </c>
      <c r="D59" s="62">
        <v>1</v>
      </c>
      <c r="E59" s="61">
        <v>5.7077625570776253E-4</v>
      </c>
    </row>
    <row r="60" spans="2:5" ht="15" customHeight="1">
      <c r="B60" s="154"/>
      <c r="C60" s="60" t="s">
        <v>15</v>
      </c>
      <c r="D60" s="59">
        <v>57</v>
      </c>
      <c r="E60" s="58">
        <v>3.2534246575342464E-2</v>
      </c>
    </row>
    <row r="61" spans="2:5" ht="15" customHeight="1">
      <c r="B61" s="153" t="s">
        <v>25</v>
      </c>
      <c r="C61" s="63" t="s">
        <v>492</v>
      </c>
      <c r="D61" s="62">
        <v>1</v>
      </c>
      <c r="E61" s="61">
        <v>5.7077625570776253E-4</v>
      </c>
    </row>
    <row r="62" spans="2:5" ht="15" customHeight="1">
      <c r="B62" s="155"/>
      <c r="C62" s="63" t="s">
        <v>285</v>
      </c>
      <c r="D62" s="62">
        <v>2</v>
      </c>
      <c r="E62" s="61">
        <v>1.1415525114155251E-3</v>
      </c>
    </row>
    <row r="63" spans="2:5" ht="15" customHeight="1">
      <c r="B63" s="155"/>
      <c r="C63" s="63" t="s">
        <v>493</v>
      </c>
      <c r="D63" s="62">
        <v>1</v>
      </c>
      <c r="E63" s="61">
        <v>5.7077625570776253E-4</v>
      </c>
    </row>
    <row r="64" spans="2:5" ht="15" customHeight="1">
      <c r="B64" s="155"/>
      <c r="C64" s="63" t="s">
        <v>386</v>
      </c>
      <c r="D64" s="62">
        <v>1</v>
      </c>
      <c r="E64" s="61">
        <v>5.7077625570776253E-4</v>
      </c>
    </row>
    <row r="65" spans="2:5" ht="15" customHeight="1">
      <c r="B65" s="155"/>
      <c r="C65" s="63" t="s">
        <v>494</v>
      </c>
      <c r="D65" s="62">
        <v>1</v>
      </c>
      <c r="E65" s="61">
        <v>5.7077625570776253E-4</v>
      </c>
    </row>
    <row r="66" spans="2:5" ht="15" customHeight="1">
      <c r="B66" s="155"/>
      <c r="C66" s="63" t="s">
        <v>495</v>
      </c>
      <c r="D66" s="62">
        <v>1</v>
      </c>
      <c r="E66" s="61">
        <v>5.7077625570776253E-4</v>
      </c>
    </row>
    <row r="67" spans="2:5" ht="15" customHeight="1">
      <c r="B67" s="155"/>
      <c r="C67" s="63" t="s">
        <v>385</v>
      </c>
      <c r="D67" s="62">
        <v>1</v>
      </c>
      <c r="E67" s="61">
        <v>5.7077625570776253E-4</v>
      </c>
    </row>
    <row r="68" spans="2:5" ht="15" customHeight="1">
      <c r="B68" s="155"/>
      <c r="C68" s="63" t="s">
        <v>384</v>
      </c>
      <c r="D68" s="62">
        <v>19</v>
      </c>
      <c r="E68" s="61">
        <v>1.0844748858447488E-2</v>
      </c>
    </row>
    <row r="69" spans="2:5" ht="15" customHeight="1">
      <c r="B69" s="154"/>
      <c r="C69" s="60" t="s">
        <v>15</v>
      </c>
      <c r="D69" s="59">
        <v>27</v>
      </c>
      <c r="E69" s="58">
        <v>1.5410958904109588E-2</v>
      </c>
    </row>
    <row r="70" spans="2:5" ht="15" customHeight="1">
      <c r="B70" s="153" t="s">
        <v>19</v>
      </c>
      <c r="C70" s="63" t="s">
        <v>19</v>
      </c>
      <c r="D70" s="62">
        <v>2</v>
      </c>
      <c r="E70" s="61">
        <v>1.1415525114155251E-3</v>
      </c>
    </row>
    <row r="71" spans="2:5" ht="15" customHeight="1">
      <c r="B71" s="155"/>
      <c r="C71" s="63" t="s">
        <v>380</v>
      </c>
      <c r="D71" s="62">
        <v>1</v>
      </c>
      <c r="E71" s="61">
        <v>5.7077625570776253E-4</v>
      </c>
    </row>
    <row r="72" spans="2:5" ht="15" customHeight="1">
      <c r="B72" s="155"/>
      <c r="C72" s="63" t="s">
        <v>496</v>
      </c>
      <c r="D72" s="62">
        <v>1</v>
      </c>
      <c r="E72" s="61">
        <v>5.7077625570776253E-4</v>
      </c>
    </row>
    <row r="73" spans="2:5" ht="15" customHeight="1">
      <c r="B73" s="155"/>
      <c r="C73" s="63" t="s">
        <v>383</v>
      </c>
      <c r="D73" s="62">
        <v>9</v>
      </c>
      <c r="E73" s="61">
        <v>5.1369863013698627E-3</v>
      </c>
    </row>
    <row r="74" spans="2:5" ht="15" customHeight="1">
      <c r="B74" s="154"/>
      <c r="C74" s="60" t="s">
        <v>15</v>
      </c>
      <c r="D74" s="59">
        <v>13</v>
      </c>
      <c r="E74" s="58">
        <v>7.4200913242009128E-3</v>
      </c>
    </row>
    <row r="75" spans="2:5" ht="15" customHeight="1">
      <c r="B75" s="153" t="s">
        <v>38</v>
      </c>
      <c r="C75" s="63" t="s">
        <v>382</v>
      </c>
      <c r="D75" s="62">
        <v>13</v>
      </c>
      <c r="E75" s="61">
        <v>7.4200913242009128E-3</v>
      </c>
    </row>
    <row r="76" spans="2:5" ht="15" customHeight="1">
      <c r="B76" s="155"/>
      <c r="C76" s="63" t="s">
        <v>381</v>
      </c>
      <c r="D76" s="62">
        <v>5</v>
      </c>
      <c r="E76" s="61">
        <v>2.8538812785388126E-3</v>
      </c>
    </row>
    <row r="77" spans="2:5" ht="15" customHeight="1">
      <c r="B77" s="155"/>
      <c r="C77" s="63" t="s">
        <v>69</v>
      </c>
      <c r="D77" s="62">
        <v>5</v>
      </c>
      <c r="E77" s="61">
        <v>2.8538812785388126E-3</v>
      </c>
    </row>
    <row r="78" spans="2:5" ht="15" customHeight="1">
      <c r="B78" s="155"/>
      <c r="C78" s="63" t="s">
        <v>380</v>
      </c>
      <c r="D78" s="62">
        <v>43</v>
      </c>
      <c r="E78" s="61">
        <v>2.4543378995433789E-2</v>
      </c>
    </row>
    <row r="79" spans="2:5" ht="15" customHeight="1">
      <c r="B79" s="155"/>
      <c r="C79" s="63" t="s">
        <v>379</v>
      </c>
      <c r="D79" s="62">
        <v>5</v>
      </c>
      <c r="E79" s="61">
        <v>2.8538812785388126E-3</v>
      </c>
    </row>
    <row r="80" spans="2:5" ht="15" customHeight="1">
      <c r="B80" s="155"/>
      <c r="C80" s="63" t="s">
        <v>378</v>
      </c>
      <c r="D80" s="62">
        <v>2</v>
      </c>
      <c r="E80" s="61">
        <v>1.1415525114155251E-3</v>
      </c>
    </row>
    <row r="81" spans="2:5" ht="15" customHeight="1">
      <c r="B81" s="155"/>
      <c r="C81" s="63" t="s">
        <v>377</v>
      </c>
      <c r="D81" s="62">
        <v>5</v>
      </c>
      <c r="E81" s="61">
        <v>2.8538812785388126E-3</v>
      </c>
    </row>
    <row r="82" spans="2:5" ht="15" customHeight="1">
      <c r="B82" s="155"/>
      <c r="C82" s="63" t="s">
        <v>497</v>
      </c>
      <c r="D82" s="62">
        <v>1</v>
      </c>
      <c r="E82" s="61">
        <v>5.7077625570776253E-4</v>
      </c>
    </row>
    <row r="83" spans="2:5" ht="15" customHeight="1">
      <c r="B83" s="155"/>
      <c r="C83" s="63" t="s">
        <v>376</v>
      </c>
      <c r="D83" s="62">
        <v>2</v>
      </c>
      <c r="E83" s="61">
        <v>1.1415525114155251E-3</v>
      </c>
    </row>
    <row r="84" spans="2:5" ht="15" customHeight="1">
      <c r="B84" s="155"/>
      <c r="C84" s="63" t="s">
        <v>375</v>
      </c>
      <c r="D84" s="62">
        <v>1</v>
      </c>
      <c r="E84" s="61">
        <v>5.7077625570776253E-4</v>
      </c>
    </row>
    <row r="85" spans="2:5" ht="15" customHeight="1">
      <c r="B85" s="155"/>
      <c r="C85" s="63" t="s">
        <v>374</v>
      </c>
      <c r="D85" s="62">
        <v>6</v>
      </c>
      <c r="E85" s="61">
        <v>3.4246575342465752E-3</v>
      </c>
    </row>
    <row r="86" spans="2:5" ht="15" customHeight="1">
      <c r="B86" s="155"/>
      <c r="C86" s="63" t="s">
        <v>136</v>
      </c>
      <c r="D86" s="62">
        <v>2</v>
      </c>
      <c r="E86" s="61">
        <v>1.1415525114155251E-3</v>
      </c>
    </row>
    <row r="87" spans="2:5" ht="15" customHeight="1">
      <c r="B87" s="154"/>
      <c r="C87" s="60" t="s">
        <v>15</v>
      </c>
      <c r="D87" s="59">
        <v>90</v>
      </c>
      <c r="E87" s="58">
        <v>5.1369863013698627E-2</v>
      </c>
    </row>
    <row r="88" spans="2:5" ht="15" customHeight="1">
      <c r="B88" s="153" t="s">
        <v>37</v>
      </c>
      <c r="C88" s="63" t="s">
        <v>373</v>
      </c>
      <c r="D88" s="62">
        <v>4</v>
      </c>
      <c r="E88" s="61">
        <v>2.2831050228310501E-3</v>
      </c>
    </row>
    <row r="89" spans="2:5" ht="15" customHeight="1">
      <c r="B89" s="155"/>
      <c r="C89" s="63" t="s">
        <v>37</v>
      </c>
      <c r="D89" s="62">
        <v>10</v>
      </c>
      <c r="E89" s="61">
        <v>5.7077625570776253E-3</v>
      </c>
    </row>
    <row r="90" spans="2:5" ht="15" customHeight="1">
      <c r="B90" s="155"/>
      <c r="C90" s="63" t="s">
        <v>372</v>
      </c>
      <c r="D90" s="62">
        <v>6</v>
      </c>
      <c r="E90" s="61">
        <v>3.4246575342465752E-3</v>
      </c>
    </row>
    <row r="91" spans="2:5" ht="15" customHeight="1">
      <c r="B91" s="155"/>
      <c r="C91" s="63" t="s">
        <v>371</v>
      </c>
      <c r="D91" s="62">
        <v>8</v>
      </c>
      <c r="E91" s="61">
        <v>4.5662100456621002E-3</v>
      </c>
    </row>
    <row r="92" spans="2:5" ht="15" customHeight="1">
      <c r="B92" s="155"/>
      <c r="C92" s="63" t="s">
        <v>370</v>
      </c>
      <c r="D92" s="62">
        <v>11</v>
      </c>
      <c r="E92" s="61">
        <v>6.2785388127853878E-3</v>
      </c>
    </row>
    <row r="93" spans="2:5" ht="15" customHeight="1">
      <c r="B93" s="155"/>
      <c r="C93" s="63" t="s">
        <v>369</v>
      </c>
      <c r="D93" s="62">
        <v>3</v>
      </c>
      <c r="E93" s="61">
        <v>1.7123287671232876E-3</v>
      </c>
    </row>
    <row r="94" spans="2:5" ht="15" customHeight="1">
      <c r="B94" s="155"/>
      <c r="C94" s="63" t="s">
        <v>32</v>
      </c>
      <c r="D94" s="62">
        <v>2</v>
      </c>
      <c r="E94" s="61">
        <v>1.1415525114155251E-3</v>
      </c>
    </row>
    <row r="95" spans="2:5" ht="15" customHeight="1">
      <c r="B95" s="155"/>
      <c r="C95" s="63" t="s">
        <v>368</v>
      </c>
      <c r="D95" s="62">
        <v>1</v>
      </c>
      <c r="E95" s="61">
        <v>5.7077625570776253E-4</v>
      </c>
    </row>
    <row r="96" spans="2:5" ht="15" customHeight="1">
      <c r="B96" s="155"/>
      <c r="C96" s="63" t="s">
        <v>367</v>
      </c>
      <c r="D96" s="62">
        <v>5</v>
      </c>
      <c r="E96" s="61">
        <v>2.8538812785388126E-3</v>
      </c>
    </row>
    <row r="97" spans="2:5" ht="15" customHeight="1">
      <c r="B97" s="155"/>
      <c r="C97" s="63" t="s">
        <v>498</v>
      </c>
      <c r="D97" s="62">
        <v>2</v>
      </c>
      <c r="E97" s="61">
        <v>1.1415525114155251E-3</v>
      </c>
    </row>
    <row r="98" spans="2:5" ht="15" customHeight="1">
      <c r="B98" s="155"/>
      <c r="C98" s="63" t="s">
        <v>366</v>
      </c>
      <c r="D98" s="62">
        <v>2</v>
      </c>
      <c r="E98" s="61">
        <v>1.1415525114155251E-3</v>
      </c>
    </row>
    <row r="99" spans="2:5" ht="15" customHeight="1">
      <c r="B99" s="155"/>
      <c r="C99" s="63" t="s">
        <v>108</v>
      </c>
      <c r="D99" s="62">
        <v>1</v>
      </c>
      <c r="E99" s="61">
        <v>5.7077625570776253E-4</v>
      </c>
    </row>
    <row r="100" spans="2:5" ht="15" customHeight="1">
      <c r="B100" s="155"/>
      <c r="C100" s="63" t="s">
        <v>499</v>
      </c>
      <c r="D100" s="62">
        <v>1</v>
      </c>
      <c r="E100" s="61">
        <v>5.7077625570776253E-4</v>
      </c>
    </row>
    <row r="101" spans="2:5" ht="15" customHeight="1">
      <c r="B101" s="155"/>
      <c r="C101" s="63" t="s">
        <v>500</v>
      </c>
      <c r="D101" s="62">
        <v>1</v>
      </c>
      <c r="E101" s="61">
        <v>5.7077625570776253E-4</v>
      </c>
    </row>
    <row r="102" spans="2:5" ht="15" customHeight="1">
      <c r="B102" s="155"/>
      <c r="C102" s="63" t="s">
        <v>365</v>
      </c>
      <c r="D102" s="62">
        <v>3</v>
      </c>
      <c r="E102" s="61">
        <v>1.7123287671232876E-3</v>
      </c>
    </row>
    <row r="103" spans="2:5" ht="15" customHeight="1">
      <c r="B103" s="155"/>
      <c r="C103" s="63" t="s">
        <v>501</v>
      </c>
      <c r="D103" s="62">
        <v>1</v>
      </c>
      <c r="E103" s="61">
        <v>5.7077625570776253E-4</v>
      </c>
    </row>
    <row r="104" spans="2:5" ht="15" customHeight="1">
      <c r="B104" s="155"/>
      <c r="C104" s="63" t="s">
        <v>364</v>
      </c>
      <c r="D104" s="62">
        <v>8</v>
      </c>
      <c r="E104" s="61">
        <v>4.5662100456621002E-3</v>
      </c>
    </row>
    <row r="105" spans="2:5" ht="15" customHeight="1">
      <c r="B105" s="155"/>
      <c r="C105" s="63" t="s">
        <v>502</v>
      </c>
      <c r="D105" s="62">
        <v>1</v>
      </c>
      <c r="E105" s="61">
        <v>5.7077625570776253E-4</v>
      </c>
    </row>
    <row r="106" spans="2:5" ht="15" customHeight="1">
      <c r="B106" s="155"/>
      <c r="C106" s="63" t="s">
        <v>503</v>
      </c>
      <c r="D106" s="62">
        <v>2</v>
      </c>
      <c r="E106" s="61">
        <v>1.1415525114155251E-3</v>
      </c>
    </row>
    <row r="107" spans="2:5" ht="15" customHeight="1">
      <c r="B107" s="154"/>
      <c r="C107" s="60" t="s">
        <v>15</v>
      </c>
      <c r="D107" s="59">
        <v>72</v>
      </c>
      <c r="E107" s="58">
        <v>4.1095890410958902E-2</v>
      </c>
    </row>
    <row r="108" spans="2:5" ht="15" customHeight="1">
      <c r="B108" s="153" t="s">
        <v>34</v>
      </c>
      <c r="C108" s="63" t="s">
        <v>504</v>
      </c>
      <c r="D108" s="62">
        <v>1</v>
      </c>
      <c r="E108" s="61">
        <v>5.7077625570776253E-4</v>
      </c>
    </row>
    <row r="109" spans="2:5" ht="15" customHeight="1">
      <c r="B109" s="155"/>
      <c r="C109" s="63" t="s">
        <v>363</v>
      </c>
      <c r="D109" s="62">
        <v>7</v>
      </c>
      <c r="E109" s="61">
        <v>3.9954337899543377E-3</v>
      </c>
    </row>
    <row r="110" spans="2:5" ht="15" customHeight="1">
      <c r="B110" s="155"/>
      <c r="C110" s="63" t="s">
        <v>362</v>
      </c>
      <c r="D110" s="62">
        <v>4</v>
      </c>
      <c r="E110" s="61">
        <v>2.2831050228310501E-3</v>
      </c>
    </row>
    <row r="111" spans="2:5" ht="15" customHeight="1">
      <c r="B111" s="155"/>
      <c r="C111" s="63" t="s">
        <v>505</v>
      </c>
      <c r="D111" s="62">
        <v>1</v>
      </c>
      <c r="E111" s="61">
        <v>5.7077625570776253E-4</v>
      </c>
    </row>
    <row r="112" spans="2:5" ht="15" customHeight="1">
      <c r="B112" s="155"/>
      <c r="C112" s="63" t="s">
        <v>361</v>
      </c>
      <c r="D112" s="62">
        <v>1</v>
      </c>
      <c r="E112" s="61">
        <v>5.7077625570776253E-4</v>
      </c>
    </row>
    <row r="113" spans="2:5" ht="15" customHeight="1">
      <c r="B113" s="155"/>
      <c r="C113" s="63" t="s">
        <v>360</v>
      </c>
      <c r="D113" s="62">
        <v>2</v>
      </c>
      <c r="E113" s="61">
        <v>1.1415525114155251E-3</v>
      </c>
    </row>
    <row r="114" spans="2:5" ht="15" customHeight="1">
      <c r="B114" s="155"/>
      <c r="C114" s="63" t="s">
        <v>359</v>
      </c>
      <c r="D114" s="62">
        <v>2</v>
      </c>
      <c r="E114" s="61">
        <v>1.1415525114155251E-3</v>
      </c>
    </row>
    <row r="115" spans="2:5" ht="15" customHeight="1">
      <c r="B115" s="155"/>
      <c r="C115" s="63" t="s">
        <v>358</v>
      </c>
      <c r="D115" s="62">
        <v>1</v>
      </c>
      <c r="E115" s="61">
        <v>5.7077625570776253E-4</v>
      </c>
    </row>
    <row r="116" spans="2:5" ht="15" customHeight="1">
      <c r="B116" s="155"/>
      <c r="C116" s="63" t="s">
        <v>506</v>
      </c>
      <c r="D116" s="62">
        <v>1</v>
      </c>
      <c r="E116" s="61">
        <v>5.7077625570776253E-4</v>
      </c>
    </row>
    <row r="117" spans="2:5" ht="15" customHeight="1">
      <c r="B117" s="155"/>
      <c r="C117" s="63" t="s">
        <v>357</v>
      </c>
      <c r="D117" s="62">
        <v>5</v>
      </c>
      <c r="E117" s="61">
        <v>2.8538812785388126E-3</v>
      </c>
    </row>
    <row r="118" spans="2:5" ht="15" customHeight="1">
      <c r="B118" s="155"/>
      <c r="C118" s="63" t="s">
        <v>507</v>
      </c>
      <c r="D118" s="62">
        <v>2</v>
      </c>
      <c r="E118" s="61">
        <v>1.1415525114155251E-3</v>
      </c>
    </row>
    <row r="119" spans="2:5" ht="15" customHeight="1">
      <c r="B119" s="155"/>
      <c r="C119" s="63" t="s">
        <v>356</v>
      </c>
      <c r="D119" s="62">
        <v>1</v>
      </c>
      <c r="E119" s="61">
        <v>5.7077625570776253E-4</v>
      </c>
    </row>
    <row r="120" spans="2:5" ht="15" customHeight="1">
      <c r="B120" s="155"/>
      <c r="C120" s="63" t="s">
        <v>508</v>
      </c>
      <c r="D120" s="62">
        <v>5</v>
      </c>
      <c r="E120" s="61">
        <v>2.8538812785388126E-3</v>
      </c>
    </row>
    <row r="121" spans="2:5" ht="15" customHeight="1">
      <c r="B121" s="155"/>
      <c r="C121" s="63" t="s">
        <v>355</v>
      </c>
      <c r="D121" s="62">
        <v>7</v>
      </c>
      <c r="E121" s="61">
        <v>3.9954337899543377E-3</v>
      </c>
    </row>
    <row r="122" spans="2:5" ht="15" customHeight="1">
      <c r="B122" s="155"/>
      <c r="C122" s="63" t="s">
        <v>354</v>
      </c>
      <c r="D122" s="62">
        <v>1</v>
      </c>
      <c r="E122" s="61">
        <v>5.7077625570776253E-4</v>
      </c>
    </row>
    <row r="123" spans="2:5" ht="15" customHeight="1">
      <c r="B123" s="155"/>
      <c r="C123" s="63" t="s">
        <v>353</v>
      </c>
      <c r="D123" s="62">
        <v>1</v>
      </c>
      <c r="E123" s="61">
        <v>5.7077625570776253E-4</v>
      </c>
    </row>
    <row r="124" spans="2:5" ht="15" customHeight="1">
      <c r="B124" s="155"/>
      <c r="C124" s="63" t="s">
        <v>509</v>
      </c>
      <c r="D124" s="62">
        <v>1</v>
      </c>
      <c r="E124" s="61">
        <v>5.7077625570776253E-4</v>
      </c>
    </row>
    <row r="125" spans="2:5" ht="15" customHeight="1">
      <c r="B125" s="155"/>
      <c r="C125" s="63" t="s">
        <v>510</v>
      </c>
      <c r="D125" s="62">
        <v>1</v>
      </c>
      <c r="E125" s="61">
        <v>5.7077625570776253E-4</v>
      </c>
    </row>
    <row r="126" spans="2:5" ht="15" customHeight="1">
      <c r="B126" s="155"/>
      <c r="C126" s="63" t="s">
        <v>352</v>
      </c>
      <c r="D126" s="62">
        <v>3</v>
      </c>
      <c r="E126" s="61">
        <v>1.7123287671232876E-3</v>
      </c>
    </row>
    <row r="127" spans="2:5" ht="15" customHeight="1">
      <c r="B127" s="155"/>
      <c r="C127" s="63" t="s">
        <v>511</v>
      </c>
      <c r="D127" s="62">
        <v>1</v>
      </c>
      <c r="E127" s="61">
        <v>5.7077625570776253E-4</v>
      </c>
    </row>
    <row r="128" spans="2:5" ht="15" customHeight="1">
      <c r="B128" s="155"/>
      <c r="C128" s="63" t="s">
        <v>351</v>
      </c>
      <c r="D128" s="62">
        <v>1</v>
      </c>
      <c r="E128" s="61">
        <v>5.7077625570776253E-4</v>
      </c>
    </row>
    <row r="129" spans="2:5" ht="15" customHeight="1">
      <c r="B129" s="155"/>
      <c r="C129" s="63" t="s">
        <v>350</v>
      </c>
      <c r="D129" s="62">
        <v>1</v>
      </c>
      <c r="E129" s="61">
        <v>5.7077625570776253E-4</v>
      </c>
    </row>
    <row r="130" spans="2:5" ht="15" customHeight="1">
      <c r="B130" s="155"/>
      <c r="C130" s="63" t="s">
        <v>349</v>
      </c>
      <c r="D130" s="62">
        <v>3</v>
      </c>
      <c r="E130" s="61">
        <v>1.7123287671232876E-3</v>
      </c>
    </row>
    <row r="131" spans="2:5" ht="15" customHeight="1">
      <c r="B131" s="155"/>
      <c r="C131" s="63" t="s">
        <v>348</v>
      </c>
      <c r="D131" s="62">
        <v>7</v>
      </c>
      <c r="E131" s="61">
        <v>3.9954337899543377E-3</v>
      </c>
    </row>
    <row r="132" spans="2:5" ht="15" customHeight="1">
      <c r="B132" s="155"/>
      <c r="C132" s="63" t="s">
        <v>347</v>
      </c>
      <c r="D132" s="62">
        <v>1</v>
      </c>
      <c r="E132" s="61">
        <v>5.7077625570776253E-4</v>
      </c>
    </row>
    <row r="133" spans="2:5" ht="15" customHeight="1">
      <c r="B133" s="155"/>
      <c r="C133" s="63" t="s">
        <v>346</v>
      </c>
      <c r="D133" s="62">
        <v>4</v>
      </c>
      <c r="E133" s="61">
        <v>2.2831050228310501E-3</v>
      </c>
    </row>
    <row r="134" spans="2:5" ht="15" customHeight="1">
      <c r="B134" s="155"/>
      <c r="C134" s="63" t="s">
        <v>512</v>
      </c>
      <c r="D134" s="62">
        <v>1</v>
      </c>
      <c r="E134" s="61">
        <v>5.7077625570776253E-4</v>
      </c>
    </row>
    <row r="135" spans="2:5" ht="15" customHeight="1">
      <c r="B135" s="155"/>
      <c r="C135" s="63" t="s">
        <v>513</v>
      </c>
      <c r="D135" s="62">
        <v>1</v>
      </c>
      <c r="E135" s="61">
        <v>5.7077625570776253E-4</v>
      </c>
    </row>
    <row r="136" spans="2:5" ht="15" customHeight="1">
      <c r="B136" s="155"/>
      <c r="C136" s="63" t="s">
        <v>72</v>
      </c>
      <c r="D136" s="62">
        <v>7</v>
      </c>
      <c r="E136" s="61">
        <v>3.9954337899543377E-3</v>
      </c>
    </row>
    <row r="137" spans="2:5" ht="15" customHeight="1">
      <c r="B137" s="154"/>
      <c r="C137" s="60" t="s">
        <v>15</v>
      </c>
      <c r="D137" s="59">
        <v>74</v>
      </c>
      <c r="E137" s="58">
        <v>4.2237442922374427E-2</v>
      </c>
    </row>
    <row r="138" spans="2:5" ht="15" customHeight="1">
      <c r="B138" s="153" t="s">
        <v>514</v>
      </c>
      <c r="C138" s="63" t="s">
        <v>345</v>
      </c>
      <c r="D138" s="62">
        <v>1</v>
      </c>
      <c r="E138" s="61">
        <v>5.7077625570776253E-4</v>
      </c>
    </row>
    <row r="139" spans="2:5" ht="15" customHeight="1">
      <c r="B139" s="155"/>
      <c r="C139" s="63" t="s">
        <v>344</v>
      </c>
      <c r="D139" s="62">
        <v>1</v>
      </c>
      <c r="E139" s="61">
        <v>5.7077625570776253E-4</v>
      </c>
    </row>
    <row r="140" spans="2:5" ht="15" customHeight="1">
      <c r="B140" s="155"/>
      <c r="C140" s="63" t="s">
        <v>171</v>
      </c>
      <c r="D140" s="62">
        <v>4</v>
      </c>
      <c r="E140" s="61">
        <v>2.2831050228310501E-3</v>
      </c>
    </row>
    <row r="141" spans="2:5" ht="15" customHeight="1">
      <c r="B141" s="155"/>
      <c r="C141" s="63" t="s">
        <v>343</v>
      </c>
      <c r="D141" s="62">
        <v>1</v>
      </c>
      <c r="E141" s="61">
        <v>5.7077625570776253E-4</v>
      </c>
    </row>
    <row r="142" spans="2:5" ht="15" customHeight="1">
      <c r="B142" s="155"/>
      <c r="C142" s="63" t="s">
        <v>515</v>
      </c>
      <c r="D142" s="62">
        <v>1</v>
      </c>
      <c r="E142" s="61">
        <v>5.7077625570776253E-4</v>
      </c>
    </row>
    <row r="143" spans="2:5" ht="15" customHeight="1">
      <c r="B143" s="155"/>
      <c r="C143" s="63" t="s">
        <v>342</v>
      </c>
      <c r="D143" s="62">
        <v>5</v>
      </c>
      <c r="E143" s="61">
        <v>2.8538812785388126E-3</v>
      </c>
    </row>
    <row r="144" spans="2:5" ht="15" customHeight="1">
      <c r="B144" s="155"/>
      <c r="C144" s="63" t="s">
        <v>341</v>
      </c>
      <c r="D144" s="62">
        <v>1</v>
      </c>
      <c r="E144" s="61">
        <v>5.7077625570776253E-4</v>
      </c>
    </row>
    <row r="145" spans="2:5" ht="15" customHeight="1">
      <c r="B145" s="155"/>
      <c r="C145" s="63" t="s">
        <v>516</v>
      </c>
      <c r="D145" s="62">
        <v>2</v>
      </c>
      <c r="E145" s="61">
        <v>1.1415525114155251E-3</v>
      </c>
    </row>
    <row r="146" spans="2:5" ht="15" customHeight="1">
      <c r="B146" s="155"/>
      <c r="C146" s="63" t="s">
        <v>41</v>
      </c>
      <c r="D146" s="62">
        <v>3</v>
      </c>
      <c r="E146" s="61">
        <v>1.7123287671232876E-3</v>
      </c>
    </row>
    <row r="147" spans="2:5" ht="15" customHeight="1">
      <c r="B147" s="155"/>
      <c r="C147" s="63" t="s">
        <v>340</v>
      </c>
      <c r="D147" s="62">
        <v>1</v>
      </c>
      <c r="E147" s="61">
        <v>5.7077625570776253E-4</v>
      </c>
    </row>
    <row r="148" spans="2:5" ht="15" customHeight="1">
      <c r="B148" s="155"/>
      <c r="C148" s="63" t="s">
        <v>339</v>
      </c>
      <c r="D148" s="62">
        <v>2</v>
      </c>
      <c r="E148" s="61">
        <v>1.1415525114155251E-3</v>
      </c>
    </row>
    <row r="149" spans="2:5" ht="15" customHeight="1">
      <c r="B149" s="155"/>
      <c r="C149" s="63" t="s">
        <v>338</v>
      </c>
      <c r="D149" s="62">
        <v>2</v>
      </c>
      <c r="E149" s="61">
        <v>1.1415525114155251E-3</v>
      </c>
    </row>
    <row r="150" spans="2:5" ht="15" customHeight="1">
      <c r="B150" s="155"/>
      <c r="C150" s="63" t="s">
        <v>337</v>
      </c>
      <c r="D150" s="62">
        <v>6</v>
      </c>
      <c r="E150" s="61">
        <v>3.4246575342465752E-3</v>
      </c>
    </row>
    <row r="151" spans="2:5" ht="15" customHeight="1">
      <c r="B151" s="155"/>
      <c r="C151" s="63" t="s">
        <v>336</v>
      </c>
      <c r="D151" s="62">
        <v>15</v>
      </c>
      <c r="E151" s="61">
        <v>8.5616438356164379E-3</v>
      </c>
    </row>
    <row r="152" spans="2:5" ht="15" customHeight="1">
      <c r="B152" s="155"/>
      <c r="C152" s="63" t="s">
        <v>335</v>
      </c>
      <c r="D152" s="62">
        <v>1</v>
      </c>
      <c r="E152" s="61">
        <v>5.7077625570776253E-4</v>
      </c>
    </row>
    <row r="153" spans="2:5" ht="15" customHeight="1">
      <c r="B153" s="155"/>
      <c r="C153" s="63" t="s">
        <v>108</v>
      </c>
      <c r="D153" s="62">
        <v>1</v>
      </c>
      <c r="E153" s="61">
        <v>5.7077625570776253E-4</v>
      </c>
    </row>
    <row r="154" spans="2:5" ht="15" customHeight="1">
      <c r="B154" s="155"/>
      <c r="C154" s="63" t="s">
        <v>334</v>
      </c>
      <c r="D154" s="62">
        <v>7</v>
      </c>
      <c r="E154" s="61">
        <v>3.9954337899543377E-3</v>
      </c>
    </row>
    <row r="155" spans="2:5" ht="15" customHeight="1">
      <c r="B155" s="155"/>
      <c r="C155" s="63" t="s">
        <v>333</v>
      </c>
      <c r="D155" s="62">
        <v>1</v>
      </c>
      <c r="E155" s="61">
        <v>5.7077625570776253E-4</v>
      </c>
    </row>
    <row r="156" spans="2:5" ht="15" customHeight="1">
      <c r="B156" s="155"/>
      <c r="C156" s="63" t="s">
        <v>332</v>
      </c>
      <c r="D156" s="62">
        <v>3</v>
      </c>
      <c r="E156" s="61">
        <v>1.7123287671232876E-3</v>
      </c>
    </row>
    <row r="157" spans="2:5" ht="15" customHeight="1">
      <c r="B157" s="155"/>
      <c r="C157" s="63" t="s">
        <v>331</v>
      </c>
      <c r="D157" s="62">
        <v>3</v>
      </c>
      <c r="E157" s="61">
        <v>1.7123287671232876E-3</v>
      </c>
    </row>
    <row r="158" spans="2:5" ht="15" customHeight="1">
      <c r="B158" s="155"/>
      <c r="C158" s="63" t="s">
        <v>330</v>
      </c>
      <c r="D158" s="62">
        <v>6</v>
      </c>
      <c r="E158" s="61">
        <v>3.4246575342465752E-3</v>
      </c>
    </row>
    <row r="159" spans="2:5" ht="15" customHeight="1">
      <c r="B159" s="155"/>
      <c r="C159" s="63" t="s">
        <v>329</v>
      </c>
      <c r="D159" s="62">
        <v>2</v>
      </c>
      <c r="E159" s="61">
        <v>1.1415525114155251E-3</v>
      </c>
    </row>
    <row r="160" spans="2:5" ht="15" customHeight="1">
      <c r="B160" s="155"/>
      <c r="C160" s="63" t="s">
        <v>328</v>
      </c>
      <c r="D160" s="62">
        <v>3</v>
      </c>
      <c r="E160" s="61">
        <v>1.7123287671232876E-3</v>
      </c>
    </row>
    <row r="161" spans="2:5" ht="15" customHeight="1">
      <c r="B161" s="155"/>
      <c r="C161" s="63" t="s">
        <v>327</v>
      </c>
      <c r="D161" s="62">
        <v>1</v>
      </c>
      <c r="E161" s="61">
        <v>5.7077625570776253E-4</v>
      </c>
    </row>
    <row r="162" spans="2:5" ht="15" customHeight="1">
      <c r="B162" s="155"/>
      <c r="C162" s="63" t="s">
        <v>326</v>
      </c>
      <c r="D162" s="62">
        <v>3</v>
      </c>
      <c r="E162" s="61">
        <v>1.7123287671232876E-3</v>
      </c>
    </row>
    <row r="163" spans="2:5" ht="15" customHeight="1">
      <c r="B163" s="155"/>
      <c r="C163" s="63" t="s">
        <v>325</v>
      </c>
      <c r="D163" s="62">
        <v>2</v>
      </c>
      <c r="E163" s="61">
        <v>1.1415525114155251E-3</v>
      </c>
    </row>
    <row r="164" spans="2:5" ht="15" customHeight="1">
      <c r="B164" s="155"/>
      <c r="C164" s="63" t="s">
        <v>324</v>
      </c>
      <c r="D164" s="62">
        <v>1</v>
      </c>
      <c r="E164" s="61">
        <v>5.7077625570776253E-4</v>
      </c>
    </row>
    <row r="165" spans="2:5" ht="15" customHeight="1">
      <c r="B165" s="155"/>
      <c r="C165" s="63" t="s">
        <v>323</v>
      </c>
      <c r="D165" s="62">
        <v>12</v>
      </c>
      <c r="E165" s="61">
        <v>6.8493150684931503E-3</v>
      </c>
    </row>
    <row r="166" spans="2:5" ht="15" customHeight="1">
      <c r="B166" s="154"/>
      <c r="C166" s="63" t="s">
        <v>322</v>
      </c>
      <c r="D166" s="62">
        <v>3</v>
      </c>
      <c r="E166" s="61">
        <v>1.7123287671232876E-3</v>
      </c>
    </row>
    <row r="167" spans="2:5" ht="15" customHeight="1">
      <c r="B167" s="50" t="s">
        <v>41</v>
      </c>
      <c r="C167" s="60" t="s">
        <v>15</v>
      </c>
      <c r="D167" s="59">
        <v>94</v>
      </c>
      <c r="E167" s="58">
        <v>5.3652968036529677E-2</v>
      </c>
    </row>
    <row r="168" spans="2:5" ht="15" customHeight="1">
      <c r="B168" s="153" t="s">
        <v>517</v>
      </c>
      <c r="C168" s="63" t="s">
        <v>321</v>
      </c>
      <c r="D168" s="62">
        <v>11</v>
      </c>
      <c r="E168" s="61">
        <v>6.2785388127853878E-3</v>
      </c>
    </row>
    <row r="169" spans="2:5" ht="15" customHeight="1">
      <c r="B169" s="155"/>
      <c r="C169" s="63" t="s">
        <v>320</v>
      </c>
      <c r="D169" s="62">
        <v>1</v>
      </c>
      <c r="E169" s="61">
        <v>5.7077625570776253E-4</v>
      </c>
    </row>
    <row r="170" spans="2:5" ht="15" customHeight="1">
      <c r="B170" s="155"/>
      <c r="C170" s="63" t="s">
        <v>319</v>
      </c>
      <c r="D170" s="62">
        <v>1</v>
      </c>
      <c r="E170" s="61">
        <v>5.7077625570776253E-4</v>
      </c>
    </row>
    <row r="171" spans="2:5" ht="15" customHeight="1">
      <c r="B171" s="155"/>
      <c r="C171" s="63" t="s">
        <v>318</v>
      </c>
      <c r="D171" s="62">
        <v>3</v>
      </c>
      <c r="E171" s="61">
        <v>1.7123287671232876E-3</v>
      </c>
    </row>
    <row r="172" spans="2:5" ht="15" customHeight="1">
      <c r="B172" s="155"/>
      <c r="C172" s="63" t="s">
        <v>317</v>
      </c>
      <c r="D172" s="62">
        <v>6</v>
      </c>
      <c r="E172" s="61">
        <v>3.4246575342465752E-3</v>
      </c>
    </row>
    <row r="173" spans="2:5" ht="15" customHeight="1">
      <c r="B173" s="155"/>
      <c r="C173" s="63" t="s">
        <v>316</v>
      </c>
      <c r="D173" s="62">
        <v>5</v>
      </c>
      <c r="E173" s="61">
        <v>2.8538812785388126E-3</v>
      </c>
    </row>
    <row r="174" spans="2:5" ht="15" customHeight="1">
      <c r="B174" s="155"/>
      <c r="C174" s="63" t="s">
        <v>315</v>
      </c>
      <c r="D174" s="62">
        <v>4</v>
      </c>
      <c r="E174" s="61">
        <v>2.2831050228310501E-3</v>
      </c>
    </row>
    <row r="175" spans="2:5" ht="15" customHeight="1">
      <c r="B175" s="155"/>
      <c r="C175" s="63" t="s">
        <v>69</v>
      </c>
      <c r="D175" s="62">
        <v>1</v>
      </c>
      <c r="E175" s="61">
        <v>5.7077625570776253E-4</v>
      </c>
    </row>
    <row r="176" spans="2:5" ht="15" customHeight="1">
      <c r="B176" s="155"/>
      <c r="C176" s="63" t="s">
        <v>314</v>
      </c>
      <c r="D176" s="62">
        <v>1</v>
      </c>
      <c r="E176" s="61">
        <v>5.7077625570776253E-4</v>
      </c>
    </row>
    <row r="177" spans="2:5" ht="15" customHeight="1">
      <c r="B177" s="155"/>
      <c r="C177" s="63" t="s">
        <v>313</v>
      </c>
      <c r="D177" s="62">
        <v>5</v>
      </c>
      <c r="E177" s="61">
        <v>2.8538812785388126E-3</v>
      </c>
    </row>
    <row r="178" spans="2:5" ht="15" customHeight="1">
      <c r="B178" s="155"/>
      <c r="C178" s="63" t="s">
        <v>312</v>
      </c>
      <c r="D178" s="62">
        <v>1</v>
      </c>
      <c r="E178" s="61">
        <v>5.7077625570776253E-4</v>
      </c>
    </row>
    <row r="179" spans="2:5" ht="15" customHeight="1">
      <c r="B179" s="155"/>
      <c r="C179" s="63" t="s">
        <v>269</v>
      </c>
      <c r="D179" s="62">
        <v>5</v>
      </c>
      <c r="E179" s="61">
        <v>2.8538812785388126E-3</v>
      </c>
    </row>
    <row r="180" spans="2:5" ht="15" customHeight="1">
      <c r="B180" s="155"/>
      <c r="C180" s="63" t="s">
        <v>311</v>
      </c>
      <c r="D180" s="62">
        <v>1</v>
      </c>
      <c r="E180" s="61">
        <v>5.7077625570776253E-4</v>
      </c>
    </row>
    <row r="181" spans="2:5" ht="15" customHeight="1">
      <c r="B181" s="155"/>
      <c r="C181" s="63" t="s">
        <v>310</v>
      </c>
      <c r="D181" s="62">
        <v>5</v>
      </c>
      <c r="E181" s="61">
        <v>2.8538812785388126E-3</v>
      </c>
    </row>
    <row r="182" spans="2:5" ht="15" customHeight="1">
      <c r="B182" s="155"/>
      <c r="C182" s="63" t="s">
        <v>309</v>
      </c>
      <c r="D182" s="62">
        <v>1</v>
      </c>
      <c r="E182" s="61">
        <v>5.7077625570776253E-4</v>
      </c>
    </row>
    <row r="183" spans="2:5" ht="15" customHeight="1">
      <c r="B183" s="155"/>
      <c r="C183" s="63" t="s">
        <v>308</v>
      </c>
      <c r="D183" s="62">
        <v>1</v>
      </c>
      <c r="E183" s="61">
        <v>5.7077625570776253E-4</v>
      </c>
    </row>
    <row r="184" spans="2:5" ht="15" customHeight="1">
      <c r="B184" s="155"/>
      <c r="C184" s="63" t="s">
        <v>307</v>
      </c>
      <c r="D184" s="62">
        <v>3</v>
      </c>
      <c r="E184" s="61">
        <v>1.7123287671232876E-3</v>
      </c>
    </row>
    <row r="185" spans="2:5" ht="15" customHeight="1">
      <c r="B185" s="155"/>
      <c r="C185" s="63" t="s">
        <v>518</v>
      </c>
      <c r="D185" s="62">
        <v>1</v>
      </c>
      <c r="E185" s="61">
        <v>5.7077625570776253E-4</v>
      </c>
    </row>
    <row r="186" spans="2:5" ht="15" customHeight="1">
      <c r="B186" s="155"/>
      <c r="C186" s="63" t="s">
        <v>306</v>
      </c>
      <c r="D186" s="62">
        <v>2</v>
      </c>
      <c r="E186" s="61">
        <v>1.1415525114155251E-3</v>
      </c>
    </row>
    <row r="187" spans="2:5" ht="15" customHeight="1">
      <c r="B187" s="155"/>
      <c r="C187" s="63" t="s">
        <v>305</v>
      </c>
      <c r="D187" s="62">
        <v>3</v>
      </c>
      <c r="E187" s="61">
        <v>1.7123287671232876E-3</v>
      </c>
    </row>
    <row r="188" spans="2:5" ht="15" customHeight="1">
      <c r="B188" s="155"/>
      <c r="C188" s="63" t="s">
        <v>304</v>
      </c>
      <c r="D188" s="62">
        <v>2</v>
      </c>
      <c r="E188" s="61">
        <v>1.1415525114155251E-3</v>
      </c>
    </row>
    <row r="189" spans="2:5" ht="15" customHeight="1">
      <c r="B189" s="155"/>
      <c r="C189" s="63" t="s">
        <v>519</v>
      </c>
      <c r="D189" s="62">
        <v>1</v>
      </c>
      <c r="E189" s="61">
        <v>5.7077625570776253E-4</v>
      </c>
    </row>
    <row r="190" spans="2:5" ht="15" customHeight="1">
      <c r="B190" s="155"/>
      <c r="C190" s="63" t="s">
        <v>303</v>
      </c>
      <c r="D190" s="62">
        <v>1</v>
      </c>
      <c r="E190" s="61">
        <v>5.7077625570776253E-4</v>
      </c>
    </row>
    <row r="191" spans="2:5" ht="15" customHeight="1">
      <c r="B191" s="155"/>
      <c r="C191" s="63" t="s">
        <v>302</v>
      </c>
      <c r="D191" s="62">
        <v>3</v>
      </c>
      <c r="E191" s="61">
        <v>1.7123287671232876E-3</v>
      </c>
    </row>
    <row r="192" spans="2:5" ht="15" customHeight="1">
      <c r="B192" s="155"/>
      <c r="C192" s="63" t="s">
        <v>301</v>
      </c>
      <c r="D192" s="62">
        <v>7</v>
      </c>
      <c r="E192" s="61">
        <v>3.9954337899543377E-3</v>
      </c>
    </row>
    <row r="193" spans="2:5" ht="15" customHeight="1">
      <c r="B193" s="155"/>
      <c r="C193" s="63" t="s">
        <v>520</v>
      </c>
      <c r="D193" s="62">
        <v>1</v>
      </c>
      <c r="E193" s="61">
        <v>5.7077625570776253E-4</v>
      </c>
    </row>
    <row r="194" spans="2:5" ht="15" customHeight="1">
      <c r="B194" s="155"/>
      <c r="C194" s="63" t="s">
        <v>300</v>
      </c>
      <c r="D194" s="62">
        <v>5</v>
      </c>
      <c r="E194" s="61">
        <v>2.8538812785388126E-3</v>
      </c>
    </row>
    <row r="195" spans="2:5" ht="15" customHeight="1">
      <c r="B195" s="155"/>
      <c r="C195" s="63" t="s">
        <v>299</v>
      </c>
      <c r="D195" s="62">
        <v>2</v>
      </c>
      <c r="E195" s="61">
        <v>1.1415525114155251E-3</v>
      </c>
    </row>
    <row r="196" spans="2:5" ht="15" customHeight="1">
      <c r="B196" s="155"/>
      <c r="C196" s="63" t="s">
        <v>298</v>
      </c>
      <c r="D196" s="62">
        <v>2</v>
      </c>
      <c r="E196" s="61">
        <v>1.1415525114155251E-3</v>
      </c>
    </row>
    <row r="197" spans="2:5" ht="15" customHeight="1">
      <c r="B197" s="155"/>
      <c r="C197" s="63" t="s">
        <v>521</v>
      </c>
      <c r="D197" s="62">
        <v>1</v>
      </c>
      <c r="E197" s="61">
        <v>5.7077625570776253E-4</v>
      </c>
    </row>
    <row r="198" spans="2:5" ht="15" customHeight="1">
      <c r="B198" s="155"/>
      <c r="C198" s="63" t="s">
        <v>297</v>
      </c>
      <c r="D198" s="62">
        <v>2</v>
      </c>
      <c r="E198" s="61">
        <v>1.1415525114155251E-3</v>
      </c>
    </row>
    <row r="199" spans="2:5" ht="15" customHeight="1">
      <c r="B199" s="155"/>
      <c r="C199" s="63" t="s">
        <v>522</v>
      </c>
      <c r="D199" s="62">
        <v>4</v>
      </c>
      <c r="E199" s="61">
        <v>2.2831050228310501E-3</v>
      </c>
    </row>
    <row r="200" spans="2:5" ht="15" customHeight="1">
      <c r="B200" s="155"/>
      <c r="C200" s="63" t="s">
        <v>296</v>
      </c>
      <c r="D200" s="62">
        <v>3</v>
      </c>
      <c r="E200" s="61">
        <v>1.7123287671232876E-3</v>
      </c>
    </row>
    <row r="201" spans="2:5" ht="15" customHeight="1">
      <c r="B201" s="155"/>
      <c r="C201" s="63" t="s">
        <v>295</v>
      </c>
      <c r="D201" s="62">
        <v>5</v>
      </c>
      <c r="E201" s="61">
        <v>2.8538812785388126E-3</v>
      </c>
    </row>
    <row r="202" spans="2:5" ht="15" customHeight="1">
      <c r="B202" s="155"/>
      <c r="C202" s="63" t="s">
        <v>294</v>
      </c>
      <c r="D202" s="62">
        <v>1</v>
      </c>
      <c r="E202" s="61">
        <v>5.7077625570776253E-4</v>
      </c>
    </row>
    <row r="203" spans="2:5" ht="15" customHeight="1">
      <c r="B203" s="155"/>
      <c r="C203" s="63" t="s">
        <v>293</v>
      </c>
      <c r="D203" s="62">
        <v>1</v>
      </c>
      <c r="E203" s="61">
        <v>5.7077625570776253E-4</v>
      </c>
    </row>
    <row r="204" spans="2:5" ht="15" customHeight="1">
      <c r="B204" s="155"/>
      <c r="C204" s="63" t="s">
        <v>292</v>
      </c>
      <c r="D204" s="62">
        <v>3</v>
      </c>
      <c r="E204" s="61">
        <v>1.7123287671232876E-3</v>
      </c>
    </row>
    <row r="205" spans="2:5" ht="15" customHeight="1">
      <c r="B205" s="155"/>
      <c r="C205" s="63" t="s">
        <v>523</v>
      </c>
      <c r="D205" s="62">
        <v>2</v>
      </c>
      <c r="E205" s="61">
        <v>1.1415525114155251E-3</v>
      </c>
    </row>
    <row r="206" spans="2:5" ht="15" customHeight="1">
      <c r="B206" s="155"/>
      <c r="C206" s="63" t="s">
        <v>291</v>
      </c>
      <c r="D206" s="62">
        <v>3</v>
      </c>
      <c r="E206" s="61">
        <v>1.7123287671232876E-3</v>
      </c>
    </row>
    <row r="207" spans="2:5" ht="15" customHeight="1">
      <c r="B207" s="155"/>
      <c r="C207" s="63" t="s">
        <v>290</v>
      </c>
      <c r="D207" s="62">
        <v>3</v>
      </c>
      <c r="E207" s="61">
        <v>1.7123287671232876E-3</v>
      </c>
    </row>
    <row r="208" spans="2:5" ht="15" customHeight="1">
      <c r="B208" s="154"/>
      <c r="C208" s="60" t="s">
        <v>15</v>
      </c>
      <c r="D208" s="59">
        <v>113</v>
      </c>
      <c r="E208" s="58">
        <v>6.4497716894977172E-2</v>
      </c>
    </row>
    <row r="209" spans="2:5" ht="15" customHeight="1">
      <c r="B209" s="153" t="s">
        <v>32</v>
      </c>
      <c r="C209" s="63" t="s">
        <v>289</v>
      </c>
      <c r="D209" s="62">
        <v>2</v>
      </c>
      <c r="E209" s="61">
        <v>1.1415525114155251E-3</v>
      </c>
    </row>
    <row r="210" spans="2:5" ht="15" customHeight="1">
      <c r="B210" s="155"/>
      <c r="C210" s="63" t="s">
        <v>102</v>
      </c>
      <c r="D210" s="62">
        <v>2</v>
      </c>
      <c r="E210" s="61">
        <v>1.1415525114155251E-3</v>
      </c>
    </row>
    <row r="211" spans="2:5" ht="15" customHeight="1">
      <c r="B211" s="155"/>
      <c r="C211" s="63" t="s">
        <v>288</v>
      </c>
      <c r="D211" s="62">
        <v>5</v>
      </c>
      <c r="E211" s="61">
        <v>2.8538812785388126E-3</v>
      </c>
    </row>
    <row r="212" spans="2:5" ht="15" customHeight="1">
      <c r="B212" s="155"/>
      <c r="C212" s="63" t="s">
        <v>287</v>
      </c>
      <c r="D212" s="62">
        <v>2</v>
      </c>
      <c r="E212" s="61">
        <v>1.1415525114155251E-3</v>
      </c>
    </row>
    <row r="213" spans="2:5" ht="15" customHeight="1">
      <c r="B213" s="155"/>
      <c r="C213" s="63" t="s">
        <v>524</v>
      </c>
      <c r="D213" s="62">
        <v>1</v>
      </c>
      <c r="E213" s="61">
        <v>5.7077625570776253E-4</v>
      </c>
    </row>
    <row r="214" spans="2:5" ht="15" customHeight="1">
      <c r="B214" s="155"/>
      <c r="C214" s="63" t="s">
        <v>286</v>
      </c>
      <c r="D214" s="62">
        <v>16</v>
      </c>
      <c r="E214" s="61">
        <v>9.1324200913242004E-3</v>
      </c>
    </row>
    <row r="215" spans="2:5" ht="15" customHeight="1">
      <c r="B215" s="155"/>
      <c r="C215" s="63" t="s">
        <v>525</v>
      </c>
      <c r="D215" s="62">
        <v>1</v>
      </c>
      <c r="E215" s="61">
        <v>5.7077625570776253E-4</v>
      </c>
    </row>
    <row r="216" spans="2:5" ht="15" customHeight="1">
      <c r="B216" s="155"/>
      <c r="C216" s="63" t="s">
        <v>526</v>
      </c>
      <c r="D216" s="62">
        <v>1</v>
      </c>
      <c r="E216" s="61">
        <v>5.7077625570776253E-4</v>
      </c>
    </row>
    <row r="217" spans="2:5" ht="15" customHeight="1">
      <c r="B217" s="155"/>
      <c r="C217" s="63" t="s">
        <v>284</v>
      </c>
      <c r="D217" s="62">
        <v>1</v>
      </c>
      <c r="E217" s="61">
        <v>5.7077625570776253E-4</v>
      </c>
    </row>
    <row r="218" spans="2:5" ht="15" customHeight="1">
      <c r="B218" s="155"/>
      <c r="C218" s="63" t="s">
        <v>283</v>
      </c>
      <c r="D218" s="62">
        <v>5</v>
      </c>
      <c r="E218" s="61">
        <v>2.8538812785388126E-3</v>
      </c>
    </row>
    <row r="219" spans="2:5" ht="15" customHeight="1">
      <c r="B219" s="155"/>
      <c r="C219" s="63" t="s">
        <v>282</v>
      </c>
      <c r="D219" s="62">
        <v>4</v>
      </c>
      <c r="E219" s="61">
        <v>2.2831050228310501E-3</v>
      </c>
    </row>
    <row r="220" spans="2:5" ht="15" customHeight="1">
      <c r="B220" s="155"/>
      <c r="C220" s="63" t="s">
        <v>281</v>
      </c>
      <c r="D220" s="62">
        <v>1</v>
      </c>
      <c r="E220" s="61">
        <v>5.7077625570776253E-4</v>
      </c>
    </row>
    <row r="221" spans="2:5" ht="15" customHeight="1">
      <c r="B221" s="155"/>
      <c r="C221" s="63" t="s">
        <v>527</v>
      </c>
      <c r="D221" s="62">
        <v>2</v>
      </c>
      <c r="E221" s="61">
        <v>1.1415525114155251E-3</v>
      </c>
    </row>
    <row r="222" spans="2:5" ht="15" customHeight="1">
      <c r="B222" s="155"/>
      <c r="C222" s="63" t="s">
        <v>280</v>
      </c>
      <c r="D222" s="62">
        <v>2</v>
      </c>
      <c r="E222" s="61">
        <v>1.1415525114155251E-3</v>
      </c>
    </row>
    <row r="223" spans="2:5" ht="15" customHeight="1">
      <c r="B223" s="155"/>
      <c r="C223" s="63" t="s">
        <v>528</v>
      </c>
      <c r="D223" s="62">
        <v>1</v>
      </c>
      <c r="E223" s="61">
        <v>5.7077625570776253E-4</v>
      </c>
    </row>
    <row r="224" spans="2:5" ht="15" customHeight="1">
      <c r="B224" s="155"/>
      <c r="C224" s="63" t="s">
        <v>279</v>
      </c>
      <c r="D224" s="62">
        <v>1</v>
      </c>
      <c r="E224" s="61">
        <v>5.7077625570776253E-4</v>
      </c>
    </row>
    <row r="225" spans="2:5" ht="15" customHeight="1">
      <c r="B225" s="155"/>
      <c r="C225" s="63" t="s">
        <v>278</v>
      </c>
      <c r="D225" s="62">
        <v>22</v>
      </c>
      <c r="E225" s="61">
        <v>1.2557077625570776E-2</v>
      </c>
    </row>
    <row r="226" spans="2:5" ht="15" customHeight="1">
      <c r="B226" s="155"/>
      <c r="C226" s="63" t="s">
        <v>529</v>
      </c>
      <c r="D226" s="62">
        <v>1</v>
      </c>
      <c r="E226" s="61">
        <v>5.7077625570776253E-4</v>
      </c>
    </row>
    <row r="227" spans="2:5" ht="15" customHeight="1">
      <c r="B227" s="155"/>
      <c r="C227" s="63" t="s">
        <v>277</v>
      </c>
      <c r="D227" s="62">
        <v>1</v>
      </c>
      <c r="E227" s="61">
        <v>5.7077625570776253E-4</v>
      </c>
    </row>
    <row r="228" spans="2:5" ht="15" customHeight="1">
      <c r="B228" s="154"/>
      <c r="C228" s="60" t="s">
        <v>15</v>
      </c>
      <c r="D228" s="59">
        <v>71</v>
      </c>
      <c r="E228" s="58">
        <v>4.0525114155251139E-2</v>
      </c>
    </row>
    <row r="229" spans="2:5" ht="15" customHeight="1">
      <c r="B229" s="153" t="s">
        <v>44</v>
      </c>
      <c r="C229" s="63" t="s">
        <v>530</v>
      </c>
      <c r="D229" s="62">
        <v>1</v>
      </c>
      <c r="E229" s="61">
        <v>5.7077625570776253E-4</v>
      </c>
    </row>
    <row r="230" spans="2:5" ht="15" customHeight="1">
      <c r="B230" s="155"/>
      <c r="C230" s="63" t="s">
        <v>276</v>
      </c>
      <c r="D230" s="62">
        <v>3</v>
      </c>
      <c r="E230" s="61">
        <v>1.7123287671232876E-3</v>
      </c>
    </row>
    <row r="231" spans="2:5" ht="15" customHeight="1">
      <c r="B231" s="155"/>
      <c r="C231" s="63" t="s">
        <v>275</v>
      </c>
      <c r="D231" s="62">
        <v>1</v>
      </c>
      <c r="E231" s="61">
        <v>5.7077625570776253E-4</v>
      </c>
    </row>
    <row r="232" spans="2:5" ht="15" customHeight="1">
      <c r="B232" s="155"/>
      <c r="C232" s="63" t="s">
        <v>531</v>
      </c>
      <c r="D232" s="62">
        <v>1</v>
      </c>
      <c r="E232" s="61">
        <v>5.7077625570776253E-4</v>
      </c>
    </row>
    <row r="233" spans="2:5" ht="15" customHeight="1">
      <c r="B233" s="155"/>
      <c r="C233" s="63" t="s">
        <v>274</v>
      </c>
      <c r="D233" s="62">
        <v>1</v>
      </c>
      <c r="E233" s="61">
        <v>5.7077625570776253E-4</v>
      </c>
    </row>
    <row r="234" spans="2:5" ht="15" customHeight="1">
      <c r="B234" s="155"/>
      <c r="C234" s="63" t="s">
        <v>273</v>
      </c>
      <c r="D234" s="62">
        <v>2</v>
      </c>
      <c r="E234" s="61">
        <v>1.1415525114155251E-3</v>
      </c>
    </row>
    <row r="235" spans="2:5" ht="15" customHeight="1">
      <c r="B235" s="155"/>
      <c r="C235" s="63" t="s">
        <v>272</v>
      </c>
      <c r="D235" s="62">
        <v>5</v>
      </c>
      <c r="E235" s="61">
        <v>2.8538812785388126E-3</v>
      </c>
    </row>
    <row r="236" spans="2:5" ht="15" customHeight="1">
      <c r="B236" s="155"/>
      <c r="C236" s="63" t="s">
        <v>271</v>
      </c>
      <c r="D236" s="62">
        <v>2</v>
      </c>
      <c r="E236" s="61">
        <v>1.1415525114155251E-3</v>
      </c>
    </row>
    <row r="237" spans="2:5" ht="15" customHeight="1">
      <c r="B237" s="155"/>
      <c r="C237" s="63" t="s">
        <v>270</v>
      </c>
      <c r="D237" s="62">
        <v>1</v>
      </c>
      <c r="E237" s="61">
        <v>5.7077625570776253E-4</v>
      </c>
    </row>
    <row r="238" spans="2:5" ht="15" customHeight="1">
      <c r="B238" s="155"/>
      <c r="C238" s="63" t="s">
        <v>268</v>
      </c>
      <c r="D238" s="62">
        <v>13</v>
      </c>
      <c r="E238" s="61">
        <v>7.4200913242009128E-3</v>
      </c>
    </row>
    <row r="239" spans="2:5" ht="15" customHeight="1">
      <c r="B239" s="155"/>
      <c r="C239" s="63" t="s">
        <v>267</v>
      </c>
      <c r="D239" s="62">
        <v>1</v>
      </c>
      <c r="E239" s="61">
        <v>5.7077625570776253E-4</v>
      </c>
    </row>
    <row r="240" spans="2:5" ht="15" customHeight="1">
      <c r="B240" s="155"/>
      <c r="C240" s="63" t="s">
        <v>266</v>
      </c>
      <c r="D240" s="62">
        <v>10</v>
      </c>
      <c r="E240" s="61">
        <v>5.7077625570776253E-3</v>
      </c>
    </row>
    <row r="241" spans="2:5" ht="15" customHeight="1">
      <c r="B241" s="155"/>
      <c r="C241" s="63" t="s">
        <v>265</v>
      </c>
      <c r="D241" s="62">
        <v>8</v>
      </c>
      <c r="E241" s="61">
        <v>4.5662100456621002E-3</v>
      </c>
    </row>
    <row r="242" spans="2:5" ht="15" customHeight="1">
      <c r="B242" s="155"/>
      <c r="C242" s="63" t="s">
        <v>264</v>
      </c>
      <c r="D242" s="62">
        <v>50</v>
      </c>
      <c r="E242" s="61">
        <v>2.8538812785388126E-2</v>
      </c>
    </row>
    <row r="243" spans="2:5" ht="15" customHeight="1">
      <c r="B243" s="155"/>
      <c r="C243" s="63" t="s">
        <v>263</v>
      </c>
      <c r="D243" s="62">
        <v>1</v>
      </c>
      <c r="E243" s="61">
        <v>5.7077625570776253E-4</v>
      </c>
    </row>
    <row r="244" spans="2:5" ht="15" customHeight="1">
      <c r="B244" s="155"/>
      <c r="C244" s="63" t="s">
        <v>262</v>
      </c>
      <c r="D244" s="62">
        <v>2</v>
      </c>
      <c r="E244" s="61">
        <v>1.1415525114155251E-3</v>
      </c>
    </row>
    <row r="245" spans="2:5" ht="15" customHeight="1">
      <c r="B245" s="155"/>
      <c r="C245" s="63" t="s">
        <v>532</v>
      </c>
      <c r="D245" s="62">
        <v>1</v>
      </c>
      <c r="E245" s="61">
        <v>5.7077625570776253E-4</v>
      </c>
    </row>
    <row r="246" spans="2:5" ht="15" customHeight="1">
      <c r="B246" s="155"/>
      <c r="C246" s="63" t="s">
        <v>533</v>
      </c>
      <c r="D246" s="62">
        <v>1</v>
      </c>
      <c r="E246" s="61">
        <v>5.7077625570776253E-4</v>
      </c>
    </row>
    <row r="247" spans="2:5" ht="15" customHeight="1">
      <c r="B247" s="155"/>
      <c r="C247" s="63" t="s">
        <v>261</v>
      </c>
      <c r="D247" s="62">
        <v>1</v>
      </c>
      <c r="E247" s="61">
        <v>5.7077625570776253E-4</v>
      </c>
    </row>
    <row r="248" spans="2:5" ht="15" customHeight="1">
      <c r="B248" s="155"/>
      <c r="C248" s="63" t="s">
        <v>260</v>
      </c>
      <c r="D248" s="62">
        <v>1</v>
      </c>
      <c r="E248" s="61">
        <v>5.7077625570776253E-4</v>
      </c>
    </row>
    <row r="249" spans="2:5" ht="15" customHeight="1">
      <c r="B249" s="155"/>
      <c r="C249" s="63" t="s">
        <v>259</v>
      </c>
      <c r="D249" s="62">
        <v>3</v>
      </c>
      <c r="E249" s="61">
        <v>1.7123287671232876E-3</v>
      </c>
    </row>
    <row r="250" spans="2:5" ht="15" customHeight="1">
      <c r="B250" s="155"/>
      <c r="C250" s="63" t="s">
        <v>534</v>
      </c>
      <c r="D250" s="62">
        <v>1</v>
      </c>
      <c r="E250" s="61">
        <v>5.7077625570776253E-4</v>
      </c>
    </row>
    <row r="251" spans="2:5" ht="15" customHeight="1">
      <c r="B251" s="155"/>
      <c r="C251" s="63" t="s">
        <v>535</v>
      </c>
      <c r="D251" s="62">
        <v>2</v>
      </c>
      <c r="E251" s="61">
        <v>1.1415525114155251E-3</v>
      </c>
    </row>
    <row r="252" spans="2:5" ht="15" customHeight="1">
      <c r="B252" s="155"/>
      <c r="C252" s="63" t="s">
        <v>258</v>
      </c>
      <c r="D252" s="62">
        <v>2</v>
      </c>
      <c r="E252" s="61">
        <v>1.1415525114155251E-3</v>
      </c>
    </row>
    <row r="253" spans="2:5" ht="15" customHeight="1">
      <c r="B253" s="155"/>
      <c r="C253" s="63" t="s">
        <v>257</v>
      </c>
      <c r="D253" s="62">
        <v>2</v>
      </c>
      <c r="E253" s="61">
        <v>1.1415525114155251E-3</v>
      </c>
    </row>
    <row r="254" spans="2:5" ht="15" customHeight="1">
      <c r="B254" s="155"/>
      <c r="C254" s="63" t="s">
        <v>256</v>
      </c>
      <c r="D254" s="62">
        <v>4</v>
      </c>
      <c r="E254" s="61">
        <v>2.2831050228310501E-3</v>
      </c>
    </row>
    <row r="255" spans="2:5" ht="15" customHeight="1">
      <c r="B255" s="155"/>
      <c r="C255" s="63" t="s">
        <v>255</v>
      </c>
      <c r="D255" s="62">
        <v>2</v>
      </c>
      <c r="E255" s="61">
        <v>1.1415525114155251E-3</v>
      </c>
    </row>
    <row r="256" spans="2:5" ht="15" customHeight="1">
      <c r="B256" s="155"/>
      <c r="C256" s="63" t="s">
        <v>254</v>
      </c>
      <c r="D256" s="62">
        <v>2</v>
      </c>
      <c r="E256" s="61">
        <v>1.1415525114155251E-3</v>
      </c>
    </row>
    <row r="257" spans="2:5" ht="15" customHeight="1">
      <c r="B257" s="155"/>
      <c r="C257" s="63" t="s">
        <v>253</v>
      </c>
      <c r="D257" s="62">
        <v>2</v>
      </c>
      <c r="E257" s="61">
        <v>1.1415525114155251E-3</v>
      </c>
    </row>
    <row r="258" spans="2:5" ht="15" customHeight="1">
      <c r="B258" s="155"/>
      <c r="C258" s="63" t="s">
        <v>536</v>
      </c>
      <c r="D258" s="62">
        <v>3</v>
      </c>
      <c r="E258" s="61">
        <v>1.7123287671232876E-3</v>
      </c>
    </row>
    <row r="259" spans="2:5" ht="15" customHeight="1">
      <c r="B259" s="155"/>
      <c r="C259" s="63" t="s">
        <v>252</v>
      </c>
      <c r="D259" s="62">
        <v>2</v>
      </c>
      <c r="E259" s="61">
        <v>1.1415525114155251E-3</v>
      </c>
    </row>
    <row r="260" spans="2:5" ht="15" customHeight="1">
      <c r="B260" s="155"/>
      <c r="C260" s="63" t="s">
        <v>251</v>
      </c>
      <c r="D260" s="62">
        <v>2</v>
      </c>
      <c r="E260" s="61">
        <v>1.1415525114155251E-3</v>
      </c>
    </row>
    <row r="261" spans="2:5" ht="15" customHeight="1">
      <c r="B261" s="155"/>
      <c r="C261" s="63" t="s">
        <v>537</v>
      </c>
      <c r="D261" s="62">
        <v>4</v>
      </c>
      <c r="E261" s="61">
        <v>2.2831050228310501E-3</v>
      </c>
    </row>
    <row r="262" spans="2:5" ht="15" customHeight="1">
      <c r="B262" s="155"/>
      <c r="C262" s="63" t="s">
        <v>250</v>
      </c>
      <c r="D262" s="62">
        <v>8</v>
      </c>
      <c r="E262" s="61">
        <v>4.5662100456621002E-3</v>
      </c>
    </row>
    <row r="263" spans="2:5" ht="15" customHeight="1">
      <c r="B263" s="155"/>
      <c r="C263" s="63" t="s">
        <v>249</v>
      </c>
      <c r="D263" s="62">
        <v>2</v>
      </c>
      <c r="E263" s="61">
        <v>1.1415525114155251E-3</v>
      </c>
    </row>
    <row r="264" spans="2:5" ht="15" customHeight="1">
      <c r="B264" s="155"/>
      <c r="C264" s="63" t="s">
        <v>538</v>
      </c>
      <c r="D264" s="62">
        <v>1</v>
      </c>
      <c r="E264" s="61">
        <v>5.7077625570776253E-4</v>
      </c>
    </row>
    <row r="265" spans="2:5" ht="15" customHeight="1">
      <c r="B265" s="155"/>
      <c r="C265" s="63" t="s">
        <v>248</v>
      </c>
      <c r="D265" s="62">
        <v>1</v>
      </c>
      <c r="E265" s="61">
        <v>5.7077625570776253E-4</v>
      </c>
    </row>
    <row r="266" spans="2:5" ht="15" customHeight="1">
      <c r="B266" s="155"/>
      <c r="C266" s="63" t="s">
        <v>247</v>
      </c>
      <c r="D266" s="62">
        <v>1</v>
      </c>
      <c r="E266" s="61">
        <v>5.7077625570776253E-4</v>
      </c>
    </row>
    <row r="267" spans="2:5" ht="15" customHeight="1">
      <c r="B267" s="155"/>
      <c r="C267" s="63" t="s">
        <v>539</v>
      </c>
      <c r="D267" s="62">
        <v>1</v>
      </c>
      <c r="E267" s="61">
        <v>5.7077625570776253E-4</v>
      </c>
    </row>
    <row r="268" spans="2:5" ht="15" customHeight="1">
      <c r="B268" s="155"/>
      <c r="C268" s="63" t="s">
        <v>246</v>
      </c>
      <c r="D268" s="62">
        <v>1</v>
      </c>
      <c r="E268" s="61">
        <v>5.7077625570776253E-4</v>
      </c>
    </row>
    <row r="269" spans="2:5" ht="15" customHeight="1">
      <c r="B269" s="155"/>
      <c r="C269" s="63" t="s">
        <v>245</v>
      </c>
      <c r="D269" s="62">
        <v>2</v>
      </c>
      <c r="E269" s="61">
        <v>1.1415525114155251E-3</v>
      </c>
    </row>
    <row r="270" spans="2:5" ht="15" customHeight="1">
      <c r="B270" s="155"/>
      <c r="C270" s="63" t="s">
        <v>244</v>
      </c>
      <c r="D270" s="62">
        <v>2</v>
      </c>
      <c r="E270" s="61">
        <v>1.1415525114155251E-3</v>
      </c>
    </row>
    <row r="271" spans="2:5" ht="15" customHeight="1">
      <c r="B271" s="155"/>
      <c r="C271" s="63" t="s">
        <v>243</v>
      </c>
      <c r="D271" s="62">
        <v>1</v>
      </c>
      <c r="E271" s="61">
        <v>5.7077625570776253E-4</v>
      </c>
    </row>
    <row r="272" spans="2:5" ht="15" customHeight="1">
      <c r="B272" s="155"/>
      <c r="C272" s="63" t="s">
        <v>242</v>
      </c>
      <c r="D272" s="62">
        <v>3</v>
      </c>
      <c r="E272" s="61">
        <v>1.7123287671232876E-3</v>
      </c>
    </row>
    <row r="273" spans="2:5" ht="15" customHeight="1">
      <c r="B273" s="155"/>
      <c r="C273" s="63" t="s">
        <v>241</v>
      </c>
      <c r="D273" s="62">
        <v>7</v>
      </c>
      <c r="E273" s="61">
        <v>3.9954337899543377E-3</v>
      </c>
    </row>
    <row r="274" spans="2:5" ht="15" customHeight="1">
      <c r="B274" s="155"/>
      <c r="C274" s="63" t="s">
        <v>240</v>
      </c>
      <c r="D274" s="62">
        <v>1</v>
      </c>
      <c r="E274" s="61">
        <v>5.7077625570776253E-4</v>
      </c>
    </row>
    <row r="275" spans="2:5" ht="15" customHeight="1">
      <c r="B275" s="155"/>
      <c r="C275" s="63" t="s">
        <v>239</v>
      </c>
      <c r="D275" s="62">
        <v>1</v>
      </c>
      <c r="E275" s="61">
        <v>5.7077625570776253E-4</v>
      </c>
    </row>
    <row r="276" spans="2:5" ht="15" customHeight="1">
      <c r="B276" s="155"/>
      <c r="C276" s="63" t="s">
        <v>238</v>
      </c>
      <c r="D276" s="62">
        <v>1</v>
      </c>
      <c r="E276" s="61">
        <v>5.7077625570776253E-4</v>
      </c>
    </row>
    <row r="277" spans="2:5" ht="15" customHeight="1">
      <c r="B277" s="155"/>
      <c r="C277" s="63" t="s">
        <v>237</v>
      </c>
      <c r="D277" s="62">
        <v>8</v>
      </c>
      <c r="E277" s="61">
        <v>4.5662100456621002E-3</v>
      </c>
    </row>
    <row r="278" spans="2:5" ht="15" customHeight="1">
      <c r="B278" s="155"/>
      <c r="C278" s="63" t="s">
        <v>540</v>
      </c>
      <c r="D278" s="62">
        <v>1</v>
      </c>
      <c r="E278" s="61">
        <v>5.7077625570776253E-4</v>
      </c>
    </row>
    <row r="279" spans="2:5" ht="15" customHeight="1">
      <c r="B279" s="155"/>
      <c r="C279" s="63" t="s">
        <v>236</v>
      </c>
      <c r="D279" s="62">
        <v>1</v>
      </c>
      <c r="E279" s="61">
        <v>5.7077625570776253E-4</v>
      </c>
    </row>
    <row r="280" spans="2:5" ht="15" customHeight="1">
      <c r="B280" s="155"/>
      <c r="C280" s="63" t="s">
        <v>541</v>
      </c>
      <c r="D280" s="62">
        <v>1</v>
      </c>
      <c r="E280" s="61">
        <v>5.7077625570776253E-4</v>
      </c>
    </row>
    <row r="281" spans="2:5" ht="15" customHeight="1">
      <c r="B281" s="155"/>
      <c r="C281" s="63" t="s">
        <v>542</v>
      </c>
      <c r="D281" s="62">
        <v>3</v>
      </c>
      <c r="E281" s="61">
        <v>1.7123287671232876E-3</v>
      </c>
    </row>
    <row r="282" spans="2:5" ht="15" customHeight="1">
      <c r="B282" s="155"/>
      <c r="C282" s="63" t="s">
        <v>235</v>
      </c>
      <c r="D282" s="62">
        <v>12</v>
      </c>
      <c r="E282" s="61">
        <v>6.8493150684931503E-3</v>
      </c>
    </row>
    <row r="283" spans="2:5" ht="15" customHeight="1">
      <c r="B283" s="155"/>
      <c r="C283" s="63" t="s">
        <v>234</v>
      </c>
      <c r="D283" s="62">
        <v>1</v>
      </c>
      <c r="E283" s="61">
        <v>5.7077625570776253E-4</v>
      </c>
    </row>
    <row r="284" spans="2:5" ht="15" customHeight="1">
      <c r="B284" s="155"/>
      <c r="C284" s="63" t="s">
        <v>233</v>
      </c>
      <c r="D284" s="62">
        <v>6</v>
      </c>
      <c r="E284" s="61">
        <v>3.4246575342465752E-3</v>
      </c>
    </row>
    <row r="285" spans="2:5" ht="15" customHeight="1">
      <c r="B285" s="154"/>
      <c r="C285" s="60" t="s">
        <v>15</v>
      </c>
      <c r="D285" s="59">
        <v>203</v>
      </c>
      <c r="E285" s="58">
        <v>0.1158675799086758</v>
      </c>
    </row>
    <row r="286" spans="2:5" ht="15" customHeight="1">
      <c r="B286" s="153" t="s">
        <v>45</v>
      </c>
      <c r="C286" s="63" t="s">
        <v>232</v>
      </c>
      <c r="D286" s="62">
        <v>2</v>
      </c>
      <c r="E286" s="61">
        <v>1.1415525114155251E-3</v>
      </c>
    </row>
    <row r="287" spans="2:5" ht="15" customHeight="1">
      <c r="B287" s="155"/>
      <c r="C287" s="63" t="s">
        <v>231</v>
      </c>
      <c r="D287" s="62">
        <v>1</v>
      </c>
      <c r="E287" s="61">
        <v>5.7077625570776253E-4</v>
      </c>
    </row>
    <row r="288" spans="2:5" ht="15" customHeight="1">
      <c r="B288" s="155"/>
      <c r="C288" s="63" t="s">
        <v>230</v>
      </c>
      <c r="D288" s="62">
        <v>4</v>
      </c>
      <c r="E288" s="61">
        <v>2.2831050228310501E-3</v>
      </c>
    </row>
    <row r="289" spans="2:5" ht="15" customHeight="1">
      <c r="B289" s="155"/>
      <c r="C289" s="63" t="s">
        <v>229</v>
      </c>
      <c r="D289" s="62">
        <v>8</v>
      </c>
      <c r="E289" s="61">
        <v>4.5662100456621002E-3</v>
      </c>
    </row>
    <row r="290" spans="2:5" ht="15" customHeight="1">
      <c r="B290" s="155"/>
      <c r="C290" s="63" t="s">
        <v>228</v>
      </c>
      <c r="D290" s="62">
        <v>1</v>
      </c>
      <c r="E290" s="61">
        <v>5.7077625570776253E-4</v>
      </c>
    </row>
    <row r="291" spans="2:5" ht="15" customHeight="1">
      <c r="B291" s="155"/>
      <c r="C291" s="63" t="s">
        <v>227</v>
      </c>
      <c r="D291" s="62">
        <v>1</v>
      </c>
      <c r="E291" s="61">
        <v>5.7077625570776253E-4</v>
      </c>
    </row>
    <row r="292" spans="2:5" ht="15" customHeight="1">
      <c r="B292" s="155"/>
      <c r="C292" s="63" t="s">
        <v>543</v>
      </c>
      <c r="D292" s="62">
        <v>2</v>
      </c>
      <c r="E292" s="61">
        <v>1.1415525114155251E-3</v>
      </c>
    </row>
    <row r="293" spans="2:5" ht="15" customHeight="1">
      <c r="B293" s="155"/>
      <c r="C293" s="63" t="s">
        <v>544</v>
      </c>
      <c r="D293" s="62">
        <v>1</v>
      </c>
      <c r="E293" s="61">
        <v>5.7077625570776253E-4</v>
      </c>
    </row>
    <row r="294" spans="2:5" ht="15" customHeight="1">
      <c r="B294" s="155"/>
      <c r="C294" s="63" t="s">
        <v>545</v>
      </c>
      <c r="D294" s="62">
        <v>1</v>
      </c>
      <c r="E294" s="61">
        <v>5.7077625570776253E-4</v>
      </c>
    </row>
    <row r="295" spans="2:5" ht="15" customHeight="1">
      <c r="B295" s="155"/>
      <c r="C295" s="63" t="s">
        <v>226</v>
      </c>
      <c r="D295" s="62">
        <v>3</v>
      </c>
      <c r="E295" s="61">
        <v>1.7123287671232876E-3</v>
      </c>
    </row>
    <row r="296" spans="2:5" ht="15" customHeight="1">
      <c r="B296" s="155"/>
      <c r="C296" s="63" t="s">
        <v>546</v>
      </c>
      <c r="D296" s="62">
        <v>1</v>
      </c>
      <c r="E296" s="61">
        <v>5.7077625570776253E-4</v>
      </c>
    </row>
    <row r="297" spans="2:5" ht="15" customHeight="1">
      <c r="B297" s="155"/>
      <c r="C297" s="63" t="s">
        <v>225</v>
      </c>
      <c r="D297" s="62">
        <v>2</v>
      </c>
      <c r="E297" s="61">
        <v>1.1415525114155251E-3</v>
      </c>
    </row>
    <row r="298" spans="2:5" ht="15" customHeight="1">
      <c r="B298" s="155"/>
      <c r="C298" s="63" t="s">
        <v>547</v>
      </c>
      <c r="D298" s="62">
        <v>1</v>
      </c>
      <c r="E298" s="61">
        <v>5.7077625570776253E-4</v>
      </c>
    </row>
    <row r="299" spans="2:5" ht="15" customHeight="1">
      <c r="B299" s="155"/>
      <c r="C299" s="63" t="s">
        <v>224</v>
      </c>
      <c r="D299" s="62">
        <v>5</v>
      </c>
      <c r="E299" s="61">
        <v>2.8538812785388126E-3</v>
      </c>
    </row>
    <row r="300" spans="2:5" ht="15" customHeight="1">
      <c r="B300" s="155"/>
      <c r="C300" s="63" t="s">
        <v>223</v>
      </c>
      <c r="D300" s="62">
        <v>1</v>
      </c>
      <c r="E300" s="61">
        <v>5.7077625570776253E-4</v>
      </c>
    </row>
    <row r="301" spans="2:5" ht="15" customHeight="1">
      <c r="B301" s="155"/>
      <c r="C301" s="63" t="s">
        <v>548</v>
      </c>
      <c r="D301" s="62">
        <v>1</v>
      </c>
      <c r="E301" s="61">
        <v>5.7077625570776253E-4</v>
      </c>
    </row>
    <row r="302" spans="2:5" ht="15" customHeight="1">
      <c r="B302" s="155"/>
      <c r="C302" s="63" t="s">
        <v>222</v>
      </c>
      <c r="D302" s="62">
        <v>1</v>
      </c>
      <c r="E302" s="61">
        <v>5.7077625570776253E-4</v>
      </c>
    </row>
    <row r="303" spans="2:5" ht="15" customHeight="1">
      <c r="B303" s="155"/>
      <c r="C303" s="63" t="s">
        <v>32</v>
      </c>
      <c r="D303" s="62">
        <v>14</v>
      </c>
      <c r="E303" s="61">
        <v>7.9908675799086754E-3</v>
      </c>
    </row>
    <row r="304" spans="2:5" ht="15" customHeight="1">
      <c r="B304" s="155"/>
      <c r="C304" s="63" t="s">
        <v>549</v>
      </c>
      <c r="D304" s="62">
        <v>1</v>
      </c>
      <c r="E304" s="61">
        <v>5.7077625570776253E-4</v>
      </c>
    </row>
    <row r="305" spans="2:5" ht="15" customHeight="1">
      <c r="B305" s="155"/>
      <c r="C305" s="63" t="s">
        <v>550</v>
      </c>
      <c r="D305" s="62">
        <v>2</v>
      </c>
      <c r="E305" s="61">
        <v>1.1415525114155251E-3</v>
      </c>
    </row>
    <row r="306" spans="2:5" ht="15" customHeight="1">
      <c r="B306" s="155"/>
      <c r="C306" s="63" t="s">
        <v>221</v>
      </c>
      <c r="D306" s="62">
        <v>1</v>
      </c>
      <c r="E306" s="61">
        <v>5.7077625570776253E-4</v>
      </c>
    </row>
    <row r="307" spans="2:5" ht="15" customHeight="1">
      <c r="B307" s="155"/>
      <c r="C307" s="63" t="s">
        <v>220</v>
      </c>
      <c r="D307" s="62">
        <v>1</v>
      </c>
      <c r="E307" s="61">
        <v>5.7077625570776253E-4</v>
      </c>
    </row>
    <row r="308" spans="2:5" ht="15" customHeight="1">
      <c r="B308" s="155"/>
      <c r="C308" s="63" t="s">
        <v>219</v>
      </c>
      <c r="D308" s="62">
        <v>1</v>
      </c>
      <c r="E308" s="61">
        <v>5.7077625570776253E-4</v>
      </c>
    </row>
    <row r="309" spans="2:5" ht="15" customHeight="1">
      <c r="B309" s="155"/>
      <c r="C309" s="63" t="s">
        <v>218</v>
      </c>
      <c r="D309" s="62">
        <v>13</v>
      </c>
      <c r="E309" s="61">
        <v>7.4200913242009128E-3</v>
      </c>
    </row>
    <row r="310" spans="2:5" ht="15" customHeight="1">
      <c r="B310" s="155"/>
      <c r="C310" s="63" t="s">
        <v>217</v>
      </c>
      <c r="D310" s="62">
        <v>1</v>
      </c>
      <c r="E310" s="61">
        <v>5.7077625570776253E-4</v>
      </c>
    </row>
    <row r="311" spans="2:5" ht="15" customHeight="1">
      <c r="B311" s="155"/>
      <c r="C311" s="63" t="s">
        <v>216</v>
      </c>
      <c r="D311" s="62">
        <v>17</v>
      </c>
      <c r="E311" s="61">
        <v>9.7031963470319629E-3</v>
      </c>
    </row>
    <row r="312" spans="2:5" ht="15" customHeight="1">
      <c r="B312" s="155"/>
      <c r="C312" s="63" t="s">
        <v>215</v>
      </c>
      <c r="D312" s="62">
        <v>2</v>
      </c>
      <c r="E312" s="61">
        <v>1.1415525114155251E-3</v>
      </c>
    </row>
    <row r="313" spans="2:5" ht="15" customHeight="1">
      <c r="B313" s="155"/>
      <c r="C313" s="63" t="s">
        <v>214</v>
      </c>
      <c r="D313" s="62">
        <v>1</v>
      </c>
      <c r="E313" s="61">
        <v>5.7077625570776253E-4</v>
      </c>
    </row>
    <row r="314" spans="2:5" ht="15" customHeight="1">
      <c r="B314" s="155"/>
      <c r="C314" s="63" t="s">
        <v>213</v>
      </c>
      <c r="D314" s="62">
        <v>1</v>
      </c>
      <c r="E314" s="61">
        <v>5.7077625570776253E-4</v>
      </c>
    </row>
    <row r="315" spans="2:5" ht="15" customHeight="1">
      <c r="B315" s="155"/>
      <c r="C315" s="63" t="s">
        <v>212</v>
      </c>
      <c r="D315" s="62">
        <v>23</v>
      </c>
      <c r="E315" s="61">
        <v>1.3127853881278538E-2</v>
      </c>
    </row>
    <row r="316" spans="2:5" ht="15" customHeight="1">
      <c r="B316" s="155"/>
      <c r="C316" s="63" t="s">
        <v>211</v>
      </c>
      <c r="D316" s="62">
        <v>8</v>
      </c>
      <c r="E316" s="61">
        <v>4.5662100456621002E-3</v>
      </c>
    </row>
    <row r="317" spans="2:5" ht="15" customHeight="1">
      <c r="B317" s="155"/>
      <c r="C317" s="63" t="s">
        <v>210</v>
      </c>
      <c r="D317" s="62">
        <v>3</v>
      </c>
      <c r="E317" s="61">
        <v>1.7123287671232876E-3</v>
      </c>
    </row>
    <row r="318" spans="2:5" ht="15" customHeight="1">
      <c r="B318" s="155"/>
      <c r="C318" s="63" t="s">
        <v>551</v>
      </c>
      <c r="D318" s="62">
        <v>1</v>
      </c>
      <c r="E318" s="61">
        <v>5.7077625570776253E-4</v>
      </c>
    </row>
    <row r="319" spans="2:5" ht="15" customHeight="1">
      <c r="B319" s="155"/>
      <c r="C319" s="63" t="s">
        <v>209</v>
      </c>
      <c r="D319" s="62">
        <v>5</v>
      </c>
      <c r="E319" s="61">
        <v>2.8538812785388126E-3</v>
      </c>
    </row>
    <row r="320" spans="2:5" ht="15" customHeight="1">
      <c r="B320" s="155"/>
      <c r="C320" s="63" t="s">
        <v>108</v>
      </c>
      <c r="D320" s="62">
        <v>1</v>
      </c>
      <c r="E320" s="61">
        <v>5.7077625570776253E-4</v>
      </c>
    </row>
    <row r="321" spans="2:5" ht="15" customHeight="1">
      <c r="B321" s="155"/>
      <c r="C321" s="63" t="s">
        <v>552</v>
      </c>
      <c r="D321" s="62">
        <v>1</v>
      </c>
      <c r="E321" s="61">
        <v>5.7077625570776253E-4</v>
      </c>
    </row>
    <row r="322" spans="2:5" ht="15" customHeight="1">
      <c r="B322" s="155"/>
      <c r="C322" s="63" t="s">
        <v>208</v>
      </c>
      <c r="D322" s="62">
        <v>1</v>
      </c>
      <c r="E322" s="61">
        <v>5.7077625570776253E-4</v>
      </c>
    </row>
    <row r="323" spans="2:5" ht="15" customHeight="1">
      <c r="B323" s="155"/>
      <c r="C323" s="63" t="s">
        <v>207</v>
      </c>
      <c r="D323" s="62">
        <v>1</v>
      </c>
      <c r="E323" s="61">
        <v>5.7077625570776253E-4</v>
      </c>
    </row>
    <row r="324" spans="2:5" ht="15" customHeight="1">
      <c r="B324" s="155"/>
      <c r="C324" s="63" t="s">
        <v>553</v>
      </c>
      <c r="D324" s="62">
        <v>1</v>
      </c>
      <c r="E324" s="61">
        <v>5.7077625570776253E-4</v>
      </c>
    </row>
    <row r="325" spans="2:5" ht="15" customHeight="1">
      <c r="B325" s="155"/>
      <c r="C325" s="63" t="s">
        <v>206</v>
      </c>
      <c r="D325" s="62">
        <v>84</v>
      </c>
      <c r="E325" s="61">
        <v>4.7945205479452052E-2</v>
      </c>
    </row>
    <row r="326" spans="2:5" ht="15" customHeight="1">
      <c r="B326" s="155"/>
      <c r="C326" s="63" t="s">
        <v>205</v>
      </c>
      <c r="D326" s="62">
        <v>4</v>
      </c>
      <c r="E326" s="61">
        <v>2.2831050228310501E-3</v>
      </c>
    </row>
    <row r="327" spans="2:5" ht="15" customHeight="1">
      <c r="B327" s="155"/>
      <c r="C327" s="63" t="s">
        <v>204</v>
      </c>
      <c r="D327" s="62">
        <v>1</v>
      </c>
      <c r="E327" s="61">
        <v>5.7077625570776253E-4</v>
      </c>
    </row>
    <row r="328" spans="2:5" ht="15" customHeight="1">
      <c r="B328" s="155"/>
      <c r="C328" s="63" t="s">
        <v>554</v>
      </c>
      <c r="D328" s="62">
        <v>4</v>
      </c>
      <c r="E328" s="61">
        <v>2.2831050228310501E-3</v>
      </c>
    </row>
    <row r="329" spans="2:5" ht="15" customHeight="1">
      <c r="B329" s="155"/>
      <c r="C329" s="63" t="s">
        <v>203</v>
      </c>
      <c r="D329" s="62">
        <v>1</v>
      </c>
      <c r="E329" s="61">
        <v>5.7077625570776253E-4</v>
      </c>
    </row>
    <row r="330" spans="2:5" ht="15" customHeight="1">
      <c r="B330" s="155"/>
      <c r="C330" s="63" t="s">
        <v>202</v>
      </c>
      <c r="D330" s="62">
        <v>1</v>
      </c>
      <c r="E330" s="61">
        <v>5.7077625570776253E-4</v>
      </c>
    </row>
    <row r="331" spans="2:5" ht="15" customHeight="1">
      <c r="B331" s="155"/>
      <c r="C331" s="63" t="s">
        <v>201</v>
      </c>
      <c r="D331" s="62">
        <v>2</v>
      </c>
      <c r="E331" s="61">
        <v>1.1415525114155251E-3</v>
      </c>
    </row>
    <row r="332" spans="2:5" ht="15" customHeight="1">
      <c r="B332" s="155"/>
      <c r="C332" s="63" t="s">
        <v>200</v>
      </c>
      <c r="D332" s="62">
        <v>3</v>
      </c>
      <c r="E332" s="61">
        <v>1.7123287671232876E-3</v>
      </c>
    </row>
    <row r="333" spans="2:5" ht="15" customHeight="1">
      <c r="B333" s="155"/>
      <c r="C333" s="63" t="s">
        <v>555</v>
      </c>
      <c r="D333" s="62">
        <v>2</v>
      </c>
      <c r="E333" s="61">
        <v>1.1415525114155251E-3</v>
      </c>
    </row>
    <row r="334" spans="2:5" ht="15" customHeight="1">
      <c r="B334" s="155"/>
      <c r="C334" s="63" t="s">
        <v>199</v>
      </c>
      <c r="D334" s="62">
        <v>1</v>
      </c>
      <c r="E334" s="61">
        <v>5.7077625570776253E-4</v>
      </c>
    </row>
    <row r="335" spans="2:5" ht="15" customHeight="1">
      <c r="B335" s="155"/>
      <c r="C335" s="63" t="s">
        <v>556</v>
      </c>
      <c r="D335" s="62">
        <v>1</v>
      </c>
      <c r="E335" s="61">
        <v>5.7077625570776253E-4</v>
      </c>
    </row>
    <row r="336" spans="2:5" ht="15" customHeight="1">
      <c r="B336" s="155"/>
      <c r="C336" s="63" t="s">
        <v>557</v>
      </c>
      <c r="D336" s="62">
        <v>1</v>
      </c>
      <c r="E336" s="61">
        <v>5.7077625570776253E-4</v>
      </c>
    </row>
    <row r="337" spans="2:5" ht="15" customHeight="1">
      <c r="B337" s="155"/>
      <c r="C337" s="63" t="s">
        <v>558</v>
      </c>
      <c r="D337" s="62">
        <v>1</v>
      </c>
      <c r="E337" s="61">
        <v>5.7077625570776253E-4</v>
      </c>
    </row>
    <row r="338" spans="2:5" ht="15" customHeight="1">
      <c r="B338" s="155"/>
      <c r="C338" s="63" t="s">
        <v>559</v>
      </c>
      <c r="D338" s="62">
        <v>3</v>
      </c>
      <c r="E338" s="61">
        <v>1.7123287671232876E-3</v>
      </c>
    </row>
    <row r="339" spans="2:5" ht="15" customHeight="1">
      <c r="B339" s="155"/>
      <c r="C339" s="63" t="s">
        <v>172</v>
      </c>
      <c r="D339" s="62">
        <v>2</v>
      </c>
      <c r="E339" s="61">
        <v>1.1415525114155251E-3</v>
      </c>
    </row>
    <row r="340" spans="2:5" ht="15" customHeight="1">
      <c r="B340" s="155"/>
      <c r="C340" s="63" t="s">
        <v>198</v>
      </c>
      <c r="D340" s="62">
        <v>1</v>
      </c>
      <c r="E340" s="61">
        <v>5.7077625570776253E-4</v>
      </c>
    </row>
    <row r="341" spans="2:5" ht="15" customHeight="1">
      <c r="B341" s="155"/>
      <c r="C341" s="63" t="s">
        <v>197</v>
      </c>
      <c r="D341" s="62">
        <v>2</v>
      </c>
      <c r="E341" s="61">
        <v>1.1415525114155251E-3</v>
      </c>
    </row>
    <row r="342" spans="2:5" ht="15" customHeight="1">
      <c r="B342" s="155"/>
      <c r="C342" s="63" t="s">
        <v>196</v>
      </c>
      <c r="D342" s="62">
        <v>7</v>
      </c>
      <c r="E342" s="61">
        <v>3.9954337899543377E-3</v>
      </c>
    </row>
    <row r="343" spans="2:5" ht="15" customHeight="1">
      <c r="B343" s="155"/>
      <c r="C343" s="63" t="s">
        <v>136</v>
      </c>
      <c r="D343" s="62">
        <v>3</v>
      </c>
      <c r="E343" s="61">
        <v>1.7123287671232876E-3</v>
      </c>
    </row>
    <row r="344" spans="2:5" ht="15" customHeight="1">
      <c r="B344" s="155"/>
      <c r="C344" s="63" t="s">
        <v>195</v>
      </c>
      <c r="D344" s="62">
        <v>3</v>
      </c>
      <c r="E344" s="61">
        <v>1.7123287671232876E-3</v>
      </c>
    </row>
    <row r="345" spans="2:5" ht="15" customHeight="1">
      <c r="B345" s="155"/>
      <c r="C345" s="63" t="s">
        <v>194</v>
      </c>
      <c r="D345" s="62">
        <v>3</v>
      </c>
      <c r="E345" s="61">
        <v>1.7123287671232876E-3</v>
      </c>
    </row>
    <row r="346" spans="2:5" ht="15" customHeight="1">
      <c r="B346" s="155"/>
      <c r="C346" s="63" t="s">
        <v>193</v>
      </c>
      <c r="D346" s="62">
        <v>1</v>
      </c>
      <c r="E346" s="61">
        <v>5.7077625570776253E-4</v>
      </c>
    </row>
    <row r="347" spans="2:5" ht="15" customHeight="1">
      <c r="B347" s="155"/>
      <c r="C347" s="63" t="s">
        <v>192</v>
      </c>
      <c r="D347" s="62">
        <v>4</v>
      </c>
      <c r="E347" s="61">
        <v>2.2831050228310501E-3</v>
      </c>
    </row>
    <row r="348" spans="2:5" ht="15" customHeight="1">
      <c r="B348" s="155"/>
      <c r="C348" s="63" t="s">
        <v>191</v>
      </c>
      <c r="D348" s="62">
        <v>4</v>
      </c>
      <c r="E348" s="61">
        <v>2.2831050228310501E-3</v>
      </c>
    </row>
    <row r="349" spans="2:5" ht="15" customHeight="1">
      <c r="B349" s="154"/>
      <c r="C349" s="60" t="s">
        <v>15</v>
      </c>
      <c r="D349" s="59">
        <v>275</v>
      </c>
      <c r="E349" s="58">
        <v>0.1569634703196347</v>
      </c>
    </row>
    <row r="350" spans="2:5" ht="15" customHeight="1">
      <c r="B350" s="153" t="s">
        <v>29</v>
      </c>
      <c r="C350" s="63" t="s">
        <v>560</v>
      </c>
      <c r="D350" s="62">
        <v>1</v>
      </c>
      <c r="E350" s="61">
        <v>5.7077625570776253E-4</v>
      </c>
    </row>
    <row r="351" spans="2:5" ht="15" customHeight="1">
      <c r="B351" s="155"/>
      <c r="C351" s="63" t="s">
        <v>561</v>
      </c>
      <c r="D351" s="62">
        <v>1</v>
      </c>
      <c r="E351" s="61">
        <v>5.7077625570776253E-4</v>
      </c>
    </row>
    <row r="352" spans="2:5" ht="15" customHeight="1">
      <c r="B352" s="155"/>
      <c r="C352" s="63" t="s">
        <v>190</v>
      </c>
      <c r="D352" s="62">
        <v>1</v>
      </c>
      <c r="E352" s="61">
        <v>5.7077625570776253E-4</v>
      </c>
    </row>
    <row r="353" spans="2:5" ht="15" customHeight="1">
      <c r="B353" s="155"/>
      <c r="C353" s="63" t="s">
        <v>189</v>
      </c>
      <c r="D353" s="62">
        <v>5</v>
      </c>
      <c r="E353" s="61">
        <v>2.8538812785388126E-3</v>
      </c>
    </row>
    <row r="354" spans="2:5" ht="15" customHeight="1">
      <c r="B354" s="155"/>
      <c r="C354" s="63" t="s">
        <v>188</v>
      </c>
      <c r="D354" s="62">
        <v>1</v>
      </c>
      <c r="E354" s="61">
        <v>5.7077625570776253E-4</v>
      </c>
    </row>
    <row r="355" spans="2:5" ht="15" customHeight="1">
      <c r="B355" s="155"/>
      <c r="C355" s="63" t="s">
        <v>562</v>
      </c>
      <c r="D355" s="62">
        <v>2</v>
      </c>
      <c r="E355" s="61">
        <v>1.1415525114155251E-3</v>
      </c>
    </row>
    <row r="356" spans="2:5" ht="15" customHeight="1">
      <c r="B356" s="155"/>
      <c r="C356" s="63" t="s">
        <v>187</v>
      </c>
      <c r="D356" s="62">
        <v>5</v>
      </c>
      <c r="E356" s="61">
        <v>2.8538812785388126E-3</v>
      </c>
    </row>
    <row r="357" spans="2:5" ht="15" customHeight="1">
      <c r="B357" s="155"/>
      <c r="C357" s="63" t="s">
        <v>186</v>
      </c>
      <c r="D357" s="62">
        <v>1</v>
      </c>
      <c r="E357" s="61">
        <v>5.7077625570776253E-4</v>
      </c>
    </row>
    <row r="358" spans="2:5" ht="15" customHeight="1">
      <c r="B358" s="155"/>
      <c r="C358" s="63" t="s">
        <v>185</v>
      </c>
      <c r="D358" s="62">
        <v>1</v>
      </c>
      <c r="E358" s="61">
        <v>5.7077625570776253E-4</v>
      </c>
    </row>
    <row r="359" spans="2:5" ht="15" customHeight="1">
      <c r="B359" s="155"/>
      <c r="C359" s="63" t="s">
        <v>184</v>
      </c>
      <c r="D359" s="62">
        <v>4</v>
      </c>
      <c r="E359" s="61">
        <v>2.2831050228310501E-3</v>
      </c>
    </row>
    <row r="360" spans="2:5" ht="15" customHeight="1">
      <c r="B360" s="155"/>
      <c r="C360" s="63" t="s">
        <v>183</v>
      </c>
      <c r="D360" s="62">
        <v>1</v>
      </c>
      <c r="E360" s="61">
        <v>5.7077625570776253E-4</v>
      </c>
    </row>
    <row r="361" spans="2:5" ht="15" customHeight="1">
      <c r="B361" s="155"/>
      <c r="C361" s="63" t="s">
        <v>182</v>
      </c>
      <c r="D361" s="62">
        <v>2</v>
      </c>
      <c r="E361" s="61">
        <v>1.1415525114155251E-3</v>
      </c>
    </row>
    <row r="362" spans="2:5" ht="15" customHeight="1">
      <c r="B362" s="155"/>
      <c r="C362" s="63" t="s">
        <v>181</v>
      </c>
      <c r="D362" s="62">
        <v>4</v>
      </c>
      <c r="E362" s="61">
        <v>2.2831050228310501E-3</v>
      </c>
    </row>
    <row r="363" spans="2:5" ht="15" customHeight="1">
      <c r="B363" s="155"/>
      <c r="C363" s="63" t="s">
        <v>180</v>
      </c>
      <c r="D363" s="62">
        <v>4</v>
      </c>
      <c r="E363" s="61">
        <v>2.2831050228310501E-3</v>
      </c>
    </row>
    <row r="364" spans="2:5" ht="15" customHeight="1">
      <c r="B364" s="155"/>
      <c r="C364" s="63" t="s">
        <v>563</v>
      </c>
      <c r="D364" s="62">
        <v>3</v>
      </c>
      <c r="E364" s="61">
        <v>1.7123287671232876E-3</v>
      </c>
    </row>
    <row r="365" spans="2:5" ht="15" customHeight="1">
      <c r="B365" s="154"/>
      <c r="C365" s="60" t="s">
        <v>15</v>
      </c>
      <c r="D365" s="59">
        <v>36</v>
      </c>
      <c r="E365" s="58">
        <v>2.0547945205479451E-2</v>
      </c>
    </row>
    <row r="366" spans="2:5" ht="15" customHeight="1">
      <c r="B366" s="153" t="s">
        <v>27</v>
      </c>
      <c r="C366" s="63" t="s">
        <v>564</v>
      </c>
      <c r="D366" s="62">
        <v>1</v>
      </c>
      <c r="E366" s="61">
        <v>5.7077625570776253E-4</v>
      </c>
    </row>
    <row r="367" spans="2:5" ht="15" customHeight="1">
      <c r="B367" s="155"/>
      <c r="C367" s="63" t="s">
        <v>179</v>
      </c>
      <c r="D367" s="62">
        <v>2</v>
      </c>
      <c r="E367" s="61">
        <v>1.1415525114155251E-3</v>
      </c>
    </row>
    <row r="368" spans="2:5" ht="15" customHeight="1">
      <c r="B368" s="155"/>
      <c r="C368" s="63" t="s">
        <v>178</v>
      </c>
      <c r="D368" s="62">
        <v>7</v>
      </c>
      <c r="E368" s="61">
        <v>3.9954337899543377E-3</v>
      </c>
    </row>
    <row r="369" spans="2:5" ht="15" customHeight="1">
      <c r="B369" s="155"/>
      <c r="C369" s="63" t="s">
        <v>177</v>
      </c>
      <c r="D369" s="62">
        <v>10</v>
      </c>
      <c r="E369" s="61">
        <v>5.7077625570776253E-3</v>
      </c>
    </row>
    <row r="370" spans="2:5" ht="15" customHeight="1">
      <c r="B370" s="155"/>
      <c r="C370" s="63" t="s">
        <v>176</v>
      </c>
      <c r="D370" s="62">
        <v>2</v>
      </c>
      <c r="E370" s="61">
        <v>1.1415525114155251E-3</v>
      </c>
    </row>
    <row r="371" spans="2:5" ht="15" customHeight="1">
      <c r="B371" s="155"/>
      <c r="C371" s="63" t="s">
        <v>175</v>
      </c>
      <c r="D371" s="62">
        <v>3</v>
      </c>
      <c r="E371" s="61">
        <v>1.7123287671232876E-3</v>
      </c>
    </row>
    <row r="372" spans="2:5" ht="15" customHeight="1">
      <c r="B372" s="155"/>
      <c r="C372" s="63" t="s">
        <v>174</v>
      </c>
      <c r="D372" s="62">
        <v>2</v>
      </c>
      <c r="E372" s="61">
        <v>1.1415525114155251E-3</v>
      </c>
    </row>
    <row r="373" spans="2:5" ht="15" customHeight="1">
      <c r="B373" s="155"/>
      <c r="C373" s="63" t="s">
        <v>173</v>
      </c>
      <c r="D373" s="62">
        <v>3</v>
      </c>
      <c r="E373" s="61">
        <v>1.7123287671232876E-3</v>
      </c>
    </row>
    <row r="374" spans="2:5" ht="15" customHeight="1">
      <c r="B374" s="155"/>
      <c r="C374" s="63" t="s">
        <v>172</v>
      </c>
      <c r="D374" s="62">
        <v>3</v>
      </c>
      <c r="E374" s="61">
        <v>1.7123287671232876E-3</v>
      </c>
    </row>
    <row r="375" spans="2:5" ht="15" customHeight="1">
      <c r="B375" s="154"/>
      <c r="C375" s="60" t="s">
        <v>15</v>
      </c>
      <c r="D375" s="59">
        <v>33</v>
      </c>
      <c r="E375" s="58">
        <v>1.8835616438356163E-2</v>
      </c>
    </row>
    <row r="376" spans="2:5" ht="15" customHeight="1">
      <c r="B376" s="153" t="s">
        <v>21</v>
      </c>
      <c r="C376" s="63" t="s">
        <v>392</v>
      </c>
      <c r="D376" s="62">
        <v>1</v>
      </c>
      <c r="E376" s="61">
        <v>5.7077625570776253E-4</v>
      </c>
    </row>
    <row r="377" spans="2:5" ht="15" customHeight="1">
      <c r="B377" s="155"/>
      <c r="C377" s="63" t="s">
        <v>565</v>
      </c>
      <c r="D377" s="62">
        <v>1</v>
      </c>
      <c r="E377" s="61">
        <v>5.7077625570776253E-4</v>
      </c>
    </row>
    <row r="378" spans="2:5" ht="15" customHeight="1">
      <c r="B378" s="155"/>
      <c r="C378" s="63" t="s">
        <v>566</v>
      </c>
      <c r="D378" s="62">
        <v>3</v>
      </c>
      <c r="E378" s="61">
        <v>1.7123287671232876E-3</v>
      </c>
    </row>
    <row r="379" spans="2:5" ht="15" customHeight="1">
      <c r="B379" s="155"/>
      <c r="C379" s="63" t="s">
        <v>170</v>
      </c>
      <c r="D379" s="62">
        <v>7</v>
      </c>
      <c r="E379" s="61">
        <v>3.9954337899543377E-3</v>
      </c>
    </row>
    <row r="380" spans="2:5" ht="15" customHeight="1">
      <c r="B380" s="155"/>
      <c r="C380" s="63" t="s">
        <v>567</v>
      </c>
      <c r="D380" s="62">
        <v>1</v>
      </c>
      <c r="E380" s="61">
        <v>5.7077625570776253E-4</v>
      </c>
    </row>
    <row r="381" spans="2:5" ht="15" customHeight="1">
      <c r="B381" s="155"/>
      <c r="C381" s="63" t="s">
        <v>169</v>
      </c>
      <c r="D381" s="62">
        <v>1</v>
      </c>
      <c r="E381" s="61">
        <v>5.7077625570776253E-4</v>
      </c>
    </row>
    <row r="382" spans="2:5" ht="15" customHeight="1">
      <c r="B382" s="154"/>
      <c r="C382" s="60" t="s">
        <v>15</v>
      </c>
      <c r="D382" s="59">
        <v>14</v>
      </c>
      <c r="E382" s="58">
        <v>7.9908675799086754E-3</v>
      </c>
    </row>
    <row r="383" spans="2:5" ht="15" customHeight="1">
      <c r="B383" s="153" t="s">
        <v>43</v>
      </c>
      <c r="C383" s="63" t="s">
        <v>168</v>
      </c>
      <c r="D383" s="62">
        <v>2</v>
      </c>
      <c r="E383" s="61">
        <v>1.1415525114155251E-3</v>
      </c>
    </row>
    <row r="384" spans="2:5" ht="15" customHeight="1">
      <c r="B384" s="155"/>
      <c r="C384" s="63" t="s">
        <v>568</v>
      </c>
      <c r="D384" s="62">
        <v>1</v>
      </c>
      <c r="E384" s="61">
        <v>5.7077625570776253E-4</v>
      </c>
    </row>
    <row r="385" spans="2:5" ht="15" customHeight="1">
      <c r="B385" s="155"/>
      <c r="C385" s="63" t="s">
        <v>167</v>
      </c>
      <c r="D385" s="62">
        <v>1</v>
      </c>
      <c r="E385" s="61">
        <v>5.7077625570776253E-4</v>
      </c>
    </row>
    <row r="386" spans="2:5" ht="15" customHeight="1">
      <c r="B386" s="155"/>
      <c r="C386" s="63" t="s">
        <v>166</v>
      </c>
      <c r="D386" s="62">
        <v>2</v>
      </c>
      <c r="E386" s="61">
        <v>1.1415525114155251E-3</v>
      </c>
    </row>
    <row r="387" spans="2:5" ht="15" customHeight="1">
      <c r="B387" s="155"/>
      <c r="C387" s="63" t="s">
        <v>165</v>
      </c>
      <c r="D387" s="62">
        <v>2</v>
      </c>
      <c r="E387" s="61">
        <v>1.1415525114155251E-3</v>
      </c>
    </row>
    <row r="388" spans="2:5" ht="15" customHeight="1">
      <c r="B388" s="155"/>
      <c r="C388" s="63" t="s">
        <v>164</v>
      </c>
      <c r="D388" s="62">
        <v>1</v>
      </c>
      <c r="E388" s="61">
        <v>5.7077625570776253E-4</v>
      </c>
    </row>
    <row r="389" spans="2:5" ht="15" customHeight="1">
      <c r="B389" s="155"/>
      <c r="C389" s="63" t="s">
        <v>163</v>
      </c>
      <c r="D389" s="62">
        <v>3</v>
      </c>
      <c r="E389" s="61">
        <v>1.7123287671232876E-3</v>
      </c>
    </row>
    <row r="390" spans="2:5" ht="15" customHeight="1">
      <c r="B390" s="155"/>
      <c r="C390" s="63" t="s">
        <v>162</v>
      </c>
      <c r="D390" s="62">
        <v>2</v>
      </c>
      <c r="E390" s="61">
        <v>1.1415525114155251E-3</v>
      </c>
    </row>
    <row r="391" spans="2:5" ht="15" customHeight="1">
      <c r="B391" s="155"/>
      <c r="C391" s="63" t="s">
        <v>161</v>
      </c>
      <c r="D391" s="62">
        <v>1</v>
      </c>
      <c r="E391" s="61">
        <v>5.7077625570776253E-4</v>
      </c>
    </row>
    <row r="392" spans="2:5" ht="15" customHeight="1">
      <c r="B392" s="155"/>
      <c r="C392" s="63" t="s">
        <v>160</v>
      </c>
      <c r="D392" s="62">
        <v>1</v>
      </c>
      <c r="E392" s="61">
        <v>5.7077625570776253E-4</v>
      </c>
    </row>
    <row r="393" spans="2:5" ht="15" customHeight="1">
      <c r="B393" s="155"/>
      <c r="C393" s="63" t="s">
        <v>159</v>
      </c>
      <c r="D393" s="62">
        <v>3</v>
      </c>
      <c r="E393" s="61">
        <v>1.7123287671232876E-3</v>
      </c>
    </row>
    <row r="394" spans="2:5" ht="15" customHeight="1">
      <c r="B394" s="155"/>
      <c r="C394" s="63" t="s">
        <v>569</v>
      </c>
      <c r="D394" s="62">
        <v>1</v>
      </c>
      <c r="E394" s="61">
        <v>5.7077625570776253E-4</v>
      </c>
    </row>
    <row r="395" spans="2:5" ht="15" customHeight="1">
      <c r="B395" s="155"/>
      <c r="C395" s="63" t="s">
        <v>158</v>
      </c>
      <c r="D395" s="62">
        <v>4</v>
      </c>
      <c r="E395" s="61">
        <v>2.2831050228310501E-3</v>
      </c>
    </row>
    <row r="396" spans="2:5" ht="15" customHeight="1">
      <c r="B396" s="155"/>
      <c r="C396" s="63" t="s">
        <v>157</v>
      </c>
      <c r="D396" s="62">
        <v>2</v>
      </c>
      <c r="E396" s="61">
        <v>1.1415525114155251E-3</v>
      </c>
    </row>
    <row r="397" spans="2:5" ht="15" customHeight="1">
      <c r="B397" s="155"/>
      <c r="C397" s="63" t="s">
        <v>156</v>
      </c>
      <c r="D397" s="62">
        <v>2</v>
      </c>
      <c r="E397" s="61">
        <v>1.1415525114155251E-3</v>
      </c>
    </row>
    <row r="398" spans="2:5" ht="15" customHeight="1">
      <c r="B398" s="155"/>
      <c r="C398" s="63" t="s">
        <v>570</v>
      </c>
      <c r="D398" s="62">
        <v>1</v>
      </c>
      <c r="E398" s="61">
        <v>5.7077625570776253E-4</v>
      </c>
    </row>
    <row r="399" spans="2:5" ht="15" customHeight="1">
      <c r="B399" s="155"/>
      <c r="C399" s="63" t="s">
        <v>155</v>
      </c>
      <c r="D399" s="62">
        <v>5</v>
      </c>
      <c r="E399" s="61">
        <v>2.8538812785388126E-3</v>
      </c>
    </row>
    <row r="400" spans="2:5" ht="15" customHeight="1">
      <c r="B400" s="155"/>
      <c r="C400" s="63" t="s">
        <v>154</v>
      </c>
      <c r="D400" s="62">
        <v>1</v>
      </c>
      <c r="E400" s="61">
        <v>5.7077625570776253E-4</v>
      </c>
    </row>
    <row r="401" spans="2:5" ht="15" customHeight="1">
      <c r="B401" s="155"/>
      <c r="C401" s="63" t="s">
        <v>571</v>
      </c>
      <c r="D401" s="62">
        <v>4</v>
      </c>
      <c r="E401" s="61">
        <v>2.2831050228310501E-3</v>
      </c>
    </row>
    <row r="402" spans="2:5" ht="15" customHeight="1">
      <c r="B402" s="155"/>
      <c r="C402" s="63" t="s">
        <v>572</v>
      </c>
      <c r="D402" s="62">
        <v>2</v>
      </c>
      <c r="E402" s="61">
        <v>1.1415525114155251E-3</v>
      </c>
    </row>
    <row r="403" spans="2:5" ht="15" customHeight="1">
      <c r="B403" s="155"/>
      <c r="C403" s="63" t="s">
        <v>573</v>
      </c>
      <c r="D403" s="62">
        <v>1</v>
      </c>
      <c r="E403" s="61">
        <v>5.7077625570776253E-4</v>
      </c>
    </row>
    <row r="404" spans="2:5" ht="15" customHeight="1">
      <c r="B404" s="155"/>
      <c r="C404" s="63" t="s">
        <v>574</v>
      </c>
      <c r="D404" s="62">
        <v>4</v>
      </c>
      <c r="E404" s="61">
        <v>2.2831050228310501E-3</v>
      </c>
    </row>
    <row r="405" spans="2:5" ht="15" customHeight="1">
      <c r="B405" s="155"/>
      <c r="C405" s="63" t="s">
        <v>153</v>
      </c>
      <c r="D405" s="62">
        <v>2</v>
      </c>
      <c r="E405" s="61">
        <v>1.1415525114155251E-3</v>
      </c>
    </row>
    <row r="406" spans="2:5" ht="15" customHeight="1">
      <c r="B406" s="155"/>
      <c r="C406" s="63" t="s">
        <v>575</v>
      </c>
      <c r="D406" s="62">
        <v>4</v>
      </c>
      <c r="E406" s="61">
        <v>2.2831050228310501E-3</v>
      </c>
    </row>
    <row r="407" spans="2:5" ht="15" customHeight="1">
      <c r="B407" s="155"/>
      <c r="C407" s="63" t="s">
        <v>576</v>
      </c>
      <c r="D407" s="62">
        <v>1</v>
      </c>
      <c r="E407" s="61">
        <v>5.7077625570776253E-4</v>
      </c>
    </row>
    <row r="408" spans="2:5" ht="15" customHeight="1">
      <c r="B408" s="155"/>
      <c r="C408" s="63" t="s">
        <v>152</v>
      </c>
      <c r="D408" s="62">
        <v>1</v>
      </c>
      <c r="E408" s="61">
        <v>5.7077625570776253E-4</v>
      </c>
    </row>
    <row r="409" spans="2:5" ht="15" customHeight="1">
      <c r="B409" s="155"/>
      <c r="C409" s="63" t="s">
        <v>151</v>
      </c>
      <c r="D409" s="62">
        <v>6</v>
      </c>
      <c r="E409" s="61">
        <v>3.4246575342465752E-3</v>
      </c>
    </row>
    <row r="410" spans="2:5" ht="15" customHeight="1">
      <c r="B410" s="155"/>
      <c r="C410" s="63" t="s">
        <v>150</v>
      </c>
      <c r="D410" s="62">
        <v>3</v>
      </c>
      <c r="E410" s="61">
        <v>1.7123287671232876E-3</v>
      </c>
    </row>
    <row r="411" spans="2:5" ht="15" customHeight="1">
      <c r="B411" s="155"/>
      <c r="C411" s="63" t="s">
        <v>577</v>
      </c>
      <c r="D411" s="62">
        <v>1</v>
      </c>
      <c r="E411" s="61">
        <v>5.7077625570776253E-4</v>
      </c>
    </row>
    <row r="412" spans="2:5" ht="15" customHeight="1">
      <c r="B412" s="155"/>
      <c r="C412" s="63" t="s">
        <v>149</v>
      </c>
      <c r="D412" s="62">
        <v>5</v>
      </c>
      <c r="E412" s="61">
        <v>2.8538812785388126E-3</v>
      </c>
    </row>
    <row r="413" spans="2:5" ht="15" customHeight="1">
      <c r="B413" s="155"/>
      <c r="C413" s="63" t="s">
        <v>578</v>
      </c>
      <c r="D413" s="62">
        <v>1</v>
      </c>
      <c r="E413" s="61">
        <v>5.7077625570776253E-4</v>
      </c>
    </row>
    <row r="414" spans="2:5" ht="15" customHeight="1">
      <c r="B414" s="155"/>
      <c r="C414" s="63" t="s">
        <v>148</v>
      </c>
      <c r="D414" s="62">
        <v>1</v>
      </c>
      <c r="E414" s="61">
        <v>5.7077625570776253E-4</v>
      </c>
    </row>
    <row r="415" spans="2:5" ht="15" customHeight="1">
      <c r="B415" s="155"/>
      <c r="C415" s="63" t="s">
        <v>147</v>
      </c>
      <c r="D415" s="62">
        <v>2</v>
      </c>
      <c r="E415" s="61">
        <v>1.1415525114155251E-3</v>
      </c>
    </row>
    <row r="416" spans="2:5" ht="15" customHeight="1">
      <c r="B416" s="155"/>
      <c r="C416" s="63" t="s">
        <v>146</v>
      </c>
      <c r="D416" s="62">
        <v>2</v>
      </c>
      <c r="E416" s="61">
        <v>1.1415525114155251E-3</v>
      </c>
    </row>
    <row r="417" spans="2:5" ht="15" customHeight="1">
      <c r="B417" s="155"/>
      <c r="C417" s="63" t="s">
        <v>145</v>
      </c>
      <c r="D417" s="62">
        <v>8</v>
      </c>
      <c r="E417" s="61">
        <v>4.5662100456621002E-3</v>
      </c>
    </row>
    <row r="418" spans="2:5" ht="15" customHeight="1">
      <c r="B418" s="155"/>
      <c r="C418" s="63" t="s">
        <v>579</v>
      </c>
      <c r="D418" s="62">
        <v>3</v>
      </c>
      <c r="E418" s="61">
        <v>1.7123287671232876E-3</v>
      </c>
    </row>
    <row r="419" spans="2:5" ht="15" customHeight="1">
      <c r="B419" s="155"/>
      <c r="C419" s="63" t="s">
        <v>144</v>
      </c>
      <c r="D419" s="62">
        <v>1</v>
      </c>
      <c r="E419" s="61">
        <v>5.7077625570776253E-4</v>
      </c>
    </row>
    <row r="420" spans="2:5" ht="15" customHeight="1">
      <c r="B420" s="155"/>
      <c r="C420" s="63" t="s">
        <v>143</v>
      </c>
      <c r="D420" s="62">
        <v>1</v>
      </c>
      <c r="E420" s="61">
        <v>5.7077625570776253E-4</v>
      </c>
    </row>
    <row r="421" spans="2:5" ht="15" customHeight="1">
      <c r="B421" s="155"/>
      <c r="C421" s="63" t="s">
        <v>142</v>
      </c>
      <c r="D421" s="62">
        <v>4</v>
      </c>
      <c r="E421" s="61">
        <v>2.2831050228310501E-3</v>
      </c>
    </row>
    <row r="422" spans="2:5" ht="15" customHeight="1">
      <c r="B422" s="154"/>
      <c r="C422" s="60" t="s">
        <v>15</v>
      </c>
      <c r="D422" s="59">
        <v>92</v>
      </c>
      <c r="E422" s="58">
        <v>5.2511415525114152E-2</v>
      </c>
    </row>
    <row r="423" spans="2:5" ht="15" customHeight="1">
      <c r="B423" s="153" t="s">
        <v>36</v>
      </c>
      <c r="C423" s="63" t="s">
        <v>580</v>
      </c>
      <c r="D423" s="62">
        <v>1</v>
      </c>
      <c r="E423" s="61">
        <v>5.7077625570776253E-4</v>
      </c>
    </row>
    <row r="424" spans="2:5" ht="15" customHeight="1">
      <c r="B424" s="155"/>
      <c r="C424" s="63" t="s">
        <v>141</v>
      </c>
      <c r="D424" s="62">
        <v>2</v>
      </c>
      <c r="E424" s="61">
        <v>1.1415525114155251E-3</v>
      </c>
    </row>
    <row r="425" spans="2:5" ht="15" customHeight="1">
      <c r="B425" s="155"/>
      <c r="C425" s="63" t="s">
        <v>140</v>
      </c>
      <c r="D425" s="62">
        <v>5</v>
      </c>
      <c r="E425" s="61">
        <v>2.8538812785388126E-3</v>
      </c>
    </row>
    <row r="426" spans="2:5" ht="15" customHeight="1">
      <c r="B426" s="155"/>
      <c r="C426" s="63" t="s">
        <v>581</v>
      </c>
      <c r="D426" s="62">
        <v>1</v>
      </c>
      <c r="E426" s="61">
        <v>5.7077625570776253E-4</v>
      </c>
    </row>
    <row r="427" spans="2:5" ht="15" customHeight="1">
      <c r="B427" s="155"/>
      <c r="C427" s="63" t="s">
        <v>582</v>
      </c>
      <c r="D427" s="62">
        <v>1</v>
      </c>
      <c r="E427" s="61">
        <v>5.7077625570776253E-4</v>
      </c>
    </row>
    <row r="428" spans="2:5" ht="15" customHeight="1">
      <c r="B428" s="155"/>
      <c r="C428" s="63" t="s">
        <v>139</v>
      </c>
      <c r="D428" s="62">
        <v>16</v>
      </c>
      <c r="E428" s="61">
        <v>9.1324200913242004E-3</v>
      </c>
    </row>
    <row r="429" spans="2:5" ht="15" customHeight="1">
      <c r="B429" s="155"/>
      <c r="C429" s="63" t="s">
        <v>583</v>
      </c>
      <c r="D429" s="62">
        <v>2</v>
      </c>
      <c r="E429" s="61">
        <v>1.1415525114155251E-3</v>
      </c>
    </row>
    <row r="430" spans="2:5" ht="15" customHeight="1">
      <c r="B430" s="155"/>
      <c r="C430" s="63" t="s">
        <v>584</v>
      </c>
      <c r="D430" s="62">
        <v>1</v>
      </c>
      <c r="E430" s="61">
        <v>5.7077625570776253E-4</v>
      </c>
    </row>
    <row r="431" spans="2:5" ht="15" customHeight="1">
      <c r="B431" s="155"/>
      <c r="C431" s="63" t="s">
        <v>585</v>
      </c>
      <c r="D431" s="62">
        <v>1</v>
      </c>
      <c r="E431" s="61">
        <v>5.7077625570776253E-4</v>
      </c>
    </row>
    <row r="432" spans="2:5" ht="15" customHeight="1">
      <c r="B432" s="155"/>
      <c r="C432" s="63" t="s">
        <v>36</v>
      </c>
      <c r="D432" s="62">
        <v>2</v>
      </c>
      <c r="E432" s="61">
        <v>1.1415525114155251E-3</v>
      </c>
    </row>
    <row r="433" spans="2:5" ht="15" customHeight="1">
      <c r="B433" s="155"/>
      <c r="C433" s="63" t="s">
        <v>586</v>
      </c>
      <c r="D433" s="62">
        <v>1</v>
      </c>
      <c r="E433" s="61">
        <v>5.7077625570776253E-4</v>
      </c>
    </row>
    <row r="434" spans="2:5" ht="15" customHeight="1">
      <c r="B434" s="155"/>
      <c r="C434" s="63" t="s">
        <v>138</v>
      </c>
      <c r="D434" s="62">
        <v>2</v>
      </c>
      <c r="E434" s="61">
        <v>1.1415525114155251E-3</v>
      </c>
    </row>
    <row r="435" spans="2:5" ht="15" customHeight="1">
      <c r="B435" s="155"/>
      <c r="C435" s="63" t="s">
        <v>587</v>
      </c>
      <c r="D435" s="62">
        <v>1</v>
      </c>
      <c r="E435" s="61">
        <v>5.7077625570776253E-4</v>
      </c>
    </row>
    <row r="436" spans="2:5" ht="15" customHeight="1">
      <c r="B436" s="155"/>
      <c r="C436" s="63" t="s">
        <v>137</v>
      </c>
      <c r="D436" s="62">
        <v>3</v>
      </c>
      <c r="E436" s="61">
        <v>1.7123287671232876E-3</v>
      </c>
    </row>
    <row r="437" spans="2:5" ht="15" customHeight="1">
      <c r="B437" s="155"/>
      <c r="C437" s="63" t="s">
        <v>136</v>
      </c>
      <c r="D437" s="62">
        <v>8</v>
      </c>
      <c r="E437" s="61">
        <v>4.5662100456621002E-3</v>
      </c>
    </row>
    <row r="438" spans="2:5" ht="15" customHeight="1">
      <c r="B438" s="155"/>
      <c r="C438" s="63" t="s">
        <v>135</v>
      </c>
      <c r="D438" s="62">
        <v>2</v>
      </c>
      <c r="E438" s="61">
        <v>1.1415525114155251E-3</v>
      </c>
    </row>
    <row r="439" spans="2:5" ht="15" customHeight="1">
      <c r="B439" s="154"/>
      <c r="C439" s="60" t="s">
        <v>15</v>
      </c>
      <c r="D439" s="59">
        <v>49</v>
      </c>
      <c r="E439" s="58">
        <v>2.7968036529680364E-2</v>
      </c>
    </row>
    <row r="440" spans="2:5" ht="15" customHeight="1">
      <c r="B440" s="153" t="s">
        <v>22</v>
      </c>
      <c r="C440" s="63" t="s">
        <v>588</v>
      </c>
      <c r="D440" s="62">
        <v>1</v>
      </c>
      <c r="E440" s="61">
        <v>5.7077625570776253E-4</v>
      </c>
    </row>
    <row r="441" spans="2:5" ht="15" customHeight="1">
      <c r="B441" s="155"/>
      <c r="C441" s="63" t="s">
        <v>134</v>
      </c>
      <c r="D441" s="62">
        <v>1</v>
      </c>
      <c r="E441" s="61">
        <v>5.7077625570776253E-4</v>
      </c>
    </row>
    <row r="442" spans="2:5" ht="15" customHeight="1">
      <c r="B442" s="155"/>
      <c r="C442" s="63" t="s">
        <v>133</v>
      </c>
      <c r="D442" s="62">
        <v>5</v>
      </c>
      <c r="E442" s="61">
        <v>2.8538812785388126E-3</v>
      </c>
    </row>
    <row r="443" spans="2:5" ht="15" customHeight="1">
      <c r="B443" s="155"/>
      <c r="C443" s="63" t="s">
        <v>22</v>
      </c>
      <c r="D443" s="62">
        <v>5</v>
      </c>
      <c r="E443" s="61">
        <v>2.8538812785388126E-3</v>
      </c>
    </row>
    <row r="444" spans="2:5" ht="15" customHeight="1">
      <c r="B444" s="155"/>
      <c r="C444" s="63" t="s">
        <v>132</v>
      </c>
      <c r="D444" s="62">
        <v>3</v>
      </c>
      <c r="E444" s="61">
        <v>1.7123287671232876E-3</v>
      </c>
    </row>
    <row r="445" spans="2:5" ht="15" customHeight="1">
      <c r="B445" s="154"/>
      <c r="C445" s="60" t="s">
        <v>15</v>
      </c>
      <c r="D445" s="59">
        <v>15</v>
      </c>
      <c r="E445" s="58">
        <v>8.5616438356164379E-3</v>
      </c>
    </row>
    <row r="446" spans="2:5" ht="15" customHeight="1">
      <c r="B446" s="153" t="s">
        <v>35</v>
      </c>
      <c r="C446" s="63" t="s">
        <v>131</v>
      </c>
      <c r="D446" s="62">
        <v>1</v>
      </c>
      <c r="E446" s="61">
        <v>5.7077625570776253E-4</v>
      </c>
    </row>
    <row r="447" spans="2:5" ht="15" customHeight="1">
      <c r="B447" s="155"/>
      <c r="C447" s="63" t="s">
        <v>589</v>
      </c>
      <c r="D447" s="62">
        <v>1</v>
      </c>
      <c r="E447" s="61">
        <v>5.7077625570776253E-4</v>
      </c>
    </row>
    <row r="448" spans="2:5" ht="15" customHeight="1">
      <c r="B448" s="155"/>
      <c r="C448" s="63" t="s">
        <v>590</v>
      </c>
      <c r="D448" s="62">
        <v>1</v>
      </c>
      <c r="E448" s="61">
        <v>5.7077625570776253E-4</v>
      </c>
    </row>
    <row r="449" spans="2:5" ht="15" customHeight="1">
      <c r="B449" s="155"/>
      <c r="C449" s="63" t="s">
        <v>130</v>
      </c>
      <c r="D449" s="62">
        <v>3</v>
      </c>
      <c r="E449" s="61">
        <v>1.7123287671232876E-3</v>
      </c>
    </row>
    <row r="450" spans="2:5" ht="15" customHeight="1">
      <c r="B450" s="155"/>
      <c r="C450" s="63" t="s">
        <v>591</v>
      </c>
      <c r="D450" s="62">
        <v>1</v>
      </c>
      <c r="E450" s="61">
        <v>5.7077625570776253E-4</v>
      </c>
    </row>
    <row r="451" spans="2:5" ht="15" customHeight="1">
      <c r="B451" s="155"/>
      <c r="C451" s="63" t="s">
        <v>592</v>
      </c>
      <c r="D451" s="62">
        <v>1</v>
      </c>
      <c r="E451" s="61">
        <v>5.7077625570776253E-4</v>
      </c>
    </row>
    <row r="452" spans="2:5" ht="15" customHeight="1">
      <c r="B452" s="155"/>
      <c r="C452" s="63" t="s">
        <v>129</v>
      </c>
      <c r="D452" s="62">
        <v>2</v>
      </c>
      <c r="E452" s="61">
        <v>1.1415525114155251E-3</v>
      </c>
    </row>
    <row r="453" spans="2:5" ht="15" customHeight="1">
      <c r="B453" s="155"/>
      <c r="C453" s="63" t="s">
        <v>128</v>
      </c>
      <c r="D453" s="62">
        <v>3</v>
      </c>
      <c r="E453" s="61">
        <v>1.7123287671232876E-3</v>
      </c>
    </row>
    <row r="454" spans="2:5" ht="15" customHeight="1">
      <c r="B454" s="155"/>
      <c r="C454" s="63" t="s">
        <v>127</v>
      </c>
      <c r="D454" s="62">
        <v>10</v>
      </c>
      <c r="E454" s="61">
        <v>5.7077625570776253E-3</v>
      </c>
    </row>
    <row r="455" spans="2:5" ht="15" customHeight="1">
      <c r="B455" s="155"/>
      <c r="C455" s="63" t="s">
        <v>35</v>
      </c>
      <c r="D455" s="62">
        <v>8</v>
      </c>
      <c r="E455" s="61">
        <v>4.5662100456621002E-3</v>
      </c>
    </row>
    <row r="456" spans="2:5" ht="15" customHeight="1">
      <c r="B456" s="155"/>
      <c r="C456" s="63" t="s">
        <v>126</v>
      </c>
      <c r="D456" s="62">
        <v>1</v>
      </c>
      <c r="E456" s="61">
        <v>5.7077625570776253E-4</v>
      </c>
    </row>
    <row r="457" spans="2:5" ht="15" customHeight="1">
      <c r="B457" s="155"/>
      <c r="C457" s="63" t="s">
        <v>125</v>
      </c>
      <c r="D457" s="62">
        <v>2</v>
      </c>
      <c r="E457" s="61">
        <v>1.1415525114155251E-3</v>
      </c>
    </row>
    <row r="458" spans="2:5" ht="15" customHeight="1">
      <c r="B458" s="155"/>
      <c r="C458" s="63" t="s">
        <v>124</v>
      </c>
      <c r="D458" s="62">
        <v>1</v>
      </c>
      <c r="E458" s="61">
        <v>5.7077625570776253E-4</v>
      </c>
    </row>
    <row r="459" spans="2:5" ht="15" customHeight="1">
      <c r="B459" s="155"/>
      <c r="C459" s="63" t="s">
        <v>123</v>
      </c>
      <c r="D459" s="62">
        <v>4</v>
      </c>
      <c r="E459" s="61">
        <v>2.2831050228310501E-3</v>
      </c>
    </row>
    <row r="460" spans="2:5" ht="15" customHeight="1">
      <c r="B460" s="155"/>
      <c r="C460" s="63" t="s">
        <v>593</v>
      </c>
      <c r="D460" s="62">
        <v>1</v>
      </c>
      <c r="E460" s="61">
        <v>5.7077625570776253E-4</v>
      </c>
    </row>
    <row r="461" spans="2:5" ht="15" customHeight="1">
      <c r="B461" s="155"/>
      <c r="C461" s="63" t="s">
        <v>122</v>
      </c>
      <c r="D461" s="62">
        <v>13</v>
      </c>
      <c r="E461" s="61">
        <v>7.4200913242009128E-3</v>
      </c>
    </row>
    <row r="462" spans="2:5" ht="15" customHeight="1">
      <c r="B462" s="154"/>
      <c r="C462" s="60" t="s">
        <v>15</v>
      </c>
      <c r="D462" s="59">
        <v>53</v>
      </c>
      <c r="E462" s="58">
        <v>3.0251141552511414E-2</v>
      </c>
    </row>
    <row r="463" spans="2:5" ht="15" customHeight="1">
      <c r="B463" s="153" t="s">
        <v>23</v>
      </c>
      <c r="C463" s="63" t="s">
        <v>121</v>
      </c>
      <c r="D463" s="62">
        <v>1</v>
      </c>
      <c r="E463" s="61">
        <v>5.7077625570776253E-4</v>
      </c>
    </row>
    <row r="464" spans="2:5" ht="15" customHeight="1">
      <c r="B464" s="155"/>
      <c r="C464" s="63" t="s">
        <v>120</v>
      </c>
      <c r="D464" s="62">
        <v>1</v>
      </c>
      <c r="E464" s="61">
        <v>5.7077625570776253E-4</v>
      </c>
    </row>
    <row r="465" spans="2:5" ht="15" customHeight="1">
      <c r="B465" s="155"/>
      <c r="C465" s="63" t="s">
        <v>119</v>
      </c>
      <c r="D465" s="62">
        <v>4</v>
      </c>
      <c r="E465" s="61">
        <v>2.2831050228310501E-3</v>
      </c>
    </row>
    <row r="466" spans="2:5" ht="15" customHeight="1">
      <c r="B466" s="155"/>
      <c r="C466" s="63" t="s">
        <v>594</v>
      </c>
      <c r="D466" s="62">
        <v>1</v>
      </c>
      <c r="E466" s="61">
        <v>5.7077625570776253E-4</v>
      </c>
    </row>
    <row r="467" spans="2:5" ht="15" customHeight="1">
      <c r="B467" s="155"/>
      <c r="C467" s="63" t="s">
        <v>23</v>
      </c>
      <c r="D467" s="62">
        <v>1</v>
      </c>
      <c r="E467" s="61">
        <v>5.7077625570776253E-4</v>
      </c>
    </row>
    <row r="468" spans="2:5" ht="15" customHeight="1">
      <c r="B468" s="154"/>
      <c r="C468" s="60" t="s">
        <v>15</v>
      </c>
      <c r="D468" s="59">
        <v>8</v>
      </c>
      <c r="E468" s="58">
        <v>4.5662100456621002E-3</v>
      </c>
    </row>
    <row r="469" spans="2:5" ht="15" customHeight="1">
      <c r="B469" s="153" t="s">
        <v>18</v>
      </c>
      <c r="C469" s="63" t="s">
        <v>118</v>
      </c>
      <c r="D469" s="62">
        <v>2</v>
      </c>
      <c r="E469" s="61">
        <v>1.1415525114155251E-3</v>
      </c>
    </row>
    <row r="470" spans="2:5" ht="15" customHeight="1">
      <c r="B470" s="155"/>
      <c r="C470" s="63" t="s">
        <v>595</v>
      </c>
      <c r="D470" s="62">
        <v>1</v>
      </c>
      <c r="E470" s="61">
        <v>5.7077625570776253E-4</v>
      </c>
    </row>
    <row r="471" spans="2:5" ht="15" customHeight="1">
      <c r="B471" s="155"/>
      <c r="C471" s="63" t="s">
        <v>257</v>
      </c>
      <c r="D471" s="62">
        <v>1</v>
      </c>
      <c r="E471" s="61">
        <v>5.7077625570776253E-4</v>
      </c>
    </row>
    <row r="472" spans="2:5" ht="15" customHeight="1">
      <c r="B472" s="155"/>
      <c r="C472" s="63" t="s">
        <v>596</v>
      </c>
      <c r="D472" s="62">
        <v>1</v>
      </c>
      <c r="E472" s="61">
        <v>5.7077625570776253E-4</v>
      </c>
    </row>
    <row r="473" spans="2:5" ht="15" customHeight="1">
      <c r="B473" s="155"/>
      <c r="C473" s="63" t="s">
        <v>117</v>
      </c>
      <c r="D473" s="62">
        <v>1</v>
      </c>
      <c r="E473" s="61">
        <v>5.7077625570776253E-4</v>
      </c>
    </row>
    <row r="474" spans="2:5" ht="15" customHeight="1">
      <c r="B474" s="154"/>
      <c r="C474" s="60" t="s">
        <v>15</v>
      </c>
      <c r="D474" s="59">
        <v>6</v>
      </c>
      <c r="E474" s="58">
        <v>3.4246575342465752E-3</v>
      </c>
    </row>
    <row r="475" spans="2:5" ht="15" customHeight="1">
      <c r="B475" s="153" t="s">
        <v>20</v>
      </c>
      <c r="C475" s="63" t="s">
        <v>116</v>
      </c>
      <c r="D475" s="62">
        <v>2</v>
      </c>
      <c r="E475" s="61">
        <v>1.1415525114155251E-3</v>
      </c>
    </row>
    <row r="476" spans="2:5" ht="15" customHeight="1">
      <c r="B476" s="155"/>
      <c r="C476" s="63" t="s">
        <v>115</v>
      </c>
      <c r="D476" s="62">
        <v>1</v>
      </c>
      <c r="E476" s="61">
        <v>5.7077625570776253E-4</v>
      </c>
    </row>
    <row r="477" spans="2:5" ht="15" customHeight="1">
      <c r="B477" s="155"/>
      <c r="C477" s="63" t="s">
        <v>114</v>
      </c>
      <c r="D477" s="62">
        <v>4</v>
      </c>
      <c r="E477" s="61">
        <v>2.2831050228310501E-3</v>
      </c>
    </row>
    <row r="478" spans="2:5" ht="15" customHeight="1">
      <c r="B478" s="154"/>
      <c r="C478" s="60" t="s">
        <v>15</v>
      </c>
      <c r="D478" s="59">
        <v>7</v>
      </c>
      <c r="E478" s="58">
        <v>3.9954337899543377E-3</v>
      </c>
    </row>
    <row r="479" spans="2:5" ht="15" customHeight="1">
      <c r="B479" s="153" t="s">
        <v>31</v>
      </c>
      <c r="C479" s="63" t="s">
        <v>597</v>
      </c>
      <c r="D479" s="62">
        <v>1</v>
      </c>
      <c r="E479" s="61">
        <v>5.7077625570776253E-4</v>
      </c>
    </row>
    <row r="480" spans="2:5" ht="15" customHeight="1">
      <c r="B480" s="155"/>
      <c r="C480" s="63" t="s">
        <v>113</v>
      </c>
      <c r="D480" s="62">
        <v>1</v>
      </c>
      <c r="E480" s="61">
        <v>5.7077625570776253E-4</v>
      </c>
    </row>
    <row r="481" spans="2:5" ht="15" customHeight="1">
      <c r="B481" s="155"/>
      <c r="C481" s="63" t="s">
        <v>112</v>
      </c>
      <c r="D481" s="62">
        <v>1</v>
      </c>
      <c r="E481" s="61">
        <v>5.7077625570776253E-4</v>
      </c>
    </row>
    <row r="482" spans="2:5" ht="15" customHeight="1">
      <c r="B482" s="155"/>
      <c r="C482" s="63" t="s">
        <v>111</v>
      </c>
      <c r="D482" s="62">
        <v>4</v>
      </c>
      <c r="E482" s="61">
        <v>2.2831050228310501E-3</v>
      </c>
    </row>
    <row r="483" spans="2:5" ht="15" customHeight="1">
      <c r="B483" s="155"/>
      <c r="C483" s="63" t="s">
        <v>110</v>
      </c>
      <c r="D483" s="62">
        <v>3</v>
      </c>
      <c r="E483" s="61">
        <v>1.7123287671232876E-3</v>
      </c>
    </row>
    <row r="484" spans="2:5" ht="15" customHeight="1">
      <c r="B484" s="155"/>
      <c r="C484" s="63" t="s">
        <v>109</v>
      </c>
      <c r="D484" s="62">
        <v>1</v>
      </c>
      <c r="E484" s="61">
        <v>5.7077625570776253E-4</v>
      </c>
    </row>
    <row r="485" spans="2:5" ht="15" customHeight="1">
      <c r="B485" s="155"/>
      <c r="C485" s="63" t="s">
        <v>108</v>
      </c>
      <c r="D485" s="62">
        <v>1</v>
      </c>
      <c r="E485" s="61">
        <v>5.7077625570776253E-4</v>
      </c>
    </row>
    <row r="486" spans="2:5" ht="15" customHeight="1">
      <c r="B486" s="155"/>
      <c r="C486" s="63" t="s">
        <v>598</v>
      </c>
      <c r="D486" s="62">
        <v>1</v>
      </c>
      <c r="E486" s="61">
        <v>5.7077625570776253E-4</v>
      </c>
    </row>
    <row r="487" spans="2:5" ht="15" customHeight="1">
      <c r="B487" s="155"/>
      <c r="C487" s="63" t="s">
        <v>107</v>
      </c>
      <c r="D487" s="62">
        <v>4</v>
      </c>
      <c r="E487" s="61">
        <v>2.2831050228310501E-3</v>
      </c>
    </row>
    <row r="488" spans="2:5" ht="15" customHeight="1">
      <c r="B488" s="155"/>
      <c r="C488" s="63" t="s">
        <v>106</v>
      </c>
      <c r="D488" s="62">
        <v>1</v>
      </c>
      <c r="E488" s="61">
        <v>5.7077625570776253E-4</v>
      </c>
    </row>
    <row r="489" spans="2:5" ht="15" customHeight="1">
      <c r="B489" s="155"/>
      <c r="C489" s="63" t="s">
        <v>105</v>
      </c>
      <c r="D489" s="62">
        <v>1</v>
      </c>
      <c r="E489" s="61">
        <v>5.7077625570776253E-4</v>
      </c>
    </row>
    <row r="490" spans="2:5" ht="15" customHeight="1">
      <c r="B490" s="155"/>
      <c r="C490" s="63" t="s">
        <v>599</v>
      </c>
      <c r="D490" s="62">
        <v>1</v>
      </c>
      <c r="E490" s="61">
        <v>5.7077625570776253E-4</v>
      </c>
    </row>
    <row r="491" spans="2:5" ht="15" customHeight="1">
      <c r="B491" s="154"/>
      <c r="C491" s="60" t="s">
        <v>15</v>
      </c>
      <c r="D491" s="59">
        <v>20</v>
      </c>
      <c r="E491" s="58">
        <v>1.1415525114155251E-2</v>
      </c>
    </row>
    <row r="492" spans="2:5" ht="15" customHeight="1">
      <c r="B492" s="153" t="s">
        <v>17</v>
      </c>
      <c r="C492" s="63" t="s">
        <v>104</v>
      </c>
      <c r="D492" s="62">
        <v>1</v>
      </c>
      <c r="E492" s="61">
        <v>5.7077625570776253E-4</v>
      </c>
    </row>
    <row r="493" spans="2:5" ht="15" customHeight="1">
      <c r="B493" s="155"/>
      <c r="C493" s="63" t="s">
        <v>103</v>
      </c>
      <c r="D493" s="62">
        <v>1</v>
      </c>
      <c r="E493" s="61">
        <v>5.7077625570776253E-4</v>
      </c>
    </row>
    <row r="494" spans="2:5" ht="15" customHeight="1">
      <c r="B494" s="155"/>
      <c r="C494" s="63" t="s">
        <v>600</v>
      </c>
      <c r="D494" s="62">
        <v>1</v>
      </c>
      <c r="E494" s="61">
        <v>5.7077625570776253E-4</v>
      </c>
    </row>
    <row r="495" spans="2:5" ht="15" customHeight="1">
      <c r="B495" s="155"/>
      <c r="C495" s="63" t="s">
        <v>601</v>
      </c>
      <c r="D495" s="62">
        <v>1</v>
      </c>
      <c r="E495" s="61">
        <v>5.7077625570776253E-4</v>
      </c>
    </row>
    <row r="496" spans="2:5" ht="15" customHeight="1">
      <c r="B496" s="154"/>
      <c r="C496" s="60" t="s">
        <v>15</v>
      </c>
      <c r="D496" s="59">
        <v>4</v>
      </c>
      <c r="E496" s="58">
        <v>2.2831050228310501E-3</v>
      </c>
    </row>
    <row r="497" spans="2:5" ht="15" customHeight="1">
      <c r="B497" s="153" t="s">
        <v>42</v>
      </c>
      <c r="C497" s="63" t="s">
        <v>102</v>
      </c>
      <c r="D497" s="62">
        <v>1</v>
      </c>
      <c r="E497" s="61">
        <v>5.7077625570776253E-4</v>
      </c>
    </row>
    <row r="498" spans="2:5" ht="15" customHeight="1">
      <c r="B498" s="155"/>
      <c r="C498" s="63" t="s">
        <v>602</v>
      </c>
      <c r="D498" s="62">
        <v>1</v>
      </c>
      <c r="E498" s="61">
        <v>5.7077625570776253E-4</v>
      </c>
    </row>
    <row r="499" spans="2:5" ht="15" customHeight="1">
      <c r="B499" s="155"/>
      <c r="C499" s="63" t="s">
        <v>603</v>
      </c>
      <c r="D499" s="62">
        <v>1</v>
      </c>
      <c r="E499" s="61">
        <v>5.7077625570776253E-4</v>
      </c>
    </row>
    <row r="500" spans="2:5" ht="15" customHeight="1">
      <c r="B500" s="155"/>
      <c r="C500" s="63" t="s">
        <v>101</v>
      </c>
      <c r="D500" s="62">
        <v>1</v>
      </c>
      <c r="E500" s="61">
        <v>5.7077625570776253E-4</v>
      </c>
    </row>
    <row r="501" spans="2:5" ht="15" customHeight="1">
      <c r="B501" s="155"/>
      <c r="C501" s="63" t="s">
        <v>604</v>
      </c>
      <c r="D501" s="62">
        <v>3</v>
      </c>
      <c r="E501" s="61">
        <v>1.7123287671232876E-3</v>
      </c>
    </row>
    <row r="502" spans="2:5" ht="15" customHeight="1">
      <c r="B502" s="155"/>
      <c r="C502" s="63" t="s">
        <v>100</v>
      </c>
      <c r="D502" s="62">
        <v>1</v>
      </c>
      <c r="E502" s="61">
        <v>5.7077625570776253E-4</v>
      </c>
    </row>
    <row r="503" spans="2:5" ht="15" customHeight="1">
      <c r="B503" s="155"/>
      <c r="C503" s="63" t="s">
        <v>99</v>
      </c>
      <c r="D503" s="62">
        <v>3</v>
      </c>
      <c r="E503" s="61">
        <v>1.7123287671232876E-3</v>
      </c>
    </row>
    <row r="504" spans="2:5" ht="15" customHeight="1">
      <c r="B504" s="155"/>
      <c r="C504" s="63" t="s">
        <v>605</v>
      </c>
      <c r="D504" s="62">
        <v>1</v>
      </c>
      <c r="E504" s="61">
        <v>5.7077625570776253E-4</v>
      </c>
    </row>
    <row r="505" spans="2:5" ht="15" customHeight="1">
      <c r="B505" s="155"/>
      <c r="C505" s="63" t="s">
        <v>98</v>
      </c>
      <c r="D505" s="62">
        <v>1</v>
      </c>
      <c r="E505" s="61">
        <v>5.7077625570776253E-4</v>
      </c>
    </row>
    <row r="506" spans="2:5" ht="15" customHeight="1">
      <c r="B506" s="155"/>
      <c r="C506" s="63" t="s">
        <v>606</v>
      </c>
      <c r="D506" s="62">
        <v>1</v>
      </c>
      <c r="E506" s="61">
        <v>5.7077625570776253E-4</v>
      </c>
    </row>
    <row r="507" spans="2:5" ht="15" customHeight="1">
      <c r="B507" s="155"/>
      <c r="C507" s="63" t="s">
        <v>607</v>
      </c>
      <c r="D507" s="62">
        <v>1</v>
      </c>
      <c r="E507" s="61">
        <v>5.7077625570776253E-4</v>
      </c>
    </row>
    <row r="508" spans="2:5" ht="15" customHeight="1">
      <c r="B508" s="155"/>
      <c r="C508" s="63" t="s">
        <v>97</v>
      </c>
      <c r="D508" s="62">
        <v>2</v>
      </c>
      <c r="E508" s="61">
        <v>1.1415525114155251E-3</v>
      </c>
    </row>
    <row r="509" spans="2:5" ht="15" customHeight="1">
      <c r="B509" s="155"/>
      <c r="C509" s="63" t="s">
        <v>96</v>
      </c>
      <c r="D509" s="62">
        <v>10</v>
      </c>
      <c r="E509" s="61">
        <v>5.7077625570776253E-3</v>
      </c>
    </row>
    <row r="510" spans="2:5" ht="15" customHeight="1">
      <c r="B510" s="155"/>
      <c r="C510" s="63" t="s">
        <v>95</v>
      </c>
      <c r="D510" s="62">
        <v>1</v>
      </c>
      <c r="E510" s="61">
        <v>5.7077625570776253E-4</v>
      </c>
    </row>
    <row r="511" spans="2:5" ht="15" customHeight="1">
      <c r="B511" s="155"/>
      <c r="C511" s="63" t="s">
        <v>94</v>
      </c>
      <c r="D511" s="62">
        <v>2</v>
      </c>
      <c r="E511" s="61">
        <v>1.1415525114155251E-3</v>
      </c>
    </row>
    <row r="512" spans="2:5" ht="15" customHeight="1">
      <c r="B512" s="155"/>
      <c r="C512" s="63" t="s">
        <v>93</v>
      </c>
      <c r="D512" s="62">
        <v>1</v>
      </c>
      <c r="E512" s="61">
        <v>5.7077625570776253E-4</v>
      </c>
    </row>
    <row r="513" spans="2:5" ht="15" customHeight="1">
      <c r="B513" s="155"/>
      <c r="C513" s="63" t="s">
        <v>92</v>
      </c>
      <c r="D513" s="62">
        <v>1</v>
      </c>
      <c r="E513" s="61">
        <v>5.7077625570776253E-4</v>
      </c>
    </row>
    <row r="514" spans="2:5" ht="15" customHeight="1">
      <c r="B514" s="155"/>
      <c r="C514" s="63" t="s">
        <v>91</v>
      </c>
      <c r="D514" s="62">
        <v>4</v>
      </c>
      <c r="E514" s="61">
        <v>2.2831050228310501E-3</v>
      </c>
    </row>
    <row r="515" spans="2:5" ht="15" customHeight="1">
      <c r="B515" s="155"/>
      <c r="C515" s="63" t="s">
        <v>608</v>
      </c>
      <c r="D515" s="62">
        <v>1</v>
      </c>
      <c r="E515" s="61">
        <v>5.7077625570776253E-4</v>
      </c>
    </row>
    <row r="516" spans="2:5" ht="15" customHeight="1">
      <c r="B516" s="155"/>
      <c r="C516" s="63" t="s">
        <v>609</v>
      </c>
      <c r="D516" s="62">
        <v>1</v>
      </c>
      <c r="E516" s="61">
        <v>5.7077625570776253E-4</v>
      </c>
    </row>
    <row r="517" spans="2:5" ht="15" customHeight="1">
      <c r="B517" s="155"/>
      <c r="C517" s="63" t="s">
        <v>610</v>
      </c>
      <c r="D517" s="62">
        <v>4</v>
      </c>
      <c r="E517" s="61">
        <v>2.2831050228310501E-3</v>
      </c>
    </row>
    <row r="518" spans="2:5" ht="15" customHeight="1">
      <c r="B518" s="155"/>
      <c r="C518" s="63" t="s">
        <v>611</v>
      </c>
      <c r="D518" s="62">
        <v>1</v>
      </c>
      <c r="E518" s="61">
        <v>5.7077625570776253E-4</v>
      </c>
    </row>
    <row r="519" spans="2:5" ht="15" customHeight="1">
      <c r="B519" s="155"/>
      <c r="C519" s="63" t="s">
        <v>90</v>
      </c>
      <c r="D519" s="62">
        <v>1</v>
      </c>
      <c r="E519" s="61">
        <v>5.7077625570776253E-4</v>
      </c>
    </row>
    <row r="520" spans="2:5" ht="15" customHeight="1">
      <c r="B520" s="155"/>
      <c r="C520" s="63" t="s">
        <v>89</v>
      </c>
      <c r="D520" s="62">
        <v>4</v>
      </c>
      <c r="E520" s="61">
        <v>2.2831050228310501E-3</v>
      </c>
    </row>
    <row r="521" spans="2:5" ht="15" customHeight="1">
      <c r="B521" s="155"/>
      <c r="C521" s="63" t="s">
        <v>612</v>
      </c>
      <c r="D521" s="62">
        <v>1</v>
      </c>
      <c r="E521" s="61">
        <v>5.7077625570776253E-4</v>
      </c>
    </row>
    <row r="522" spans="2:5" ht="15" customHeight="1">
      <c r="B522" s="155"/>
      <c r="C522" s="63" t="s">
        <v>613</v>
      </c>
      <c r="D522" s="62">
        <v>2</v>
      </c>
      <c r="E522" s="61">
        <v>1.1415525114155251E-3</v>
      </c>
    </row>
    <row r="523" spans="2:5" ht="15" customHeight="1">
      <c r="B523" s="155"/>
      <c r="C523" s="63" t="s">
        <v>88</v>
      </c>
      <c r="D523" s="62">
        <v>2</v>
      </c>
      <c r="E523" s="61">
        <v>1.1415525114155251E-3</v>
      </c>
    </row>
    <row r="524" spans="2:5" ht="15" customHeight="1">
      <c r="B524" s="155"/>
      <c r="C524" s="63" t="s">
        <v>87</v>
      </c>
      <c r="D524" s="62">
        <v>1</v>
      </c>
      <c r="E524" s="61">
        <v>5.7077625570776253E-4</v>
      </c>
    </row>
    <row r="525" spans="2:5" ht="15" customHeight="1">
      <c r="B525" s="155"/>
      <c r="C525" s="63" t="s">
        <v>86</v>
      </c>
      <c r="D525" s="62">
        <v>2</v>
      </c>
      <c r="E525" s="61">
        <v>1.1415525114155251E-3</v>
      </c>
    </row>
    <row r="526" spans="2:5" ht="15" customHeight="1">
      <c r="B526" s="155"/>
      <c r="C526" s="63" t="s">
        <v>85</v>
      </c>
      <c r="D526" s="62">
        <v>2</v>
      </c>
      <c r="E526" s="61">
        <v>1.1415525114155251E-3</v>
      </c>
    </row>
    <row r="527" spans="2:5" ht="15" customHeight="1">
      <c r="B527" s="155"/>
      <c r="C527" s="63" t="s">
        <v>84</v>
      </c>
      <c r="D527" s="62">
        <v>2</v>
      </c>
      <c r="E527" s="61">
        <v>1.1415525114155251E-3</v>
      </c>
    </row>
    <row r="528" spans="2:5" ht="15" customHeight="1">
      <c r="B528" s="155"/>
      <c r="C528" s="63" t="s">
        <v>83</v>
      </c>
      <c r="D528" s="62">
        <v>1</v>
      </c>
      <c r="E528" s="61">
        <v>5.7077625570776253E-4</v>
      </c>
    </row>
    <row r="529" spans="2:5" ht="15" customHeight="1">
      <c r="B529" s="155"/>
      <c r="C529" s="63" t="s">
        <v>82</v>
      </c>
      <c r="D529" s="62">
        <v>1</v>
      </c>
      <c r="E529" s="61">
        <v>5.7077625570776253E-4</v>
      </c>
    </row>
    <row r="530" spans="2:5" ht="15" customHeight="1">
      <c r="B530" s="155"/>
      <c r="C530" s="63" t="s">
        <v>81</v>
      </c>
      <c r="D530" s="62">
        <v>1</v>
      </c>
      <c r="E530" s="61">
        <v>5.7077625570776253E-4</v>
      </c>
    </row>
    <row r="531" spans="2:5" ht="15" customHeight="1">
      <c r="B531" s="155"/>
      <c r="C531" s="63" t="s">
        <v>80</v>
      </c>
      <c r="D531" s="62">
        <v>1</v>
      </c>
      <c r="E531" s="61">
        <v>5.7077625570776253E-4</v>
      </c>
    </row>
    <row r="532" spans="2:5" ht="15" customHeight="1">
      <c r="B532" s="155"/>
      <c r="C532" s="63" t="s">
        <v>614</v>
      </c>
      <c r="D532" s="62">
        <v>1</v>
      </c>
      <c r="E532" s="61">
        <v>5.7077625570776253E-4</v>
      </c>
    </row>
    <row r="533" spans="2:5" ht="15" customHeight="1">
      <c r="B533" s="155"/>
      <c r="C533" s="63" t="s">
        <v>79</v>
      </c>
      <c r="D533" s="62">
        <v>10</v>
      </c>
      <c r="E533" s="61">
        <v>5.7077625570776253E-3</v>
      </c>
    </row>
    <row r="534" spans="2:5" ht="15" customHeight="1">
      <c r="B534" s="155"/>
      <c r="C534" s="63" t="s">
        <v>615</v>
      </c>
      <c r="D534" s="62">
        <v>1</v>
      </c>
      <c r="E534" s="61">
        <v>5.7077625570776253E-4</v>
      </c>
    </row>
    <row r="535" spans="2:5" ht="15" customHeight="1">
      <c r="B535" s="155"/>
      <c r="C535" s="63" t="s">
        <v>616</v>
      </c>
      <c r="D535" s="62">
        <v>1</v>
      </c>
      <c r="E535" s="61">
        <v>5.7077625570776253E-4</v>
      </c>
    </row>
    <row r="536" spans="2:5" ht="15" customHeight="1">
      <c r="B536" s="155"/>
      <c r="C536" s="63" t="s">
        <v>78</v>
      </c>
      <c r="D536" s="62">
        <v>2</v>
      </c>
      <c r="E536" s="61">
        <v>1.1415525114155251E-3</v>
      </c>
    </row>
    <row r="537" spans="2:5" ht="15" customHeight="1">
      <c r="B537" s="155"/>
      <c r="C537" s="63" t="s">
        <v>77</v>
      </c>
      <c r="D537" s="62">
        <v>5</v>
      </c>
      <c r="E537" s="61">
        <v>2.8538812785388126E-3</v>
      </c>
    </row>
    <row r="538" spans="2:5" ht="15" customHeight="1">
      <c r="B538" s="155"/>
      <c r="C538" s="63" t="s">
        <v>617</v>
      </c>
      <c r="D538" s="62">
        <v>1</v>
      </c>
      <c r="E538" s="61">
        <v>5.7077625570776253E-4</v>
      </c>
    </row>
    <row r="539" spans="2:5" ht="15" customHeight="1">
      <c r="B539" s="155"/>
      <c r="C539" s="63" t="s">
        <v>76</v>
      </c>
      <c r="D539" s="62">
        <v>18</v>
      </c>
      <c r="E539" s="61">
        <v>1.0273972602739725E-2</v>
      </c>
    </row>
    <row r="540" spans="2:5" ht="15" customHeight="1">
      <c r="B540" s="155"/>
      <c r="C540" s="63" t="s">
        <v>618</v>
      </c>
      <c r="D540" s="62">
        <v>4</v>
      </c>
      <c r="E540" s="61">
        <v>2.2831050228310501E-3</v>
      </c>
    </row>
    <row r="541" spans="2:5" ht="15" customHeight="1">
      <c r="B541" s="155"/>
      <c r="C541" s="63" t="s">
        <v>75</v>
      </c>
      <c r="D541" s="62">
        <v>6</v>
      </c>
      <c r="E541" s="61">
        <v>3.4246575342465752E-3</v>
      </c>
    </row>
    <row r="542" spans="2:5" ht="15" customHeight="1">
      <c r="B542" s="155"/>
      <c r="C542" s="63" t="s">
        <v>619</v>
      </c>
      <c r="D542" s="62">
        <v>1</v>
      </c>
      <c r="E542" s="61">
        <v>5.7077625570776253E-4</v>
      </c>
    </row>
    <row r="543" spans="2:5" ht="15" customHeight="1">
      <c r="B543" s="155"/>
      <c r="C543" s="63" t="s">
        <v>42</v>
      </c>
      <c r="D543" s="62">
        <v>9</v>
      </c>
      <c r="E543" s="61">
        <v>5.1369863013698627E-3</v>
      </c>
    </row>
    <row r="544" spans="2:5" ht="15" customHeight="1">
      <c r="B544" s="155"/>
      <c r="C544" s="63" t="s">
        <v>74</v>
      </c>
      <c r="D544" s="62">
        <v>1</v>
      </c>
      <c r="E544" s="61">
        <v>5.7077625570776253E-4</v>
      </c>
    </row>
    <row r="545" spans="2:5" ht="15" customHeight="1">
      <c r="B545" s="155"/>
      <c r="C545" s="63" t="s">
        <v>73</v>
      </c>
      <c r="D545" s="62">
        <v>1</v>
      </c>
      <c r="E545" s="61">
        <v>5.7077625570776253E-4</v>
      </c>
    </row>
    <row r="546" spans="2:5" ht="15" customHeight="1">
      <c r="B546" s="155"/>
      <c r="C546" s="63" t="s">
        <v>72</v>
      </c>
      <c r="D546" s="62">
        <v>1</v>
      </c>
      <c r="E546" s="61">
        <v>5.7077625570776253E-4</v>
      </c>
    </row>
    <row r="547" spans="2:5" ht="15" customHeight="1">
      <c r="B547" s="155"/>
      <c r="C547" s="63" t="s">
        <v>71</v>
      </c>
      <c r="D547" s="62">
        <v>3</v>
      </c>
      <c r="E547" s="61">
        <v>1.7123287671232876E-3</v>
      </c>
    </row>
    <row r="548" spans="2:5" ht="15" customHeight="1">
      <c r="B548" s="154"/>
      <c r="C548" s="60" t="s">
        <v>15</v>
      </c>
      <c r="D548" s="59">
        <v>129</v>
      </c>
      <c r="E548" s="58">
        <v>7.3630136986301373E-2</v>
      </c>
    </row>
    <row r="549" spans="2:5" ht="15" customHeight="1">
      <c r="B549" s="153" t="s">
        <v>16</v>
      </c>
      <c r="C549" s="63" t="s">
        <v>70</v>
      </c>
      <c r="D549" s="62">
        <v>1</v>
      </c>
      <c r="E549" s="61">
        <v>5.7077625570776253E-4</v>
      </c>
    </row>
    <row r="550" spans="2:5" ht="15" customHeight="1">
      <c r="B550" s="154"/>
      <c r="C550" s="60" t="s">
        <v>15</v>
      </c>
      <c r="D550" s="59">
        <v>1</v>
      </c>
      <c r="E550" s="58">
        <v>5.7077625570776253E-4</v>
      </c>
    </row>
    <row r="551" spans="2:5" ht="15" customHeight="1">
      <c r="B551" s="153" t="s">
        <v>39</v>
      </c>
      <c r="C551" s="63" t="s">
        <v>620</v>
      </c>
      <c r="D551" s="62">
        <v>1</v>
      </c>
      <c r="E551" s="61">
        <v>5.7077625570776253E-4</v>
      </c>
    </row>
    <row r="552" spans="2:5" ht="15" customHeight="1">
      <c r="B552" s="155"/>
      <c r="C552" s="63" t="s">
        <v>68</v>
      </c>
      <c r="D552" s="62">
        <v>1</v>
      </c>
      <c r="E552" s="61">
        <v>5.7077625570776253E-4</v>
      </c>
    </row>
    <row r="553" spans="2:5" ht="15" customHeight="1">
      <c r="B553" s="155"/>
      <c r="C553" s="63" t="s">
        <v>621</v>
      </c>
      <c r="D553" s="62">
        <v>1</v>
      </c>
      <c r="E553" s="61">
        <v>5.7077625570776253E-4</v>
      </c>
    </row>
    <row r="554" spans="2:5" ht="15" customHeight="1">
      <c r="B554" s="155"/>
      <c r="C554" s="63" t="s">
        <v>67</v>
      </c>
      <c r="D554" s="62">
        <v>4</v>
      </c>
      <c r="E554" s="61">
        <v>2.2831050228310501E-3</v>
      </c>
    </row>
    <row r="555" spans="2:5" ht="15" customHeight="1">
      <c r="B555" s="155"/>
      <c r="C555" s="63" t="s">
        <v>66</v>
      </c>
      <c r="D555" s="62">
        <v>17</v>
      </c>
      <c r="E555" s="61">
        <v>9.7031963470319629E-3</v>
      </c>
    </row>
    <row r="556" spans="2:5" ht="15" customHeight="1">
      <c r="B556" s="155"/>
      <c r="C556" s="63" t="s">
        <v>65</v>
      </c>
      <c r="D556" s="62">
        <v>8</v>
      </c>
      <c r="E556" s="61">
        <v>4.5662100456621002E-3</v>
      </c>
    </row>
    <row r="557" spans="2:5" ht="15" customHeight="1">
      <c r="B557" s="155"/>
      <c r="C557" s="63" t="s">
        <v>64</v>
      </c>
      <c r="D557" s="62">
        <v>1</v>
      </c>
      <c r="E557" s="61">
        <v>5.7077625570776253E-4</v>
      </c>
    </row>
    <row r="558" spans="2:5" ht="15" customHeight="1">
      <c r="B558" s="155"/>
      <c r="C558" s="63" t="s">
        <v>63</v>
      </c>
      <c r="D558" s="62">
        <v>3</v>
      </c>
      <c r="E558" s="61">
        <v>1.7123287671232876E-3</v>
      </c>
    </row>
    <row r="559" spans="2:5" ht="15" customHeight="1">
      <c r="B559" s="155"/>
      <c r="C559" s="63" t="s">
        <v>62</v>
      </c>
      <c r="D559" s="62">
        <v>2</v>
      </c>
      <c r="E559" s="61">
        <v>1.1415525114155251E-3</v>
      </c>
    </row>
    <row r="560" spans="2:5" ht="15" customHeight="1">
      <c r="B560" s="155"/>
      <c r="C560" s="63" t="s">
        <v>61</v>
      </c>
      <c r="D560" s="62">
        <v>11</v>
      </c>
      <c r="E560" s="61">
        <v>6.2785388127853878E-3</v>
      </c>
    </row>
    <row r="561" spans="2:5" ht="15" customHeight="1">
      <c r="B561" s="155"/>
      <c r="C561" s="63" t="s">
        <v>60</v>
      </c>
      <c r="D561" s="62">
        <v>1</v>
      </c>
      <c r="E561" s="61">
        <v>5.7077625570776253E-4</v>
      </c>
    </row>
    <row r="562" spans="2:5" ht="15" customHeight="1">
      <c r="B562" s="155"/>
      <c r="C562" s="63" t="s">
        <v>622</v>
      </c>
      <c r="D562" s="62">
        <v>1</v>
      </c>
      <c r="E562" s="61">
        <v>5.7077625570776253E-4</v>
      </c>
    </row>
    <row r="563" spans="2:5" ht="15" customHeight="1">
      <c r="B563" s="155"/>
      <c r="C563" s="63" t="s">
        <v>623</v>
      </c>
      <c r="D563" s="62">
        <v>1</v>
      </c>
      <c r="E563" s="61">
        <v>5.7077625570776253E-4</v>
      </c>
    </row>
    <row r="564" spans="2:5" ht="15" customHeight="1">
      <c r="B564" s="155"/>
      <c r="C564" s="63" t="s">
        <v>624</v>
      </c>
      <c r="D564" s="62">
        <v>1</v>
      </c>
      <c r="E564" s="61">
        <v>5.7077625570776253E-4</v>
      </c>
    </row>
    <row r="565" spans="2:5" ht="15" customHeight="1">
      <c r="B565" s="155"/>
      <c r="C565" s="63" t="s">
        <v>59</v>
      </c>
      <c r="D565" s="62">
        <v>2</v>
      </c>
      <c r="E565" s="61">
        <v>1.1415525114155251E-3</v>
      </c>
    </row>
    <row r="566" spans="2:5" ht="15" customHeight="1">
      <c r="B566" s="155"/>
      <c r="C566" s="63" t="s">
        <v>58</v>
      </c>
      <c r="D566" s="62">
        <v>1</v>
      </c>
      <c r="E566" s="61">
        <v>5.7077625570776253E-4</v>
      </c>
    </row>
    <row r="567" spans="2:5" ht="15" customHeight="1">
      <c r="B567" s="155"/>
      <c r="C567" s="63" t="s">
        <v>57</v>
      </c>
      <c r="D567" s="62">
        <v>7</v>
      </c>
      <c r="E567" s="61">
        <v>3.9954337899543377E-3</v>
      </c>
    </row>
    <row r="568" spans="2:5" ht="15" customHeight="1">
      <c r="B568" s="155"/>
      <c r="C568" s="63" t="s">
        <v>56</v>
      </c>
      <c r="D568" s="62">
        <v>9</v>
      </c>
      <c r="E568" s="61">
        <v>5.1369863013698627E-3</v>
      </c>
    </row>
    <row r="569" spans="2:5" ht="15" customHeight="1">
      <c r="B569" s="155"/>
      <c r="C569" s="63" t="s">
        <v>55</v>
      </c>
      <c r="D569" s="62">
        <v>2</v>
      </c>
      <c r="E569" s="61">
        <v>1.1415525114155251E-3</v>
      </c>
    </row>
    <row r="570" spans="2:5" ht="15" customHeight="1">
      <c r="B570" s="155"/>
      <c r="C570" s="63" t="s">
        <v>54</v>
      </c>
      <c r="D570" s="62">
        <v>2</v>
      </c>
      <c r="E570" s="61">
        <v>1.1415525114155251E-3</v>
      </c>
    </row>
    <row r="571" spans="2:5" ht="15" customHeight="1">
      <c r="B571" s="155"/>
      <c r="C571" s="63" t="s">
        <v>20</v>
      </c>
      <c r="D571" s="62">
        <v>2</v>
      </c>
      <c r="E571" s="61">
        <v>1.1415525114155251E-3</v>
      </c>
    </row>
    <row r="572" spans="2:5" ht="15" customHeight="1">
      <c r="B572" s="155"/>
      <c r="C572" s="63" t="s">
        <v>625</v>
      </c>
      <c r="D572" s="62">
        <v>1</v>
      </c>
      <c r="E572" s="61">
        <v>5.7077625570776253E-4</v>
      </c>
    </row>
    <row r="573" spans="2:5" ht="15" customHeight="1">
      <c r="B573" s="155"/>
      <c r="C573" s="63" t="s">
        <v>53</v>
      </c>
      <c r="D573" s="62">
        <v>1</v>
      </c>
      <c r="E573" s="61">
        <v>5.7077625570776253E-4</v>
      </c>
    </row>
    <row r="574" spans="2:5" ht="15" customHeight="1">
      <c r="B574" s="155"/>
      <c r="C574" s="63" t="s">
        <v>52</v>
      </c>
      <c r="D574" s="62">
        <v>3</v>
      </c>
      <c r="E574" s="61">
        <v>1.7123287671232876E-3</v>
      </c>
    </row>
    <row r="575" spans="2:5" ht="15" customHeight="1">
      <c r="B575" s="155"/>
      <c r="C575" s="63" t="s">
        <v>51</v>
      </c>
      <c r="D575" s="62">
        <v>4</v>
      </c>
      <c r="E575" s="61">
        <v>2.2831050228310501E-3</v>
      </c>
    </row>
    <row r="576" spans="2:5" ht="15" customHeight="1">
      <c r="B576" s="155"/>
      <c r="C576" s="63" t="s">
        <v>50</v>
      </c>
      <c r="D576" s="62">
        <v>3</v>
      </c>
      <c r="E576" s="61">
        <v>1.7123287671232876E-3</v>
      </c>
    </row>
    <row r="577" spans="2:5" ht="15" customHeight="1">
      <c r="B577" s="155"/>
      <c r="C577" s="63" t="s">
        <v>49</v>
      </c>
      <c r="D577" s="62">
        <v>18</v>
      </c>
      <c r="E577" s="61">
        <v>1.0273972602739725E-2</v>
      </c>
    </row>
    <row r="578" spans="2:5" ht="15" customHeight="1">
      <c r="B578" s="155"/>
      <c r="C578" s="63" t="s">
        <v>39</v>
      </c>
      <c r="D578" s="62">
        <v>7</v>
      </c>
      <c r="E578" s="61">
        <v>3.9954337899543377E-3</v>
      </c>
    </row>
    <row r="579" spans="2:5" ht="15" customHeight="1">
      <c r="B579" s="154"/>
      <c r="C579" s="60" t="s">
        <v>15</v>
      </c>
      <c r="D579" s="59">
        <v>115</v>
      </c>
      <c r="E579" s="58">
        <v>6.5639269406392697E-2</v>
      </c>
    </row>
    <row r="580" spans="2:5" ht="15" customHeight="1">
      <c r="B580" s="156" t="s">
        <v>15</v>
      </c>
      <c r="C580" s="157"/>
      <c r="D580" s="57">
        <f>SUMIF(C$10:C579,"Total",D$10:D579)</f>
        <v>1752</v>
      </c>
      <c r="E580" s="56">
        <v>1</v>
      </c>
    </row>
    <row r="581" spans="2:5" ht="15" customHeight="1">
      <c r="B581" s="55"/>
      <c r="C581" s="55"/>
      <c r="D581" s="55"/>
      <c r="E581" s="55"/>
    </row>
    <row r="582" spans="2:5" ht="15" customHeight="1">
      <c r="B582" s="67" t="s">
        <v>477</v>
      </c>
      <c r="C582" s="64"/>
      <c r="D582" s="64"/>
    </row>
    <row r="583" spans="2:5" ht="15" customHeight="1">
      <c r="B583" s="69" t="s">
        <v>14</v>
      </c>
      <c r="C583" s="64"/>
      <c r="D583" s="64"/>
    </row>
    <row r="584" spans="2:5" ht="15" customHeight="1">
      <c r="B584" s="68" t="s">
        <v>13</v>
      </c>
      <c r="C584" s="64"/>
      <c r="D584" s="64"/>
    </row>
    <row r="585" spans="2:5" ht="15" customHeight="1">
      <c r="B585" s="67" t="s">
        <v>12</v>
      </c>
      <c r="C585" s="64"/>
      <c r="D585" s="64"/>
    </row>
    <row r="586" spans="2:5" ht="15" customHeight="1">
      <c r="B586" s="67" t="s">
        <v>478</v>
      </c>
      <c r="C586" s="64"/>
      <c r="D586" s="64"/>
    </row>
  </sheetData>
  <mergeCells count="32">
    <mergeCell ref="B286:B349"/>
    <mergeCell ref="B350:B365"/>
    <mergeCell ref="B366:B375"/>
    <mergeCell ref="B376:B382"/>
    <mergeCell ref="B7:E8"/>
    <mergeCell ref="B10:B14"/>
    <mergeCell ref="B15:B18"/>
    <mergeCell ref="B19:B23"/>
    <mergeCell ref="B24:B45"/>
    <mergeCell ref="B46:B60"/>
    <mergeCell ref="B61:B69"/>
    <mergeCell ref="B70:B74"/>
    <mergeCell ref="B75:B87"/>
    <mergeCell ref="B88:B107"/>
    <mergeCell ref="B108:B137"/>
    <mergeCell ref="B138:B166"/>
    <mergeCell ref="B168:B208"/>
    <mergeCell ref="B209:B228"/>
    <mergeCell ref="B229:B285"/>
    <mergeCell ref="B383:B422"/>
    <mergeCell ref="B423:B439"/>
    <mergeCell ref="B440:B445"/>
    <mergeCell ref="B446:B462"/>
    <mergeCell ref="B463:B468"/>
    <mergeCell ref="B549:B550"/>
    <mergeCell ref="B551:B579"/>
    <mergeCell ref="B580:C580"/>
    <mergeCell ref="B469:B474"/>
    <mergeCell ref="B475:B478"/>
    <mergeCell ref="B479:B491"/>
    <mergeCell ref="B492:B496"/>
    <mergeCell ref="B497:B54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  <pageSetUpPr fitToPage="1"/>
  </sheetPr>
  <dimension ref="A1:D41"/>
  <sheetViews>
    <sheetView showGridLines="0" topLeftCell="A18" zoomScaleNormal="100" zoomScaleSheetLayoutView="115" workbookViewId="0">
      <selection activeCell="B35" sqref="B35"/>
    </sheetView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27" customFormat="1" ht="15" customHeight="1">
      <c r="C1" s="33"/>
    </row>
    <row r="2" spans="1:4" s="27" customFormat="1" ht="15" customHeight="1">
      <c r="C2" s="33"/>
    </row>
    <row r="3" spans="1:4" s="27" customFormat="1" ht="15" customHeight="1">
      <c r="C3" s="33"/>
    </row>
    <row r="4" spans="1:4" s="27" customFormat="1" ht="30" customHeight="1">
      <c r="C4" s="33"/>
      <c r="D4" s="32"/>
    </row>
    <row r="5" spans="1:4" s="27" customFormat="1" ht="15" customHeight="1">
      <c r="C5" s="33"/>
      <c r="D5" s="32"/>
    </row>
    <row r="6" spans="1:4" s="27" customFormat="1" ht="15" customHeight="1">
      <c r="C6" s="33"/>
      <c r="D6" s="32"/>
    </row>
    <row r="7" spans="1:4" s="27" customFormat="1" ht="15" customHeight="1">
      <c r="B7" s="152" t="s">
        <v>439</v>
      </c>
      <c r="C7" s="152"/>
      <c r="D7" s="152"/>
    </row>
    <row r="8" spans="1:4" s="27" customFormat="1" ht="15" customHeight="1">
      <c r="B8" s="152"/>
      <c r="C8" s="152"/>
      <c r="D8" s="152"/>
    </row>
    <row r="9" spans="1:4" s="27" customFormat="1" ht="33" customHeight="1">
      <c r="B9" s="152"/>
      <c r="C9" s="152"/>
      <c r="D9" s="152"/>
    </row>
    <row r="10" spans="1:4" s="27" customFormat="1" ht="4.5" customHeight="1">
      <c r="B10" s="31"/>
      <c r="C10" s="31"/>
      <c r="D10" s="31"/>
    </row>
    <row r="11" spans="1:4" s="27" customFormat="1" ht="33" customHeight="1">
      <c r="B11" s="30" t="s">
        <v>438</v>
      </c>
      <c r="C11" s="29" t="s">
        <v>47</v>
      </c>
      <c r="D11" s="28" t="s">
        <v>46</v>
      </c>
    </row>
    <row r="12" spans="1:4">
      <c r="A12" s="65"/>
      <c r="B12" s="75" t="s">
        <v>437</v>
      </c>
      <c r="C12" s="74">
        <v>21</v>
      </c>
      <c r="D12" s="73">
        <v>1.1986301369863013E-2</v>
      </c>
    </row>
    <row r="13" spans="1:4">
      <c r="A13" s="65"/>
      <c r="B13" s="75" t="s">
        <v>436</v>
      </c>
      <c r="C13" s="74">
        <v>14</v>
      </c>
      <c r="D13" s="73">
        <v>7.9908675799086754E-3</v>
      </c>
    </row>
    <row r="14" spans="1:4">
      <c r="A14" s="76"/>
      <c r="B14" s="75" t="s">
        <v>435</v>
      </c>
      <c r="C14" s="74">
        <v>13</v>
      </c>
      <c r="D14" s="73">
        <v>7.4200913242009128E-3</v>
      </c>
    </row>
    <row r="15" spans="1:4">
      <c r="A15" s="76"/>
      <c r="B15" s="75" t="s">
        <v>434</v>
      </c>
      <c r="C15" s="74">
        <v>35</v>
      </c>
      <c r="D15" s="73">
        <v>1.9977168949771688E-2</v>
      </c>
    </row>
    <row r="16" spans="1:4">
      <c r="A16" s="65"/>
      <c r="B16" s="75" t="s">
        <v>433</v>
      </c>
      <c r="C16" s="74">
        <v>43</v>
      </c>
      <c r="D16" s="73">
        <v>2.4543378995433789E-2</v>
      </c>
    </row>
    <row r="17" spans="1:4">
      <c r="A17" s="65"/>
      <c r="B17" s="75" t="s">
        <v>432</v>
      </c>
      <c r="C17" s="74">
        <v>53</v>
      </c>
      <c r="D17" s="73">
        <v>3.0251141552511414E-2</v>
      </c>
    </row>
    <row r="18" spans="1:4">
      <c r="A18" s="65"/>
      <c r="B18" s="75" t="s">
        <v>431</v>
      </c>
      <c r="C18" s="74">
        <v>169</v>
      </c>
      <c r="D18" s="73">
        <v>9.6461187214611874E-2</v>
      </c>
    </row>
    <row r="19" spans="1:4">
      <c r="A19" s="65"/>
      <c r="B19" s="75" t="s">
        <v>430</v>
      </c>
      <c r="C19" s="74">
        <v>246</v>
      </c>
      <c r="D19" s="73">
        <v>0.1404109589041096</v>
      </c>
    </row>
    <row r="20" spans="1:4">
      <c r="A20" s="65"/>
      <c r="B20" s="75" t="s">
        <v>429</v>
      </c>
      <c r="C20" s="74">
        <v>24</v>
      </c>
      <c r="D20" s="73">
        <v>1.3698630136986301E-2</v>
      </c>
    </row>
    <row r="21" spans="1:4">
      <c r="A21" s="65"/>
      <c r="B21" s="75" t="s">
        <v>428</v>
      </c>
      <c r="C21" s="74">
        <v>65</v>
      </c>
      <c r="D21" s="73">
        <v>3.7100456621004564E-2</v>
      </c>
    </row>
    <row r="22" spans="1:4">
      <c r="A22" s="65"/>
      <c r="B22" s="75" t="s">
        <v>427</v>
      </c>
      <c r="C22" s="74">
        <v>73</v>
      </c>
      <c r="D22" s="73">
        <v>4.1666666666666664E-2</v>
      </c>
    </row>
    <row r="23" spans="1:4">
      <c r="A23" s="65"/>
      <c r="B23" s="75" t="s">
        <v>426</v>
      </c>
      <c r="C23" s="74">
        <v>503</v>
      </c>
      <c r="D23" s="73">
        <v>0.28710045662100458</v>
      </c>
    </row>
    <row r="24" spans="1:4">
      <c r="A24" s="65"/>
      <c r="B24" s="75" t="s">
        <v>425</v>
      </c>
      <c r="C24" s="74">
        <v>25</v>
      </c>
      <c r="D24" s="73">
        <v>1.4269406392694063E-2</v>
      </c>
    </row>
    <row r="25" spans="1:4">
      <c r="A25" s="65"/>
      <c r="B25" s="75" t="s">
        <v>424</v>
      </c>
      <c r="C25" s="74">
        <v>123</v>
      </c>
      <c r="D25" s="73">
        <v>7.0205479452054798E-2</v>
      </c>
    </row>
    <row r="26" spans="1:4">
      <c r="A26" s="65"/>
      <c r="B26" s="75" t="s">
        <v>423</v>
      </c>
      <c r="C26" s="74">
        <v>251</v>
      </c>
      <c r="D26" s="73">
        <v>0.1432648401826484</v>
      </c>
    </row>
    <row r="27" spans="1:4">
      <c r="A27" s="65"/>
      <c r="B27" s="75" t="s">
        <v>422</v>
      </c>
      <c r="C27" s="74">
        <v>8</v>
      </c>
      <c r="D27" s="73">
        <v>4.5662100456621002E-3</v>
      </c>
    </row>
    <row r="28" spans="1:4">
      <c r="A28" s="65"/>
      <c r="B28" s="75" t="s">
        <v>421</v>
      </c>
      <c r="C28" s="74">
        <v>13</v>
      </c>
      <c r="D28" s="73">
        <v>7.4200913242009128E-3</v>
      </c>
    </row>
    <row r="29" spans="1:4">
      <c r="A29" s="65"/>
      <c r="B29" s="75" t="s">
        <v>420</v>
      </c>
      <c r="C29" s="74">
        <v>4</v>
      </c>
      <c r="D29" s="73">
        <v>2.2831050228310501E-3</v>
      </c>
    </row>
    <row r="30" spans="1:4">
      <c r="A30" s="65"/>
      <c r="B30" s="75" t="s">
        <v>419</v>
      </c>
      <c r="C30" s="74">
        <v>3</v>
      </c>
      <c r="D30" s="73">
        <v>1.7123287671232876E-3</v>
      </c>
    </row>
    <row r="31" spans="1:4">
      <c r="A31" s="65"/>
      <c r="B31" s="75" t="s">
        <v>418</v>
      </c>
      <c r="C31" s="74">
        <v>12</v>
      </c>
      <c r="D31" s="73">
        <v>6.8493150684931503E-3</v>
      </c>
    </row>
    <row r="32" spans="1:4">
      <c r="A32" s="65"/>
      <c r="B32" s="75" t="s">
        <v>417</v>
      </c>
      <c r="C32" s="74">
        <v>43</v>
      </c>
      <c r="D32" s="73">
        <v>2.4543378995433789E-2</v>
      </c>
    </row>
    <row r="33" spans="1:4">
      <c r="A33" s="65"/>
      <c r="B33" s="75" t="s">
        <v>416</v>
      </c>
      <c r="C33" s="74">
        <v>8</v>
      </c>
      <c r="D33" s="73">
        <v>4.5662100456621002E-3</v>
      </c>
    </row>
    <row r="34" spans="1:4">
      <c r="A34" s="65"/>
      <c r="B34" s="75" t="s">
        <v>415</v>
      </c>
      <c r="C34" s="74">
        <v>3</v>
      </c>
      <c r="D34" s="73">
        <v>1.7123287671232876E-3</v>
      </c>
    </row>
    <row r="35" spans="1:4">
      <c r="A35" s="65"/>
      <c r="B35" s="72" t="s">
        <v>15</v>
      </c>
      <c r="C35" s="71">
        <v>1752</v>
      </c>
      <c r="D35" s="70">
        <v>1</v>
      </c>
    </row>
    <row r="36" spans="1:4">
      <c r="A36" s="65"/>
      <c r="B36" s="65"/>
      <c r="C36" s="66"/>
      <c r="D36" s="65"/>
    </row>
    <row r="37" spans="1:4">
      <c r="B37" s="78" t="s">
        <v>477</v>
      </c>
      <c r="C37" s="77"/>
      <c r="D37" s="77"/>
    </row>
    <row r="38" spans="1:4">
      <c r="B38" s="80" t="s">
        <v>14</v>
      </c>
      <c r="C38" s="77"/>
      <c r="D38" s="77"/>
    </row>
    <row r="39" spans="1:4">
      <c r="B39" s="79" t="s">
        <v>13</v>
      </c>
      <c r="C39" s="77"/>
      <c r="D39" s="77"/>
    </row>
    <row r="40" spans="1:4">
      <c r="B40" s="78" t="s">
        <v>12</v>
      </c>
      <c r="C40" s="77"/>
      <c r="D40" s="77"/>
    </row>
    <row r="41" spans="1:4">
      <c r="B41" s="78" t="s">
        <v>478</v>
      </c>
      <c r="C41" s="77"/>
      <c r="D41" s="7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</sheetPr>
  <dimension ref="A1:E367"/>
  <sheetViews>
    <sheetView zoomScaleNormal="100" zoomScaleSheetLayoutView="100" workbookViewId="0">
      <selection activeCell="D1" sqref="D1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438</v>
      </c>
      <c r="C9" s="39" t="s">
        <v>48</v>
      </c>
      <c r="D9" s="38" t="s">
        <v>47</v>
      </c>
      <c r="E9" s="37" t="s">
        <v>46</v>
      </c>
    </row>
    <row r="10" spans="1:5" ht="15" customHeight="1">
      <c r="B10" s="153" t="s">
        <v>437</v>
      </c>
      <c r="C10" s="89" t="s">
        <v>28</v>
      </c>
      <c r="D10" s="88">
        <v>1</v>
      </c>
      <c r="E10" s="87">
        <v>5.7077625570776253E-4</v>
      </c>
    </row>
    <row r="11" spans="1:5" ht="15" customHeight="1">
      <c r="B11" s="155"/>
      <c r="C11" s="89" t="s">
        <v>41</v>
      </c>
      <c r="D11" s="88">
        <v>3</v>
      </c>
      <c r="E11" s="87">
        <v>1.7123287671232876E-3</v>
      </c>
    </row>
    <row r="12" spans="1:5" ht="15" customHeight="1">
      <c r="B12" s="155"/>
      <c r="C12" s="89" t="s">
        <v>40</v>
      </c>
      <c r="D12" s="88">
        <v>2</v>
      </c>
      <c r="E12" s="87">
        <v>1.1415525114155251E-3</v>
      </c>
    </row>
    <row r="13" spans="1:5" ht="15" customHeight="1">
      <c r="B13" s="155"/>
      <c r="C13" s="89" t="s">
        <v>44</v>
      </c>
      <c r="D13" s="88">
        <v>1</v>
      </c>
      <c r="E13" s="87">
        <v>5.7077625570776253E-4</v>
      </c>
    </row>
    <row r="14" spans="1:5" ht="15" customHeight="1">
      <c r="B14" s="155"/>
      <c r="C14" s="89" t="s">
        <v>45</v>
      </c>
      <c r="D14" s="88">
        <v>3</v>
      </c>
      <c r="E14" s="87">
        <v>1.7123287671232876E-3</v>
      </c>
    </row>
    <row r="15" spans="1:5" ht="15" customHeight="1">
      <c r="B15" s="155"/>
      <c r="C15" s="89" t="s">
        <v>43</v>
      </c>
      <c r="D15" s="88">
        <v>3</v>
      </c>
      <c r="E15" s="87">
        <v>1.7123287671232876E-3</v>
      </c>
    </row>
    <row r="16" spans="1:5" ht="15" customHeight="1">
      <c r="B16" s="155"/>
      <c r="C16" s="89" t="s">
        <v>36</v>
      </c>
      <c r="D16" s="88">
        <v>2</v>
      </c>
      <c r="E16" s="87">
        <v>1.1415525114155251E-3</v>
      </c>
    </row>
    <row r="17" spans="2:5" ht="15" customHeight="1">
      <c r="B17" s="155"/>
      <c r="C17" s="89" t="s">
        <v>35</v>
      </c>
      <c r="D17" s="88">
        <v>2</v>
      </c>
      <c r="E17" s="87">
        <v>1.1415525114155251E-3</v>
      </c>
    </row>
    <row r="18" spans="2:5" ht="15" customHeight="1">
      <c r="B18" s="155"/>
      <c r="C18" s="89" t="s">
        <v>42</v>
      </c>
      <c r="D18" s="88">
        <v>3</v>
      </c>
      <c r="E18" s="87">
        <v>1.7123287671232876E-3</v>
      </c>
    </row>
    <row r="19" spans="2:5" ht="15" customHeight="1">
      <c r="B19" s="155"/>
      <c r="C19" s="89" t="s">
        <v>39</v>
      </c>
      <c r="D19" s="88">
        <v>1</v>
      </c>
      <c r="E19" s="87">
        <v>5.7077625570776253E-4</v>
      </c>
    </row>
    <row r="20" spans="2:5" ht="15" customHeight="1">
      <c r="B20" s="154"/>
      <c r="C20" s="86" t="s">
        <v>15</v>
      </c>
      <c r="D20" s="85">
        <v>21</v>
      </c>
      <c r="E20" s="84">
        <v>1.1986301369863013E-2</v>
      </c>
    </row>
    <row r="21" spans="2:5" ht="15" customHeight="1">
      <c r="B21" s="153" t="s">
        <v>436</v>
      </c>
      <c r="C21" s="89" t="s">
        <v>19</v>
      </c>
      <c r="D21" s="88">
        <v>1</v>
      </c>
      <c r="E21" s="87">
        <v>5.7077625570776253E-4</v>
      </c>
    </row>
    <row r="22" spans="2:5" ht="15" customHeight="1">
      <c r="B22" s="155"/>
      <c r="C22" s="89" t="s">
        <v>37</v>
      </c>
      <c r="D22" s="88">
        <v>1</v>
      </c>
      <c r="E22" s="87">
        <v>5.7077625570776253E-4</v>
      </c>
    </row>
    <row r="23" spans="2:5" ht="15" customHeight="1">
      <c r="B23" s="155"/>
      <c r="C23" s="89" t="s">
        <v>41</v>
      </c>
      <c r="D23" s="88">
        <v>2</v>
      </c>
      <c r="E23" s="87">
        <v>1.1415525114155251E-3</v>
      </c>
    </row>
    <row r="24" spans="2:5" ht="15" customHeight="1">
      <c r="B24" s="155"/>
      <c r="C24" s="89" t="s">
        <v>40</v>
      </c>
      <c r="D24" s="88">
        <v>4</v>
      </c>
      <c r="E24" s="87">
        <v>2.2831050228310501E-3</v>
      </c>
    </row>
    <row r="25" spans="2:5" ht="15" customHeight="1">
      <c r="B25" s="155"/>
      <c r="C25" s="89" t="s">
        <v>44</v>
      </c>
      <c r="D25" s="88">
        <v>1</v>
      </c>
      <c r="E25" s="87">
        <v>5.7077625570776253E-4</v>
      </c>
    </row>
    <row r="26" spans="2:5" ht="15" customHeight="1">
      <c r="B26" s="155"/>
      <c r="C26" s="89" t="s">
        <v>45</v>
      </c>
      <c r="D26" s="88">
        <v>2</v>
      </c>
      <c r="E26" s="87">
        <v>1.1415525114155251E-3</v>
      </c>
    </row>
    <row r="27" spans="2:5" ht="15" customHeight="1">
      <c r="B27" s="155"/>
      <c r="C27" s="89" t="s">
        <v>21</v>
      </c>
      <c r="D27" s="88">
        <v>1</v>
      </c>
      <c r="E27" s="87">
        <v>5.7077625570776253E-4</v>
      </c>
    </row>
    <row r="28" spans="2:5" ht="15" customHeight="1">
      <c r="B28" s="155"/>
      <c r="C28" s="89" t="s">
        <v>35</v>
      </c>
      <c r="D28" s="88">
        <v>1</v>
      </c>
      <c r="E28" s="87">
        <v>5.7077625570776253E-4</v>
      </c>
    </row>
    <row r="29" spans="2:5" ht="15" customHeight="1">
      <c r="B29" s="155"/>
      <c r="C29" s="89" t="s">
        <v>42</v>
      </c>
      <c r="D29" s="88">
        <v>1</v>
      </c>
      <c r="E29" s="87">
        <v>5.7077625570776253E-4</v>
      </c>
    </row>
    <row r="30" spans="2:5" ht="15" customHeight="1">
      <c r="B30" s="154"/>
      <c r="C30" s="86" t="s">
        <v>15</v>
      </c>
      <c r="D30" s="85">
        <v>14</v>
      </c>
      <c r="E30" s="84">
        <v>7.9908675799086754E-3</v>
      </c>
    </row>
    <row r="31" spans="2:5" ht="15" customHeight="1">
      <c r="B31" s="153" t="s">
        <v>435</v>
      </c>
      <c r="C31" s="89" t="s">
        <v>28</v>
      </c>
      <c r="D31" s="88">
        <v>1</v>
      </c>
      <c r="E31" s="87">
        <v>5.7077625570776253E-4</v>
      </c>
    </row>
    <row r="32" spans="2:5" ht="15" customHeight="1">
      <c r="B32" s="155"/>
      <c r="C32" s="89" t="s">
        <v>41</v>
      </c>
      <c r="D32" s="88">
        <v>1</v>
      </c>
      <c r="E32" s="87">
        <v>5.7077625570776253E-4</v>
      </c>
    </row>
    <row r="33" spans="2:5" ht="15" customHeight="1">
      <c r="B33" s="155"/>
      <c r="C33" s="89" t="s">
        <v>40</v>
      </c>
      <c r="D33" s="88">
        <v>2</v>
      </c>
      <c r="E33" s="87">
        <v>1.1415525114155251E-3</v>
      </c>
    </row>
    <row r="34" spans="2:5" ht="15" customHeight="1">
      <c r="B34" s="155"/>
      <c r="C34" s="89" t="s">
        <v>32</v>
      </c>
      <c r="D34" s="88">
        <v>2</v>
      </c>
      <c r="E34" s="87">
        <v>1.1415525114155251E-3</v>
      </c>
    </row>
    <row r="35" spans="2:5" ht="15" customHeight="1">
      <c r="B35" s="155"/>
      <c r="C35" s="89" t="s">
        <v>45</v>
      </c>
      <c r="D35" s="88">
        <v>5</v>
      </c>
      <c r="E35" s="87">
        <v>2.8538812785388126E-3</v>
      </c>
    </row>
    <row r="36" spans="2:5" ht="15" customHeight="1">
      <c r="B36" s="155"/>
      <c r="C36" s="89" t="s">
        <v>35</v>
      </c>
      <c r="D36" s="88">
        <v>1</v>
      </c>
      <c r="E36" s="87">
        <v>5.7077625570776253E-4</v>
      </c>
    </row>
    <row r="37" spans="2:5" ht="15" customHeight="1">
      <c r="B37" s="155"/>
      <c r="C37" s="89" t="s">
        <v>39</v>
      </c>
      <c r="D37" s="88">
        <v>1</v>
      </c>
      <c r="E37" s="87">
        <v>5.7077625570776253E-4</v>
      </c>
    </row>
    <row r="38" spans="2:5" ht="15" customHeight="1">
      <c r="B38" s="154"/>
      <c r="C38" s="86" t="s">
        <v>15</v>
      </c>
      <c r="D38" s="85">
        <v>13</v>
      </c>
      <c r="E38" s="84">
        <v>7.4200913242009128E-3</v>
      </c>
    </row>
    <row r="39" spans="2:5" ht="15" customHeight="1">
      <c r="B39" s="153" t="s">
        <v>434</v>
      </c>
      <c r="C39" s="89" t="s">
        <v>26</v>
      </c>
      <c r="D39" s="88">
        <v>1</v>
      </c>
      <c r="E39" s="87">
        <v>5.7077625570776253E-4</v>
      </c>
    </row>
    <row r="40" spans="2:5" ht="15" customHeight="1">
      <c r="B40" s="155"/>
      <c r="C40" s="89" t="s">
        <v>28</v>
      </c>
      <c r="D40" s="88">
        <v>1</v>
      </c>
      <c r="E40" s="87">
        <v>5.7077625570776253E-4</v>
      </c>
    </row>
    <row r="41" spans="2:5" ht="15" customHeight="1">
      <c r="B41" s="155"/>
      <c r="C41" s="89" t="s">
        <v>33</v>
      </c>
      <c r="D41" s="88">
        <v>1</v>
      </c>
      <c r="E41" s="87">
        <v>5.7077625570776253E-4</v>
      </c>
    </row>
    <row r="42" spans="2:5" ht="15" customHeight="1">
      <c r="B42" s="155"/>
      <c r="C42" s="89" t="s">
        <v>25</v>
      </c>
      <c r="D42" s="88">
        <v>2</v>
      </c>
      <c r="E42" s="87">
        <v>1.1415525114155251E-3</v>
      </c>
    </row>
    <row r="43" spans="2:5" ht="15" customHeight="1">
      <c r="B43" s="155"/>
      <c r="C43" s="89" t="s">
        <v>37</v>
      </c>
      <c r="D43" s="88">
        <v>2</v>
      </c>
      <c r="E43" s="87">
        <v>1.1415525114155251E-3</v>
      </c>
    </row>
    <row r="44" spans="2:5" ht="15" customHeight="1">
      <c r="B44" s="155"/>
      <c r="C44" s="89" t="s">
        <v>34</v>
      </c>
      <c r="D44" s="88">
        <v>1</v>
      </c>
      <c r="E44" s="87">
        <v>5.7077625570776253E-4</v>
      </c>
    </row>
    <row r="45" spans="2:5" ht="15" customHeight="1">
      <c r="B45" s="155"/>
      <c r="C45" s="89" t="s">
        <v>41</v>
      </c>
      <c r="D45" s="88">
        <v>2</v>
      </c>
      <c r="E45" s="87">
        <v>1.1415525114155251E-3</v>
      </c>
    </row>
    <row r="46" spans="2:5" ht="15" customHeight="1">
      <c r="B46" s="155"/>
      <c r="C46" s="89" t="s">
        <v>40</v>
      </c>
      <c r="D46" s="88">
        <v>1</v>
      </c>
      <c r="E46" s="87">
        <v>5.7077625570776253E-4</v>
      </c>
    </row>
    <row r="47" spans="2:5" ht="15" customHeight="1">
      <c r="B47" s="155"/>
      <c r="C47" s="89" t="s">
        <v>32</v>
      </c>
      <c r="D47" s="88">
        <v>1</v>
      </c>
      <c r="E47" s="87">
        <v>5.7077625570776253E-4</v>
      </c>
    </row>
    <row r="48" spans="2:5" ht="15" customHeight="1">
      <c r="B48" s="155"/>
      <c r="C48" s="89" t="s">
        <v>44</v>
      </c>
      <c r="D48" s="88">
        <v>4</v>
      </c>
      <c r="E48" s="87">
        <v>2.2831050228310501E-3</v>
      </c>
    </row>
    <row r="49" spans="2:5" ht="15" customHeight="1">
      <c r="B49" s="155"/>
      <c r="C49" s="89" t="s">
        <v>45</v>
      </c>
      <c r="D49" s="88">
        <v>7</v>
      </c>
      <c r="E49" s="87">
        <v>3.9954337899543377E-3</v>
      </c>
    </row>
    <row r="50" spans="2:5" ht="15" customHeight="1">
      <c r="B50" s="155"/>
      <c r="C50" s="89" t="s">
        <v>29</v>
      </c>
      <c r="D50" s="88">
        <v>2</v>
      </c>
      <c r="E50" s="87">
        <v>1.1415525114155251E-3</v>
      </c>
    </row>
    <row r="51" spans="2:5" ht="15" customHeight="1">
      <c r="B51" s="155"/>
      <c r="C51" s="89" t="s">
        <v>27</v>
      </c>
      <c r="D51" s="88">
        <v>1</v>
      </c>
      <c r="E51" s="87">
        <v>5.7077625570776253E-4</v>
      </c>
    </row>
    <row r="52" spans="2:5" ht="15" customHeight="1">
      <c r="B52" s="155"/>
      <c r="C52" s="89" t="s">
        <v>43</v>
      </c>
      <c r="D52" s="88">
        <v>2</v>
      </c>
      <c r="E52" s="87">
        <v>1.1415525114155251E-3</v>
      </c>
    </row>
    <row r="53" spans="2:5" ht="15" customHeight="1">
      <c r="B53" s="155"/>
      <c r="C53" s="89" t="s">
        <v>36</v>
      </c>
      <c r="D53" s="88">
        <v>1</v>
      </c>
      <c r="E53" s="87">
        <v>5.7077625570776253E-4</v>
      </c>
    </row>
    <row r="54" spans="2:5" ht="15" customHeight="1">
      <c r="B54" s="155"/>
      <c r="C54" s="89" t="s">
        <v>35</v>
      </c>
      <c r="D54" s="88">
        <v>3</v>
      </c>
      <c r="E54" s="87">
        <v>1.7123287671232876E-3</v>
      </c>
    </row>
    <row r="55" spans="2:5" ht="15" customHeight="1">
      <c r="B55" s="155"/>
      <c r="C55" s="89" t="s">
        <v>42</v>
      </c>
      <c r="D55" s="88">
        <v>1</v>
      </c>
      <c r="E55" s="87">
        <v>5.7077625570776253E-4</v>
      </c>
    </row>
    <row r="56" spans="2:5" ht="15" customHeight="1">
      <c r="B56" s="155"/>
      <c r="C56" s="89" t="s">
        <v>39</v>
      </c>
      <c r="D56" s="88">
        <v>2</v>
      </c>
      <c r="E56" s="87">
        <v>1.1415525114155251E-3</v>
      </c>
    </row>
    <row r="57" spans="2:5" ht="15" customHeight="1">
      <c r="B57" s="154"/>
      <c r="C57" s="86" t="s">
        <v>15</v>
      </c>
      <c r="D57" s="85">
        <v>35</v>
      </c>
      <c r="E57" s="84">
        <v>1.9977168949771688E-2</v>
      </c>
    </row>
    <row r="58" spans="2:5" ht="15" customHeight="1">
      <c r="B58" s="153" t="s">
        <v>433</v>
      </c>
      <c r="C58" s="89" t="s">
        <v>30</v>
      </c>
      <c r="D58" s="88">
        <v>1</v>
      </c>
      <c r="E58" s="87">
        <v>5.7077625570776253E-4</v>
      </c>
    </row>
    <row r="59" spans="2:5" ht="15" customHeight="1">
      <c r="B59" s="155"/>
      <c r="C59" s="89" t="s">
        <v>28</v>
      </c>
      <c r="D59" s="88">
        <v>1</v>
      </c>
      <c r="E59" s="87">
        <v>5.7077625570776253E-4</v>
      </c>
    </row>
    <row r="60" spans="2:5" ht="15" customHeight="1">
      <c r="B60" s="155"/>
      <c r="C60" s="89" t="s">
        <v>33</v>
      </c>
      <c r="D60" s="88">
        <v>1</v>
      </c>
      <c r="E60" s="87">
        <v>5.7077625570776253E-4</v>
      </c>
    </row>
    <row r="61" spans="2:5" ht="15" customHeight="1">
      <c r="B61" s="155"/>
      <c r="C61" s="89" t="s">
        <v>19</v>
      </c>
      <c r="D61" s="88">
        <v>1</v>
      </c>
      <c r="E61" s="87">
        <v>5.7077625570776253E-4</v>
      </c>
    </row>
    <row r="62" spans="2:5" ht="15" customHeight="1">
      <c r="B62" s="155"/>
      <c r="C62" s="89" t="s">
        <v>37</v>
      </c>
      <c r="D62" s="88">
        <v>2</v>
      </c>
      <c r="E62" s="87">
        <v>1.1415525114155251E-3</v>
      </c>
    </row>
    <row r="63" spans="2:5" ht="15" customHeight="1">
      <c r="B63" s="155"/>
      <c r="C63" s="89" t="s">
        <v>34</v>
      </c>
      <c r="D63" s="88">
        <v>1</v>
      </c>
      <c r="E63" s="87">
        <v>5.7077625570776253E-4</v>
      </c>
    </row>
    <row r="64" spans="2:5" ht="15" customHeight="1">
      <c r="B64" s="155"/>
      <c r="C64" s="89" t="s">
        <v>40</v>
      </c>
      <c r="D64" s="88">
        <v>1</v>
      </c>
      <c r="E64" s="87">
        <v>5.7077625570776253E-4</v>
      </c>
    </row>
    <row r="65" spans="2:5" ht="15" customHeight="1">
      <c r="B65" s="155"/>
      <c r="C65" s="89" t="s">
        <v>32</v>
      </c>
      <c r="D65" s="88">
        <v>2</v>
      </c>
      <c r="E65" s="87">
        <v>1.1415525114155251E-3</v>
      </c>
    </row>
    <row r="66" spans="2:5" ht="15" customHeight="1">
      <c r="B66" s="155"/>
      <c r="C66" s="89" t="s">
        <v>44</v>
      </c>
      <c r="D66" s="88">
        <v>7</v>
      </c>
      <c r="E66" s="87">
        <v>3.9954337899543377E-3</v>
      </c>
    </row>
    <row r="67" spans="2:5" ht="15" customHeight="1">
      <c r="B67" s="155"/>
      <c r="C67" s="89" t="s">
        <v>45</v>
      </c>
      <c r="D67" s="88">
        <v>12</v>
      </c>
      <c r="E67" s="87">
        <v>6.8493150684931503E-3</v>
      </c>
    </row>
    <row r="68" spans="2:5" ht="15" customHeight="1">
      <c r="B68" s="155"/>
      <c r="C68" s="89" t="s">
        <v>27</v>
      </c>
      <c r="D68" s="88">
        <v>2</v>
      </c>
      <c r="E68" s="87">
        <v>1.1415525114155251E-3</v>
      </c>
    </row>
    <row r="69" spans="2:5" ht="15" customHeight="1">
      <c r="B69" s="155"/>
      <c r="C69" s="89" t="s">
        <v>43</v>
      </c>
      <c r="D69" s="88">
        <v>4</v>
      </c>
      <c r="E69" s="87">
        <v>2.2831050228310501E-3</v>
      </c>
    </row>
    <row r="70" spans="2:5" ht="15" customHeight="1">
      <c r="B70" s="155"/>
      <c r="C70" s="89" t="s">
        <v>36</v>
      </c>
      <c r="D70" s="88">
        <v>1</v>
      </c>
      <c r="E70" s="87">
        <v>5.7077625570776253E-4</v>
      </c>
    </row>
    <row r="71" spans="2:5" ht="15" customHeight="1">
      <c r="B71" s="155"/>
      <c r="C71" s="89" t="s">
        <v>35</v>
      </c>
      <c r="D71" s="88">
        <v>2</v>
      </c>
      <c r="E71" s="87">
        <v>1.1415525114155251E-3</v>
      </c>
    </row>
    <row r="72" spans="2:5" ht="15" customHeight="1">
      <c r="B72" s="155"/>
      <c r="C72" s="89" t="s">
        <v>42</v>
      </c>
      <c r="D72" s="88">
        <v>3</v>
      </c>
      <c r="E72" s="87">
        <v>1.7123287671232876E-3</v>
      </c>
    </row>
    <row r="73" spans="2:5" ht="15" customHeight="1">
      <c r="B73" s="155"/>
      <c r="C73" s="89" t="s">
        <v>39</v>
      </c>
      <c r="D73" s="88">
        <v>2</v>
      </c>
      <c r="E73" s="87">
        <v>1.1415525114155251E-3</v>
      </c>
    </row>
    <row r="74" spans="2:5" ht="15" customHeight="1">
      <c r="B74" s="154"/>
      <c r="C74" s="86" t="s">
        <v>15</v>
      </c>
      <c r="D74" s="85">
        <v>43</v>
      </c>
      <c r="E74" s="84">
        <v>2.4543378995433789E-2</v>
      </c>
    </row>
    <row r="75" spans="2:5" ht="15" customHeight="1">
      <c r="B75" s="153" t="s">
        <v>432</v>
      </c>
      <c r="C75" s="89" t="s">
        <v>30</v>
      </c>
      <c r="D75" s="88">
        <v>2</v>
      </c>
      <c r="E75" s="87">
        <v>1.1415525114155251E-3</v>
      </c>
    </row>
    <row r="76" spans="2:5" ht="15" customHeight="1">
      <c r="B76" s="155"/>
      <c r="C76" s="89" t="s">
        <v>24</v>
      </c>
      <c r="D76" s="88">
        <v>1</v>
      </c>
      <c r="E76" s="87">
        <v>5.7077625570776253E-4</v>
      </c>
    </row>
    <row r="77" spans="2:5" ht="15" customHeight="1">
      <c r="B77" s="155"/>
      <c r="C77" s="89" t="s">
        <v>25</v>
      </c>
      <c r="D77" s="88">
        <v>1</v>
      </c>
      <c r="E77" s="87">
        <v>5.7077625570776253E-4</v>
      </c>
    </row>
    <row r="78" spans="2:5" ht="15" customHeight="1">
      <c r="B78" s="155"/>
      <c r="C78" s="89" t="s">
        <v>19</v>
      </c>
      <c r="D78" s="88">
        <v>1</v>
      </c>
      <c r="E78" s="87">
        <v>5.7077625570776253E-4</v>
      </c>
    </row>
    <row r="79" spans="2:5" ht="15" customHeight="1">
      <c r="B79" s="155"/>
      <c r="C79" s="89" t="s">
        <v>41</v>
      </c>
      <c r="D79" s="88">
        <v>7</v>
      </c>
      <c r="E79" s="87">
        <v>3.9954337899543377E-3</v>
      </c>
    </row>
    <row r="80" spans="2:5" ht="15" customHeight="1">
      <c r="B80" s="155"/>
      <c r="C80" s="89" t="s">
        <v>40</v>
      </c>
      <c r="D80" s="88">
        <v>2</v>
      </c>
      <c r="E80" s="87">
        <v>1.1415525114155251E-3</v>
      </c>
    </row>
    <row r="81" spans="2:5" ht="15" customHeight="1">
      <c r="B81" s="155"/>
      <c r="C81" s="89" t="s">
        <v>32</v>
      </c>
      <c r="D81" s="88">
        <v>3</v>
      </c>
      <c r="E81" s="87">
        <v>1.7123287671232876E-3</v>
      </c>
    </row>
    <row r="82" spans="2:5" ht="15" customHeight="1">
      <c r="B82" s="155"/>
      <c r="C82" s="89" t="s">
        <v>44</v>
      </c>
      <c r="D82" s="88">
        <v>12</v>
      </c>
      <c r="E82" s="87">
        <v>6.8493150684931503E-3</v>
      </c>
    </row>
    <row r="83" spans="2:5" ht="15" customHeight="1">
      <c r="B83" s="155"/>
      <c r="C83" s="89" t="s">
        <v>45</v>
      </c>
      <c r="D83" s="88">
        <v>12</v>
      </c>
      <c r="E83" s="87">
        <v>6.8493150684931503E-3</v>
      </c>
    </row>
    <row r="84" spans="2:5" ht="15" customHeight="1">
      <c r="B84" s="155"/>
      <c r="C84" s="89" t="s">
        <v>43</v>
      </c>
      <c r="D84" s="88">
        <v>1</v>
      </c>
      <c r="E84" s="87">
        <v>5.7077625570776253E-4</v>
      </c>
    </row>
    <row r="85" spans="2:5" ht="15" customHeight="1">
      <c r="B85" s="155"/>
      <c r="C85" s="89" t="s">
        <v>36</v>
      </c>
      <c r="D85" s="88">
        <v>2</v>
      </c>
      <c r="E85" s="87">
        <v>1.1415525114155251E-3</v>
      </c>
    </row>
    <row r="86" spans="2:5" ht="15" customHeight="1">
      <c r="B86" s="155"/>
      <c r="C86" s="89" t="s">
        <v>35</v>
      </c>
      <c r="D86" s="88">
        <v>2</v>
      </c>
      <c r="E86" s="87">
        <v>1.1415525114155251E-3</v>
      </c>
    </row>
    <row r="87" spans="2:5" ht="15" customHeight="1">
      <c r="B87" s="155"/>
      <c r="C87" s="89" t="s">
        <v>42</v>
      </c>
      <c r="D87" s="88">
        <v>3</v>
      </c>
      <c r="E87" s="87">
        <v>1.7123287671232876E-3</v>
      </c>
    </row>
    <row r="88" spans="2:5" ht="15" customHeight="1">
      <c r="B88" s="155"/>
      <c r="C88" s="89" t="s">
        <v>39</v>
      </c>
      <c r="D88" s="88">
        <v>4</v>
      </c>
      <c r="E88" s="87">
        <v>2.2831050228310501E-3</v>
      </c>
    </row>
    <row r="89" spans="2:5" ht="15" customHeight="1">
      <c r="B89" s="154"/>
      <c r="C89" s="86" t="s">
        <v>15</v>
      </c>
      <c r="D89" s="85">
        <v>53</v>
      </c>
      <c r="E89" s="84">
        <v>3.0251141552511414E-2</v>
      </c>
    </row>
    <row r="90" spans="2:5" ht="15" customHeight="1">
      <c r="B90" s="153" t="s">
        <v>431</v>
      </c>
      <c r="C90" s="89" t="s">
        <v>30</v>
      </c>
      <c r="D90" s="88">
        <v>2</v>
      </c>
      <c r="E90" s="87">
        <v>1.1415525114155251E-3</v>
      </c>
    </row>
    <row r="91" spans="2:5" ht="15" customHeight="1">
      <c r="B91" s="155"/>
      <c r="C91" s="89" t="s">
        <v>24</v>
      </c>
      <c r="D91" s="88">
        <v>1</v>
      </c>
      <c r="E91" s="87">
        <v>5.7077625570776253E-4</v>
      </c>
    </row>
    <row r="92" spans="2:5" ht="15" customHeight="1">
      <c r="B92" s="155"/>
      <c r="C92" s="89" t="s">
        <v>26</v>
      </c>
      <c r="D92" s="88">
        <v>1</v>
      </c>
      <c r="E92" s="87">
        <v>5.7077625570776253E-4</v>
      </c>
    </row>
    <row r="93" spans="2:5" ht="15" customHeight="1">
      <c r="B93" s="155"/>
      <c r="C93" s="89" t="s">
        <v>28</v>
      </c>
      <c r="D93" s="88">
        <v>7</v>
      </c>
      <c r="E93" s="87">
        <v>3.9954337899543377E-3</v>
      </c>
    </row>
    <row r="94" spans="2:5" ht="15" customHeight="1">
      <c r="B94" s="155"/>
      <c r="C94" s="89" t="s">
        <v>33</v>
      </c>
      <c r="D94" s="88">
        <v>3</v>
      </c>
      <c r="E94" s="87">
        <v>1.7123287671232876E-3</v>
      </c>
    </row>
    <row r="95" spans="2:5" ht="15" customHeight="1">
      <c r="B95" s="155"/>
      <c r="C95" s="89" t="s">
        <v>25</v>
      </c>
      <c r="D95" s="88">
        <v>1</v>
      </c>
      <c r="E95" s="87">
        <v>5.7077625570776253E-4</v>
      </c>
    </row>
    <row r="96" spans="2:5" ht="15" customHeight="1">
      <c r="B96" s="155"/>
      <c r="C96" s="89" t="s">
        <v>38</v>
      </c>
      <c r="D96" s="88">
        <v>3</v>
      </c>
      <c r="E96" s="87">
        <v>1.7123287671232876E-3</v>
      </c>
    </row>
    <row r="97" spans="2:5" ht="15" customHeight="1">
      <c r="B97" s="155"/>
      <c r="C97" s="89" t="s">
        <v>37</v>
      </c>
      <c r="D97" s="88">
        <v>7</v>
      </c>
      <c r="E97" s="87">
        <v>3.9954337899543377E-3</v>
      </c>
    </row>
    <row r="98" spans="2:5" ht="15" customHeight="1">
      <c r="B98" s="155"/>
      <c r="C98" s="89" t="s">
        <v>34</v>
      </c>
      <c r="D98" s="88">
        <v>6</v>
      </c>
      <c r="E98" s="87">
        <v>3.4246575342465752E-3</v>
      </c>
    </row>
    <row r="99" spans="2:5" ht="15" customHeight="1">
      <c r="B99" s="155"/>
      <c r="C99" s="89" t="s">
        <v>41</v>
      </c>
      <c r="D99" s="88">
        <v>18</v>
      </c>
      <c r="E99" s="87">
        <v>1.0273972602739725E-2</v>
      </c>
    </row>
    <row r="100" spans="2:5" ht="15" customHeight="1">
      <c r="B100" s="155"/>
      <c r="C100" s="89" t="s">
        <v>40</v>
      </c>
      <c r="D100" s="88">
        <v>9</v>
      </c>
      <c r="E100" s="87">
        <v>5.1369863013698627E-3</v>
      </c>
    </row>
    <row r="101" spans="2:5" ht="15" customHeight="1">
      <c r="B101" s="155"/>
      <c r="C101" s="89" t="s">
        <v>32</v>
      </c>
      <c r="D101" s="88">
        <v>1</v>
      </c>
      <c r="E101" s="87">
        <v>5.7077625570776253E-4</v>
      </c>
    </row>
    <row r="102" spans="2:5" ht="15" customHeight="1">
      <c r="B102" s="155"/>
      <c r="C102" s="89" t="s">
        <v>44</v>
      </c>
      <c r="D102" s="88">
        <v>37</v>
      </c>
      <c r="E102" s="87">
        <v>2.1118721461187213E-2</v>
      </c>
    </row>
    <row r="103" spans="2:5" ht="15" customHeight="1">
      <c r="B103" s="155"/>
      <c r="C103" s="89" t="s">
        <v>45</v>
      </c>
      <c r="D103" s="88">
        <v>26</v>
      </c>
      <c r="E103" s="87">
        <v>1.4840182648401826E-2</v>
      </c>
    </row>
    <row r="104" spans="2:5" ht="15" customHeight="1">
      <c r="B104" s="155"/>
      <c r="C104" s="89" t="s">
        <v>29</v>
      </c>
      <c r="D104" s="88">
        <v>2</v>
      </c>
      <c r="E104" s="87">
        <v>1.1415525114155251E-3</v>
      </c>
    </row>
    <row r="105" spans="2:5" ht="15" customHeight="1">
      <c r="B105" s="155"/>
      <c r="C105" s="89" t="s">
        <v>27</v>
      </c>
      <c r="D105" s="88">
        <v>3</v>
      </c>
      <c r="E105" s="87">
        <v>1.7123287671232876E-3</v>
      </c>
    </row>
    <row r="106" spans="2:5" ht="15" customHeight="1">
      <c r="B106" s="155"/>
      <c r="C106" s="89" t="s">
        <v>21</v>
      </c>
      <c r="D106" s="88">
        <v>1</v>
      </c>
      <c r="E106" s="87">
        <v>5.7077625570776253E-4</v>
      </c>
    </row>
    <row r="107" spans="2:5" ht="15" customHeight="1">
      <c r="B107" s="155"/>
      <c r="C107" s="89" t="s">
        <v>43</v>
      </c>
      <c r="D107" s="88">
        <v>8</v>
      </c>
      <c r="E107" s="87">
        <v>4.5662100456621002E-3</v>
      </c>
    </row>
    <row r="108" spans="2:5" ht="15" customHeight="1">
      <c r="B108" s="155"/>
      <c r="C108" s="89" t="s">
        <v>36</v>
      </c>
      <c r="D108" s="88">
        <v>1</v>
      </c>
      <c r="E108" s="87">
        <v>5.7077625570776253E-4</v>
      </c>
    </row>
    <row r="109" spans="2:5" ht="15" customHeight="1">
      <c r="B109" s="155"/>
      <c r="C109" s="89" t="s">
        <v>22</v>
      </c>
      <c r="D109" s="88">
        <v>1</v>
      </c>
      <c r="E109" s="87">
        <v>5.7077625570776253E-4</v>
      </c>
    </row>
    <row r="110" spans="2:5" ht="15" customHeight="1">
      <c r="B110" s="155"/>
      <c r="C110" s="89" t="s">
        <v>35</v>
      </c>
      <c r="D110" s="88">
        <v>2</v>
      </c>
      <c r="E110" s="87">
        <v>1.1415525114155251E-3</v>
      </c>
    </row>
    <row r="111" spans="2:5" ht="15" customHeight="1">
      <c r="B111" s="155"/>
      <c r="C111" s="89" t="s">
        <v>23</v>
      </c>
      <c r="D111" s="88">
        <v>2</v>
      </c>
      <c r="E111" s="87">
        <v>1.1415525114155251E-3</v>
      </c>
    </row>
    <row r="112" spans="2:5" ht="15" customHeight="1">
      <c r="B112" s="155"/>
      <c r="C112" s="89" t="s">
        <v>31</v>
      </c>
      <c r="D112" s="88">
        <v>1</v>
      </c>
      <c r="E112" s="87">
        <v>5.7077625570776253E-4</v>
      </c>
    </row>
    <row r="113" spans="2:5" ht="15" customHeight="1">
      <c r="B113" s="155"/>
      <c r="C113" s="89" t="s">
        <v>42</v>
      </c>
      <c r="D113" s="88">
        <v>8</v>
      </c>
      <c r="E113" s="87">
        <v>4.5662100456621002E-3</v>
      </c>
    </row>
    <row r="114" spans="2:5" ht="15" customHeight="1">
      <c r="B114" s="155"/>
      <c r="C114" s="89" t="s">
        <v>39</v>
      </c>
      <c r="D114" s="88">
        <v>18</v>
      </c>
      <c r="E114" s="87">
        <v>1.0273972602739725E-2</v>
      </c>
    </row>
    <row r="115" spans="2:5" ht="15" customHeight="1">
      <c r="B115" s="154"/>
      <c r="C115" s="86" t="s">
        <v>15</v>
      </c>
      <c r="D115" s="85">
        <v>169</v>
      </c>
      <c r="E115" s="84">
        <v>9.6461187214611874E-2</v>
      </c>
    </row>
    <row r="116" spans="2:5" ht="15" customHeight="1">
      <c r="B116" s="153" t="s">
        <v>430</v>
      </c>
      <c r="C116" s="89" t="s">
        <v>30</v>
      </c>
      <c r="D116" s="88">
        <v>5</v>
      </c>
      <c r="E116" s="87">
        <v>2.8538812785388126E-3</v>
      </c>
    </row>
    <row r="117" spans="2:5" ht="15" customHeight="1">
      <c r="B117" s="155"/>
      <c r="C117" s="89" t="s">
        <v>26</v>
      </c>
      <c r="D117" s="88">
        <v>1</v>
      </c>
      <c r="E117" s="87">
        <v>5.7077625570776253E-4</v>
      </c>
    </row>
    <row r="118" spans="2:5" ht="15" customHeight="1">
      <c r="B118" s="155"/>
      <c r="C118" s="89" t="s">
        <v>28</v>
      </c>
      <c r="D118" s="88">
        <v>8</v>
      </c>
      <c r="E118" s="87">
        <v>4.5662100456621002E-3</v>
      </c>
    </row>
    <row r="119" spans="2:5" ht="15" customHeight="1">
      <c r="B119" s="155"/>
      <c r="C119" s="89" t="s">
        <v>33</v>
      </c>
      <c r="D119" s="88">
        <v>7</v>
      </c>
      <c r="E119" s="87">
        <v>3.9954337899543377E-3</v>
      </c>
    </row>
    <row r="120" spans="2:5" ht="15" customHeight="1">
      <c r="B120" s="155"/>
      <c r="C120" s="89" t="s">
        <v>38</v>
      </c>
      <c r="D120" s="88">
        <v>10</v>
      </c>
      <c r="E120" s="87">
        <v>5.7077625570776253E-3</v>
      </c>
    </row>
    <row r="121" spans="2:5" ht="15" customHeight="1">
      <c r="B121" s="155"/>
      <c r="C121" s="89" t="s">
        <v>37</v>
      </c>
      <c r="D121" s="88">
        <v>11</v>
      </c>
      <c r="E121" s="87">
        <v>6.2785388127853878E-3</v>
      </c>
    </row>
    <row r="122" spans="2:5" ht="15" customHeight="1">
      <c r="B122" s="155"/>
      <c r="C122" s="89" t="s">
        <v>34</v>
      </c>
      <c r="D122" s="88">
        <v>10</v>
      </c>
      <c r="E122" s="87">
        <v>5.7077625570776253E-3</v>
      </c>
    </row>
    <row r="123" spans="2:5" ht="15" customHeight="1">
      <c r="B123" s="155"/>
      <c r="C123" s="89" t="s">
        <v>41</v>
      </c>
      <c r="D123" s="88">
        <v>13</v>
      </c>
      <c r="E123" s="87">
        <v>7.4200913242009128E-3</v>
      </c>
    </row>
    <row r="124" spans="2:5" ht="15" customHeight="1">
      <c r="B124" s="155"/>
      <c r="C124" s="89" t="s">
        <v>40</v>
      </c>
      <c r="D124" s="88">
        <v>14</v>
      </c>
      <c r="E124" s="87">
        <v>7.9908675799086754E-3</v>
      </c>
    </row>
    <row r="125" spans="2:5" ht="15" customHeight="1">
      <c r="B125" s="155"/>
      <c r="C125" s="89" t="s">
        <v>32</v>
      </c>
      <c r="D125" s="88">
        <v>9</v>
      </c>
      <c r="E125" s="87">
        <v>5.1369863013698627E-3</v>
      </c>
    </row>
    <row r="126" spans="2:5" ht="15" customHeight="1">
      <c r="B126" s="155"/>
      <c r="C126" s="89" t="s">
        <v>44</v>
      </c>
      <c r="D126" s="88">
        <v>32</v>
      </c>
      <c r="E126" s="87">
        <v>1.8264840182648401E-2</v>
      </c>
    </row>
    <row r="127" spans="2:5" ht="15" customHeight="1">
      <c r="B127" s="155"/>
      <c r="C127" s="89" t="s">
        <v>45</v>
      </c>
      <c r="D127" s="88">
        <v>53</v>
      </c>
      <c r="E127" s="87">
        <v>3.0251141552511414E-2</v>
      </c>
    </row>
    <row r="128" spans="2:5" ht="15" customHeight="1">
      <c r="B128" s="155"/>
      <c r="C128" s="89" t="s">
        <v>29</v>
      </c>
      <c r="D128" s="88">
        <v>5</v>
      </c>
      <c r="E128" s="87">
        <v>2.8538812785388126E-3</v>
      </c>
    </row>
    <row r="129" spans="2:5" ht="15" customHeight="1">
      <c r="B129" s="155"/>
      <c r="C129" s="89" t="s">
        <v>21</v>
      </c>
      <c r="D129" s="88">
        <v>1</v>
      </c>
      <c r="E129" s="87">
        <v>5.7077625570776253E-4</v>
      </c>
    </row>
    <row r="130" spans="2:5" ht="15" customHeight="1">
      <c r="B130" s="155"/>
      <c r="C130" s="89" t="s">
        <v>43</v>
      </c>
      <c r="D130" s="88">
        <v>15</v>
      </c>
      <c r="E130" s="87">
        <v>8.5616438356164379E-3</v>
      </c>
    </row>
    <row r="131" spans="2:5" ht="15" customHeight="1">
      <c r="B131" s="155"/>
      <c r="C131" s="89" t="s">
        <v>36</v>
      </c>
      <c r="D131" s="88">
        <v>8</v>
      </c>
      <c r="E131" s="87">
        <v>4.5662100456621002E-3</v>
      </c>
    </row>
    <row r="132" spans="2:5" ht="15" customHeight="1">
      <c r="B132" s="155"/>
      <c r="C132" s="89" t="s">
        <v>22</v>
      </c>
      <c r="D132" s="88">
        <v>1</v>
      </c>
      <c r="E132" s="87">
        <v>5.7077625570776253E-4</v>
      </c>
    </row>
    <row r="133" spans="2:5" ht="15" customHeight="1">
      <c r="B133" s="155"/>
      <c r="C133" s="89" t="s">
        <v>35</v>
      </c>
      <c r="D133" s="88">
        <v>3</v>
      </c>
      <c r="E133" s="87">
        <v>1.7123287671232876E-3</v>
      </c>
    </row>
    <row r="134" spans="2:5" ht="15" customHeight="1">
      <c r="B134" s="155"/>
      <c r="C134" s="89" t="s">
        <v>23</v>
      </c>
      <c r="D134" s="88">
        <v>1</v>
      </c>
      <c r="E134" s="87">
        <v>5.7077625570776253E-4</v>
      </c>
    </row>
    <row r="135" spans="2:5" ht="15" customHeight="1">
      <c r="B135" s="155"/>
      <c r="C135" s="89" t="s">
        <v>20</v>
      </c>
      <c r="D135" s="88">
        <v>2</v>
      </c>
      <c r="E135" s="87">
        <v>1.1415525114155251E-3</v>
      </c>
    </row>
    <row r="136" spans="2:5" ht="15" customHeight="1">
      <c r="B136" s="155"/>
      <c r="C136" s="89" t="s">
        <v>42</v>
      </c>
      <c r="D136" s="88">
        <v>17</v>
      </c>
      <c r="E136" s="87">
        <v>9.7031963470319629E-3</v>
      </c>
    </row>
    <row r="137" spans="2:5" ht="15" customHeight="1">
      <c r="B137" s="155"/>
      <c r="C137" s="89" t="s">
        <v>39</v>
      </c>
      <c r="D137" s="88">
        <v>20</v>
      </c>
      <c r="E137" s="87">
        <v>1.1415525114155251E-2</v>
      </c>
    </row>
    <row r="138" spans="2:5" ht="15" customHeight="1">
      <c r="B138" s="154"/>
      <c r="C138" s="86" t="s">
        <v>15</v>
      </c>
      <c r="D138" s="85">
        <v>246</v>
      </c>
      <c r="E138" s="84">
        <v>0.1404109589041096</v>
      </c>
    </row>
    <row r="139" spans="2:5" ht="15" customHeight="1">
      <c r="B139" s="153" t="s">
        <v>429</v>
      </c>
      <c r="C139" s="89" t="s">
        <v>33</v>
      </c>
      <c r="D139" s="88">
        <v>2</v>
      </c>
      <c r="E139" s="87">
        <v>1.1415525114155251E-3</v>
      </c>
    </row>
    <row r="140" spans="2:5" ht="15" customHeight="1">
      <c r="B140" s="155"/>
      <c r="C140" s="89" t="s">
        <v>25</v>
      </c>
      <c r="D140" s="88">
        <v>1</v>
      </c>
      <c r="E140" s="87">
        <v>5.7077625570776253E-4</v>
      </c>
    </row>
    <row r="141" spans="2:5" ht="15" customHeight="1">
      <c r="B141" s="155"/>
      <c r="C141" s="89" t="s">
        <v>19</v>
      </c>
      <c r="D141" s="88">
        <v>1</v>
      </c>
      <c r="E141" s="87">
        <v>5.7077625570776253E-4</v>
      </c>
    </row>
    <row r="142" spans="2:5" ht="15" customHeight="1">
      <c r="B142" s="155"/>
      <c r="C142" s="89" t="s">
        <v>37</v>
      </c>
      <c r="D142" s="88">
        <v>3</v>
      </c>
      <c r="E142" s="87">
        <v>1.7123287671232876E-3</v>
      </c>
    </row>
    <row r="143" spans="2:5" ht="15" customHeight="1">
      <c r="B143" s="155"/>
      <c r="C143" s="89" t="s">
        <v>34</v>
      </c>
      <c r="D143" s="88">
        <v>1</v>
      </c>
      <c r="E143" s="87">
        <v>5.7077625570776253E-4</v>
      </c>
    </row>
    <row r="144" spans="2:5" ht="15" customHeight="1">
      <c r="B144" s="155"/>
      <c r="C144" s="89" t="s">
        <v>41</v>
      </c>
      <c r="D144" s="88">
        <v>2</v>
      </c>
      <c r="E144" s="87">
        <v>1.1415525114155251E-3</v>
      </c>
    </row>
    <row r="145" spans="2:5" ht="15" customHeight="1">
      <c r="B145" s="155"/>
      <c r="C145" s="89" t="s">
        <v>32</v>
      </c>
      <c r="D145" s="88">
        <v>1</v>
      </c>
      <c r="E145" s="87">
        <v>5.7077625570776253E-4</v>
      </c>
    </row>
    <row r="146" spans="2:5" ht="15" customHeight="1">
      <c r="B146" s="155"/>
      <c r="C146" s="89" t="s">
        <v>44</v>
      </c>
      <c r="D146" s="88">
        <v>1</v>
      </c>
      <c r="E146" s="87">
        <v>5.7077625570776253E-4</v>
      </c>
    </row>
    <row r="147" spans="2:5" ht="15" customHeight="1">
      <c r="B147" s="155"/>
      <c r="C147" s="89" t="s">
        <v>45</v>
      </c>
      <c r="D147" s="88">
        <v>4</v>
      </c>
      <c r="E147" s="87">
        <v>2.2831050228310501E-3</v>
      </c>
    </row>
    <row r="148" spans="2:5" ht="15" customHeight="1">
      <c r="B148" s="155"/>
      <c r="C148" s="89" t="s">
        <v>27</v>
      </c>
      <c r="D148" s="88">
        <v>1</v>
      </c>
      <c r="E148" s="87">
        <v>5.7077625570776253E-4</v>
      </c>
    </row>
    <row r="149" spans="2:5" ht="15" customHeight="1">
      <c r="B149" s="155"/>
      <c r="C149" s="89" t="s">
        <v>43</v>
      </c>
      <c r="D149" s="88">
        <v>1</v>
      </c>
      <c r="E149" s="87">
        <v>5.7077625570776253E-4</v>
      </c>
    </row>
    <row r="150" spans="2:5" ht="15" customHeight="1">
      <c r="B150" s="155"/>
      <c r="C150" s="89" t="s">
        <v>36</v>
      </c>
      <c r="D150" s="88">
        <v>1</v>
      </c>
      <c r="E150" s="87">
        <v>5.7077625570776253E-4</v>
      </c>
    </row>
    <row r="151" spans="2:5" ht="15" customHeight="1">
      <c r="B151" s="155"/>
      <c r="C151" s="89" t="s">
        <v>18</v>
      </c>
      <c r="D151" s="88">
        <v>1</v>
      </c>
      <c r="E151" s="87">
        <v>5.7077625570776253E-4</v>
      </c>
    </row>
    <row r="152" spans="2:5" ht="15" customHeight="1">
      <c r="B152" s="155"/>
      <c r="C152" s="89" t="s">
        <v>42</v>
      </c>
      <c r="D152" s="88">
        <v>3</v>
      </c>
      <c r="E152" s="87">
        <v>1.7123287671232876E-3</v>
      </c>
    </row>
    <row r="153" spans="2:5" ht="15" customHeight="1">
      <c r="B153" s="155"/>
      <c r="C153" s="89" t="s">
        <v>39</v>
      </c>
      <c r="D153" s="88">
        <v>1</v>
      </c>
      <c r="E153" s="87">
        <v>5.7077625570776253E-4</v>
      </c>
    </row>
    <row r="154" spans="2:5" ht="15" customHeight="1">
      <c r="B154" s="154"/>
      <c r="C154" s="86" t="s">
        <v>15</v>
      </c>
      <c r="D154" s="85">
        <v>24</v>
      </c>
      <c r="E154" s="84">
        <v>1.3698630136986301E-2</v>
      </c>
    </row>
    <row r="155" spans="2:5" ht="15" customHeight="1">
      <c r="B155" s="153" t="s">
        <v>428</v>
      </c>
      <c r="C155" s="89" t="s">
        <v>24</v>
      </c>
      <c r="D155" s="88">
        <v>1</v>
      </c>
      <c r="E155" s="87">
        <v>5.7077625570776253E-4</v>
      </c>
    </row>
    <row r="156" spans="2:5" ht="15" customHeight="1">
      <c r="B156" s="155"/>
      <c r="C156" s="89" t="s">
        <v>33</v>
      </c>
      <c r="D156" s="88">
        <v>3</v>
      </c>
      <c r="E156" s="87">
        <v>1.7123287671232876E-3</v>
      </c>
    </row>
    <row r="157" spans="2:5" ht="15" customHeight="1">
      <c r="B157" s="155"/>
      <c r="C157" s="89" t="s">
        <v>25</v>
      </c>
      <c r="D157" s="88">
        <v>1</v>
      </c>
      <c r="E157" s="87">
        <v>5.7077625570776253E-4</v>
      </c>
    </row>
    <row r="158" spans="2:5" ht="15" customHeight="1">
      <c r="B158" s="155"/>
      <c r="C158" s="89" t="s">
        <v>19</v>
      </c>
      <c r="D158" s="88">
        <v>1</v>
      </c>
      <c r="E158" s="87">
        <v>5.7077625570776253E-4</v>
      </c>
    </row>
    <row r="159" spans="2:5" ht="15" customHeight="1">
      <c r="B159" s="155"/>
      <c r="C159" s="89" t="s">
        <v>38</v>
      </c>
      <c r="D159" s="88">
        <v>2</v>
      </c>
      <c r="E159" s="87">
        <v>1.1415525114155251E-3</v>
      </c>
    </row>
    <row r="160" spans="2:5" ht="15" customHeight="1">
      <c r="B160" s="155"/>
      <c r="C160" s="89" t="s">
        <v>41</v>
      </c>
      <c r="D160" s="88">
        <v>4</v>
      </c>
      <c r="E160" s="87">
        <v>2.2831050228310501E-3</v>
      </c>
    </row>
    <row r="161" spans="2:5" ht="15" customHeight="1">
      <c r="B161" s="155"/>
      <c r="C161" s="89" t="s">
        <v>40</v>
      </c>
      <c r="D161" s="88">
        <v>6</v>
      </c>
      <c r="E161" s="87">
        <v>3.4246575342465752E-3</v>
      </c>
    </row>
    <row r="162" spans="2:5" ht="15" customHeight="1">
      <c r="B162" s="155"/>
      <c r="C162" s="89" t="s">
        <v>32</v>
      </c>
      <c r="D162" s="88">
        <v>2</v>
      </c>
      <c r="E162" s="87">
        <v>1.1415525114155251E-3</v>
      </c>
    </row>
    <row r="163" spans="2:5" ht="15" customHeight="1">
      <c r="B163" s="155"/>
      <c r="C163" s="89" t="s">
        <v>44</v>
      </c>
      <c r="D163" s="88">
        <v>10</v>
      </c>
      <c r="E163" s="87">
        <v>5.7077625570776253E-3</v>
      </c>
    </row>
    <row r="164" spans="2:5" ht="15" customHeight="1">
      <c r="B164" s="155"/>
      <c r="C164" s="89" t="s">
        <v>45</v>
      </c>
      <c r="D164" s="88">
        <v>7</v>
      </c>
      <c r="E164" s="87">
        <v>3.9954337899543377E-3</v>
      </c>
    </row>
    <row r="165" spans="2:5" ht="15" customHeight="1">
      <c r="B165" s="155"/>
      <c r="C165" s="89" t="s">
        <v>29</v>
      </c>
      <c r="D165" s="88">
        <v>1</v>
      </c>
      <c r="E165" s="87">
        <v>5.7077625570776253E-4</v>
      </c>
    </row>
    <row r="166" spans="2:5" ht="15" customHeight="1">
      <c r="B166" s="155"/>
      <c r="C166" s="89" t="s">
        <v>27</v>
      </c>
      <c r="D166" s="88">
        <v>2</v>
      </c>
      <c r="E166" s="87">
        <v>1.1415525114155251E-3</v>
      </c>
    </row>
    <row r="167" spans="2:5" ht="15" customHeight="1">
      <c r="B167" s="155"/>
      <c r="C167" s="89" t="s">
        <v>21</v>
      </c>
      <c r="D167" s="88">
        <v>1</v>
      </c>
      <c r="E167" s="87">
        <v>5.7077625570776253E-4</v>
      </c>
    </row>
    <row r="168" spans="2:5" ht="15" customHeight="1">
      <c r="B168" s="155"/>
      <c r="C168" s="89" t="s">
        <v>43</v>
      </c>
      <c r="D168" s="88">
        <v>4</v>
      </c>
      <c r="E168" s="87">
        <v>2.2831050228310501E-3</v>
      </c>
    </row>
    <row r="169" spans="2:5" ht="15" customHeight="1">
      <c r="B169" s="155"/>
      <c r="C169" s="89" t="s">
        <v>36</v>
      </c>
      <c r="D169" s="88">
        <v>1</v>
      </c>
      <c r="E169" s="87">
        <v>5.7077625570776253E-4</v>
      </c>
    </row>
    <row r="170" spans="2:5" ht="15" customHeight="1">
      <c r="B170" s="155"/>
      <c r="C170" s="89" t="s">
        <v>22</v>
      </c>
      <c r="D170" s="88">
        <v>1</v>
      </c>
      <c r="E170" s="87">
        <v>5.7077625570776253E-4</v>
      </c>
    </row>
    <row r="171" spans="2:5" ht="15" customHeight="1">
      <c r="B171" s="155"/>
      <c r="C171" s="89" t="s">
        <v>35</v>
      </c>
      <c r="D171" s="88">
        <v>3</v>
      </c>
      <c r="E171" s="87">
        <v>1.7123287671232876E-3</v>
      </c>
    </row>
    <row r="172" spans="2:5" ht="15" customHeight="1">
      <c r="B172" s="155"/>
      <c r="C172" s="89" t="s">
        <v>42</v>
      </c>
      <c r="D172" s="88">
        <v>4</v>
      </c>
      <c r="E172" s="87">
        <v>2.2831050228310501E-3</v>
      </c>
    </row>
    <row r="173" spans="2:5" ht="15" customHeight="1">
      <c r="B173" s="155"/>
      <c r="C173" s="89" t="s">
        <v>39</v>
      </c>
      <c r="D173" s="88">
        <v>11</v>
      </c>
      <c r="E173" s="87">
        <v>6.2785388127853878E-3</v>
      </c>
    </row>
    <row r="174" spans="2:5" ht="15" customHeight="1">
      <c r="B174" s="154"/>
      <c r="C174" s="86" t="s">
        <v>15</v>
      </c>
      <c r="D174" s="85">
        <v>65</v>
      </c>
      <c r="E174" s="84">
        <v>3.7100456621004564E-2</v>
      </c>
    </row>
    <row r="175" spans="2:5" ht="15" customHeight="1">
      <c r="B175" s="153" t="s">
        <v>427</v>
      </c>
      <c r="C175" s="89" t="s">
        <v>30</v>
      </c>
      <c r="D175" s="88">
        <v>1</v>
      </c>
      <c r="E175" s="87">
        <v>5.7077625570776253E-4</v>
      </c>
    </row>
    <row r="176" spans="2:5" ht="15" customHeight="1">
      <c r="B176" s="155"/>
      <c r="C176" s="89" t="s">
        <v>28</v>
      </c>
      <c r="D176" s="88">
        <v>1</v>
      </c>
      <c r="E176" s="87">
        <v>5.7077625570776253E-4</v>
      </c>
    </row>
    <row r="177" spans="2:5" ht="15" customHeight="1">
      <c r="B177" s="155"/>
      <c r="C177" s="89" t="s">
        <v>33</v>
      </c>
      <c r="D177" s="88">
        <v>2</v>
      </c>
      <c r="E177" s="87">
        <v>1.1415525114155251E-3</v>
      </c>
    </row>
    <row r="178" spans="2:5" ht="15" customHeight="1">
      <c r="B178" s="155"/>
      <c r="C178" s="89" t="s">
        <v>25</v>
      </c>
      <c r="D178" s="88">
        <v>1</v>
      </c>
      <c r="E178" s="87">
        <v>5.7077625570776253E-4</v>
      </c>
    </row>
    <row r="179" spans="2:5" ht="15" customHeight="1">
      <c r="B179" s="155"/>
      <c r="C179" s="89" t="s">
        <v>38</v>
      </c>
      <c r="D179" s="88">
        <v>6</v>
      </c>
      <c r="E179" s="87">
        <v>3.4246575342465752E-3</v>
      </c>
    </row>
    <row r="180" spans="2:5" ht="15" customHeight="1">
      <c r="B180" s="155"/>
      <c r="C180" s="89" t="s">
        <v>37</v>
      </c>
      <c r="D180" s="88">
        <v>2</v>
      </c>
      <c r="E180" s="87">
        <v>1.1415525114155251E-3</v>
      </c>
    </row>
    <row r="181" spans="2:5" ht="15" customHeight="1">
      <c r="B181" s="155"/>
      <c r="C181" s="89" t="s">
        <v>34</v>
      </c>
      <c r="D181" s="88">
        <v>1</v>
      </c>
      <c r="E181" s="87">
        <v>5.7077625570776253E-4</v>
      </c>
    </row>
    <row r="182" spans="2:5" ht="15" customHeight="1">
      <c r="B182" s="155"/>
      <c r="C182" s="89" t="s">
        <v>41</v>
      </c>
      <c r="D182" s="88">
        <v>4</v>
      </c>
      <c r="E182" s="87">
        <v>2.2831050228310501E-3</v>
      </c>
    </row>
    <row r="183" spans="2:5" ht="15" customHeight="1">
      <c r="B183" s="155"/>
      <c r="C183" s="89" t="s">
        <v>40</v>
      </c>
      <c r="D183" s="88">
        <v>4</v>
      </c>
      <c r="E183" s="87">
        <v>2.2831050228310501E-3</v>
      </c>
    </row>
    <row r="184" spans="2:5" ht="15" customHeight="1">
      <c r="B184" s="155"/>
      <c r="C184" s="89" t="s">
        <v>32</v>
      </c>
      <c r="D184" s="88">
        <v>6</v>
      </c>
      <c r="E184" s="87">
        <v>3.4246575342465752E-3</v>
      </c>
    </row>
    <row r="185" spans="2:5" ht="15" customHeight="1">
      <c r="B185" s="155"/>
      <c r="C185" s="89" t="s">
        <v>44</v>
      </c>
      <c r="D185" s="88">
        <v>9</v>
      </c>
      <c r="E185" s="87">
        <v>5.1369863013698627E-3</v>
      </c>
    </row>
    <row r="186" spans="2:5" ht="15" customHeight="1">
      <c r="B186" s="155"/>
      <c r="C186" s="89" t="s">
        <v>45</v>
      </c>
      <c r="D186" s="88">
        <v>14</v>
      </c>
      <c r="E186" s="87">
        <v>7.9908675799086754E-3</v>
      </c>
    </row>
    <row r="187" spans="2:5" ht="15" customHeight="1">
      <c r="B187" s="155"/>
      <c r="C187" s="89" t="s">
        <v>29</v>
      </c>
      <c r="D187" s="88">
        <v>2</v>
      </c>
      <c r="E187" s="87">
        <v>1.1415525114155251E-3</v>
      </c>
    </row>
    <row r="188" spans="2:5" ht="15" customHeight="1">
      <c r="B188" s="155"/>
      <c r="C188" s="89" t="s">
        <v>27</v>
      </c>
      <c r="D188" s="88">
        <v>1</v>
      </c>
      <c r="E188" s="87">
        <v>5.7077625570776253E-4</v>
      </c>
    </row>
    <row r="189" spans="2:5" ht="15" customHeight="1">
      <c r="B189" s="155"/>
      <c r="C189" s="89" t="s">
        <v>43</v>
      </c>
      <c r="D189" s="88">
        <v>4</v>
      </c>
      <c r="E189" s="87">
        <v>2.2831050228310501E-3</v>
      </c>
    </row>
    <row r="190" spans="2:5" ht="15" customHeight="1">
      <c r="B190" s="155"/>
      <c r="C190" s="89" t="s">
        <v>36</v>
      </c>
      <c r="D190" s="88">
        <v>4</v>
      </c>
      <c r="E190" s="87">
        <v>2.2831050228310501E-3</v>
      </c>
    </row>
    <row r="191" spans="2:5" ht="15" customHeight="1">
      <c r="B191" s="155"/>
      <c r="C191" s="89" t="s">
        <v>22</v>
      </c>
      <c r="D191" s="88">
        <v>2</v>
      </c>
      <c r="E191" s="87">
        <v>1.1415525114155251E-3</v>
      </c>
    </row>
    <row r="192" spans="2:5" ht="15" customHeight="1">
      <c r="B192" s="155"/>
      <c r="C192" s="89" t="s">
        <v>35</v>
      </c>
      <c r="D192" s="88">
        <v>1</v>
      </c>
      <c r="E192" s="87">
        <v>5.7077625570776253E-4</v>
      </c>
    </row>
    <row r="193" spans="2:5" ht="15" customHeight="1">
      <c r="B193" s="155"/>
      <c r="C193" s="89" t="s">
        <v>20</v>
      </c>
      <c r="D193" s="88">
        <v>1</v>
      </c>
      <c r="E193" s="87">
        <v>5.7077625570776253E-4</v>
      </c>
    </row>
    <row r="194" spans="2:5" ht="15" customHeight="1">
      <c r="B194" s="155"/>
      <c r="C194" s="89" t="s">
        <v>42</v>
      </c>
      <c r="D194" s="88">
        <v>4</v>
      </c>
      <c r="E194" s="87">
        <v>2.2831050228310501E-3</v>
      </c>
    </row>
    <row r="195" spans="2:5" ht="15" customHeight="1">
      <c r="B195" s="155"/>
      <c r="C195" s="89" t="s">
        <v>39</v>
      </c>
      <c r="D195" s="88">
        <v>3</v>
      </c>
      <c r="E195" s="87">
        <v>1.7123287671232876E-3</v>
      </c>
    </row>
    <row r="196" spans="2:5" ht="15" customHeight="1">
      <c r="B196" s="154"/>
      <c r="C196" s="86" t="s">
        <v>15</v>
      </c>
      <c r="D196" s="85">
        <v>73</v>
      </c>
      <c r="E196" s="84">
        <v>4.1666666666666664E-2</v>
      </c>
    </row>
    <row r="197" spans="2:5" ht="15" customHeight="1">
      <c r="B197" s="153" t="s">
        <v>426</v>
      </c>
      <c r="C197" s="89" t="s">
        <v>30</v>
      </c>
      <c r="D197" s="88">
        <v>8</v>
      </c>
      <c r="E197" s="87">
        <v>4.5662100456621002E-3</v>
      </c>
    </row>
    <row r="198" spans="2:5" ht="15" customHeight="1">
      <c r="B198" s="155"/>
      <c r="C198" s="89" t="s">
        <v>24</v>
      </c>
      <c r="D198" s="88">
        <v>4</v>
      </c>
      <c r="E198" s="87">
        <v>2.2831050228310501E-3</v>
      </c>
    </row>
    <row r="199" spans="2:5" ht="15" customHeight="1">
      <c r="B199" s="155"/>
      <c r="C199" s="89" t="s">
        <v>26</v>
      </c>
      <c r="D199" s="88">
        <v>2</v>
      </c>
      <c r="E199" s="87">
        <v>1.1415525114155251E-3</v>
      </c>
    </row>
    <row r="200" spans="2:5" ht="15" customHeight="1">
      <c r="B200" s="155"/>
      <c r="C200" s="89" t="s">
        <v>28</v>
      </c>
      <c r="D200" s="88">
        <v>5</v>
      </c>
      <c r="E200" s="87">
        <v>2.8538812785388126E-3</v>
      </c>
    </row>
    <row r="201" spans="2:5" ht="15" customHeight="1">
      <c r="B201" s="155"/>
      <c r="C201" s="89" t="s">
        <v>33</v>
      </c>
      <c r="D201" s="88">
        <v>14</v>
      </c>
      <c r="E201" s="87">
        <v>7.9908675799086754E-3</v>
      </c>
    </row>
    <row r="202" spans="2:5" ht="15" customHeight="1">
      <c r="B202" s="155"/>
      <c r="C202" s="89" t="s">
        <v>25</v>
      </c>
      <c r="D202" s="88">
        <v>6</v>
      </c>
      <c r="E202" s="87">
        <v>3.4246575342465752E-3</v>
      </c>
    </row>
    <row r="203" spans="2:5" ht="15" customHeight="1">
      <c r="B203" s="155"/>
      <c r="C203" s="89" t="s">
        <v>19</v>
      </c>
      <c r="D203" s="88">
        <v>3</v>
      </c>
      <c r="E203" s="87">
        <v>1.7123287671232876E-3</v>
      </c>
    </row>
    <row r="204" spans="2:5" ht="15" customHeight="1">
      <c r="B204" s="155"/>
      <c r="C204" s="89" t="s">
        <v>38</v>
      </c>
      <c r="D204" s="88">
        <v>31</v>
      </c>
      <c r="E204" s="87">
        <v>1.7694063926940638E-2</v>
      </c>
    </row>
    <row r="205" spans="2:5" ht="15" customHeight="1">
      <c r="B205" s="155"/>
      <c r="C205" s="89" t="s">
        <v>37</v>
      </c>
      <c r="D205" s="88">
        <v>23</v>
      </c>
      <c r="E205" s="87">
        <v>1.3127853881278538E-2</v>
      </c>
    </row>
    <row r="206" spans="2:5" ht="15" customHeight="1">
      <c r="B206" s="155"/>
      <c r="C206" s="89" t="s">
        <v>34</v>
      </c>
      <c r="D206" s="88">
        <v>27</v>
      </c>
      <c r="E206" s="87">
        <v>1.5410958904109588E-2</v>
      </c>
    </row>
    <row r="207" spans="2:5" ht="15" customHeight="1">
      <c r="B207" s="155"/>
      <c r="C207" s="89" t="s">
        <v>41</v>
      </c>
      <c r="D207" s="88">
        <v>19</v>
      </c>
      <c r="E207" s="87">
        <v>1.0844748858447488E-2</v>
      </c>
    </row>
    <row r="208" spans="2:5" ht="15" customHeight="1">
      <c r="B208" s="155"/>
      <c r="C208" s="89" t="s">
        <v>40</v>
      </c>
      <c r="D208" s="88">
        <v>30</v>
      </c>
      <c r="E208" s="87">
        <v>1.7123287671232876E-2</v>
      </c>
    </row>
    <row r="209" spans="2:5" ht="15" customHeight="1">
      <c r="B209" s="155"/>
      <c r="C209" s="89" t="s">
        <v>32</v>
      </c>
      <c r="D209" s="88">
        <v>26</v>
      </c>
      <c r="E209" s="87">
        <v>1.4840182648401826E-2</v>
      </c>
    </row>
    <row r="210" spans="2:5" ht="15" customHeight="1">
      <c r="B210" s="155"/>
      <c r="C210" s="89" t="s">
        <v>44</v>
      </c>
      <c r="D210" s="88">
        <v>45</v>
      </c>
      <c r="E210" s="87">
        <v>2.5684931506849314E-2</v>
      </c>
    </row>
    <row r="211" spans="2:5" ht="15" customHeight="1">
      <c r="B211" s="155"/>
      <c r="C211" s="89" t="s">
        <v>45</v>
      </c>
      <c r="D211" s="88">
        <v>62</v>
      </c>
      <c r="E211" s="87">
        <v>3.5388127853881277E-2</v>
      </c>
    </row>
    <row r="212" spans="2:5" ht="15" customHeight="1">
      <c r="B212" s="155"/>
      <c r="C212" s="89" t="s">
        <v>29</v>
      </c>
      <c r="D212" s="88">
        <v>13</v>
      </c>
      <c r="E212" s="87">
        <v>7.4200913242009128E-3</v>
      </c>
    </row>
    <row r="213" spans="2:5" ht="15" customHeight="1">
      <c r="B213" s="155"/>
      <c r="C213" s="89" t="s">
        <v>27</v>
      </c>
      <c r="D213" s="88">
        <v>8</v>
      </c>
      <c r="E213" s="87">
        <v>4.5662100456621002E-3</v>
      </c>
    </row>
    <row r="214" spans="2:5" ht="15" customHeight="1">
      <c r="B214" s="155"/>
      <c r="C214" s="89" t="s">
        <v>21</v>
      </c>
      <c r="D214" s="88">
        <v>5</v>
      </c>
      <c r="E214" s="87">
        <v>2.8538812785388126E-3</v>
      </c>
    </row>
    <row r="215" spans="2:5" ht="15" customHeight="1">
      <c r="B215" s="155"/>
      <c r="C215" s="89" t="s">
        <v>43</v>
      </c>
      <c r="D215" s="88">
        <v>36</v>
      </c>
      <c r="E215" s="87">
        <v>2.0547945205479451E-2</v>
      </c>
    </row>
    <row r="216" spans="2:5" ht="15" customHeight="1">
      <c r="B216" s="155"/>
      <c r="C216" s="89" t="s">
        <v>36</v>
      </c>
      <c r="D216" s="88">
        <v>13</v>
      </c>
      <c r="E216" s="87">
        <v>7.4200913242009128E-3</v>
      </c>
    </row>
    <row r="217" spans="2:5" ht="15" customHeight="1">
      <c r="B217" s="155"/>
      <c r="C217" s="89" t="s">
        <v>22</v>
      </c>
      <c r="D217" s="88">
        <v>8</v>
      </c>
      <c r="E217" s="87">
        <v>4.5662100456621002E-3</v>
      </c>
    </row>
    <row r="218" spans="2:5" ht="15" customHeight="1">
      <c r="B218" s="155"/>
      <c r="C218" s="89" t="s">
        <v>35</v>
      </c>
      <c r="D218" s="88">
        <v>18</v>
      </c>
      <c r="E218" s="87">
        <v>1.0273972602739725E-2</v>
      </c>
    </row>
    <row r="219" spans="2:5" ht="15" customHeight="1">
      <c r="B219" s="155"/>
      <c r="C219" s="89" t="s">
        <v>18</v>
      </c>
      <c r="D219" s="88">
        <v>1</v>
      </c>
      <c r="E219" s="87">
        <v>5.7077625570776253E-4</v>
      </c>
    </row>
    <row r="220" spans="2:5" ht="15" customHeight="1">
      <c r="B220" s="155"/>
      <c r="C220" s="89" t="s">
        <v>20</v>
      </c>
      <c r="D220" s="88">
        <v>4</v>
      </c>
      <c r="E220" s="87">
        <v>2.2831050228310501E-3</v>
      </c>
    </row>
    <row r="221" spans="2:5" ht="15" customHeight="1">
      <c r="B221" s="155"/>
      <c r="C221" s="89" t="s">
        <v>31</v>
      </c>
      <c r="D221" s="88">
        <v>5</v>
      </c>
      <c r="E221" s="87">
        <v>2.8538812785388126E-3</v>
      </c>
    </row>
    <row r="222" spans="2:5" ht="15" customHeight="1">
      <c r="B222" s="155"/>
      <c r="C222" s="89" t="s">
        <v>17</v>
      </c>
      <c r="D222" s="88">
        <v>3</v>
      </c>
      <c r="E222" s="87">
        <v>1.7123287671232876E-3</v>
      </c>
    </row>
    <row r="223" spans="2:5" ht="15" customHeight="1">
      <c r="B223" s="155"/>
      <c r="C223" s="89" t="s">
        <v>42</v>
      </c>
      <c r="D223" s="88">
        <v>52</v>
      </c>
      <c r="E223" s="87">
        <v>2.9680365296803651E-2</v>
      </c>
    </row>
    <row r="224" spans="2:5" ht="15" customHeight="1">
      <c r="B224" s="155"/>
      <c r="C224" s="89" t="s">
        <v>39</v>
      </c>
      <c r="D224" s="88">
        <v>32</v>
      </c>
      <c r="E224" s="87">
        <v>1.8264840182648401E-2</v>
      </c>
    </row>
    <row r="225" spans="2:5" ht="15" customHeight="1">
      <c r="B225" s="154"/>
      <c r="C225" s="86" t="s">
        <v>15</v>
      </c>
      <c r="D225" s="85">
        <v>503</v>
      </c>
      <c r="E225" s="84">
        <v>0.28710045662100458</v>
      </c>
    </row>
    <row r="226" spans="2:5" ht="15" customHeight="1">
      <c r="B226" s="153" t="s">
        <v>474</v>
      </c>
      <c r="C226" s="89" t="s">
        <v>33</v>
      </c>
      <c r="D226" s="88">
        <v>2</v>
      </c>
      <c r="E226" s="87">
        <v>1.1415525114155251E-3</v>
      </c>
    </row>
    <row r="227" spans="2:5" ht="15" customHeight="1">
      <c r="B227" s="155"/>
      <c r="C227" s="89" t="s">
        <v>25</v>
      </c>
      <c r="D227" s="88">
        <v>2</v>
      </c>
      <c r="E227" s="87">
        <v>1.1415525114155251E-3</v>
      </c>
    </row>
    <row r="228" spans="2:5" ht="15" customHeight="1">
      <c r="B228" s="155"/>
      <c r="C228" s="89" t="s">
        <v>38</v>
      </c>
      <c r="D228" s="88">
        <v>4</v>
      </c>
      <c r="E228" s="87">
        <v>2.2831050228310501E-3</v>
      </c>
    </row>
    <row r="229" spans="2:5" ht="15" customHeight="1">
      <c r="B229" s="155"/>
      <c r="C229" s="89" t="s">
        <v>34</v>
      </c>
      <c r="D229" s="88">
        <v>3</v>
      </c>
      <c r="E229" s="87">
        <v>1.7123287671232876E-3</v>
      </c>
    </row>
    <row r="230" spans="2:5" ht="15" customHeight="1">
      <c r="B230" s="155"/>
      <c r="C230" s="89" t="s">
        <v>41</v>
      </c>
      <c r="D230" s="88">
        <v>1</v>
      </c>
      <c r="E230" s="87">
        <v>5.7077625570776253E-4</v>
      </c>
    </row>
    <row r="231" spans="2:5" ht="15" customHeight="1">
      <c r="B231" s="155"/>
      <c r="C231" s="89" t="s">
        <v>40</v>
      </c>
      <c r="D231" s="88">
        <v>1</v>
      </c>
      <c r="E231" s="87">
        <v>5.7077625570776253E-4</v>
      </c>
    </row>
    <row r="232" spans="2:5" ht="15" customHeight="1">
      <c r="B232" s="155"/>
      <c r="C232" s="89" t="s">
        <v>44</v>
      </c>
      <c r="D232" s="88">
        <v>2</v>
      </c>
      <c r="E232" s="87">
        <v>1.1415525114155251E-3</v>
      </c>
    </row>
    <row r="233" spans="2:5" ht="15" customHeight="1">
      <c r="B233" s="155"/>
      <c r="C233" s="89" t="s">
        <v>45</v>
      </c>
      <c r="D233" s="88">
        <v>4</v>
      </c>
      <c r="E233" s="87">
        <v>2.2831050228310501E-3</v>
      </c>
    </row>
    <row r="234" spans="2:5" ht="15" customHeight="1">
      <c r="B234" s="155"/>
      <c r="C234" s="89" t="s">
        <v>29</v>
      </c>
      <c r="D234" s="88">
        <v>2</v>
      </c>
      <c r="E234" s="87">
        <v>1.1415525114155251E-3</v>
      </c>
    </row>
    <row r="235" spans="2:5" ht="15" customHeight="1">
      <c r="B235" s="155"/>
      <c r="C235" s="89" t="s">
        <v>35</v>
      </c>
      <c r="D235" s="88">
        <v>2</v>
      </c>
      <c r="E235" s="87">
        <v>1.1415525114155251E-3</v>
      </c>
    </row>
    <row r="236" spans="2:5" ht="15" customHeight="1">
      <c r="B236" s="155"/>
      <c r="C236" s="89" t="s">
        <v>31</v>
      </c>
      <c r="D236" s="88">
        <v>1</v>
      </c>
      <c r="E236" s="87">
        <v>5.7077625570776253E-4</v>
      </c>
    </row>
    <row r="237" spans="2:5" ht="15" customHeight="1">
      <c r="B237" s="155"/>
      <c r="C237" s="89" t="s">
        <v>39</v>
      </c>
      <c r="D237" s="88">
        <v>1</v>
      </c>
      <c r="E237" s="87">
        <v>5.7077625570776253E-4</v>
      </c>
    </row>
    <row r="238" spans="2:5" ht="15" customHeight="1">
      <c r="B238" s="154"/>
      <c r="C238" s="86" t="s">
        <v>15</v>
      </c>
      <c r="D238" s="85">
        <v>25</v>
      </c>
      <c r="E238" s="84">
        <v>1.4269406392694063E-2</v>
      </c>
    </row>
    <row r="239" spans="2:5" ht="15" customHeight="1">
      <c r="B239" s="153" t="s">
        <v>424</v>
      </c>
      <c r="C239" s="89" t="s">
        <v>30</v>
      </c>
      <c r="D239" s="88">
        <v>2</v>
      </c>
      <c r="E239" s="87">
        <v>1.1415525114155251E-3</v>
      </c>
    </row>
    <row r="240" spans="2:5" ht="15" customHeight="1">
      <c r="B240" s="155"/>
      <c r="C240" s="89" t="s">
        <v>24</v>
      </c>
      <c r="D240" s="88">
        <v>1</v>
      </c>
      <c r="E240" s="87">
        <v>5.7077625570776253E-4</v>
      </c>
    </row>
    <row r="241" spans="2:5" ht="15" customHeight="1">
      <c r="B241" s="155"/>
      <c r="C241" s="89" t="s">
        <v>28</v>
      </c>
      <c r="D241" s="88">
        <v>2</v>
      </c>
      <c r="E241" s="87">
        <v>1.1415525114155251E-3</v>
      </c>
    </row>
    <row r="242" spans="2:5" ht="15" customHeight="1">
      <c r="B242" s="155"/>
      <c r="C242" s="89" t="s">
        <v>33</v>
      </c>
      <c r="D242" s="88">
        <v>4</v>
      </c>
      <c r="E242" s="87">
        <v>2.2831050228310501E-3</v>
      </c>
    </row>
    <row r="243" spans="2:5" ht="15" customHeight="1">
      <c r="B243" s="155"/>
      <c r="C243" s="89" t="s">
        <v>25</v>
      </c>
      <c r="D243" s="88">
        <v>5</v>
      </c>
      <c r="E243" s="87">
        <v>2.8538812785388126E-3</v>
      </c>
    </row>
    <row r="244" spans="2:5" ht="15" customHeight="1">
      <c r="B244" s="155"/>
      <c r="C244" s="89" t="s">
        <v>19</v>
      </c>
      <c r="D244" s="88">
        <v>2</v>
      </c>
      <c r="E244" s="87">
        <v>1.1415525114155251E-3</v>
      </c>
    </row>
    <row r="245" spans="2:5" ht="15" customHeight="1">
      <c r="B245" s="155"/>
      <c r="C245" s="89" t="s">
        <v>38</v>
      </c>
      <c r="D245" s="88">
        <v>10</v>
      </c>
      <c r="E245" s="87">
        <v>5.7077625570776253E-3</v>
      </c>
    </row>
    <row r="246" spans="2:5" ht="15" customHeight="1">
      <c r="B246" s="155"/>
      <c r="C246" s="89" t="s">
        <v>37</v>
      </c>
      <c r="D246" s="88">
        <v>4</v>
      </c>
      <c r="E246" s="87">
        <v>2.2831050228310501E-3</v>
      </c>
    </row>
    <row r="247" spans="2:5" ht="15" customHeight="1">
      <c r="B247" s="155"/>
      <c r="C247" s="89" t="s">
        <v>34</v>
      </c>
      <c r="D247" s="88">
        <v>8</v>
      </c>
      <c r="E247" s="87">
        <v>4.5662100456621002E-3</v>
      </c>
    </row>
    <row r="248" spans="2:5" ht="15" customHeight="1">
      <c r="B248" s="155"/>
      <c r="C248" s="89" t="s">
        <v>41</v>
      </c>
      <c r="D248" s="88">
        <v>8</v>
      </c>
      <c r="E248" s="87">
        <v>4.5662100456621002E-3</v>
      </c>
    </row>
    <row r="249" spans="2:5" ht="15" customHeight="1">
      <c r="B249" s="155"/>
      <c r="C249" s="89" t="s">
        <v>40</v>
      </c>
      <c r="D249" s="88">
        <v>10</v>
      </c>
      <c r="E249" s="87">
        <v>5.7077625570776253E-3</v>
      </c>
    </row>
    <row r="250" spans="2:5" ht="15" customHeight="1">
      <c r="B250" s="155"/>
      <c r="C250" s="89" t="s">
        <v>32</v>
      </c>
      <c r="D250" s="88">
        <v>5</v>
      </c>
      <c r="E250" s="87">
        <v>2.8538812785388126E-3</v>
      </c>
    </row>
    <row r="251" spans="2:5" ht="15" customHeight="1">
      <c r="B251" s="155"/>
      <c r="C251" s="89" t="s">
        <v>44</v>
      </c>
      <c r="D251" s="88">
        <v>12</v>
      </c>
      <c r="E251" s="87">
        <v>6.8493150684931503E-3</v>
      </c>
    </row>
    <row r="252" spans="2:5" ht="15" customHeight="1">
      <c r="B252" s="155"/>
      <c r="C252" s="89" t="s">
        <v>45</v>
      </c>
      <c r="D252" s="88">
        <v>21</v>
      </c>
      <c r="E252" s="87">
        <v>1.1986301369863013E-2</v>
      </c>
    </row>
    <row r="253" spans="2:5" ht="15" customHeight="1">
      <c r="B253" s="155"/>
      <c r="C253" s="89" t="s">
        <v>27</v>
      </c>
      <c r="D253" s="88">
        <v>4</v>
      </c>
      <c r="E253" s="87">
        <v>2.2831050228310501E-3</v>
      </c>
    </row>
    <row r="254" spans="2:5" ht="15" customHeight="1">
      <c r="B254" s="155"/>
      <c r="C254" s="89" t="s">
        <v>21</v>
      </c>
      <c r="D254" s="88">
        <v>2</v>
      </c>
      <c r="E254" s="87">
        <v>1.1415525114155251E-3</v>
      </c>
    </row>
    <row r="255" spans="2:5" ht="15" customHeight="1">
      <c r="B255" s="155"/>
      <c r="C255" s="89" t="s">
        <v>43</v>
      </c>
      <c r="D255" s="88">
        <v>5</v>
      </c>
      <c r="E255" s="87">
        <v>2.8538812785388126E-3</v>
      </c>
    </row>
    <row r="256" spans="2:5" ht="15" customHeight="1">
      <c r="B256" s="155"/>
      <c r="C256" s="89" t="s">
        <v>36</v>
      </c>
      <c r="D256" s="88">
        <v>1</v>
      </c>
      <c r="E256" s="87">
        <v>5.7077625570776253E-4</v>
      </c>
    </row>
    <row r="257" spans="2:5" ht="15" customHeight="1">
      <c r="B257" s="155"/>
      <c r="C257" s="89" t="s">
        <v>35</v>
      </c>
      <c r="D257" s="88">
        <v>2</v>
      </c>
      <c r="E257" s="87">
        <v>1.1415525114155251E-3</v>
      </c>
    </row>
    <row r="258" spans="2:5" ht="15" customHeight="1">
      <c r="B258" s="155"/>
      <c r="C258" s="89" t="s">
        <v>23</v>
      </c>
      <c r="D258" s="88">
        <v>1</v>
      </c>
      <c r="E258" s="87">
        <v>5.7077625570776253E-4</v>
      </c>
    </row>
    <row r="259" spans="2:5" ht="15" customHeight="1">
      <c r="B259" s="155"/>
      <c r="C259" s="89" t="s">
        <v>18</v>
      </c>
      <c r="D259" s="88">
        <v>2</v>
      </c>
      <c r="E259" s="87">
        <v>1.1415525114155251E-3</v>
      </c>
    </row>
    <row r="260" spans="2:5" ht="15" customHeight="1">
      <c r="B260" s="155"/>
      <c r="C260" s="89" t="s">
        <v>31</v>
      </c>
      <c r="D260" s="88">
        <v>2</v>
      </c>
      <c r="E260" s="87">
        <v>1.1415525114155251E-3</v>
      </c>
    </row>
    <row r="261" spans="2:5" ht="15" customHeight="1">
      <c r="B261" s="155"/>
      <c r="C261" s="89" t="s">
        <v>42</v>
      </c>
      <c r="D261" s="88">
        <v>3</v>
      </c>
      <c r="E261" s="87">
        <v>1.7123287671232876E-3</v>
      </c>
    </row>
    <row r="262" spans="2:5" ht="15" customHeight="1">
      <c r="B262" s="155"/>
      <c r="C262" s="89" t="s">
        <v>39</v>
      </c>
      <c r="D262" s="88">
        <v>7</v>
      </c>
      <c r="E262" s="87">
        <v>3.9954337899543377E-3</v>
      </c>
    </row>
    <row r="263" spans="2:5" ht="15" customHeight="1">
      <c r="B263" s="154"/>
      <c r="C263" s="86" t="s">
        <v>15</v>
      </c>
      <c r="D263" s="85">
        <v>123</v>
      </c>
      <c r="E263" s="84">
        <v>7.0205479452054798E-2</v>
      </c>
    </row>
    <row r="264" spans="2:5" ht="15" customHeight="1">
      <c r="B264" s="153" t="s">
        <v>423</v>
      </c>
      <c r="C264" s="89" t="s">
        <v>30</v>
      </c>
      <c r="D264" s="88">
        <v>2</v>
      </c>
      <c r="E264" s="87">
        <v>1.1415525114155251E-3</v>
      </c>
    </row>
    <row r="265" spans="2:5" ht="15" customHeight="1">
      <c r="B265" s="155"/>
      <c r="C265" s="89" t="s">
        <v>24</v>
      </c>
      <c r="D265" s="88">
        <v>3</v>
      </c>
      <c r="E265" s="87">
        <v>1.7123287671232876E-3</v>
      </c>
    </row>
    <row r="266" spans="2:5" ht="15" customHeight="1">
      <c r="B266" s="155"/>
      <c r="C266" s="89" t="s">
        <v>26</v>
      </c>
      <c r="D266" s="88">
        <v>3</v>
      </c>
      <c r="E266" s="87">
        <v>1.7123287671232876E-3</v>
      </c>
    </row>
    <row r="267" spans="2:5" ht="15" customHeight="1">
      <c r="B267" s="155"/>
      <c r="C267" s="89" t="s">
        <v>28</v>
      </c>
      <c r="D267" s="88">
        <v>6</v>
      </c>
      <c r="E267" s="87">
        <v>3.4246575342465752E-3</v>
      </c>
    </row>
    <row r="268" spans="2:5" ht="15" customHeight="1">
      <c r="B268" s="155"/>
      <c r="C268" s="89" t="s">
        <v>33</v>
      </c>
      <c r="D268" s="88">
        <v>11</v>
      </c>
      <c r="E268" s="87">
        <v>6.2785388127853878E-3</v>
      </c>
    </row>
    <row r="269" spans="2:5" ht="15" customHeight="1">
      <c r="B269" s="155"/>
      <c r="C269" s="89" t="s">
        <v>25</v>
      </c>
      <c r="D269" s="88">
        <v>1</v>
      </c>
      <c r="E269" s="87">
        <v>5.7077625570776253E-4</v>
      </c>
    </row>
    <row r="270" spans="2:5" ht="15" customHeight="1">
      <c r="B270" s="155"/>
      <c r="C270" s="89" t="s">
        <v>19</v>
      </c>
      <c r="D270" s="88">
        <v>1</v>
      </c>
      <c r="E270" s="87">
        <v>5.7077625570776253E-4</v>
      </c>
    </row>
    <row r="271" spans="2:5" ht="15" customHeight="1">
      <c r="B271" s="155"/>
      <c r="C271" s="89" t="s">
        <v>38</v>
      </c>
      <c r="D271" s="88">
        <v>16</v>
      </c>
      <c r="E271" s="87">
        <v>9.1324200913242004E-3</v>
      </c>
    </row>
    <row r="272" spans="2:5" ht="15" customHeight="1">
      <c r="B272" s="155"/>
      <c r="C272" s="89" t="s">
        <v>37</v>
      </c>
      <c r="D272" s="88">
        <v>15</v>
      </c>
      <c r="E272" s="87">
        <v>8.5616438356164379E-3</v>
      </c>
    </row>
    <row r="273" spans="2:5" ht="15" customHeight="1">
      <c r="B273" s="155"/>
      <c r="C273" s="89" t="s">
        <v>34</v>
      </c>
      <c r="D273" s="88">
        <v>13</v>
      </c>
      <c r="E273" s="87">
        <v>7.4200913242009128E-3</v>
      </c>
    </row>
    <row r="274" spans="2:5" ht="15" customHeight="1">
      <c r="B274" s="155"/>
      <c r="C274" s="89" t="s">
        <v>41</v>
      </c>
      <c r="D274" s="88">
        <v>7</v>
      </c>
      <c r="E274" s="87">
        <v>3.9954337899543377E-3</v>
      </c>
    </row>
    <row r="275" spans="2:5" ht="15" customHeight="1">
      <c r="B275" s="155"/>
      <c r="C275" s="89" t="s">
        <v>40</v>
      </c>
      <c r="D275" s="88">
        <v>18</v>
      </c>
      <c r="E275" s="87">
        <v>1.0273972602739725E-2</v>
      </c>
    </row>
    <row r="276" spans="2:5" ht="15" customHeight="1">
      <c r="B276" s="155"/>
      <c r="C276" s="89" t="s">
        <v>32</v>
      </c>
      <c r="D276" s="88">
        <v>10</v>
      </c>
      <c r="E276" s="87">
        <v>5.7077625570776253E-3</v>
      </c>
    </row>
    <row r="277" spans="2:5" ht="15" customHeight="1">
      <c r="B277" s="155"/>
      <c r="C277" s="89" t="s">
        <v>44</v>
      </c>
      <c r="D277" s="88">
        <v>26</v>
      </c>
      <c r="E277" s="87">
        <v>1.4840182648401826E-2</v>
      </c>
    </row>
    <row r="278" spans="2:5" ht="15" customHeight="1">
      <c r="B278" s="155"/>
      <c r="C278" s="89" t="s">
        <v>45</v>
      </c>
      <c r="D278" s="88">
        <v>31</v>
      </c>
      <c r="E278" s="87">
        <v>1.7694063926940638E-2</v>
      </c>
    </row>
    <row r="279" spans="2:5" ht="15" customHeight="1">
      <c r="B279" s="155"/>
      <c r="C279" s="89" t="s">
        <v>29</v>
      </c>
      <c r="D279" s="88">
        <v>5</v>
      </c>
      <c r="E279" s="87">
        <v>2.8538812785388126E-3</v>
      </c>
    </row>
    <row r="280" spans="2:5" ht="15" customHeight="1">
      <c r="B280" s="155"/>
      <c r="C280" s="89" t="s">
        <v>27</v>
      </c>
      <c r="D280" s="88">
        <v>9</v>
      </c>
      <c r="E280" s="87">
        <v>5.1369863013698627E-3</v>
      </c>
    </row>
    <row r="281" spans="2:5" ht="15" customHeight="1">
      <c r="B281" s="155"/>
      <c r="C281" s="89" t="s">
        <v>21</v>
      </c>
      <c r="D281" s="88">
        <v>1</v>
      </c>
      <c r="E281" s="87">
        <v>5.7077625570776253E-4</v>
      </c>
    </row>
    <row r="282" spans="2:5" ht="15" customHeight="1">
      <c r="B282" s="155"/>
      <c r="C282" s="89" t="s">
        <v>43</v>
      </c>
      <c r="D282" s="88">
        <v>7</v>
      </c>
      <c r="E282" s="87">
        <v>3.9954337899543377E-3</v>
      </c>
    </row>
    <row r="283" spans="2:5" ht="15" customHeight="1">
      <c r="B283" s="155"/>
      <c r="C283" s="89" t="s">
        <v>36</v>
      </c>
      <c r="D283" s="88">
        <v>12</v>
      </c>
      <c r="E283" s="87">
        <v>6.8493150684931503E-3</v>
      </c>
    </row>
    <row r="284" spans="2:5" ht="15" customHeight="1">
      <c r="B284" s="155"/>
      <c r="C284" s="89" t="s">
        <v>22</v>
      </c>
      <c r="D284" s="88">
        <v>1</v>
      </c>
      <c r="E284" s="87">
        <v>5.7077625570776253E-4</v>
      </c>
    </row>
    <row r="285" spans="2:5" ht="15" customHeight="1">
      <c r="B285" s="155"/>
      <c r="C285" s="89" t="s">
        <v>35</v>
      </c>
      <c r="D285" s="88">
        <v>8</v>
      </c>
      <c r="E285" s="87">
        <v>4.5662100456621002E-3</v>
      </c>
    </row>
    <row r="286" spans="2:5" ht="15" customHeight="1">
      <c r="B286" s="155"/>
      <c r="C286" s="89" t="s">
        <v>23</v>
      </c>
      <c r="D286" s="88">
        <v>4</v>
      </c>
      <c r="E286" s="87">
        <v>2.2831050228310501E-3</v>
      </c>
    </row>
    <row r="287" spans="2:5" ht="15" customHeight="1">
      <c r="B287" s="155"/>
      <c r="C287" s="89" t="s">
        <v>18</v>
      </c>
      <c r="D287" s="88">
        <v>2</v>
      </c>
      <c r="E287" s="87">
        <v>1.1415525114155251E-3</v>
      </c>
    </row>
    <row r="288" spans="2:5" ht="15" customHeight="1">
      <c r="B288" s="155"/>
      <c r="C288" s="89" t="s">
        <v>31</v>
      </c>
      <c r="D288" s="88">
        <v>7</v>
      </c>
      <c r="E288" s="87">
        <v>3.9954337899543377E-3</v>
      </c>
    </row>
    <row r="289" spans="2:5" ht="15" customHeight="1">
      <c r="B289" s="155"/>
      <c r="C289" s="89" t="s">
        <v>17</v>
      </c>
      <c r="D289" s="88">
        <v>1</v>
      </c>
      <c r="E289" s="87">
        <v>5.7077625570776253E-4</v>
      </c>
    </row>
    <row r="290" spans="2:5" ht="15" customHeight="1">
      <c r="B290" s="155"/>
      <c r="C290" s="89" t="s">
        <v>42</v>
      </c>
      <c r="D290" s="88">
        <v>22</v>
      </c>
      <c r="E290" s="87">
        <v>1.2557077625570776E-2</v>
      </c>
    </row>
    <row r="291" spans="2:5" ht="15" customHeight="1">
      <c r="B291" s="155"/>
      <c r="C291" s="89" t="s">
        <v>16</v>
      </c>
      <c r="D291" s="88">
        <v>1</v>
      </c>
      <c r="E291" s="87">
        <v>5.7077625570776253E-4</v>
      </c>
    </row>
    <row r="292" spans="2:5" ht="15" customHeight="1">
      <c r="B292" s="155"/>
      <c r="C292" s="89" t="s">
        <v>39</v>
      </c>
      <c r="D292" s="88">
        <v>8</v>
      </c>
      <c r="E292" s="87">
        <v>4.5662100456621002E-3</v>
      </c>
    </row>
    <row r="293" spans="2:5" ht="15" customHeight="1">
      <c r="B293" s="154"/>
      <c r="C293" s="86" t="s">
        <v>15</v>
      </c>
      <c r="D293" s="85">
        <v>251</v>
      </c>
      <c r="E293" s="84">
        <v>0.1432648401826484</v>
      </c>
    </row>
    <row r="294" spans="2:5" ht="15" customHeight="1">
      <c r="B294" s="153" t="s">
        <v>422</v>
      </c>
      <c r="C294" s="89" t="s">
        <v>33</v>
      </c>
      <c r="D294" s="88">
        <v>1</v>
      </c>
      <c r="E294" s="87">
        <v>5.7077625570776253E-4</v>
      </c>
    </row>
    <row r="295" spans="2:5" ht="15" customHeight="1">
      <c r="B295" s="155"/>
      <c r="C295" s="89" t="s">
        <v>25</v>
      </c>
      <c r="D295" s="88">
        <v>2</v>
      </c>
      <c r="E295" s="87">
        <v>1.1415525114155251E-3</v>
      </c>
    </row>
    <row r="296" spans="2:5" ht="15" customHeight="1">
      <c r="B296" s="155"/>
      <c r="C296" s="89" t="s">
        <v>32</v>
      </c>
      <c r="D296" s="88">
        <v>1</v>
      </c>
      <c r="E296" s="87">
        <v>5.7077625570776253E-4</v>
      </c>
    </row>
    <row r="297" spans="2:5" ht="15" customHeight="1">
      <c r="B297" s="155"/>
      <c r="C297" s="89" t="s">
        <v>44</v>
      </c>
      <c r="D297" s="88">
        <v>1</v>
      </c>
      <c r="E297" s="87">
        <v>5.7077625570776253E-4</v>
      </c>
    </row>
    <row r="298" spans="2:5" ht="15" customHeight="1">
      <c r="B298" s="155"/>
      <c r="C298" s="89" t="s">
        <v>45</v>
      </c>
      <c r="D298" s="88">
        <v>1</v>
      </c>
      <c r="E298" s="87">
        <v>5.7077625570776253E-4</v>
      </c>
    </row>
    <row r="299" spans="2:5" ht="15" customHeight="1">
      <c r="B299" s="155"/>
      <c r="C299" s="89" t="s">
        <v>27</v>
      </c>
      <c r="D299" s="88">
        <v>1</v>
      </c>
      <c r="E299" s="87">
        <v>5.7077625570776253E-4</v>
      </c>
    </row>
    <row r="300" spans="2:5" ht="15" customHeight="1">
      <c r="B300" s="155"/>
      <c r="C300" s="89" t="s">
        <v>42</v>
      </c>
      <c r="D300" s="88">
        <v>1</v>
      </c>
      <c r="E300" s="87">
        <v>5.7077625570776253E-4</v>
      </c>
    </row>
    <row r="301" spans="2:5" ht="15" customHeight="1">
      <c r="B301" s="154"/>
      <c r="C301" s="86" t="s">
        <v>15</v>
      </c>
      <c r="D301" s="85">
        <v>8</v>
      </c>
      <c r="E301" s="84">
        <v>4.5662100456621002E-3</v>
      </c>
    </row>
    <row r="302" spans="2:5" ht="15" customHeight="1">
      <c r="B302" s="153" t="s">
        <v>421</v>
      </c>
      <c r="C302" s="89" t="s">
        <v>26</v>
      </c>
      <c r="D302" s="88">
        <v>1</v>
      </c>
      <c r="E302" s="87">
        <v>5.7077625570776253E-4</v>
      </c>
    </row>
    <row r="303" spans="2:5" ht="15" customHeight="1">
      <c r="B303" s="155"/>
      <c r="C303" s="89" t="s">
        <v>38</v>
      </c>
      <c r="D303" s="88">
        <v>2</v>
      </c>
      <c r="E303" s="87">
        <v>1.1415525114155251E-3</v>
      </c>
    </row>
    <row r="304" spans="2:5" ht="15" customHeight="1">
      <c r="B304" s="155"/>
      <c r="C304" s="89" t="s">
        <v>41</v>
      </c>
      <c r="D304" s="88">
        <v>1</v>
      </c>
      <c r="E304" s="87">
        <v>5.7077625570776253E-4</v>
      </c>
    </row>
    <row r="305" spans="2:5" ht="15" customHeight="1">
      <c r="B305" s="155"/>
      <c r="C305" s="89" t="s">
        <v>40</v>
      </c>
      <c r="D305" s="88">
        <v>2</v>
      </c>
      <c r="E305" s="87">
        <v>1.1415525114155251E-3</v>
      </c>
    </row>
    <row r="306" spans="2:5" ht="15" customHeight="1">
      <c r="B306" s="155"/>
      <c r="C306" s="89" t="s">
        <v>45</v>
      </c>
      <c r="D306" s="88">
        <v>2</v>
      </c>
      <c r="E306" s="87">
        <v>1.1415525114155251E-3</v>
      </c>
    </row>
    <row r="307" spans="2:5" ht="15" customHeight="1">
      <c r="B307" s="155"/>
      <c r="C307" s="89" t="s">
        <v>29</v>
      </c>
      <c r="D307" s="88">
        <v>2</v>
      </c>
      <c r="E307" s="87">
        <v>1.1415525114155251E-3</v>
      </c>
    </row>
    <row r="308" spans="2:5" ht="15" customHeight="1">
      <c r="B308" s="155"/>
      <c r="C308" s="89" t="s">
        <v>21</v>
      </c>
      <c r="D308" s="88">
        <v>1</v>
      </c>
      <c r="E308" s="87">
        <v>5.7077625570776253E-4</v>
      </c>
    </row>
    <row r="309" spans="2:5" ht="15" customHeight="1">
      <c r="B309" s="155"/>
      <c r="C309" s="89" t="s">
        <v>31</v>
      </c>
      <c r="D309" s="88">
        <v>1</v>
      </c>
      <c r="E309" s="87">
        <v>5.7077625570776253E-4</v>
      </c>
    </row>
    <row r="310" spans="2:5" ht="15" customHeight="1">
      <c r="B310" s="155"/>
      <c r="C310" s="89" t="s">
        <v>39</v>
      </c>
      <c r="D310" s="88">
        <v>1</v>
      </c>
      <c r="E310" s="87">
        <v>5.7077625570776253E-4</v>
      </c>
    </row>
    <row r="311" spans="2:5" ht="15" customHeight="1">
      <c r="B311" s="154"/>
      <c r="C311" s="86" t="s">
        <v>15</v>
      </c>
      <c r="D311" s="85">
        <v>13</v>
      </c>
      <c r="E311" s="84">
        <v>7.4200913242009128E-3</v>
      </c>
    </row>
    <row r="312" spans="2:5" ht="15" customHeight="1">
      <c r="B312" s="153" t="s">
        <v>420</v>
      </c>
      <c r="C312" s="89" t="s">
        <v>34</v>
      </c>
      <c r="D312" s="88">
        <v>1</v>
      </c>
      <c r="E312" s="87">
        <v>5.7077625570776253E-4</v>
      </c>
    </row>
    <row r="313" spans="2:5" ht="15" customHeight="1">
      <c r="B313" s="155"/>
      <c r="C313" s="89" t="s">
        <v>41</v>
      </c>
      <c r="D313" s="88">
        <v>1</v>
      </c>
      <c r="E313" s="87">
        <v>5.7077625570776253E-4</v>
      </c>
    </row>
    <row r="314" spans="2:5" ht="15" customHeight="1">
      <c r="B314" s="155"/>
      <c r="C314" s="89" t="s">
        <v>42</v>
      </c>
      <c r="D314" s="88">
        <v>1</v>
      </c>
      <c r="E314" s="87">
        <v>5.7077625570776253E-4</v>
      </c>
    </row>
    <row r="315" spans="2:5" ht="15" customHeight="1">
      <c r="B315" s="155"/>
      <c r="C315" s="89" t="s">
        <v>39</v>
      </c>
      <c r="D315" s="88">
        <v>1</v>
      </c>
      <c r="E315" s="87">
        <v>5.7077625570776253E-4</v>
      </c>
    </row>
    <row r="316" spans="2:5" ht="15" customHeight="1">
      <c r="B316" s="154"/>
      <c r="C316" s="86" t="s">
        <v>15</v>
      </c>
      <c r="D316" s="85">
        <v>4</v>
      </c>
      <c r="E316" s="84">
        <v>2.2831050228310501E-3</v>
      </c>
    </row>
    <row r="317" spans="2:5" ht="15" customHeight="1">
      <c r="B317" s="153" t="s">
        <v>419</v>
      </c>
      <c r="C317" s="89" t="s">
        <v>37</v>
      </c>
      <c r="D317" s="88">
        <v>1</v>
      </c>
      <c r="E317" s="87">
        <v>5.7077625570776253E-4</v>
      </c>
    </row>
    <row r="318" spans="2:5" ht="15" customHeight="1">
      <c r="B318" s="155"/>
      <c r="C318" s="89" t="s">
        <v>29</v>
      </c>
      <c r="D318" s="88">
        <v>1</v>
      </c>
      <c r="E318" s="87">
        <v>5.7077625570776253E-4</v>
      </c>
    </row>
    <row r="319" spans="2:5" ht="15" customHeight="1">
      <c r="B319" s="155"/>
      <c r="C319" s="89" t="s">
        <v>43</v>
      </c>
      <c r="D319" s="88">
        <v>1</v>
      </c>
      <c r="E319" s="87">
        <v>5.7077625570776253E-4</v>
      </c>
    </row>
    <row r="320" spans="2:5" ht="15" customHeight="1">
      <c r="B320" s="154"/>
      <c r="C320" s="86" t="s">
        <v>15</v>
      </c>
      <c r="D320" s="85">
        <v>3</v>
      </c>
      <c r="E320" s="84">
        <v>1.7123287671232876E-3</v>
      </c>
    </row>
    <row r="321" spans="2:5" ht="15" customHeight="1">
      <c r="B321" s="153" t="s">
        <v>418</v>
      </c>
      <c r="C321" s="89" t="s">
        <v>30</v>
      </c>
      <c r="D321" s="88">
        <v>1</v>
      </c>
      <c r="E321" s="87">
        <v>5.7077625570776253E-4</v>
      </c>
    </row>
    <row r="322" spans="2:5" ht="15" customHeight="1">
      <c r="B322" s="155"/>
      <c r="C322" s="89" t="s">
        <v>28</v>
      </c>
      <c r="D322" s="88">
        <v>2</v>
      </c>
      <c r="E322" s="87">
        <v>1.1415525114155251E-3</v>
      </c>
    </row>
    <row r="323" spans="2:5" ht="15" customHeight="1">
      <c r="B323" s="155"/>
      <c r="C323" s="89" t="s">
        <v>33</v>
      </c>
      <c r="D323" s="88">
        <v>1</v>
      </c>
      <c r="E323" s="87">
        <v>5.7077625570776253E-4</v>
      </c>
    </row>
    <row r="324" spans="2:5" ht="15" customHeight="1">
      <c r="B324" s="155"/>
      <c r="C324" s="89" t="s">
        <v>25</v>
      </c>
      <c r="D324" s="88">
        <v>1</v>
      </c>
      <c r="E324" s="87">
        <v>5.7077625570776253E-4</v>
      </c>
    </row>
    <row r="325" spans="2:5" ht="15" customHeight="1">
      <c r="B325" s="155"/>
      <c r="C325" s="89" t="s">
        <v>38</v>
      </c>
      <c r="D325" s="88">
        <v>1</v>
      </c>
      <c r="E325" s="87">
        <v>5.7077625570776253E-4</v>
      </c>
    </row>
    <row r="326" spans="2:5" ht="15" customHeight="1">
      <c r="B326" s="155"/>
      <c r="C326" s="89" t="s">
        <v>40</v>
      </c>
      <c r="D326" s="88">
        <v>1</v>
      </c>
      <c r="E326" s="87">
        <v>5.7077625570776253E-4</v>
      </c>
    </row>
    <row r="327" spans="2:5" ht="15" customHeight="1">
      <c r="B327" s="155"/>
      <c r="C327" s="89" t="s">
        <v>45</v>
      </c>
      <c r="D327" s="88">
        <v>2</v>
      </c>
      <c r="E327" s="87">
        <v>1.1415525114155251E-3</v>
      </c>
    </row>
    <row r="328" spans="2:5" ht="15" customHeight="1">
      <c r="B328" s="155"/>
      <c r="C328" s="89" t="s">
        <v>35</v>
      </c>
      <c r="D328" s="88">
        <v>1</v>
      </c>
      <c r="E328" s="87">
        <v>5.7077625570776253E-4</v>
      </c>
    </row>
    <row r="329" spans="2:5" ht="15" customHeight="1">
      <c r="B329" s="155"/>
      <c r="C329" s="89" t="s">
        <v>39</v>
      </c>
      <c r="D329" s="88">
        <v>2</v>
      </c>
      <c r="E329" s="87">
        <v>1.1415525114155251E-3</v>
      </c>
    </row>
    <row r="330" spans="2:5" ht="15" customHeight="1">
      <c r="B330" s="154"/>
      <c r="C330" s="86" t="s">
        <v>15</v>
      </c>
      <c r="D330" s="85">
        <v>12</v>
      </c>
      <c r="E330" s="84">
        <v>6.8493150684931503E-3</v>
      </c>
    </row>
    <row r="331" spans="2:5" ht="15" customHeight="1">
      <c r="B331" s="153" t="s">
        <v>473</v>
      </c>
      <c r="C331" s="89" t="s">
        <v>30</v>
      </c>
      <c r="D331" s="88">
        <v>2</v>
      </c>
      <c r="E331" s="87">
        <v>1.1415525114155251E-3</v>
      </c>
    </row>
    <row r="332" spans="2:5" ht="15" customHeight="1">
      <c r="B332" s="155"/>
      <c r="C332" s="89" t="s">
        <v>33</v>
      </c>
      <c r="D332" s="88">
        <v>5</v>
      </c>
      <c r="E332" s="87">
        <v>2.8538812785388126E-3</v>
      </c>
    </row>
    <row r="333" spans="2:5" ht="15" customHeight="1">
      <c r="B333" s="155"/>
      <c r="C333" s="89" t="s">
        <v>25</v>
      </c>
      <c r="D333" s="88">
        <v>3</v>
      </c>
      <c r="E333" s="87">
        <v>1.7123287671232876E-3</v>
      </c>
    </row>
    <row r="334" spans="2:5" ht="15" customHeight="1">
      <c r="B334" s="155"/>
      <c r="C334" s="89" t="s">
        <v>19</v>
      </c>
      <c r="D334" s="88">
        <v>2</v>
      </c>
      <c r="E334" s="87">
        <v>1.1415525114155251E-3</v>
      </c>
    </row>
    <row r="335" spans="2:5" ht="15" customHeight="1">
      <c r="B335" s="155"/>
      <c r="C335" s="89" t="s">
        <v>38</v>
      </c>
      <c r="D335" s="88">
        <v>5</v>
      </c>
      <c r="E335" s="87">
        <v>2.8538812785388126E-3</v>
      </c>
    </row>
    <row r="336" spans="2:5" ht="15" customHeight="1">
      <c r="B336" s="155"/>
      <c r="C336" s="89" t="s">
        <v>37</v>
      </c>
      <c r="D336" s="88">
        <v>1</v>
      </c>
      <c r="E336" s="87">
        <v>5.7077625570776253E-4</v>
      </c>
    </row>
    <row r="337" spans="2:5" ht="15" customHeight="1">
      <c r="B337" s="155"/>
      <c r="C337" s="89" t="s">
        <v>34</v>
      </c>
      <c r="D337" s="88">
        <v>1</v>
      </c>
      <c r="E337" s="87">
        <v>5.7077625570776253E-4</v>
      </c>
    </row>
    <row r="338" spans="2:5" ht="15" customHeight="1">
      <c r="B338" s="155"/>
      <c r="C338" s="89" t="s">
        <v>41</v>
      </c>
      <c r="D338" s="88">
        <v>1</v>
      </c>
      <c r="E338" s="87">
        <v>5.7077625570776253E-4</v>
      </c>
    </row>
    <row r="339" spans="2:5" ht="15" customHeight="1">
      <c r="B339" s="155"/>
      <c r="C339" s="89" t="s">
        <v>40</v>
      </c>
      <c r="D339" s="88">
        <v>2</v>
      </c>
      <c r="E339" s="87">
        <v>1.1415525114155251E-3</v>
      </c>
    </row>
    <row r="340" spans="2:5" ht="15" customHeight="1">
      <c r="B340" s="155"/>
      <c r="C340" s="89" t="s">
        <v>32</v>
      </c>
      <c r="D340" s="88">
        <v>2</v>
      </c>
      <c r="E340" s="87">
        <v>1.1415525114155251E-3</v>
      </c>
    </row>
    <row r="341" spans="2:5" ht="15" customHeight="1">
      <c r="B341" s="155"/>
      <c r="C341" s="89" t="s">
        <v>44</v>
      </c>
      <c r="D341" s="88">
        <v>2</v>
      </c>
      <c r="E341" s="87">
        <v>1.1415525114155251E-3</v>
      </c>
    </row>
    <row r="342" spans="2:5" ht="15" customHeight="1">
      <c r="B342" s="155"/>
      <c r="C342" s="89" t="s">
        <v>45</v>
      </c>
      <c r="D342" s="88">
        <v>3</v>
      </c>
      <c r="E342" s="87">
        <v>1.7123287671232876E-3</v>
      </c>
    </row>
    <row r="343" spans="2:5" ht="15" customHeight="1">
      <c r="B343" s="155"/>
      <c r="C343" s="89" t="s">
        <v>29</v>
      </c>
      <c r="D343" s="88">
        <v>1</v>
      </c>
      <c r="E343" s="87">
        <v>5.7077625570776253E-4</v>
      </c>
    </row>
    <row r="344" spans="2:5" ht="15" customHeight="1">
      <c r="B344" s="155"/>
      <c r="C344" s="89" t="s">
        <v>27</v>
      </c>
      <c r="D344" s="88">
        <v>1</v>
      </c>
      <c r="E344" s="87">
        <v>5.7077625570776253E-4</v>
      </c>
    </row>
    <row r="345" spans="2:5" ht="15" customHeight="1">
      <c r="B345" s="155"/>
      <c r="C345" s="89" t="s">
        <v>21</v>
      </c>
      <c r="D345" s="88">
        <v>1</v>
      </c>
      <c r="E345" s="87">
        <v>5.7077625570776253E-4</v>
      </c>
    </row>
    <row r="346" spans="2:5" ht="15" customHeight="1">
      <c r="B346" s="155"/>
      <c r="C346" s="89" t="s">
        <v>36</v>
      </c>
      <c r="D346" s="88">
        <v>2</v>
      </c>
      <c r="E346" s="87">
        <v>1.1415525114155251E-3</v>
      </c>
    </row>
    <row r="347" spans="2:5" ht="15" customHeight="1">
      <c r="B347" s="155"/>
      <c r="C347" s="89" t="s">
        <v>22</v>
      </c>
      <c r="D347" s="88">
        <v>1</v>
      </c>
      <c r="E347" s="87">
        <v>5.7077625570776253E-4</v>
      </c>
    </row>
    <row r="348" spans="2:5" ht="15" customHeight="1">
      <c r="B348" s="155"/>
      <c r="C348" s="89" t="s">
        <v>35</v>
      </c>
      <c r="D348" s="88">
        <v>2</v>
      </c>
      <c r="E348" s="87">
        <v>1.1415525114155251E-3</v>
      </c>
    </row>
    <row r="349" spans="2:5" ht="15" customHeight="1">
      <c r="B349" s="155"/>
      <c r="C349" s="89" t="s">
        <v>31</v>
      </c>
      <c r="D349" s="88">
        <v>3</v>
      </c>
      <c r="E349" s="87">
        <v>1.7123287671232876E-3</v>
      </c>
    </row>
    <row r="350" spans="2:5" ht="15" customHeight="1">
      <c r="B350" s="155"/>
      <c r="C350" s="89" t="s">
        <v>42</v>
      </c>
      <c r="D350" s="88">
        <v>3</v>
      </c>
      <c r="E350" s="87">
        <v>1.7123287671232876E-3</v>
      </c>
    </row>
    <row r="351" spans="2:5" ht="15" customHeight="1">
      <c r="B351" s="154"/>
      <c r="C351" s="86" t="s">
        <v>15</v>
      </c>
      <c r="D351" s="85">
        <v>43</v>
      </c>
      <c r="E351" s="84">
        <v>2.4543378995433789E-2</v>
      </c>
    </row>
    <row r="352" spans="2:5" ht="15" customHeight="1">
      <c r="B352" s="153" t="s">
        <v>472</v>
      </c>
      <c r="C352" s="89" t="s">
        <v>34</v>
      </c>
      <c r="D352" s="88">
        <v>1</v>
      </c>
      <c r="E352" s="87">
        <v>5.7077625570776253E-4</v>
      </c>
    </row>
    <row r="353" spans="2:5" ht="15" customHeight="1">
      <c r="B353" s="155"/>
      <c r="C353" s="89" t="s">
        <v>40</v>
      </c>
      <c r="D353" s="88">
        <v>3</v>
      </c>
      <c r="E353" s="87">
        <v>1.7123287671232876E-3</v>
      </c>
    </row>
    <row r="354" spans="2:5" ht="15" customHeight="1">
      <c r="B354" s="155"/>
      <c r="C354" s="89" t="s">
        <v>45</v>
      </c>
      <c r="D354" s="88">
        <v>3</v>
      </c>
      <c r="E354" s="87">
        <v>1.7123287671232876E-3</v>
      </c>
    </row>
    <row r="355" spans="2:5" ht="15" customHeight="1">
      <c r="B355" s="155"/>
      <c r="C355" s="89" t="s">
        <v>43</v>
      </c>
      <c r="D355" s="88">
        <v>1</v>
      </c>
      <c r="E355" s="87">
        <v>5.7077625570776253E-4</v>
      </c>
    </row>
    <row r="356" spans="2:5" ht="15" customHeight="1">
      <c r="B356" s="154"/>
      <c r="C356" s="86" t="s">
        <v>15</v>
      </c>
      <c r="D356" s="85">
        <v>8</v>
      </c>
      <c r="E356" s="84">
        <v>4.5662100456621002E-3</v>
      </c>
    </row>
    <row r="357" spans="2:5" ht="15" customHeight="1">
      <c r="B357" s="153" t="s">
        <v>415</v>
      </c>
      <c r="C357" s="89" t="s">
        <v>40</v>
      </c>
      <c r="D357" s="88">
        <v>1</v>
      </c>
      <c r="E357" s="87">
        <v>5.7077625570776253E-4</v>
      </c>
    </row>
    <row r="358" spans="2:5" ht="15" customHeight="1">
      <c r="B358" s="155"/>
      <c r="C358" s="89" t="s">
        <v>44</v>
      </c>
      <c r="D358" s="88">
        <v>1</v>
      </c>
      <c r="E358" s="87">
        <v>5.7077625570776253E-4</v>
      </c>
    </row>
    <row r="359" spans="2:5" ht="15" customHeight="1">
      <c r="B359" s="155"/>
      <c r="C359" s="89" t="s">
        <v>45</v>
      </c>
      <c r="D359" s="88">
        <v>1</v>
      </c>
      <c r="E359" s="87">
        <v>5.7077625570776253E-4</v>
      </c>
    </row>
    <row r="360" spans="2:5" ht="15" customHeight="1">
      <c r="B360" s="154"/>
      <c r="C360" s="86" t="s">
        <v>15</v>
      </c>
      <c r="D360" s="85">
        <v>3</v>
      </c>
      <c r="E360" s="84">
        <v>1.7123287671232876E-3</v>
      </c>
    </row>
    <row r="361" spans="2:5" ht="15" customHeight="1">
      <c r="B361" s="156" t="s">
        <v>15</v>
      </c>
      <c r="C361" s="157"/>
      <c r="D361" s="83">
        <v>1752</v>
      </c>
      <c r="E361" s="82">
        <v>1</v>
      </c>
    </row>
    <row r="362" spans="2:5" ht="15" customHeight="1">
      <c r="B362" s="81"/>
      <c r="C362" s="81"/>
      <c r="D362" s="81"/>
      <c r="E362" s="81"/>
    </row>
    <row r="363" spans="2:5" ht="15" customHeight="1">
      <c r="B363" s="92" t="s">
        <v>477</v>
      </c>
      <c r="C363" s="90"/>
      <c r="D363" s="90"/>
    </row>
    <row r="364" spans="2:5" ht="15" customHeight="1">
      <c r="B364" s="94" t="s">
        <v>14</v>
      </c>
      <c r="C364" s="90"/>
      <c r="D364" s="90"/>
    </row>
    <row r="365" spans="2:5" ht="15" customHeight="1">
      <c r="B365" s="93" t="s">
        <v>13</v>
      </c>
      <c r="C365" s="90"/>
      <c r="D365" s="90"/>
    </row>
    <row r="366" spans="2:5" ht="15" customHeight="1">
      <c r="B366" s="92" t="s">
        <v>12</v>
      </c>
      <c r="C366" s="90"/>
      <c r="D366" s="90"/>
    </row>
    <row r="367" spans="2:5" ht="15" customHeight="1">
      <c r="B367" s="92" t="s">
        <v>478</v>
      </c>
      <c r="C367" s="90"/>
      <c r="D367" s="90"/>
    </row>
  </sheetData>
  <mergeCells count="25">
    <mergeCell ref="B7:E8"/>
    <mergeCell ref="B10:B20"/>
    <mergeCell ref="B21:B30"/>
    <mergeCell ref="B31:B38"/>
    <mergeCell ref="B39:B57"/>
    <mergeCell ref="B58:B74"/>
    <mergeCell ref="B75:B89"/>
    <mergeCell ref="B90:B115"/>
    <mergeCell ref="B116:B138"/>
    <mergeCell ref="B139:B154"/>
    <mergeCell ref="B155:B174"/>
    <mergeCell ref="B352:B356"/>
    <mergeCell ref="B357:B360"/>
    <mergeCell ref="B361:C361"/>
    <mergeCell ref="B175:B196"/>
    <mergeCell ref="B197:B225"/>
    <mergeCell ref="B226:B238"/>
    <mergeCell ref="B239:B263"/>
    <mergeCell ref="B264:B293"/>
    <mergeCell ref="B294:B301"/>
    <mergeCell ref="B302:B311"/>
    <mergeCell ref="B312:B316"/>
    <mergeCell ref="B317:B320"/>
    <mergeCell ref="B321:B330"/>
    <mergeCell ref="B331:B3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E20"/>
  <sheetViews>
    <sheetView showGridLines="0" zoomScaleNormal="100" zoomScaleSheetLayoutView="115" workbookViewId="0">
      <selection activeCell="D14" sqref="D14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626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443</v>
      </c>
      <c r="C11" s="29" t="s">
        <v>47</v>
      </c>
      <c r="D11" s="28" t="s">
        <v>46</v>
      </c>
    </row>
    <row r="12" spans="1:5">
      <c r="A12" s="91"/>
      <c r="B12" s="100" t="s">
        <v>442</v>
      </c>
      <c r="C12" s="99">
        <v>1074</v>
      </c>
      <c r="D12" s="98">
        <v>0.61301369863013699</v>
      </c>
      <c r="E12" s="91"/>
    </row>
    <row r="13" spans="1:5">
      <c r="A13" s="91"/>
      <c r="B13" s="100" t="s">
        <v>441</v>
      </c>
      <c r="C13" s="99">
        <v>678</v>
      </c>
      <c r="D13" s="98">
        <v>0.38698630136986301</v>
      </c>
      <c r="E13" s="91"/>
    </row>
    <row r="14" spans="1:5">
      <c r="A14" s="91"/>
      <c r="B14" s="97" t="s">
        <v>440</v>
      </c>
      <c r="C14" s="96">
        <v>1752</v>
      </c>
      <c r="D14" s="95">
        <v>1</v>
      </c>
      <c r="E14" s="91"/>
    </row>
    <row r="15" spans="1:5">
      <c r="A15" s="101"/>
      <c r="B15" s="101"/>
      <c r="C15" s="102"/>
      <c r="D15" s="101"/>
      <c r="E15" s="101"/>
    </row>
    <row r="16" spans="1:5">
      <c r="B16" s="104" t="s">
        <v>477</v>
      </c>
      <c r="C16" s="103"/>
      <c r="D16" s="103"/>
    </row>
    <row r="17" spans="2:4">
      <c r="B17" s="106" t="s">
        <v>14</v>
      </c>
      <c r="C17" s="103"/>
      <c r="D17" s="103"/>
    </row>
    <row r="18" spans="2:4">
      <c r="B18" s="105" t="s">
        <v>13</v>
      </c>
      <c r="C18" s="103"/>
      <c r="D18" s="103"/>
    </row>
    <row r="19" spans="2:4">
      <c r="B19" s="104" t="s">
        <v>12</v>
      </c>
      <c r="C19" s="103"/>
      <c r="D19" s="103"/>
    </row>
    <row r="20" spans="2:4">
      <c r="B20" s="104" t="s">
        <v>478</v>
      </c>
      <c r="C20" s="103"/>
      <c r="D20" s="103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E381"/>
  <sheetViews>
    <sheetView topLeftCell="A81" zoomScaleNormal="100" zoomScaleSheetLayoutView="100" workbookViewId="0">
      <selection activeCell="C97" sqref="C97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48</v>
      </c>
      <c r="C9" s="39" t="s">
        <v>443</v>
      </c>
      <c r="D9" s="38" t="s">
        <v>47</v>
      </c>
      <c r="E9" s="37" t="s">
        <v>46</v>
      </c>
    </row>
    <row r="10" spans="1:5" ht="15" customHeight="1">
      <c r="B10" s="153" t="s">
        <v>30</v>
      </c>
      <c r="C10" s="115" t="s">
        <v>445</v>
      </c>
      <c r="D10" s="114">
        <v>17</v>
      </c>
      <c r="E10" s="113">
        <v>9.7031963470319629E-3</v>
      </c>
    </row>
    <row r="11" spans="1:5" ht="15" customHeight="1">
      <c r="B11" s="155"/>
      <c r="C11" s="115" t="s">
        <v>444</v>
      </c>
      <c r="D11" s="114">
        <v>9</v>
      </c>
      <c r="E11" s="113">
        <v>5.1369863013698627E-3</v>
      </c>
    </row>
    <row r="12" spans="1:5" ht="15" customHeight="1">
      <c r="B12" s="154"/>
      <c r="C12" s="112" t="s">
        <v>15</v>
      </c>
      <c r="D12" s="111">
        <v>26</v>
      </c>
      <c r="E12" s="110">
        <v>1.4840182648401826E-2</v>
      </c>
    </row>
    <row r="13" spans="1:5" ht="15" customHeight="1">
      <c r="B13" s="153" t="s">
        <v>24</v>
      </c>
      <c r="C13" s="115" t="s">
        <v>445</v>
      </c>
      <c r="D13" s="114">
        <v>5</v>
      </c>
      <c r="E13" s="113">
        <v>2.8538812785388126E-3</v>
      </c>
    </row>
    <row r="14" spans="1:5" ht="15" customHeight="1">
      <c r="B14" s="155"/>
      <c r="C14" s="115" t="s">
        <v>444</v>
      </c>
      <c r="D14" s="114">
        <v>6</v>
      </c>
      <c r="E14" s="113">
        <v>3.4246575342465752E-3</v>
      </c>
    </row>
    <row r="15" spans="1:5" ht="15" customHeight="1">
      <c r="B15" s="154"/>
      <c r="C15" s="112" t="s">
        <v>15</v>
      </c>
      <c r="D15" s="111">
        <v>11</v>
      </c>
      <c r="E15" s="110">
        <v>6.2785388127853878E-3</v>
      </c>
    </row>
    <row r="16" spans="1:5" ht="15" customHeight="1">
      <c r="B16" s="153" t="s">
        <v>26</v>
      </c>
      <c r="C16" s="115" t="s">
        <v>445</v>
      </c>
      <c r="D16" s="114">
        <v>7</v>
      </c>
      <c r="E16" s="113">
        <v>3.9954337899543377E-3</v>
      </c>
    </row>
    <row r="17" spans="2:5" ht="15" customHeight="1">
      <c r="B17" s="155"/>
      <c r="C17" s="115" t="s">
        <v>444</v>
      </c>
      <c r="D17" s="114">
        <v>2</v>
      </c>
      <c r="E17" s="113">
        <v>1.1415525114155251E-3</v>
      </c>
    </row>
    <row r="18" spans="2:5" ht="15" customHeight="1">
      <c r="B18" s="154"/>
      <c r="C18" s="112" t="s">
        <v>15</v>
      </c>
      <c r="D18" s="111">
        <v>9</v>
      </c>
      <c r="E18" s="110">
        <v>5.1369863013698627E-3</v>
      </c>
    </row>
    <row r="19" spans="2:5" ht="15" customHeight="1">
      <c r="B19" s="153" t="s">
        <v>28</v>
      </c>
      <c r="C19" s="115" t="s">
        <v>445</v>
      </c>
      <c r="D19" s="114">
        <v>25</v>
      </c>
      <c r="E19" s="113">
        <v>1.4269406392694063E-2</v>
      </c>
    </row>
    <row r="20" spans="2:5" ht="15" customHeight="1">
      <c r="B20" s="155"/>
      <c r="C20" s="115" t="s">
        <v>444</v>
      </c>
      <c r="D20" s="114">
        <v>10</v>
      </c>
      <c r="E20" s="113">
        <v>5.7077625570776253E-3</v>
      </c>
    </row>
    <row r="21" spans="2:5" ht="15" customHeight="1">
      <c r="B21" s="154"/>
      <c r="C21" s="112" t="s">
        <v>15</v>
      </c>
      <c r="D21" s="111">
        <v>35</v>
      </c>
      <c r="E21" s="110">
        <v>1.9977168949771688E-2</v>
      </c>
    </row>
    <row r="22" spans="2:5" ht="15" customHeight="1">
      <c r="B22" s="153" t="s">
        <v>33</v>
      </c>
      <c r="C22" s="115" t="s">
        <v>445</v>
      </c>
      <c r="D22" s="114">
        <v>34</v>
      </c>
      <c r="E22" s="113">
        <v>1.9406392694063926E-2</v>
      </c>
    </row>
    <row r="23" spans="2:5" ht="15" customHeight="1">
      <c r="B23" s="155"/>
      <c r="C23" s="115" t="s">
        <v>444</v>
      </c>
      <c r="D23" s="114">
        <v>23</v>
      </c>
      <c r="E23" s="113">
        <v>1.3127853881278538E-2</v>
      </c>
    </row>
    <row r="24" spans="2:5" ht="15" customHeight="1">
      <c r="B24" s="154"/>
      <c r="C24" s="112" t="s">
        <v>15</v>
      </c>
      <c r="D24" s="111">
        <v>57</v>
      </c>
      <c r="E24" s="110">
        <v>3.2534246575342464E-2</v>
      </c>
    </row>
    <row r="25" spans="2:5" ht="15" customHeight="1">
      <c r="B25" s="153" t="s">
        <v>25</v>
      </c>
      <c r="C25" s="115" t="s">
        <v>445</v>
      </c>
      <c r="D25" s="114">
        <v>17</v>
      </c>
      <c r="E25" s="113">
        <v>9.7031963470319629E-3</v>
      </c>
    </row>
    <row r="26" spans="2:5" ht="15" customHeight="1">
      <c r="B26" s="155"/>
      <c r="C26" s="115" t="s">
        <v>444</v>
      </c>
      <c r="D26" s="114">
        <v>10</v>
      </c>
      <c r="E26" s="113">
        <v>5.7077625570776253E-3</v>
      </c>
    </row>
    <row r="27" spans="2:5" ht="15" customHeight="1">
      <c r="B27" s="154"/>
      <c r="C27" s="112" t="s">
        <v>15</v>
      </c>
      <c r="D27" s="111">
        <v>27</v>
      </c>
      <c r="E27" s="110">
        <v>1.5410958904109588E-2</v>
      </c>
    </row>
    <row r="28" spans="2:5" ht="15" customHeight="1">
      <c r="B28" s="153" t="s">
        <v>19</v>
      </c>
      <c r="C28" s="115" t="s">
        <v>445</v>
      </c>
      <c r="D28" s="114">
        <v>8</v>
      </c>
      <c r="E28" s="113">
        <v>4.5662100456621002E-3</v>
      </c>
    </row>
    <row r="29" spans="2:5" ht="15" customHeight="1">
      <c r="B29" s="155"/>
      <c r="C29" s="115" t="s">
        <v>444</v>
      </c>
      <c r="D29" s="114">
        <v>5</v>
      </c>
      <c r="E29" s="113">
        <v>2.8538812785388126E-3</v>
      </c>
    </row>
    <row r="30" spans="2:5" ht="15" customHeight="1">
      <c r="B30" s="154"/>
      <c r="C30" s="112" t="s">
        <v>15</v>
      </c>
      <c r="D30" s="111">
        <v>13</v>
      </c>
      <c r="E30" s="110">
        <v>7.4200913242009128E-3</v>
      </c>
    </row>
    <row r="31" spans="2:5" ht="15" customHeight="1">
      <c r="B31" s="153" t="s">
        <v>38</v>
      </c>
      <c r="C31" s="115" t="s">
        <v>445</v>
      </c>
      <c r="D31" s="114">
        <v>60</v>
      </c>
      <c r="E31" s="113">
        <v>3.4246575342465752E-2</v>
      </c>
    </row>
    <row r="32" spans="2:5" ht="15" customHeight="1">
      <c r="B32" s="155"/>
      <c r="C32" s="115" t="s">
        <v>444</v>
      </c>
      <c r="D32" s="114">
        <v>30</v>
      </c>
      <c r="E32" s="113">
        <v>1.7123287671232876E-2</v>
      </c>
    </row>
    <row r="33" spans="2:5" ht="15" customHeight="1">
      <c r="B33" s="154"/>
      <c r="C33" s="112" t="s">
        <v>15</v>
      </c>
      <c r="D33" s="111">
        <v>90</v>
      </c>
      <c r="E33" s="110">
        <v>5.1369863013698627E-2</v>
      </c>
    </row>
    <row r="34" spans="2:5" ht="15" customHeight="1">
      <c r="B34" s="153" t="s">
        <v>37</v>
      </c>
      <c r="C34" s="115" t="s">
        <v>445</v>
      </c>
      <c r="D34" s="114">
        <v>37</v>
      </c>
      <c r="E34" s="113">
        <v>2.1118721461187213E-2</v>
      </c>
    </row>
    <row r="35" spans="2:5" ht="15" customHeight="1">
      <c r="B35" s="155"/>
      <c r="C35" s="115" t="s">
        <v>444</v>
      </c>
      <c r="D35" s="114">
        <v>35</v>
      </c>
      <c r="E35" s="113">
        <v>1.9977168949771688E-2</v>
      </c>
    </row>
    <row r="36" spans="2:5" ht="15" customHeight="1">
      <c r="B36" s="154"/>
      <c r="C36" s="112" t="s">
        <v>15</v>
      </c>
      <c r="D36" s="111">
        <v>72</v>
      </c>
      <c r="E36" s="110">
        <v>4.1095890410958902E-2</v>
      </c>
    </row>
    <row r="37" spans="2:5" ht="15" customHeight="1">
      <c r="B37" s="153" t="s">
        <v>34</v>
      </c>
      <c r="C37" s="115" t="s">
        <v>445</v>
      </c>
      <c r="D37" s="114">
        <v>56</v>
      </c>
      <c r="E37" s="113">
        <v>3.1963470319634701E-2</v>
      </c>
    </row>
    <row r="38" spans="2:5" ht="15" customHeight="1">
      <c r="B38" s="155"/>
      <c r="C38" s="115" t="s">
        <v>444</v>
      </c>
      <c r="D38" s="114">
        <v>18</v>
      </c>
      <c r="E38" s="113">
        <v>1.0273972602739725E-2</v>
      </c>
    </row>
    <row r="39" spans="2:5" ht="15" customHeight="1">
      <c r="B39" s="154"/>
      <c r="C39" s="112" t="s">
        <v>15</v>
      </c>
      <c r="D39" s="111">
        <v>74</v>
      </c>
      <c r="E39" s="110">
        <v>4.2237442922374427E-2</v>
      </c>
    </row>
    <row r="40" spans="2:5" ht="15" customHeight="1">
      <c r="B40" s="153" t="s">
        <v>41</v>
      </c>
      <c r="C40" s="115" t="s">
        <v>445</v>
      </c>
      <c r="D40" s="114">
        <v>67</v>
      </c>
      <c r="E40" s="113">
        <v>3.8242009132420089E-2</v>
      </c>
    </row>
    <row r="41" spans="2:5" ht="15" customHeight="1">
      <c r="B41" s="155"/>
      <c r="C41" s="115" t="s">
        <v>444</v>
      </c>
      <c r="D41" s="114">
        <v>27</v>
      </c>
      <c r="E41" s="113">
        <v>1.5410958904109588E-2</v>
      </c>
    </row>
    <row r="42" spans="2:5" ht="15" customHeight="1">
      <c r="B42" s="154"/>
      <c r="C42" s="112" t="s">
        <v>15</v>
      </c>
      <c r="D42" s="111">
        <v>94</v>
      </c>
      <c r="E42" s="110">
        <v>5.3652968036529677E-2</v>
      </c>
    </row>
    <row r="43" spans="2:5" ht="15" customHeight="1">
      <c r="B43" s="153" t="s">
        <v>40</v>
      </c>
      <c r="C43" s="115" t="s">
        <v>445</v>
      </c>
      <c r="D43" s="114">
        <v>65</v>
      </c>
      <c r="E43" s="113">
        <v>3.7100456621004564E-2</v>
      </c>
    </row>
    <row r="44" spans="2:5" ht="15" customHeight="1">
      <c r="B44" s="155"/>
      <c r="C44" s="115" t="s">
        <v>444</v>
      </c>
      <c r="D44" s="114">
        <v>48</v>
      </c>
      <c r="E44" s="113">
        <v>2.7397260273972601E-2</v>
      </c>
    </row>
    <row r="45" spans="2:5" ht="15" customHeight="1">
      <c r="B45" s="154"/>
      <c r="C45" s="112" t="s">
        <v>15</v>
      </c>
      <c r="D45" s="111">
        <v>113</v>
      </c>
      <c r="E45" s="110">
        <v>6.4497716894977172E-2</v>
      </c>
    </row>
    <row r="46" spans="2:5" ht="15" customHeight="1">
      <c r="B46" s="153" t="s">
        <v>32</v>
      </c>
      <c r="C46" s="115" t="s">
        <v>445</v>
      </c>
      <c r="D46" s="114">
        <v>39</v>
      </c>
      <c r="E46" s="113">
        <v>2.2260273972602738E-2</v>
      </c>
    </row>
    <row r="47" spans="2:5" ht="15" customHeight="1">
      <c r="B47" s="155"/>
      <c r="C47" s="115" t="s">
        <v>444</v>
      </c>
      <c r="D47" s="114">
        <v>32</v>
      </c>
      <c r="E47" s="113">
        <v>1.8264840182648401E-2</v>
      </c>
    </row>
    <row r="48" spans="2:5" ht="15" customHeight="1">
      <c r="B48" s="154"/>
      <c r="C48" s="112" t="s">
        <v>15</v>
      </c>
      <c r="D48" s="111">
        <v>71</v>
      </c>
      <c r="E48" s="110">
        <v>4.0525114155251139E-2</v>
      </c>
    </row>
    <row r="49" spans="2:5" ht="15" customHeight="1">
      <c r="B49" s="153" t="s">
        <v>44</v>
      </c>
      <c r="C49" s="115" t="s">
        <v>445</v>
      </c>
      <c r="D49" s="114">
        <v>116</v>
      </c>
      <c r="E49" s="113">
        <v>6.6210045662100453E-2</v>
      </c>
    </row>
    <row r="50" spans="2:5" ht="15" customHeight="1">
      <c r="B50" s="155"/>
      <c r="C50" s="115" t="s">
        <v>444</v>
      </c>
      <c r="D50" s="114">
        <v>87</v>
      </c>
      <c r="E50" s="113">
        <v>4.965753424657534E-2</v>
      </c>
    </row>
    <row r="51" spans="2:5" ht="15" customHeight="1">
      <c r="B51" s="154"/>
      <c r="C51" s="112" t="s">
        <v>15</v>
      </c>
      <c r="D51" s="111">
        <v>203</v>
      </c>
      <c r="E51" s="110">
        <v>0.1158675799086758</v>
      </c>
    </row>
    <row r="52" spans="2:5" ht="15" customHeight="1">
      <c r="B52" s="153" t="s">
        <v>45</v>
      </c>
      <c r="C52" s="115" t="s">
        <v>445</v>
      </c>
      <c r="D52" s="114">
        <v>155</v>
      </c>
      <c r="E52" s="113">
        <v>8.8470319634703198E-2</v>
      </c>
    </row>
    <row r="53" spans="2:5" ht="15" customHeight="1">
      <c r="B53" s="155"/>
      <c r="C53" s="115" t="s">
        <v>444</v>
      </c>
      <c r="D53" s="114">
        <v>120</v>
      </c>
      <c r="E53" s="113">
        <v>6.8493150684931503E-2</v>
      </c>
    </row>
    <row r="54" spans="2:5" ht="15" customHeight="1">
      <c r="B54" s="154"/>
      <c r="C54" s="112" t="s">
        <v>15</v>
      </c>
      <c r="D54" s="111">
        <v>275</v>
      </c>
      <c r="E54" s="110">
        <v>0.1569634703196347</v>
      </c>
    </row>
    <row r="55" spans="2:5" ht="15" customHeight="1">
      <c r="B55" s="153" t="s">
        <v>29</v>
      </c>
      <c r="C55" s="115" t="s">
        <v>445</v>
      </c>
      <c r="D55" s="114">
        <v>23</v>
      </c>
      <c r="E55" s="113">
        <v>1.3127853881278538E-2</v>
      </c>
    </row>
    <row r="56" spans="2:5" ht="15" customHeight="1">
      <c r="B56" s="155"/>
      <c r="C56" s="115" t="s">
        <v>444</v>
      </c>
      <c r="D56" s="114">
        <v>13</v>
      </c>
      <c r="E56" s="113">
        <v>7.4200913242009128E-3</v>
      </c>
    </row>
    <row r="57" spans="2:5" ht="15" customHeight="1">
      <c r="B57" s="154"/>
      <c r="C57" s="112" t="s">
        <v>15</v>
      </c>
      <c r="D57" s="111">
        <v>36</v>
      </c>
      <c r="E57" s="110">
        <v>2.0547945205479451E-2</v>
      </c>
    </row>
    <row r="58" spans="2:5" ht="15" customHeight="1">
      <c r="B58" s="153" t="s">
        <v>27</v>
      </c>
      <c r="C58" s="115" t="s">
        <v>445</v>
      </c>
      <c r="D58" s="114">
        <v>14</v>
      </c>
      <c r="E58" s="113">
        <v>7.9908675799086754E-3</v>
      </c>
    </row>
    <row r="59" spans="2:5" ht="15" customHeight="1">
      <c r="B59" s="155"/>
      <c r="C59" s="115" t="s">
        <v>444</v>
      </c>
      <c r="D59" s="114">
        <v>19</v>
      </c>
      <c r="E59" s="113">
        <v>1.0844748858447488E-2</v>
      </c>
    </row>
    <row r="60" spans="2:5" ht="15" customHeight="1">
      <c r="B60" s="154"/>
      <c r="C60" s="112" t="s">
        <v>15</v>
      </c>
      <c r="D60" s="111">
        <v>33</v>
      </c>
      <c r="E60" s="110">
        <v>1.8835616438356163E-2</v>
      </c>
    </row>
    <row r="61" spans="2:5" ht="15" customHeight="1">
      <c r="B61" s="153" t="s">
        <v>21</v>
      </c>
      <c r="C61" s="115" t="s">
        <v>445</v>
      </c>
      <c r="D61" s="114">
        <v>6</v>
      </c>
      <c r="E61" s="113">
        <v>3.4246575342465752E-3</v>
      </c>
    </row>
    <row r="62" spans="2:5" ht="15" customHeight="1">
      <c r="B62" s="155"/>
      <c r="C62" s="115" t="s">
        <v>444</v>
      </c>
      <c r="D62" s="114">
        <v>8</v>
      </c>
      <c r="E62" s="113">
        <v>4.5662100456621002E-3</v>
      </c>
    </row>
    <row r="63" spans="2:5" ht="15" customHeight="1">
      <c r="B63" s="154"/>
      <c r="C63" s="112" t="s">
        <v>15</v>
      </c>
      <c r="D63" s="111">
        <v>14</v>
      </c>
      <c r="E63" s="110">
        <v>7.9908675799086754E-3</v>
      </c>
    </row>
    <row r="64" spans="2:5" ht="15" customHeight="1">
      <c r="B64" s="153" t="s">
        <v>43</v>
      </c>
      <c r="C64" s="115" t="s">
        <v>445</v>
      </c>
      <c r="D64" s="114">
        <v>59</v>
      </c>
      <c r="E64" s="113">
        <v>3.3675799086757989E-2</v>
      </c>
    </row>
    <row r="65" spans="2:5" ht="15" customHeight="1">
      <c r="B65" s="155"/>
      <c r="C65" s="115" t="s">
        <v>444</v>
      </c>
      <c r="D65" s="114">
        <v>33</v>
      </c>
      <c r="E65" s="113">
        <v>1.8835616438356163E-2</v>
      </c>
    </row>
    <row r="66" spans="2:5" ht="15" customHeight="1">
      <c r="B66" s="154"/>
      <c r="C66" s="112" t="s">
        <v>15</v>
      </c>
      <c r="D66" s="111">
        <v>92</v>
      </c>
      <c r="E66" s="110">
        <v>5.2511415525114152E-2</v>
      </c>
    </row>
    <row r="67" spans="2:5" ht="15" customHeight="1">
      <c r="B67" s="153" t="s">
        <v>36</v>
      </c>
      <c r="C67" s="115" t="s">
        <v>445</v>
      </c>
      <c r="D67" s="114">
        <v>31</v>
      </c>
      <c r="E67" s="113">
        <v>1.7694063926940638E-2</v>
      </c>
    </row>
    <row r="68" spans="2:5" ht="15" customHeight="1">
      <c r="B68" s="155"/>
      <c r="C68" s="115" t="s">
        <v>444</v>
      </c>
      <c r="D68" s="114">
        <v>18</v>
      </c>
      <c r="E68" s="113">
        <v>1.0273972602739725E-2</v>
      </c>
    </row>
    <row r="69" spans="2:5" ht="15" customHeight="1">
      <c r="B69" s="154"/>
      <c r="C69" s="112" t="s">
        <v>15</v>
      </c>
      <c r="D69" s="111">
        <v>49</v>
      </c>
      <c r="E69" s="110">
        <v>2.7968036529680364E-2</v>
      </c>
    </row>
    <row r="70" spans="2:5" ht="15" customHeight="1">
      <c r="B70" s="153" t="s">
        <v>22</v>
      </c>
      <c r="C70" s="115" t="s">
        <v>445</v>
      </c>
      <c r="D70" s="114">
        <v>12</v>
      </c>
      <c r="E70" s="113">
        <v>6.8493150684931503E-3</v>
      </c>
    </row>
    <row r="71" spans="2:5" ht="15" customHeight="1">
      <c r="B71" s="155"/>
      <c r="C71" s="115" t="s">
        <v>444</v>
      </c>
      <c r="D71" s="114">
        <v>3</v>
      </c>
      <c r="E71" s="113">
        <v>1.7123287671232876E-3</v>
      </c>
    </row>
    <row r="72" spans="2:5" ht="15" customHeight="1">
      <c r="B72" s="154"/>
      <c r="C72" s="112" t="s">
        <v>15</v>
      </c>
      <c r="D72" s="111">
        <v>15</v>
      </c>
      <c r="E72" s="110">
        <v>8.5616438356164379E-3</v>
      </c>
    </row>
    <row r="73" spans="2:5" ht="15" customHeight="1">
      <c r="B73" s="153" t="s">
        <v>35</v>
      </c>
      <c r="C73" s="115" t="s">
        <v>445</v>
      </c>
      <c r="D73" s="114">
        <v>39</v>
      </c>
      <c r="E73" s="113">
        <v>2.2260273972602738E-2</v>
      </c>
    </row>
    <row r="74" spans="2:5" ht="15" customHeight="1">
      <c r="B74" s="155"/>
      <c r="C74" s="115" t="s">
        <v>444</v>
      </c>
      <c r="D74" s="114">
        <v>14</v>
      </c>
      <c r="E74" s="113">
        <v>7.9908675799086754E-3</v>
      </c>
    </row>
    <row r="75" spans="2:5" ht="15" customHeight="1">
      <c r="B75" s="154"/>
      <c r="C75" s="112" t="s">
        <v>15</v>
      </c>
      <c r="D75" s="111">
        <v>53</v>
      </c>
      <c r="E75" s="110">
        <v>3.0251141552511414E-2</v>
      </c>
    </row>
    <row r="76" spans="2:5" ht="15" customHeight="1">
      <c r="B76" s="153" t="s">
        <v>23</v>
      </c>
      <c r="C76" s="115" t="s">
        <v>445</v>
      </c>
      <c r="D76" s="114">
        <v>4</v>
      </c>
      <c r="E76" s="113">
        <v>2.2831050228310501E-3</v>
      </c>
    </row>
    <row r="77" spans="2:5" ht="15" customHeight="1">
      <c r="B77" s="155"/>
      <c r="C77" s="115" t="s">
        <v>444</v>
      </c>
      <c r="D77" s="114">
        <v>4</v>
      </c>
      <c r="E77" s="113">
        <v>2.2831050228310501E-3</v>
      </c>
    </row>
    <row r="78" spans="2:5" ht="15" customHeight="1">
      <c r="B78" s="154"/>
      <c r="C78" s="112" t="s">
        <v>15</v>
      </c>
      <c r="D78" s="111">
        <v>8</v>
      </c>
      <c r="E78" s="110">
        <v>4.5662100456621002E-3</v>
      </c>
    </row>
    <row r="79" spans="2:5" ht="15" customHeight="1">
      <c r="B79" s="153" t="s">
        <v>18</v>
      </c>
      <c r="C79" s="115" t="s">
        <v>445</v>
      </c>
      <c r="D79" s="114">
        <v>2</v>
      </c>
      <c r="E79" s="113">
        <v>1.1415525114155251E-3</v>
      </c>
    </row>
    <row r="80" spans="2:5" ht="15" customHeight="1">
      <c r="B80" s="155"/>
      <c r="C80" s="115" t="s">
        <v>444</v>
      </c>
      <c r="D80" s="114">
        <v>4</v>
      </c>
      <c r="E80" s="113">
        <v>2.2831050228310501E-3</v>
      </c>
    </row>
    <row r="81" spans="2:5" ht="15" customHeight="1">
      <c r="B81" s="154"/>
      <c r="C81" s="112" t="s">
        <v>15</v>
      </c>
      <c r="D81" s="111">
        <v>6</v>
      </c>
      <c r="E81" s="110">
        <v>3.4246575342465752E-3</v>
      </c>
    </row>
    <row r="82" spans="2:5" ht="15" customHeight="1">
      <c r="B82" s="153" t="s">
        <v>20</v>
      </c>
      <c r="C82" s="115" t="s">
        <v>445</v>
      </c>
      <c r="D82" s="114">
        <v>6</v>
      </c>
      <c r="E82" s="113">
        <v>3.4246575342465752E-3</v>
      </c>
    </row>
    <row r="83" spans="2:5" ht="15" customHeight="1">
      <c r="B83" s="155"/>
      <c r="C83" s="115" t="s">
        <v>444</v>
      </c>
      <c r="D83" s="114">
        <v>1</v>
      </c>
      <c r="E83" s="113">
        <v>5.7077625570776253E-4</v>
      </c>
    </row>
    <row r="84" spans="2:5" ht="15" customHeight="1">
      <c r="B84" s="154"/>
      <c r="C84" s="112" t="s">
        <v>15</v>
      </c>
      <c r="D84" s="111">
        <v>7</v>
      </c>
      <c r="E84" s="110">
        <v>3.9954337899543377E-3</v>
      </c>
    </row>
    <row r="85" spans="2:5" ht="15" customHeight="1">
      <c r="B85" s="153" t="s">
        <v>31</v>
      </c>
      <c r="C85" s="115" t="s">
        <v>445</v>
      </c>
      <c r="D85" s="114">
        <v>12</v>
      </c>
      <c r="E85" s="113">
        <v>6.8493150684931503E-3</v>
      </c>
    </row>
    <row r="86" spans="2:5" ht="15" customHeight="1">
      <c r="B86" s="155"/>
      <c r="C86" s="115" t="s">
        <v>444</v>
      </c>
      <c r="D86" s="114">
        <v>8</v>
      </c>
      <c r="E86" s="113">
        <v>4.5662100456621002E-3</v>
      </c>
    </row>
    <row r="87" spans="2:5" ht="15" customHeight="1">
      <c r="B87" s="154"/>
      <c r="C87" s="112" t="s">
        <v>15</v>
      </c>
      <c r="D87" s="111">
        <v>20</v>
      </c>
      <c r="E87" s="110">
        <v>1.1415525114155251E-2</v>
      </c>
    </row>
    <row r="88" spans="2:5" ht="15" customHeight="1">
      <c r="B88" s="153" t="s">
        <v>17</v>
      </c>
      <c r="C88" s="115" t="s">
        <v>445</v>
      </c>
      <c r="D88" s="114">
        <v>4</v>
      </c>
      <c r="E88" s="113">
        <v>2.2831050228310501E-3</v>
      </c>
    </row>
    <row r="89" spans="2:5" ht="15" customHeight="1">
      <c r="B89" s="154"/>
      <c r="C89" s="112" t="s">
        <v>15</v>
      </c>
      <c r="D89" s="111">
        <v>4</v>
      </c>
      <c r="E89" s="110">
        <v>2.2831050228310501E-3</v>
      </c>
    </row>
    <row r="90" spans="2:5" ht="15" customHeight="1">
      <c r="B90" s="153" t="s">
        <v>42</v>
      </c>
      <c r="C90" s="115" t="s">
        <v>445</v>
      </c>
      <c r="D90" s="114">
        <v>90</v>
      </c>
      <c r="E90" s="113">
        <v>5.1369863013698627E-2</v>
      </c>
    </row>
    <row r="91" spans="2:5" ht="15" customHeight="1">
      <c r="B91" s="155"/>
      <c r="C91" s="115" t="s">
        <v>444</v>
      </c>
      <c r="D91" s="114">
        <v>39</v>
      </c>
      <c r="E91" s="113">
        <v>2.2260273972602738E-2</v>
      </c>
    </row>
    <row r="92" spans="2:5" ht="15" customHeight="1">
      <c r="B92" s="154"/>
      <c r="C92" s="112" t="s">
        <v>15</v>
      </c>
      <c r="D92" s="111">
        <v>129</v>
      </c>
      <c r="E92" s="110">
        <v>7.3630136986301373E-2</v>
      </c>
    </row>
    <row r="93" spans="2:5" ht="15" customHeight="1">
      <c r="B93" s="153" t="s">
        <v>16</v>
      </c>
      <c r="C93" s="115" t="s">
        <v>445</v>
      </c>
      <c r="D93" s="114">
        <v>1</v>
      </c>
      <c r="E93" s="113">
        <v>5.7077625570776253E-4</v>
      </c>
    </row>
    <row r="94" spans="2:5" ht="15" customHeight="1">
      <c r="B94" s="154"/>
      <c r="C94" s="112" t="s">
        <v>15</v>
      </c>
      <c r="D94" s="111">
        <v>1</v>
      </c>
      <c r="E94" s="110">
        <v>5.7077625570776253E-4</v>
      </c>
    </row>
    <row r="95" spans="2:5" ht="15" customHeight="1">
      <c r="B95" s="153" t="s">
        <v>39</v>
      </c>
      <c r="C95" s="115" t="s">
        <v>445</v>
      </c>
      <c r="D95" s="114">
        <v>63</v>
      </c>
      <c r="E95" s="113">
        <v>3.5958904109589039E-2</v>
      </c>
    </row>
    <row r="96" spans="2:5" ht="15" customHeight="1">
      <c r="B96" s="155"/>
      <c r="C96" s="115" t="s">
        <v>444</v>
      </c>
      <c r="D96" s="114">
        <v>52</v>
      </c>
      <c r="E96" s="113">
        <v>2.9680365296803651E-2</v>
      </c>
    </row>
    <row r="97" spans="2:5" ht="15" customHeight="1">
      <c r="B97" s="154"/>
      <c r="C97" s="112" t="s">
        <v>15</v>
      </c>
      <c r="D97" s="111">
        <v>115</v>
      </c>
      <c r="E97" s="110">
        <v>6.5639269406392697E-2</v>
      </c>
    </row>
    <row r="98" spans="2:5" ht="15" customHeight="1">
      <c r="B98" s="156" t="s">
        <v>15</v>
      </c>
      <c r="C98" s="157"/>
      <c r="D98" s="109">
        <f>SUMIF(C10:C97,"TOTAL",D10:D97)</f>
        <v>1752</v>
      </c>
      <c r="E98" s="108">
        <v>1</v>
      </c>
    </row>
    <row r="99" spans="2:5" ht="15" customHeight="1">
      <c r="B99" s="107"/>
      <c r="C99" s="107"/>
      <c r="D99" s="107"/>
      <c r="E99" s="107"/>
    </row>
    <row r="100" spans="2:5" ht="15" customHeight="1">
      <c r="B100" s="117" t="s">
        <v>477</v>
      </c>
      <c r="C100" s="116"/>
      <c r="D100" s="116"/>
    </row>
    <row r="101" spans="2:5" ht="15" customHeight="1">
      <c r="B101" s="119" t="s">
        <v>14</v>
      </c>
      <c r="C101" s="116"/>
      <c r="D101" s="116"/>
    </row>
    <row r="102" spans="2:5" ht="15" customHeight="1">
      <c r="B102" s="118" t="s">
        <v>13</v>
      </c>
      <c r="C102" s="116"/>
      <c r="D102" s="116"/>
    </row>
    <row r="103" spans="2:5" ht="15" customHeight="1">
      <c r="B103" s="117" t="s">
        <v>12</v>
      </c>
      <c r="C103" s="116"/>
      <c r="D103" s="116"/>
    </row>
    <row r="104" spans="2:5" ht="15" customHeight="1">
      <c r="B104" s="117" t="s">
        <v>478</v>
      </c>
      <c r="C104" s="116"/>
      <c r="D104" s="116"/>
    </row>
    <row r="377" spans="2:2" s="35" customFormat="1" ht="15" customHeight="1">
      <c r="B377" s="48"/>
    </row>
    <row r="378" spans="2:2" s="35" customFormat="1" ht="15" customHeight="1">
      <c r="B378" s="49"/>
    </row>
    <row r="379" spans="2:2" s="35" customFormat="1" ht="15" customHeight="1">
      <c r="B379" s="49"/>
    </row>
    <row r="380" spans="2:2" s="35" customFormat="1" ht="15" customHeight="1">
      <c r="B380" s="48"/>
    </row>
    <row r="381" spans="2:2" s="35" customFormat="1" ht="15" customHeight="1">
      <c r="B381" s="48"/>
    </row>
  </sheetData>
  <mergeCells count="32">
    <mergeCell ref="B40:B42"/>
    <mergeCell ref="B43:B45"/>
    <mergeCell ref="B46:B48"/>
    <mergeCell ref="B7:E8"/>
    <mergeCell ref="B25:B27"/>
    <mergeCell ref="B28:B30"/>
    <mergeCell ref="B31:B33"/>
    <mergeCell ref="B34:B36"/>
    <mergeCell ref="B37:B39"/>
    <mergeCell ref="B58:B60"/>
    <mergeCell ref="B61:B63"/>
    <mergeCell ref="B64:B66"/>
    <mergeCell ref="B95:B97"/>
    <mergeCell ref="B67:B69"/>
    <mergeCell ref="B70:B72"/>
    <mergeCell ref="B73:B75"/>
    <mergeCell ref="B98:C98"/>
    <mergeCell ref="B10:B12"/>
    <mergeCell ref="B13:B15"/>
    <mergeCell ref="B16:B18"/>
    <mergeCell ref="B19:B21"/>
    <mergeCell ref="B22:B24"/>
    <mergeCell ref="B76:B78"/>
    <mergeCell ref="B79:B81"/>
    <mergeCell ref="B82:B84"/>
    <mergeCell ref="B85:B87"/>
    <mergeCell ref="B88:B89"/>
    <mergeCell ref="B90:B92"/>
    <mergeCell ref="B93:B94"/>
    <mergeCell ref="B49:B51"/>
    <mergeCell ref="B52:B54"/>
    <mergeCell ref="B55:B5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E461"/>
  <sheetViews>
    <sheetView topLeftCell="A9" zoomScaleNormal="100" zoomScaleSheetLayoutView="100" workbookViewId="0">
      <selection activeCell="C9" sqref="C9"/>
    </sheetView>
  </sheetViews>
  <sheetFormatPr baseColWidth="10" defaultColWidth="35" defaultRowHeight="15" customHeight="1"/>
  <cols>
    <col min="1" max="1" width="1" style="34" customWidth="1"/>
    <col min="2" max="2" width="22.85546875" style="35" customWidth="1"/>
    <col min="3" max="3" width="31.42578125" style="35" customWidth="1"/>
    <col min="4" max="4" width="14.28515625" style="35" customWidth="1"/>
    <col min="5" max="5" width="16.85546875" style="35" customWidth="1"/>
    <col min="6" max="16384" width="35" style="34"/>
  </cols>
  <sheetData>
    <row r="1" spans="1:5" s="43" customFormat="1" ht="12" customHeight="1">
      <c r="B1" s="47"/>
      <c r="C1" s="46"/>
      <c r="D1" s="46"/>
      <c r="E1" s="46"/>
    </row>
    <row r="2" spans="1:5" s="43" customFormat="1" ht="15" customHeight="1">
      <c r="C2" s="45"/>
    </row>
    <row r="3" spans="1:5" s="43" customFormat="1" ht="15" customHeight="1">
      <c r="C3" s="45"/>
    </row>
    <row r="4" spans="1:5" s="43" customFormat="1" ht="30" customHeight="1">
      <c r="C4" s="45"/>
      <c r="D4" s="44"/>
    </row>
    <row r="5" spans="1:5" s="43" customFormat="1" ht="15" customHeight="1">
      <c r="C5" s="45"/>
      <c r="D5" s="44"/>
    </row>
    <row r="6" spans="1:5" s="40" customFormat="1" ht="24" customHeight="1">
      <c r="B6" s="42"/>
      <c r="C6" s="36"/>
      <c r="D6" s="36"/>
      <c r="E6" s="36"/>
    </row>
    <row r="7" spans="1:5" s="40" customFormat="1" ht="26.25" customHeight="1">
      <c r="A7" s="41"/>
      <c r="B7" s="158"/>
      <c r="C7" s="158"/>
      <c r="D7" s="158"/>
      <c r="E7" s="158"/>
    </row>
    <row r="8" spans="1:5" s="40" customFormat="1" ht="33" customHeight="1">
      <c r="A8" s="41"/>
      <c r="B8" s="158"/>
      <c r="C8" s="158"/>
      <c r="D8" s="158"/>
      <c r="E8" s="158"/>
    </row>
    <row r="9" spans="1:5" s="27" customFormat="1" ht="40.5" customHeight="1">
      <c r="B9" s="37" t="s">
        <v>443</v>
      </c>
      <c r="C9" s="39" t="s">
        <v>454</v>
      </c>
      <c r="D9" s="38" t="s">
        <v>47</v>
      </c>
      <c r="E9" s="37" t="s">
        <v>46</v>
      </c>
    </row>
    <row r="10" spans="1:5" ht="15" customHeight="1">
      <c r="B10" s="153" t="s">
        <v>445</v>
      </c>
      <c r="C10" s="125" t="s">
        <v>453</v>
      </c>
      <c r="D10" s="124">
        <v>2</v>
      </c>
      <c r="E10" s="123">
        <v>1.1415525114155251E-3</v>
      </c>
    </row>
    <row r="11" spans="1:5" ht="15" customHeight="1">
      <c r="B11" s="155"/>
      <c r="C11" s="125" t="s">
        <v>452</v>
      </c>
      <c r="D11" s="124">
        <v>13</v>
      </c>
      <c r="E11" s="123">
        <v>7.4200913242009128E-3</v>
      </c>
    </row>
    <row r="12" spans="1:5" ht="15" customHeight="1">
      <c r="B12" s="155"/>
      <c r="C12" s="125" t="s">
        <v>451</v>
      </c>
      <c r="D12" s="124">
        <v>195</v>
      </c>
      <c r="E12" s="123">
        <v>0.1113013698630137</v>
      </c>
    </row>
    <row r="13" spans="1:5" ht="15" customHeight="1">
      <c r="B13" s="155"/>
      <c r="C13" s="125" t="s">
        <v>450</v>
      </c>
      <c r="D13" s="124">
        <v>395</v>
      </c>
      <c r="E13" s="123">
        <v>0.2254566210045662</v>
      </c>
    </row>
    <row r="14" spans="1:5" ht="15" customHeight="1">
      <c r="B14" s="155"/>
      <c r="C14" s="125" t="s">
        <v>449</v>
      </c>
      <c r="D14" s="124">
        <v>342</v>
      </c>
      <c r="E14" s="123">
        <v>0.1952054794520548</v>
      </c>
    </row>
    <row r="15" spans="1:5" ht="15" customHeight="1">
      <c r="B15" s="155"/>
      <c r="C15" s="125" t="s">
        <v>448</v>
      </c>
      <c r="D15" s="124">
        <v>115</v>
      </c>
      <c r="E15" s="123">
        <v>6.5639269406392697E-2</v>
      </c>
    </row>
    <row r="16" spans="1:5" ht="15" customHeight="1">
      <c r="B16" s="155"/>
      <c r="C16" s="125" t="s">
        <v>447</v>
      </c>
      <c r="D16" s="124">
        <v>11</v>
      </c>
      <c r="E16" s="123">
        <v>6.2785388127853878E-3</v>
      </c>
    </row>
    <row r="17" spans="2:5" ht="15" customHeight="1">
      <c r="B17" s="154"/>
      <c r="C17" s="125" t="s">
        <v>446</v>
      </c>
      <c r="D17" s="124">
        <v>1</v>
      </c>
      <c r="E17" s="123">
        <v>5.7077625570776253E-4</v>
      </c>
    </row>
    <row r="18" spans="2:5" ht="15" customHeight="1">
      <c r="B18" s="153" t="s">
        <v>444</v>
      </c>
      <c r="C18" s="125" t="s">
        <v>453</v>
      </c>
      <c r="D18" s="124">
        <v>8</v>
      </c>
      <c r="E18" s="123">
        <v>4.5662100456621002E-3</v>
      </c>
    </row>
    <row r="19" spans="2:5" ht="15" customHeight="1">
      <c r="B19" s="155"/>
      <c r="C19" s="125" t="s">
        <v>452</v>
      </c>
      <c r="D19" s="124">
        <v>11</v>
      </c>
      <c r="E19" s="123">
        <v>6.2785388127853878E-3</v>
      </c>
    </row>
    <row r="20" spans="2:5" ht="15" customHeight="1">
      <c r="B20" s="155"/>
      <c r="C20" s="125" t="s">
        <v>451</v>
      </c>
      <c r="D20" s="124">
        <v>78</v>
      </c>
      <c r="E20" s="123">
        <v>4.4520547945205477E-2</v>
      </c>
    </row>
    <row r="21" spans="2:5" ht="15" customHeight="1">
      <c r="B21" s="155"/>
      <c r="C21" s="125" t="s">
        <v>450</v>
      </c>
      <c r="D21" s="124">
        <v>228</v>
      </c>
      <c r="E21" s="123">
        <v>0.13013698630136986</v>
      </c>
    </row>
    <row r="22" spans="2:5" ht="15" customHeight="1">
      <c r="B22" s="155"/>
      <c r="C22" s="125" t="s">
        <v>449</v>
      </c>
      <c r="D22" s="124">
        <v>254</v>
      </c>
      <c r="E22" s="123">
        <v>0.1449771689497717</v>
      </c>
    </row>
    <row r="23" spans="2:5" ht="15" customHeight="1">
      <c r="B23" s="155"/>
      <c r="C23" s="125" t="s">
        <v>448</v>
      </c>
      <c r="D23" s="124">
        <v>96</v>
      </c>
      <c r="E23" s="123">
        <v>5.4794520547945202E-2</v>
      </c>
    </row>
    <row r="24" spans="2:5" ht="15" customHeight="1">
      <c r="B24" s="154"/>
      <c r="C24" s="125" t="s">
        <v>447</v>
      </c>
      <c r="D24" s="124">
        <v>3</v>
      </c>
      <c r="E24" s="123">
        <v>1.7123287671232876E-3</v>
      </c>
    </row>
    <row r="25" spans="2:5" ht="15" customHeight="1">
      <c r="B25" s="156" t="s">
        <v>15</v>
      </c>
      <c r="C25" s="157"/>
      <c r="D25" s="122">
        <v>1752</v>
      </c>
      <c r="E25" s="121">
        <v>1</v>
      </c>
    </row>
    <row r="26" spans="2:5" ht="15" customHeight="1">
      <c r="B26" s="120"/>
      <c r="C26" s="120"/>
      <c r="D26" s="120"/>
      <c r="E26" s="120"/>
    </row>
    <row r="27" spans="2:5" ht="15" customHeight="1">
      <c r="B27" s="129" t="s">
        <v>477</v>
      </c>
      <c r="C27" s="126"/>
      <c r="D27" s="126"/>
    </row>
    <row r="28" spans="2:5" ht="15" customHeight="1">
      <c r="B28" s="131" t="s">
        <v>14</v>
      </c>
      <c r="C28" s="126"/>
      <c r="D28" s="126"/>
    </row>
    <row r="29" spans="2:5" ht="15" customHeight="1">
      <c r="B29" s="130" t="s">
        <v>13</v>
      </c>
      <c r="C29" s="126"/>
      <c r="D29" s="126"/>
    </row>
    <row r="30" spans="2:5" ht="15" customHeight="1">
      <c r="B30" s="129" t="s">
        <v>12</v>
      </c>
      <c r="C30" s="126"/>
      <c r="D30" s="126"/>
    </row>
    <row r="31" spans="2:5" ht="15" customHeight="1">
      <c r="B31" s="129" t="s">
        <v>478</v>
      </c>
      <c r="C31" s="126"/>
      <c r="D31" s="126"/>
    </row>
    <row r="457" spans="2:2" s="35" customFormat="1" ht="15" customHeight="1">
      <c r="B457" s="48"/>
    </row>
    <row r="458" spans="2:2" s="35" customFormat="1" ht="15" customHeight="1">
      <c r="B458" s="49"/>
    </row>
    <row r="459" spans="2:2" s="35" customFormat="1" ht="15" customHeight="1">
      <c r="B459" s="49"/>
    </row>
    <row r="460" spans="2:2" s="35" customFormat="1" ht="15" customHeight="1">
      <c r="B460" s="48"/>
    </row>
    <row r="461" spans="2:2" s="35" customFormat="1" ht="15" customHeight="1">
      <c r="B461" s="48"/>
    </row>
  </sheetData>
  <mergeCells count="4">
    <mergeCell ref="B18:B24"/>
    <mergeCell ref="B25:C25"/>
    <mergeCell ref="B7:E8"/>
    <mergeCell ref="B10:B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6"/>
  <sheetViews>
    <sheetView showGridLines="0" zoomScaleNormal="100" zoomScaleSheetLayoutView="115" workbookViewId="0">
      <selection activeCell="E16" sqref="E16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27" customFormat="1" ht="15" customHeight="1">
      <c r="C1" s="33"/>
    </row>
    <row r="2" spans="1:5" s="27" customFormat="1" ht="15" customHeight="1">
      <c r="C2" s="33"/>
    </row>
    <row r="3" spans="1:5" s="27" customFormat="1" ht="15" customHeight="1">
      <c r="C3" s="33"/>
    </row>
    <row r="4" spans="1:5" s="27" customFormat="1" ht="30" customHeight="1">
      <c r="C4" s="33"/>
      <c r="D4" s="32"/>
    </row>
    <row r="5" spans="1:5" s="27" customFormat="1" ht="15" customHeight="1">
      <c r="C5" s="33"/>
      <c r="D5" s="32"/>
    </row>
    <row r="6" spans="1:5" s="27" customFormat="1" ht="15" customHeight="1">
      <c r="C6" s="33"/>
      <c r="D6" s="32"/>
    </row>
    <row r="7" spans="1:5" s="27" customFormat="1" ht="15" customHeight="1">
      <c r="B7" s="152" t="s">
        <v>629</v>
      </c>
      <c r="C7" s="152"/>
      <c r="D7" s="152"/>
    </row>
    <row r="8" spans="1:5" s="27" customFormat="1" ht="15" customHeight="1">
      <c r="B8" s="152"/>
      <c r="C8" s="152"/>
      <c r="D8" s="152"/>
    </row>
    <row r="9" spans="1:5" s="27" customFormat="1" ht="33" customHeight="1">
      <c r="B9" s="152"/>
      <c r="C9" s="152"/>
      <c r="D9" s="152"/>
    </row>
    <row r="10" spans="1:5" s="27" customFormat="1" ht="4.5" customHeight="1">
      <c r="B10" s="31"/>
      <c r="C10" s="31"/>
      <c r="D10" s="31"/>
    </row>
    <row r="11" spans="1:5" s="27" customFormat="1" ht="33" customHeight="1">
      <c r="B11" s="30" t="s">
        <v>471</v>
      </c>
      <c r="C11" s="29" t="s">
        <v>47</v>
      </c>
      <c r="D11" s="28" t="s">
        <v>46</v>
      </c>
    </row>
    <row r="12" spans="1:5">
      <c r="A12" s="127"/>
      <c r="B12" s="137" t="s">
        <v>470</v>
      </c>
      <c r="C12" s="136">
        <v>978</v>
      </c>
      <c r="D12" s="135">
        <v>0.55821917808219179</v>
      </c>
      <c r="E12" s="127"/>
    </row>
    <row r="13" spans="1:5">
      <c r="A13" s="127"/>
      <c r="B13" s="137" t="s">
        <v>469</v>
      </c>
      <c r="C13" s="136">
        <v>408</v>
      </c>
      <c r="D13" s="135">
        <v>0.23287671232876711</v>
      </c>
      <c r="E13" s="127"/>
    </row>
    <row r="14" spans="1:5">
      <c r="A14" s="138"/>
      <c r="B14" s="137" t="s">
        <v>468</v>
      </c>
      <c r="C14" s="136">
        <v>91</v>
      </c>
      <c r="D14" s="135">
        <v>5.194063926940639E-2</v>
      </c>
      <c r="E14" s="138"/>
    </row>
    <row r="15" spans="1:5">
      <c r="A15" s="138"/>
      <c r="B15" s="137" t="s">
        <v>466</v>
      </c>
      <c r="C15" s="136">
        <v>74</v>
      </c>
      <c r="D15" s="135">
        <v>4.2237442922374427E-2</v>
      </c>
      <c r="E15" s="138"/>
    </row>
    <row r="16" spans="1:5">
      <c r="A16" s="127"/>
      <c r="B16" s="137" t="s">
        <v>467</v>
      </c>
      <c r="C16" s="136">
        <v>64</v>
      </c>
      <c r="D16" s="135">
        <v>3.6529680365296802E-2</v>
      </c>
      <c r="E16" s="127"/>
    </row>
    <row r="17" spans="1:5">
      <c r="A17" s="127"/>
      <c r="B17" s="137" t="s">
        <v>465</v>
      </c>
      <c r="C17" s="136">
        <v>63</v>
      </c>
      <c r="D17" s="135">
        <v>3.5958904109589039E-2</v>
      </c>
      <c r="E17" s="127"/>
    </row>
    <row r="18" spans="1:5">
      <c r="A18" s="127"/>
      <c r="B18" s="137" t="s">
        <v>463</v>
      </c>
      <c r="C18" s="136">
        <v>14</v>
      </c>
      <c r="D18" s="135">
        <v>7.9908675799086754E-3</v>
      </c>
      <c r="E18" s="127"/>
    </row>
    <row r="19" spans="1:5">
      <c r="A19" s="127"/>
      <c r="B19" s="137" t="s">
        <v>464</v>
      </c>
      <c r="C19" s="136">
        <v>14</v>
      </c>
      <c r="D19" s="135">
        <v>7.9908675799086754E-3</v>
      </c>
      <c r="E19" s="127"/>
    </row>
    <row r="20" spans="1:5">
      <c r="A20" s="127"/>
      <c r="B20" s="137" t="s">
        <v>462</v>
      </c>
      <c r="C20" s="136">
        <v>13</v>
      </c>
      <c r="D20" s="135">
        <v>7.4200913242009128E-3</v>
      </c>
      <c r="E20" s="127"/>
    </row>
    <row r="21" spans="1:5">
      <c r="A21" s="127"/>
      <c r="B21" s="137" t="s">
        <v>461</v>
      </c>
      <c r="C21" s="136">
        <v>9</v>
      </c>
      <c r="D21" s="135">
        <v>5.1369863013698627E-3</v>
      </c>
      <c r="E21" s="127"/>
    </row>
    <row r="22" spans="1:5">
      <c r="A22" s="127"/>
      <c r="B22" s="137" t="s">
        <v>457</v>
      </c>
      <c r="C22" s="136">
        <v>6</v>
      </c>
      <c r="D22" s="135">
        <v>3.4246575342465752E-3</v>
      </c>
      <c r="E22" s="127"/>
    </row>
    <row r="23" spans="1:5">
      <c r="A23" s="127"/>
      <c r="B23" s="137" t="s">
        <v>459</v>
      </c>
      <c r="C23" s="136">
        <v>6</v>
      </c>
      <c r="D23" s="135">
        <v>3.4246575342465752E-3</v>
      </c>
      <c r="E23" s="127"/>
    </row>
    <row r="24" spans="1:5">
      <c r="A24" s="127"/>
      <c r="B24" s="137" t="s">
        <v>458</v>
      </c>
      <c r="C24" s="136">
        <v>3</v>
      </c>
      <c r="D24" s="135">
        <v>1.7123287671232876E-3</v>
      </c>
      <c r="E24" s="127"/>
    </row>
    <row r="25" spans="1:5">
      <c r="A25" s="127"/>
      <c r="B25" s="137" t="s">
        <v>460</v>
      </c>
      <c r="C25" s="136">
        <v>3</v>
      </c>
      <c r="D25" s="135">
        <v>1.7123287671232876E-3</v>
      </c>
      <c r="E25" s="127"/>
    </row>
    <row r="26" spans="1:5">
      <c r="A26" s="127"/>
      <c r="B26" s="137" t="s">
        <v>627</v>
      </c>
      <c r="C26" s="136">
        <v>2</v>
      </c>
      <c r="D26" s="135">
        <v>1.1415525114155251E-3</v>
      </c>
      <c r="E26" s="127"/>
    </row>
    <row r="27" spans="1:5">
      <c r="A27" s="127"/>
      <c r="B27" s="137" t="s">
        <v>628</v>
      </c>
      <c r="C27" s="136">
        <v>2</v>
      </c>
      <c r="D27" s="135">
        <v>1.1415525114155251E-3</v>
      </c>
      <c r="E27" s="127"/>
    </row>
    <row r="28" spans="1:5">
      <c r="A28" s="127"/>
      <c r="B28" s="137" t="s">
        <v>456</v>
      </c>
      <c r="C28" s="136">
        <v>1</v>
      </c>
      <c r="D28" s="135">
        <v>5.7077625570776253E-4</v>
      </c>
      <c r="E28" s="127"/>
    </row>
    <row r="29" spans="1:5">
      <c r="A29" s="127"/>
      <c r="B29" s="137" t="s">
        <v>455</v>
      </c>
      <c r="C29" s="136">
        <v>1</v>
      </c>
      <c r="D29" s="135">
        <v>5.7077625570776253E-4</v>
      </c>
      <c r="E29" s="127"/>
    </row>
    <row r="30" spans="1:5">
      <c r="A30" s="127"/>
      <c r="B30" s="134" t="s">
        <v>15</v>
      </c>
      <c r="C30" s="133">
        <v>1752</v>
      </c>
      <c r="D30" s="132">
        <v>1</v>
      </c>
      <c r="E30" s="127"/>
    </row>
    <row r="31" spans="1:5">
      <c r="A31" s="127"/>
      <c r="B31" s="127"/>
      <c r="C31" s="128"/>
      <c r="D31" s="127"/>
      <c r="E31" s="127"/>
    </row>
    <row r="32" spans="1:5">
      <c r="B32" s="140" t="s">
        <v>477</v>
      </c>
      <c r="C32" s="139"/>
      <c r="D32" s="139"/>
    </row>
    <row r="33" spans="2:4">
      <c r="B33" s="142" t="s">
        <v>14</v>
      </c>
      <c r="C33" s="139"/>
      <c r="D33" s="139"/>
    </row>
    <row r="34" spans="2:4">
      <c r="B34" s="141" t="s">
        <v>13</v>
      </c>
      <c r="C34" s="139"/>
      <c r="D34" s="139"/>
    </row>
    <row r="35" spans="2:4">
      <c r="B35" s="140" t="s">
        <v>12</v>
      </c>
      <c r="C35" s="139"/>
      <c r="D35" s="139"/>
    </row>
    <row r="36" spans="2:4">
      <c r="B36" s="140" t="s">
        <v>478</v>
      </c>
      <c r="C36" s="139"/>
      <c r="D36" s="13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5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Iowa_Edomexgral</vt:lpstr>
      <vt:lpstr>Iowa_EDOMEX</vt:lpstr>
      <vt:lpstr>Iowa_Educagral</vt:lpstr>
      <vt:lpstr>Iowa_Eduedo</vt:lpstr>
      <vt:lpstr>Iowa_gengral</vt:lpstr>
      <vt:lpstr>Iowa_edomexgen</vt:lpstr>
      <vt:lpstr>Iowa_edadgen</vt:lpstr>
      <vt:lpstr>Iowa_ocupgral</vt:lpstr>
      <vt:lpstr>Iowa_edadgen!Área_de_impresión</vt:lpstr>
      <vt:lpstr>Iowa_EDOMEX!Área_de_impresión</vt:lpstr>
      <vt:lpstr>Iowa_edomexgen!Área_de_impresión</vt:lpstr>
      <vt:lpstr>Iowa_Eduedo!Área_de_impresión</vt:lpstr>
      <vt:lpstr>Iowa_edadgen!Títulos_a_imprimir</vt:lpstr>
      <vt:lpstr>Iowa_EDOMEX!Títulos_a_imprimir</vt:lpstr>
      <vt:lpstr>Iowa_edomexgen!Títulos_a_imprimir</vt:lpstr>
      <vt:lpstr>Iowa_Edomexgral!Títulos_a_imprimir</vt:lpstr>
      <vt:lpstr>Iowa_Educagral!Títulos_a_imprimir</vt:lpstr>
      <vt:lpstr>Iowa_Eduedo!Títulos_a_imprimir</vt:lpstr>
      <vt:lpstr>Iowa_gengral!Títulos_a_imprimir</vt:lpstr>
      <vt:lpstr>Iowa_ocupgral!Títulos_a_imprimir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2020-06-19T20:47:35Z</dcterms:created>
  <dcterms:modified xsi:type="dcterms:W3CDTF">2023-09-14T17:52:27Z</dcterms:modified>
</cp:coreProperties>
</file>