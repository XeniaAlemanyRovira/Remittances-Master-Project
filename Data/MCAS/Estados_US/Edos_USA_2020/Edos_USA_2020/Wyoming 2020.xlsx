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686" firstSheet="7" activeTab="8"/>
  </bookViews>
  <sheets>
    <sheet name="Índice" sheetId="1" r:id="rId1"/>
    <sheet name="Wyoming_Edomexgral" sheetId="2" r:id="rId2"/>
    <sheet name="Wyoming_EDOMEX" sheetId="11" r:id="rId3"/>
    <sheet name="Wyoming_Educagral" sheetId="4" r:id="rId4"/>
    <sheet name="Wyoming_Eduedo" sheetId="10" r:id="rId5"/>
    <sheet name="Wyoming_gengral" sheetId="6" r:id="rId6"/>
    <sheet name="Wyoming_edomexgen" sheetId="7" r:id="rId7"/>
    <sheet name="Wyoming_edadgen" sheetId="8" r:id="rId8"/>
    <sheet name="Wyoming_ocupgral" sheetId="9" r:id="rId9"/>
  </sheets>
  <definedNames>
    <definedName name="_xlnm._FilterDatabase" localSheetId="7" hidden="1">Wyoming_edadgen!$B$9:$E$9</definedName>
    <definedName name="_xlnm._FilterDatabase" localSheetId="2" hidden="1">Wyoming_EDOMEX!$B$9:$E$9</definedName>
    <definedName name="_xlnm._FilterDatabase" localSheetId="6" hidden="1">Wyoming_edomexgen!$B$9:$E$9</definedName>
    <definedName name="_xlnm._FilterDatabase" localSheetId="1" hidden="1">Wyoming_Edomexgral!$B$11:$D$11</definedName>
    <definedName name="_xlnm._FilterDatabase" localSheetId="3" hidden="1">Wyoming_Educagral!$B$11:$D$11</definedName>
    <definedName name="_xlnm._FilterDatabase" localSheetId="4" hidden="1">Wyoming_Eduedo!$B$9:$E$9</definedName>
    <definedName name="_xlnm._FilterDatabase" localSheetId="5" hidden="1">Wyoming_gengral!$B$11:$D$11</definedName>
    <definedName name="_xlnm._FilterDatabase" localSheetId="8" hidden="1">Wyoming_ocupgral!$B$11:$D$11</definedName>
    <definedName name="_xlnm.Print_Area" localSheetId="0">Índice!$A$1:$D$21</definedName>
    <definedName name="_xlnm.Print_Area" localSheetId="7">Wyoming_edadgen!$A$1:$E$9</definedName>
    <definedName name="_xlnm.Print_Area" localSheetId="2">Wyoming_EDOMEX!$A$1:$E$9</definedName>
    <definedName name="_xlnm.Print_Area" localSheetId="6">Wyoming_edomexgen!$A$1:$E$9</definedName>
    <definedName name="_xlnm.Print_Area" localSheetId="4">Wyoming_Eduedo!$A$1:$E$9</definedName>
    <definedName name="_xlnm.Print_Titles" localSheetId="7">Wyoming_edadgen!$1:$9</definedName>
    <definedName name="_xlnm.Print_Titles" localSheetId="2">Wyoming_EDOMEX!$1:$9</definedName>
    <definedName name="_xlnm.Print_Titles" localSheetId="6">Wyoming_edomexgen!$1:$9</definedName>
    <definedName name="_xlnm.Print_Titles" localSheetId="1">Wyoming_Edomexgral!$1:$11</definedName>
    <definedName name="_xlnm.Print_Titles" localSheetId="3">Wyoming_Educagral!$1:$11</definedName>
    <definedName name="_xlnm.Print_Titles" localSheetId="4">Wyoming_Eduedo!$1:$9</definedName>
    <definedName name="_xlnm.Print_Titles" localSheetId="5">Wyoming_gengral!$1:$11</definedName>
    <definedName name="_xlnm.Print_Titles" localSheetId="8">Wyoming_ocupgral!$1:$11</definedName>
  </definedNames>
  <calcPr calcId="152511"/>
</workbook>
</file>

<file path=xl/calcChain.xml><?xml version="1.0" encoding="utf-8"?>
<calcChain xmlns="http://schemas.openxmlformats.org/spreadsheetml/2006/main">
  <c r="D94" i="7" l="1"/>
  <c r="D248" i="11" l="1"/>
</calcChain>
</file>

<file path=xl/sharedStrings.xml><?xml version="1.0" encoding="utf-8"?>
<sst xmlns="http://schemas.openxmlformats.org/spreadsheetml/2006/main" count="749" uniqueCount="303">
  <si>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</si>
  <si>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</si>
  <si>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</si>
  <si>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</si>
  <si>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</si>
  <si>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</si>
  <si>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</si>
  <si>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</si>
  <si>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</si>
  <si>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</si>
  <si>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</si>
  <si>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</si>
  <si>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</si>
  <si>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</si>
  <si>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</si>
  <si>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</si>
  <si>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Tabasco</t>
  </si>
  <si>
    <t>Nuevo León</t>
  </si>
  <si>
    <t>Morelos</t>
  </si>
  <si>
    <t>Tamaulipas</t>
  </si>
  <si>
    <t>Querétaro</t>
  </si>
  <si>
    <t>Colima</t>
  </si>
  <si>
    <t>Baja California</t>
  </si>
  <si>
    <t>Coahuila</t>
  </si>
  <si>
    <t>Hidalgo</t>
  </si>
  <si>
    <t>Aguascalientes</t>
  </si>
  <si>
    <t>Nayarit</t>
  </si>
  <si>
    <t>Chiapas</t>
  </si>
  <si>
    <t>Veracruz</t>
  </si>
  <si>
    <t>Guanajuato</t>
  </si>
  <si>
    <t>Sonora</t>
  </si>
  <si>
    <t>Estado de México</t>
  </si>
  <si>
    <t>San Luis Potosí</t>
  </si>
  <si>
    <t>Sinaloa</t>
  </si>
  <si>
    <t>Guerrero</t>
  </si>
  <si>
    <t>Oaxaca</t>
  </si>
  <si>
    <t>Durango</t>
  </si>
  <si>
    <t>Puebla</t>
  </si>
  <si>
    <t>Zacatecas</t>
  </si>
  <si>
    <t>Ciudad de México</t>
  </si>
  <si>
    <t>Michoacán</t>
  </si>
  <si>
    <t>Jalisco</t>
  </si>
  <si>
    <t>Tlaxcala</t>
  </si>
  <si>
    <t>Chihuahua</t>
  </si>
  <si>
    <t>Porcentaje de Matrículas</t>
  </si>
  <si>
    <t>Número de Matrículas</t>
  </si>
  <si>
    <t>Estado de Origen</t>
  </si>
  <si>
    <t>Villa González Ortega</t>
  </si>
  <si>
    <t>Villa de Cos</t>
  </si>
  <si>
    <t>Valparaíso</t>
  </si>
  <si>
    <t>Tlaltenango de Sánchez Román</t>
  </si>
  <si>
    <t>Guadalupe</t>
  </si>
  <si>
    <t>General Francisco R. Murguía</t>
  </si>
  <si>
    <t>Fresnillo</t>
  </si>
  <si>
    <t>Benito Juárez</t>
  </si>
  <si>
    <t>Xaltocan</t>
  </si>
  <si>
    <t>Tlaxco</t>
  </si>
  <si>
    <t>Muñoz de Domingo Arenas</t>
  </si>
  <si>
    <t>Hueyotlipan</t>
  </si>
  <si>
    <t>Cuaxomulco</t>
  </si>
  <si>
    <t>Chiautempan</t>
  </si>
  <si>
    <t>Calpulalpan</t>
  </si>
  <si>
    <t>Apizaco</t>
  </si>
  <si>
    <t>Matamoros</t>
  </si>
  <si>
    <t>Huimanguillo</t>
  </si>
  <si>
    <t>Sahuaripa</t>
  </si>
  <si>
    <t>Hermosillo</t>
  </si>
  <si>
    <t>Guaymas</t>
  </si>
  <si>
    <t>Culiacán</t>
  </si>
  <si>
    <t>Choix</t>
  </si>
  <si>
    <t>Ahome</t>
  </si>
  <si>
    <t>Santa María del Río</t>
  </si>
  <si>
    <t>Charcas</t>
  </si>
  <si>
    <t>San Juan del Río</t>
  </si>
  <si>
    <t>Pinal de Amoles</t>
  </si>
  <si>
    <t>Amealco de Bonfil</t>
  </si>
  <si>
    <t>Tlapacoya</t>
  </si>
  <si>
    <t>Tepexi de Rodríguez</t>
  </si>
  <si>
    <t>Tepeaca</t>
  </si>
  <si>
    <t>Esperanza</t>
  </si>
  <si>
    <t>San Juan Lachao</t>
  </si>
  <si>
    <t>Monterrey</t>
  </si>
  <si>
    <t>Santa María del Oro</t>
  </si>
  <si>
    <t>Compostela</t>
  </si>
  <si>
    <t>Ahuacatlán</t>
  </si>
  <si>
    <t>Zinapécuaro</t>
  </si>
  <si>
    <t>Zamora</t>
  </si>
  <si>
    <t>Zacapu</t>
  </si>
  <si>
    <t>Queréndaro</t>
  </si>
  <si>
    <t>Morelia</t>
  </si>
  <si>
    <t>La Piedad</t>
  </si>
  <si>
    <t>Aguililla</t>
  </si>
  <si>
    <t>Unión de Tula</t>
  </si>
  <si>
    <t>Tomatlán</t>
  </si>
  <si>
    <t>San Pedro Tlaquepaque</t>
  </si>
  <si>
    <t>Tamazula de Gordiano</t>
  </si>
  <si>
    <t>Tala</t>
  </si>
  <si>
    <t>San Julián</t>
  </si>
  <si>
    <t>San Juan de los Lagos</t>
  </si>
  <si>
    <t>Lagos de Moreno</t>
  </si>
  <si>
    <t>Guadalajara</t>
  </si>
  <si>
    <t>Cocula</t>
  </si>
  <si>
    <t>Ayutla</t>
  </si>
  <si>
    <t>Autlán de Navarro</t>
  </si>
  <si>
    <t>Arandas</t>
  </si>
  <si>
    <t>Huichapan</t>
  </si>
  <si>
    <t>Juan R. Escudero</t>
  </si>
  <si>
    <t>Acapulco de Juárez</t>
  </si>
  <si>
    <t>Yuriria</t>
  </si>
  <si>
    <t>Santa Cruz de Juventino Rosas</t>
  </si>
  <si>
    <t>Salamanca</t>
  </si>
  <si>
    <t>Doctor Mora</t>
  </si>
  <si>
    <t>Abasolo</t>
  </si>
  <si>
    <t>Toluca</t>
  </si>
  <si>
    <t>Tlalnepantla de Baz</t>
  </si>
  <si>
    <t>Nezahualcóyotl</t>
  </si>
  <si>
    <t>Ecatepec de Morelos</t>
  </si>
  <si>
    <t>San Bernardo</t>
  </si>
  <si>
    <t>Nombre de Dios</t>
  </si>
  <si>
    <t>Coneto de Comonfort</t>
  </si>
  <si>
    <t>Miguel Hidalgo</t>
  </si>
  <si>
    <t>Iztapalapa</t>
  </si>
  <si>
    <t>Iztacalco</t>
  </si>
  <si>
    <t>Gustavo A. Madero</t>
  </si>
  <si>
    <t>Cuauhtémoc</t>
  </si>
  <si>
    <t>Coyoacán</t>
  </si>
  <si>
    <t>Azcapotzalco</t>
  </si>
  <si>
    <t>Viesca</t>
  </si>
  <si>
    <t>Torreón</t>
  </si>
  <si>
    <t>Monclova</t>
  </si>
  <si>
    <t>Rosario</t>
  </si>
  <si>
    <t>Nuevo Casas Grandes</t>
  </si>
  <si>
    <t>Namiquipa</t>
  </si>
  <si>
    <t>Madera</t>
  </si>
  <si>
    <t>Juárez</t>
  </si>
  <si>
    <t>Ignacio Zaragoza</t>
  </si>
  <si>
    <t>Hidalgo del Parral</t>
  </si>
  <si>
    <t>Gómez Farías</t>
  </si>
  <si>
    <t>Delicias</t>
  </si>
  <si>
    <t>Camargo</t>
  </si>
  <si>
    <t>Aldama</t>
  </si>
  <si>
    <t>Tijuana</t>
  </si>
  <si>
    <t>Jesús María</t>
  </si>
  <si>
    <t>Municipio Origen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</si>
  <si>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</si>
  <si>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</si>
  <si>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</si>
  <si>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</si>
  <si>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</si>
  <si>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</si>
  <si>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</si>
  <si>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</si>
  <si>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</si>
  <si>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</si>
  <si>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</si>
  <si>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</si>
  <si>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</si>
  <si>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</si>
  <si>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</si>
  <si>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</si>
  <si>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Sin Estudios</t>
  </si>
  <si>
    <t>Nivel de Estudios</t>
  </si>
  <si>
    <t>MATRÍCULAS CONSULARES EXPEDIDAS EN EL ESTADO DE WYOMING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</si>
  <si>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</si>
  <si>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</si>
  <si>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</si>
  <si>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</si>
  <si>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</si>
  <si>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</si>
  <si>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</si>
  <si>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</si>
  <si>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</si>
  <si>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</si>
  <si>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</si>
  <si>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</si>
  <si>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</si>
  <si>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Mesero(a)</t>
  </si>
  <si>
    <t>Pintor(a)</t>
  </si>
  <si>
    <t>Jardinero(a)</t>
  </si>
  <si>
    <t>Albañil</t>
  </si>
  <si>
    <t>Otro</t>
  </si>
  <si>
    <t>Campesino(a)</t>
  </si>
  <si>
    <t>Cocinero(a)</t>
  </si>
  <si>
    <t>Obrero(a)</t>
  </si>
  <si>
    <t>Estudiante</t>
  </si>
  <si>
    <t>Hogar</t>
  </si>
  <si>
    <t>Empleado(a)</t>
  </si>
  <si>
    <t>Ocupación</t>
  </si>
  <si>
    <t>Chofer</t>
  </si>
  <si>
    <t>Comerciante</t>
  </si>
  <si>
    <t>MATRÍCULAS CONSULARES DE ALTA SEGURIDAD EXPEDIDAS EN EE.UU A MEXICANOS EN EL ESTADO DE  WYOMING, POR PERFIL OCUPACIONAL 2020</t>
  </si>
  <si>
    <t>Tamaño de la muestra: 497,795</t>
  </si>
  <si>
    <t>Octubre de 2021</t>
  </si>
  <si>
    <t>Matrículas consulares expedidas a mexicanos  en el estado de Wyoming en el 2020</t>
  </si>
  <si>
    <t>MATRÍCULAS CONSULARES DE ALTA SEGURIDAD EXPEDIDAS EN EL ESTADO DE WYOMING EN EE.UU. POR ESTADO DE LA REPÚBLICA MEXICANA DURANTE EL 2020</t>
  </si>
  <si>
    <t>Baja California Sur</t>
  </si>
  <si>
    <t>Yucatán</t>
  </si>
  <si>
    <t>Asientos</t>
  </si>
  <si>
    <t>Pabellón de Arteaga</t>
  </si>
  <si>
    <t>Rincón de Romos</t>
  </si>
  <si>
    <t>Ensenada</t>
  </si>
  <si>
    <t>Comondú</t>
  </si>
  <si>
    <t>Amatenango de la Frontera</t>
  </si>
  <si>
    <t>Arriaga</t>
  </si>
  <si>
    <t>Motozintla</t>
  </si>
  <si>
    <t>Bachíniva</t>
  </si>
  <si>
    <t>Bocoyna</t>
  </si>
  <si>
    <t>Gran Morelos</t>
  </si>
  <si>
    <t>Guerero</t>
  </si>
  <si>
    <t>Meoqui</t>
  </si>
  <si>
    <t>Ojinaga</t>
  </si>
  <si>
    <t>Praxedis G. Guerero</t>
  </si>
  <si>
    <t>Santa Isabel</t>
  </si>
  <si>
    <t>Progreso</t>
  </si>
  <si>
    <t>Armería</t>
  </si>
  <si>
    <t>Manzanillo</t>
  </si>
  <si>
    <t>Tecomán</t>
  </si>
  <si>
    <t>Cuajimalpa de Morelos</t>
  </si>
  <si>
    <t>La Magdalena Contreras</t>
  </si>
  <si>
    <t>Tlalpan</t>
  </si>
  <si>
    <t>Gómez Palacio</t>
  </si>
  <si>
    <t>Nazas</t>
  </si>
  <si>
    <t>Vicente Guerero</t>
  </si>
  <si>
    <t>Coacalco de Berriozábal</t>
  </si>
  <si>
    <t>El Oro</t>
  </si>
  <si>
    <t>San Felipe del Progreso</t>
  </si>
  <si>
    <t>GUANAJUATO</t>
  </si>
  <si>
    <t>Cuerámaro</t>
  </si>
  <si>
    <t>Dolores Hidalgo Cuna de la Independencia Nacional</t>
  </si>
  <si>
    <t>Irapuato</t>
  </si>
  <si>
    <t>León</t>
  </si>
  <si>
    <t>Pénjamo</t>
  </si>
  <si>
    <t>San Felipe</t>
  </si>
  <si>
    <t>Tarandacuao</t>
  </si>
  <si>
    <t>General Heliodoro Castillo</t>
  </si>
  <si>
    <t>Zihuatanejo de Azueta</t>
  </si>
  <si>
    <t>Acatlán</t>
  </si>
  <si>
    <t>Francisco I. Madero</t>
  </si>
  <si>
    <t>Huehuetla</t>
  </si>
  <si>
    <t>Huejutla de Reyes</t>
  </si>
  <si>
    <t>Ixmiquilpan</t>
  </si>
  <si>
    <t>Pachuca de Soto</t>
  </si>
  <si>
    <t>Pacula</t>
  </si>
  <si>
    <t>Progreso de Obregón</t>
  </si>
  <si>
    <t>Casimiro Castillo</t>
  </si>
  <si>
    <t>Colotlán</t>
  </si>
  <si>
    <t>Cuautla</t>
  </si>
  <si>
    <t>Jalostotitlán</t>
  </si>
  <si>
    <t>Juchitlán</t>
  </si>
  <si>
    <t>Tapalpa</t>
  </si>
  <si>
    <t>Tizapán el Alto</t>
  </si>
  <si>
    <t>Zapopan</t>
  </si>
  <si>
    <t>Ixtlán</t>
  </si>
  <si>
    <t>Pátzcuaro</t>
  </si>
  <si>
    <t>Santa Ana Maya</t>
  </si>
  <si>
    <t>Tancítaro</t>
  </si>
  <si>
    <t>Tuzantla</t>
  </si>
  <si>
    <t>Puente de Ixtla</t>
  </si>
  <si>
    <t>Tepic</t>
  </si>
  <si>
    <t>San Nicolás de los Garza</t>
  </si>
  <si>
    <t>Heroica Ciudad de Ejutla de Crespo</t>
  </si>
  <si>
    <t>Pinotepa de Don Luis</t>
  </si>
  <si>
    <t>San Juan Bautista Atatlahuca</t>
  </si>
  <si>
    <t>San Juan Lalana</t>
  </si>
  <si>
    <t>San Martín Peras</t>
  </si>
  <si>
    <t>Santos Reyes Nopala</t>
  </si>
  <si>
    <t>Chiautzingo</t>
  </si>
  <si>
    <t>Cuautempan</t>
  </si>
  <si>
    <t>Huaquechula</t>
  </si>
  <si>
    <t>Jopala</t>
  </si>
  <si>
    <t>Naupan</t>
  </si>
  <si>
    <t>San Pablo Anicano</t>
  </si>
  <si>
    <t>Tehuacán</t>
  </si>
  <si>
    <t>Tlacotepec de Benito Juárez</t>
  </si>
  <si>
    <t>Yehualtepec</t>
  </si>
  <si>
    <t>Rioverde</t>
  </si>
  <si>
    <t>San Martín Chalchicuautla</t>
  </si>
  <si>
    <t>Santo Domingo</t>
  </si>
  <si>
    <t>Badiraguato</t>
  </si>
  <si>
    <t>Mazatlán</t>
  </si>
  <si>
    <t>Mocorito</t>
  </si>
  <si>
    <t>Bacerac</t>
  </si>
  <si>
    <t>Cajeme</t>
  </si>
  <si>
    <t>Jalapa</t>
  </si>
  <si>
    <t>Ciudad Madero</t>
  </si>
  <si>
    <t>Xicoténcatl</t>
  </si>
  <si>
    <t>Acuamanala de Miguel Hidalgo</t>
  </si>
  <si>
    <t>Santa Cruz Tlaxcala</t>
  </si>
  <si>
    <t>Xaloztoc</t>
  </si>
  <si>
    <t>Jáltipan</t>
  </si>
  <si>
    <t>Jesús Carranza</t>
  </si>
  <si>
    <t>Orizaba</t>
  </si>
  <si>
    <t>Tihuatlán</t>
  </si>
  <si>
    <t>Tlaquilpa</t>
  </si>
  <si>
    <t>Buctzotz</t>
  </si>
  <si>
    <t>Genaro Codina</t>
  </si>
  <si>
    <t>Monte Escobedo</t>
  </si>
  <si>
    <t>Ojocaliente</t>
  </si>
  <si>
    <t>2° Año de profesional</t>
  </si>
  <si>
    <t>3° Año de profesional</t>
  </si>
  <si>
    <t>Capacitación técnica</t>
  </si>
  <si>
    <t>Profesional titulado</t>
  </si>
  <si>
    <t>MATRÍCULAS CONSULARES DE ALTA SEGURIDAD EXPEDIDAS EN EE.UU A MEXICANOS EN EL ESTADO DE WYOMING, POR GÉNERO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</si>
</sst>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21" fillId="0" borderId="0"/>
  </cellStyleXfs>
  <cellXfs count="78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12" fillId="3" borderId="0" xfId="0" applyNumberFormat="1" applyFont="1" applyFill="1"/>
    <xf numFmtId="49" fontId="19" fillId="3" borderId="9" xfId="3" applyNumberFormat="1" applyFont="1" applyFill="1" applyBorder="1" applyAlignment="1">
      <alignment horizontal="center" vertical="center" wrapText="1"/>
    </xf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9" fillId="5" borderId="13" xfId="0" applyNumberFormat="1" applyFont="1" applyFill="1" applyBorder="1" applyAlignment="1">
      <alignment horizontal="center" vertical="center" wrapText="1"/>
    </xf>
    <xf numFmtId="49" fontId="9" fillId="5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276171</xdr:colOff>
      <xdr:row>2</xdr:row>
      <xdr:rowOff>19379</xdr:rowOff>
    </xdr:from>
    <xdr:to>
      <xdr:col>3</xdr:col>
      <xdr:colOff>788268</xdr:colOff>
      <xdr:row>3</xdr:row>
      <xdr:rowOff>19380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2562171" y="400379"/>
          <a:ext cx="483522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571500</xdr:colOff>
      <xdr:row>8</xdr:row>
      <xdr:rowOff>200025</xdr:rowOff>
    </xdr:from>
    <xdr:to>
      <xdr:col>3</xdr:col>
      <xdr:colOff>1083597</xdr:colOff>
      <xdr:row>8</xdr:row>
      <xdr:rowOff>390526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9525" y="19145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WYOMING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190500</xdr:rowOff>
    </xdr:from>
    <xdr:to>
      <xdr:col>4</xdr:col>
      <xdr:colOff>1044466</xdr:colOff>
      <xdr:row>7</xdr:row>
      <xdr:rowOff>369795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31276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619125</xdr:colOff>
      <xdr:row>8</xdr:row>
      <xdr:rowOff>171450</xdr:rowOff>
    </xdr:from>
    <xdr:to>
      <xdr:col>3</xdr:col>
      <xdr:colOff>1131222</xdr:colOff>
      <xdr:row>8</xdr:row>
      <xdr:rowOff>361951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57700" y="18859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WYOMING, POR NIVEL DE EDUCACIÓN Y ESTADO DE LA REPÚBLICA, DURANTE EL 2019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164224</xdr:rowOff>
    </xdr:from>
    <xdr:to>
      <xdr:col>4</xdr:col>
      <xdr:colOff>1031045</xdr:colOff>
      <xdr:row>7</xdr:row>
      <xdr:rowOff>354725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9050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8</xdr:row>
      <xdr:rowOff>142875</xdr:rowOff>
    </xdr:from>
    <xdr:to>
      <xdr:col>4</xdr:col>
      <xdr:colOff>493047</xdr:colOff>
      <xdr:row>8</xdr:row>
      <xdr:rowOff>333376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8573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WYOMING,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151086</xdr:rowOff>
    </xdr:from>
    <xdr:to>
      <xdr:col>4</xdr:col>
      <xdr:colOff>991631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WYOMING,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446689</xdr:colOff>
      <xdr:row>7</xdr:row>
      <xdr:rowOff>105103</xdr:rowOff>
    </xdr:from>
    <xdr:to>
      <xdr:col>4</xdr:col>
      <xdr:colOff>958786</xdr:colOff>
      <xdr:row>7</xdr:row>
      <xdr:rowOff>295604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84379" y="184587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view="pageBreakPreview" zoomScaleNormal="100" zoomScaleSheetLayoutView="100" workbookViewId="0">
      <selection activeCell="A20" sqref="A20:D20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5" t="s">
        <v>193</v>
      </c>
      <c r="B1" s="66"/>
      <c r="C1" s="66"/>
      <c r="D1" s="67"/>
    </row>
    <row r="2" spans="1:4" ht="18.75">
      <c r="A2" s="16"/>
      <c r="B2" s="15"/>
      <c r="C2" s="15"/>
      <c r="D2" s="14"/>
    </row>
    <row r="3" spans="1:4">
      <c r="A3" s="68" t="s">
        <v>11</v>
      </c>
      <c r="B3" s="69"/>
      <c r="C3" s="69"/>
      <c r="D3" s="70"/>
    </row>
    <row r="4" spans="1:4">
      <c r="A4" s="68"/>
      <c r="B4" s="69"/>
      <c r="C4" s="69"/>
      <c r="D4" s="70"/>
    </row>
    <row r="5" spans="1:4" ht="18.75">
      <c r="A5" s="13"/>
      <c r="B5" s="12"/>
      <c r="C5" s="12"/>
      <c r="D5" s="11"/>
    </row>
    <row r="6" spans="1:4" ht="18.75">
      <c r="A6" s="64" t="s">
        <v>10</v>
      </c>
      <c r="B6" s="62"/>
      <c r="C6" s="62"/>
      <c r="D6" s="63"/>
    </row>
    <row r="7" spans="1:4" ht="18.75">
      <c r="A7" s="10"/>
      <c r="B7" s="9"/>
      <c r="C7" s="9"/>
      <c r="D7" s="8"/>
    </row>
    <row r="8" spans="1:4" ht="18.75">
      <c r="A8" s="7" t="s">
        <v>9</v>
      </c>
      <c r="B8" s="6"/>
      <c r="C8" s="6"/>
      <c r="D8" s="5"/>
    </row>
    <row r="9" spans="1:4" ht="18.75">
      <c r="A9" s="7"/>
      <c r="B9" s="62" t="s">
        <v>8</v>
      </c>
      <c r="C9" s="62"/>
      <c r="D9" s="63"/>
    </row>
    <row r="10" spans="1:4" ht="18.75">
      <c r="A10" s="7" t="s">
        <v>7</v>
      </c>
      <c r="B10" s="6"/>
      <c r="C10" s="6"/>
      <c r="D10" s="5"/>
    </row>
    <row r="11" spans="1:4" ht="18.75">
      <c r="A11" s="7"/>
      <c r="B11" s="62" t="s">
        <v>6</v>
      </c>
      <c r="C11" s="62"/>
      <c r="D11" s="63"/>
    </row>
    <row r="12" spans="1:4" ht="18.75">
      <c r="A12" s="7"/>
      <c r="B12" s="62" t="s">
        <v>5</v>
      </c>
      <c r="C12" s="62"/>
      <c r="D12" s="63"/>
    </row>
    <row r="13" spans="1:4" ht="18.75">
      <c r="A13" s="7"/>
      <c r="B13" s="6"/>
      <c r="C13" s="6"/>
      <c r="D13" s="5"/>
    </row>
    <row r="14" spans="1:4" ht="18.75">
      <c r="A14" s="7" t="s">
        <v>4</v>
      </c>
      <c r="B14" s="6"/>
      <c r="C14" s="6"/>
      <c r="D14" s="5"/>
    </row>
    <row r="15" spans="1:4" ht="18.75">
      <c r="A15" s="7"/>
      <c r="B15" s="62" t="s">
        <v>3</v>
      </c>
      <c r="C15" s="62"/>
      <c r="D15" s="63"/>
    </row>
    <row r="16" spans="1:4" ht="18.75">
      <c r="A16" s="7"/>
      <c r="B16" s="62" t="s">
        <v>2</v>
      </c>
      <c r="C16" s="62"/>
      <c r="D16" s="63"/>
    </row>
    <row r="17" spans="1:4" ht="18.75">
      <c r="A17" s="7"/>
      <c r="B17" s="6"/>
      <c r="C17" s="6"/>
      <c r="D17" s="5"/>
    </row>
    <row r="18" spans="1:4" ht="18.75">
      <c r="A18" s="64" t="s">
        <v>1</v>
      </c>
      <c r="B18" s="62"/>
      <c r="C18" s="62"/>
      <c r="D18" s="63"/>
    </row>
    <row r="19" spans="1:4" ht="18.75">
      <c r="A19" s="7"/>
      <c r="B19" s="6"/>
      <c r="C19" s="6"/>
      <c r="D19" s="5"/>
    </row>
    <row r="20" spans="1:4" ht="18.75">
      <c r="A20" s="64" t="s">
        <v>0</v>
      </c>
      <c r="B20" s="62"/>
      <c r="C20" s="62"/>
      <c r="D20" s="63"/>
    </row>
    <row r="21" spans="1:4" ht="19.5" thickBot="1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Wyoming_Edomexgral!A1" display="1. Por Estados de la República Mexicana"/>
    <hyperlink ref="B9" location="'New Jersey_EDOMEX'!A1" display="2.1 Por estado de la República Mexicana y municipio de origen"/>
    <hyperlink ref="B11:D11" location="Wyoming_Educagral!A1" display="3.1 Educación general"/>
    <hyperlink ref="B12:D12" location="Wyoming_Eduedo!A1" display="3.2 Por Estado de la República Mexicana"/>
    <hyperlink ref="B15:D15" location="Wyoming_gengral!A1" display="4.1 Género General"/>
    <hyperlink ref="B16:D16" location="Wyoming_gengral!A1" display="4.2 Por Estados de la República Mexicana"/>
    <hyperlink ref="A18:D18" location="Wyoming_edadgen!A1" display="5. Por estructura de Edad"/>
    <hyperlink ref="A20:D20" location="Wyoming_ocupgral!A1" display="6. Por Ocupación"/>
    <hyperlink ref="B9:D9" location="Wyoming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8"/>
  <sheetViews>
    <sheetView showGridLines="0" topLeftCell="A17" zoomScaleNormal="100" zoomScaleSheetLayoutView="115" workbookViewId="0">
      <selection activeCell="C48" sqref="C4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194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46</v>
      </c>
      <c r="C11" s="31" t="s">
        <v>45</v>
      </c>
      <c r="D11" s="30" t="s">
        <v>44</v>
      </c>
    </row>
    <row r="12" spans="1:5">
      <c r="B12" s="27" t="s">
        <v>43</v>
      </c>
      <c r="C12" s="26">
        <v>92</v>
      </c>
      <c r="D12" s="25">
        <v>0.19206680584551147</v>
      </c>
    </row>
    <row r="13" spans="1:5">
      <c r="B13" s="27" t="s">
        <v>42</v>
      </c>
      <c r="C13" s="26">
        <v>66</v>
      </c>
      <c r="D13" s="25">
        <v>0.13778705636743216</v>
      </c>
    </row>
    <row r="14" spans="1:5">
      <c r="A14" s="28"/>
      <c r="B14" s="27" t="s">
        <v>41</v>
      </c>
      <c r="C14" s="26">
        <v>38</v>
      </c>
      <c r="D14" s="25">
        <v>7.9331941544885182E-2</v>
      </c>
      <c r="E14" s="28"/>
    </row>
    <row r="15" spans="1:5">
      <c r="A15" s="28"/>
      <c r="B15" s="27" t="s">
        <v>39</v>
      </c>
      <c r="C15" s="26">
        <v>32</v>
      </c>
      <c r="D15" s="25">
        <v>6.6805845511482248E-2</v>
      </c>
      <c r="E15" s="28"/>
    </row>
    <row r="16" spans="1:5">
      <c r="B16" s="27" t="s">
        <v>40</v>
      </c>
      <c r="C16" s="26">
        <v>30</v>
      </c>
      <c r="D16" s="25">
        <v>6.2630480167014613E-2</v>
      </c>
    </row>
    <row r="17" spans="2:4">
      <c r="B17" s="27" t="s">
        <v>37</v>
      </c>
      <c r="C17" s="26">
        <v>29</v>
      </c>
      <c r="D17" s="25">
        <v>6.0542797494780795E-2</v>
      </c>
    </row>
    <row r="18" spans="2:4">
      <c r="B18" s="27" t="s">
        <v>25</v>
      </c>
      <c r="C18" s="26">
        <v>22</v>
      </c>
      <c r="D18" s="25">
        <v>4.5929018789144051E-2</v>
      </c>
    </row>
    <row r="19" spans="2:4">
      <c r="B19" s="27" t="s">
        <v>36</v>
      </c>
      <c r="C19" s="26">
        <v>17</v>
      </c>
      <c r="D19" s="25">
        <v>3.5490605427974949E-2</v>
      </c>
    </row>
    <row r="20" spans="2:4">
      <c r="B20" s="27" t="s">
        <v>29</v>
      </c>
      <c r="C20" s="26">
        <v>17</v>
      </c>
      <c r="D20" s="25">
        <v>3.5490605427974949E-2</v>
      </c>
    </row>
    <row r="21" spans="2:4">
      <c r="B21" s="27" t="s">
        <v>33</v>
      </c>
      <c r="C21" s="26">
        <v>16</v>
      </c>
      <c r="D21" s="25">
        <v>3.3402922755741124E-2</v>
      </c>
    </row>
    <row r="22" spans="2:4">
      <c r="B22" s="27" t="s">
        <v>38</v>
      </c>
      <c r="C22" s="26">
        <v>15</v>
      </c>
      <c r="D22" s="25">
        <v>3.1315240083507306E-2</v>
      </c>
    </row>
    <row r="23" spans="2:4">
      <c r="B23" s="27" t="s">
        <v>23</v>
      </c>
      <c r="C23" s="26">
        <v>12</v>
      </c>
      <c r="D23" s="25">
        <v>2.5052192066805846E-2</v>
      </c>
    </row>
    <row r="24" spans="2:4">
      <c r="B24" s="27" t="s">
        <v>31</v>
      </c>
      <c r="C24" s="26">
        <v>12</v>
      </c>
      <c r="D24" s="25">
        <v>2.5052192066805846E-2</v>
      </c>
    </row>
    <row r="25" spans="2:4">
      <c r="B25" s="27" t="s">
        <v>24</v>
      </c>
      <c r="C25" s="26">
        <v>10</v>
      </c>
      <c r="D25" s="25">
        <v>2.0876826722338204E-2</v>
      </c>
    </row>
    <row r="26" spans="2:4">
      <c r="B26" s="27" t="s">
        <v>21</v>
      </c>
      <c r="C26" s="26">
        <v>9</v>
      </c>
      <c r="D26" s="25">
        <v>1.8789144050104383E-2</v>
      </c>
    </row>
    <row r="27" spans="2:4">
      <c r="B27" s="27" t="s">
        <v>30</v>
      </c>
      <c r="C27" s="26">
        <v>9</v>
      </c>
      <c r="D27" s="25">
        <v>1.8789144050104383E-2</v>
      </c>
    </row>
    <row r="28" spans="2:4">
      <c r="B28" s="27" t="s">
        <v>32</v>
      </c>
      <c r="C28" s="26">
        <v>8</v>
      </c>
      <c r="D28" s="25">
        <v>1.6701461377870562E-2</v>
      </c>
    </row>
    <row r="29" spans="2:4">
      <c r="B29" s="27" t="s">
        <v>26</v>
      </c>
      <c r="C29" s="26">
        <v>7</v>
      </c>
      <c r="D29" s="25">
        <v>1.4613778705636743E-2</v>
      </c>
    </row>
    <row r="30" spans="2:4">
      <c r="B30" s="27" t="s">
        <v>35</v>
      </c>
      <c r="C30" s="26">
        <v>7</v>
      </c>
      <c r="D30" s="25">
        <v>1.4613778705636743E-2</v>
      </c>
    </row>
    <row r="31" spans="2:4">
      <c r="B31" s="27" t="s">
        <v>28</v>
      </c>
      <c r="C31" s="26">
        <v>6</v>
      </c>
      <c r="D31" s="25">
        <v>1.2526096033402923E-2</v>
      </c>
    </row>
    <row r="32" spans="2:4">
      <c r="B32" s="27" t="s">
        <v>34</v>
      </c>
      <c r="C32" s="26">
        <v>5</v>
      </c>
      <c r="D32" s="25">
        <v>1.0438413361169102E-2</v>
      </c>
    </row>
    <row r="33" spans="2:4">
      <c r="B33" s="27" t="s">
        <v>17</v>
      </c>
      <c r="C33" s="26">
        <v>4</v>
      </c>
      <c r="D33" s="25">
        <v>8.350730688935281E-3</v>
      </c>
    </row>
    <row r="34" spans="2:4">
      <c r="B34" s="27" t="s">
        <v>27</v>
      </c>
      <c r="C34" s="26">
        <v>3</v>
      </c>
      <c r="D34" s="25">
        <v>6.2630480167014616E-3</v>
      </c>
    </row>
    <row r="35" spans="2:4">
      <c r="B35" s="27" t="s">
        <v>20</v>
      </c>
      <c r="C35" s="26">
        <v>3</v>
      </c>
      <c r="D35" s="25">
        <v>6.2630480167014616E-3</v>
      </c>
    </row>
    <row r="36" spans="2:4">
      <c r="B36" s="27" t="s">
        <v>19</v>
      </c>
      <c r="C36" s="26">
        <v>3</v>
      </c>
      <c r="D36" s="25">
        <v>6.2630480167014616E-3</v>
      </c>
    </row>
    <row r="37" spans="2:4">
      <c r="B37" s="27" t="s">
        <v>22</v>
      </c>
      <c r="C37" s="26">
        <v>2</v>
      </c>
      <c r="D37" s="25">
        <v>4.1753653444676405E-3</v>
      </c>
    </row>
    <row r="38" spans="2:4">
      <c r="B38" s="27" t="s">
        <v>16</v>
      </c>
      <c r="C38" s="26">
        <v>2</v>
      </c>
      <c r="D38" s="25">
        <v>4.1753653444676405E-3</v>
      </c>
    </row>
    <row r="39" spans="2:4">
      <c r="B39" s="27" t="s">
        <v>195</v>
      </c>
      <c r="C39" s="26">
        <v>1</v>
      </c>
      <c r="D39" s="25">
        <v>2.0876826722338203E-3</v>
      </c>
    </row>
    <row r="40" spans="2:4">
      <c r="B40" s="27" t="s">
        <v>18</v>
      </c>
      <c r="C40" s="26">
        <v>1</v>
      </c>
      <c r="D40" s="25">
        <v>2.0876826722338203E-3</v>
      </c>
    </row>
    <row r="41" spans="2:4">
      <c r="B41" s="27" t="s">
        <v>196</v>
      </c>
      <c r="C41" s="26">
        <v>1</v>
      </c>
      <c r="D41" s="25">
        <v>2.0876826722338203E-3</v>
      </c>
    </row>
    <row r="42" spans="2:4">
      <c r="B42" s="24" t="s">
        <v>15</v>
      </c>
      <c r="C42" s="23">
        <v>479</v>
      </c>
      <c r="D42" s="22">
        <v>1</v>
      </c>
    </row>
    <row r="44" spans="2:4">
      <c r="B44" s="19" t="s">
        <v>191</v>
      </c>
      <c r="C44"/>
      <c r="D44"/>
    </row>
    <row r="45" spans="2:4">
      <c r="B45" s="21" t="s">
        <v>14</v>
      </c>
      <c r="C45"/>
      <c r="D45"/>
    </row>
    <row r="46" spans="2:4">
      <c r="B46" s="20" t="s">
        <v>13</v>
      </c>
      <c r="C46"/>
      <c r="D46"/>
    </row>
    <row r="47" spans="2:4">
      <c r="B47" s="19" t="s">
        <v>12</v>
      </c>
      <c r="C47"/>
      <c r="D47"/>
    </row>
    <row r="48" spans="2:4">
      <c r="B48" s="19" t="s">
        <v>192</v>
      </c>
      <c r="C48"/>
      <c r="D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254"/>
  <sheetViews>
    <sheetView topLeftCell="A228" zoomScale="115" zoomScaleNormal="115" zoomScaleSheetLayoutView="100" workbookViewId="0">
      <selection activeCell="C247" sqref="C24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46</v>
      </c>
      <c r="C9" s="51" t="s">
        <v>143</v>
      </c>
      <c r="D9" s="50" t="s">
        <v>45</v>
      </c>
      <c r="E9" s="49" t="s">
        <v>44</v>
      </c>
    </row>
    <row r="10" spans="1:5" ht="15" customHeight="1">
      <c r="B10" s="72" t="s">
        <v>25</v>
      </c>
      <c r="C10" s="47" t="s">
        <v>25</v>
      </c>
      <c r="D10" s="46">
        <v>13</v>
      </c>
      <c r="E10" s="45">
        <v>2.7139874739039668E-2</v>
      </c>
    </row>
    <row r="11" spans="1:5" ht="15" customHeight="1">
      <c r="B11" s="73"/>
      <c r="C11" s="47" t="s">
        <v>197</v>
      </c>
      <c r="D11" s="46">
        <v>1</v>
      </c>
      <c r="E11" s="45">
        <v>2.0876826722338203E-3</v>
      </c>
    </row>
    <row r="12" spans="1:5" ht="15" customHeight="1">
      <c r="B12" s="73"/>
      <c r="C12" s="47" t="s">
        <v>142</v>
      </c>
      <c r="D12" s="46">
        <v>2</v>
      </c>
      <c r="E12" s="45">
        <v>4.1753653444676405E-3</v>
      </c>
    </row>
    <row r="13" spans="1:5" ht="15" customHeight="1">
      <c r="B13" s="73"/>
      <c r="C13" s="47" t="s">
        <v>198</v>
      </c>
      <c r="D13" s="46">
        <v>5</v>
      </c>
      <c r="E13" s="45">
        <v>1.0438413361169102E-2</v>
      </c>
    </row>
    <row r="14" spans="1:5" ht="15" customHeight="1">
      <c r="B14" s="73"/>
      <c r="C14" s="47" t="s">
        <v>199</v>
      </c>
      <c r="D14" s="46">
        <v>1</v>
      </c>
      <c r="E14" s="45">
        <v>2.0876826722338203E-3</v>
      </c>
    </row>
    <row r="15" spans="1:5" ht="15" customHeight="1">
      <c r="B15" s="74"/>
      <c r="C15" s="44" t="s">
        <v>15</v>
      </c>
      <c r="D15" s="43">
        <v>22</v>
      </c>
      <c r="E15" s="42">
        <v>4.5929018789144051E-2</v>
      </c>
    </row>
    <row r="16" spans="1:5" ht="15" customHeight="1">
      <c r="B16" s="72" t="s">
        <v>22</v>
      </c>
      <c r="C16" s="47" t="s">
        <v>200</v>
      </c>
      <c r="D16" s="46">
        <v>1</v>
      </c>
      <c r="E16" s="45">
        <v>2.0876826722338203E-3</v>
      </c>
    </row>
    <row r="17" spans="2:5" ht="15" customHeight="1">
      <c r="B17" s="73"/>
      <c r="C17" s="47" t="s">
        <v>141</v>
      </c>
      <c r="D17" s="46">
        <v>1</v>
      </c>
      <c r="E17" s="45">
        <v>2.0876826722338203E-3</v>
      </c>
    </row>
    <row r="18" spans="2:5" ht="15" customHeight="1">
      <c r="B18" s="74"/>
      <c r="C18" s="44" t="s">
        <v>15</v>
      </c>
      <c r="D18" s="43">
        <v>2</v>
      </c>
      <c r="E18" s="42">
        <v>4.1753653444676405E-3</v>
      </c>
    </row>
    <row r="19" spans="2:5" ht="15" customHeight="1">
      <c r="B19" s="72" t="s">
        <v>195</v>
      </c>
      <c r="C19" s="47" t="s">
        <v>201</v>
      </c>
      <c r="D19" s="46">
        <v>1</v>
      </c>
      <c r="E19" s="45">
        <v>2.0876826722338203E-3</v>
      </c>
    </row>
    <row r="20" spans="2:5" ht="15" customHeight="1">
      <c r="B20" s="74"/>
      <c r="C20" s="44" t="s">
        <v>15</v>
      </c>
      <c r="D20" s="43">
        <v>1</v>
      </c>
      <c r="E20" s="42">
        <v>2.0876826722338203E-3</v>
      </c>
    </row>
    <row r="21" spans="2:5" ht="15" customHeight="1">
      <c r="B21" s="72" t="s">
        <v>27</v>
      </c>
      <c r="C21" s="47" t="s">
        <v>202</v>
      </c>
      <c r="D21" s="46">
        <v>1</v>
      </c>
      <c r="E21" s="45">
        <v>2.0876826722338203E-3</v>
      </c>
    </row>
    <row r="22" spans="2:5" ht="15" customHeight="1">
      <c r="B22" s="73"/>
      <c r="C22" s="47" t="s">
        <v>203</v>
      </c>
      <c r="D22" s="46">
        <v>1</v>
      </c>
      <c r="E22" s="45">
        <v>2.0876826722338203E-3</v>
      </c>
    </row>
    <row r="23" spans="2:5" ht="15" customHeight="1">
      <c r="B23" s="73"/>
      <c r="C23" s="47" t="s">
        <v>204</v>
      </c>
      <c r="D23" s="46">
        <v>1</v>
      </c>
      <c r="E23" s="45">
        <v>2.0876826722338203E-3</v>
      </c>
    </row>
    <row r="24" spans="2:5" ht="15" customHeight="1">
      <c r="B24" s="74"/>
      <c r="C24" s="44" t="s">
        <v>15</v>
      </c>
      <c r="D24" s="43">
        <v>3</v>
      </c>
      <c r="E24" s="42">
        <v>6.2630480167014616E-3</v>
      </c>
    </row>
    <row r="25" spans="2:5" ht="15" customHeight="1">
      <c r="B25" s="72" t="s">
        <v>43</v>
      </c>
      <c r="C25" s="47" t="s">
        <v>140</v>
      </c>
      <c r="D25" s="46">
        <v>2</v>
      </c>
      <c r="E25" s="45">
        <v>4.1753653444676405E-3</v>
      </c>
    </row>
    <row r="26" spans="2:5" ht="15" customHeight="1">
      <c r="B26" s="73"/>
      <c r="C26" s="47" t="s">
        <v>205</v>
      </c>
      <c r="D26" s="46">
        <v>1</v>
      </c>
      <c r="E26" s="45">
        <v>2.0876826722338203E-3</v>
      </c>
    </row>
    <row r="27" spans="2:5" ht="15" customHeight="1">
      <c r="B27" s="73"/>
      <c r="C27" s="47" t="s">
        <v>206</v>
      </c>
      <c r="D27" s="46">
        <v>3</v>
      </c>
      <c r="E27" s="45">
        <v>6.2630480167014616E-3</v>
      </c>
    </row>
    <row r="28" spans="2:5" ht="15" customHeight="1">
      <c r="B28" s="73"/>
      <c r="C28" s="47" t="s">
        <v>139</v>
      </c>
      <c r="D28" s="46">
        <v>2</v>
      </c>
      <c r="E28" s="45">
        <v>4.1753653444676405E-3</v>
      </c>
    </row>
    <row r="29" spans="2:5" ht="15" customHeight="1">
      <c r="B29" s="73"/>
      <c r="C29" s="47" t="s">
        <v>43</v>
      </c>
      <c r="D29" s="46">
        <v>14</v>
      </c>
      <c r="E29" s="45">
        <v>2.9227557411273485E-2</v>
      </c>
    </row>
    <row r="30" spans="2:5" ht="15" customHeight="1">
      <c r="B30" s="73"/>
      <c r="C30" s="47" t="s">
        <v>124</v>
      </c>
      <c r="D30" s="46">
        <v>8</v>
      </c>
      <c r="E30" s="45">
        <v>1.6701461377870562E-2</v>
      </c>
    </row>
    <row r="31" spans="2:5" ht="15" customHeight="1">
      <c r="B31" s="73"/>
      <c r="C31" s="47" t="s">
        <v>138</v>
      </c>
      <c r="D31" s="46">
        <v>8</v>
      </c>
      <c r="E31" s="45">
        <v>1.6701461377870562E-2</v>
      </c>
    </row>
    <row r="32" spans="2:5" ht="15" customHeight="1">
      <c r="B32" s="73"/>
      <c r="C32" s="47" t="s">
        <v>207</v>
      </c>
      <c r="D32" s="46">
        <v>2</v>
      </c>
      <c r="E32" s="45">
        <v>4.1753653444676405E-3</v>
      </c>
    </row>
    <row r="33" spans="2:5" ht="15" customHeight="1">
      <c r="B33" s="73"/>
      <c r="C33" s="47" t="s">
        <v>208</v>
      </c>
      <c r="D33" s="46">
        <v>4</v>
      </c>
      <c r="E33" s="45">
        <v>8.350730688935281E-3</v>
      </c>
    </row>
    <row r="34" spans="2:5" ht="15" customHeight="1">
      <c r="B34" s="73"/>
      <c r="C34" s="47" t="s">
        <v>136</v>
      </c>
      <c r="D34" s="46">
        <v>3</v>
      </c>
      <c r="E34" s="45">
        <v>6.2630480167014616E-3</v>
      </c>
    </row>
    <row r="35" spans="2:5" ht="15" customHeight="1">
      <c r="B35" s="73"/>
      <c r="C35" s="47" t="s">
        <v>135</v>
      </c>
      <c r="D35" s="46">
        <v>4</v>
      </c>
      <c r="E35" s="45">
        <v>8.350730688935281E-3</v>
      </c>
    </row>
    <row r="36" spans="2:5" ht="15" customHeight="1">
      <c r="B36" s="73"/>
      <c r="C36" s="47" t="s">
        <v>134</v>
      </c>
      <c r="D36" s="46">
        <v>11</v>
      </c>
      <c r="E36" s="45">
        <v>2.2964509394572025E-2</v>
      </c>
    </row>
    <row r="37" spans="2:5" ht="15" customHeight="1">
      <c r="B37" s="73"/>
      <c r="C37" s="47" t="s">
        <v>133</v>
      </c>
      <c r="D37" s="46">
        <v>7</v>
      </c>
      <c r="E37" s="45">
        <v>1.4613778705636743E-2</v>
      </c>
    </row>
    <row r="38" spans="2:5" ht="15" customHeight="1">
      <c r="B38" s="73"/>
      <c r="C38" s="47" t="s">
        <v>209</v>
      </c>
      <c r="D38" s="46">
        <v>5</v>
      </c>
      <c r="E38" s="45">
        <v>1.0438413361169102E-2</v>
      </c>
    </row>
    <row r="39" spans="2:5" ht="15" customHeight="1">
      <c r="B39" s="73"/>
      <c r="C39" s="47" t="s">
        <v>132</v>
      </c>
      <c r="D39" s="46">
        <v>8</v>
      </c>
      <c r="E39" s="45">
        <v>1.6701461377870562E-2</v>
      </c>
    </row>
    <row r="40" spans="2:5" ht="15" customHeight="1">
      <c r="B40" s="73"/>
      <c r="C40" s="47" t="s">
        <v>131</v>
      </c>
      <c r="D40" s="46">
        <v>6</v>
      </c>
      <c r="E40" s="45">
        <v>1.2526096033402923E-2</v>
      </c>
    </row>
    <row r="41" spans="2:5" ht="15" customHeight="1">
      <c r="B41" s="73"/>
      <c r="C41" s="47" t="s">
        <v>210</v>
      </c>
      <c r="D41" s="46">
        <v>1</v>
      </c>
      <c r="E41" s="45">
        <v>2.0876826722338203E-3</v>
      </c>
    </row>
    <row r="42" spans="2:5" ht="15" customHeight="1">
      <c r="B42" s="73"/>
      <c r="C42" s="47" t="s">
        <v>211</v>
      </c>
      <c r="D42" s="46">
        <v>1</v>
      </c>
      <c r="E42" s="45">
        <v>2.0876826722338203E-3</v>
      </c>
    </row>
    <row r="43" spans="2:5" ht="15" customHeight="1">
      <c r="B43" s="73"/>
      <c r="C43" s="47" t="s">
        <v>130</v>
      </c>
      <c r="D43" s="46">
        <v>1</v>
      </c>
      <c r="E43" s="45">
        <v>2.0876826722338203E-3</v>
      </c>
    </row>
    <row r="44" spans="2:5" ht="15" customHeight="1">
      <c r="B44" s="73"/>
      <c r="C44" s="47" t="s">
        <v>212</v>
      </c>
      <c r="D44" s="46">
        <v>1</v>
      </c>
      <c r="E44" s="45">
        <v>2.0876826722338203E-3</v>
      </c>
    </row>
    <row r="45" spans="2:5" ht="15" customHeight="1">
      <c r="B45" s="74"/>
      <c r="C45" s="44" t="s">
        <v>15</v>
      </c>
      <c r="D45" s="43">
        <v>92</v>
      </c>
      <c r="E45" s="42">
        <v>0.19206680584551147</v>
      </c>
    </row>
    <row r="46" spans="2:5" ht="15" customHeight="1">
      <c r="B46" s="72" t="s">
        <v>23</v>
      </c>
      <c r="C46" s="47" t="s">
        <v>63</v>
      </c>
      <c r="D46" s="46">
        <v>1</v>
      </c>
      <c r="E46" s="45">
        <v>2.0876826722338203E-3</v>
      </c>
    </row>
    <row r="47" spans="2:5" ht="15" customHeight="1">
      <c r="B47" s="73"/>
      <c r="C47" s="47" t="s">
        <v>129</v>
      </c>
      <c r="D47" s="46">
        <v>1</v>
      </c>
      <c r="E47" s="45">
        <v>2.0876826722338203E-3</v>
      </c>
    </row>
    <row r="48" spans="2:5" ht="15" customHeight="1">
      <c r="B48" s="73"/>
      <c r="C48" s="47" t="s">
        <v>213</v>
      </c>
      <c r="D48" s="46">
        <v>1</v>
      </c>
      <c r="E48" s="45">
        <v>2.0876826722338203E-3</v>
      </c>
    </row>
    <row r="49" spans="2:5" ht="15" customHeight="1">
      <c r="B49" s="73"/>
      <c r="C49" s="47" t="s">
        <v>128</v>
      </c>
      <c r="D49" s="46">
        <v>8</v>
      </c>
      <c r="E49" s="45">
        <v>1.6701461377870562E-2</v>
      </c>
    </row>
    <row r="50" spans="2:5" ht="15" customHeight="1">
      <c r="B50" s="73"/>
      <c r="C50" s="47" t="s">
        <v>127</v>
      </c>
      <c r="D50" s="46">
        <v>1</v>
      </c>
      <c r="E50" s="45">
        <v>2.0876826722338203E-3</v>
      </c>
    </row>
    <row r="51" spans="2:5" ht="15" customHeight="1">
      <c r="B51" s="74"/>
      <c r="C51" s="44" t="s">
        <v>15</v>
      </c>
      <c r="D51" s="43">
        <v>12</v>
      </c>
      <c r="E51" s="42">
        <v>2.5052192066805846E-2</v>
      </c>
    </row>
    <row r="52" spans="2:5" ht="15" customHeight="1">
      <c r="B52" s="72" t="s">
        <v>21</v>
      </c>
      <c r="C52" s="47" t="s">
        <v>214</v>
      </c>
      <c r="D52" s="46">
        <v>1</v>
      </c>
      <c r="E52" s="45">
        <v>2.0876826722338203E-3</v>
      </c>
    </row>
    <row r="53" spans="2:5" ht="15" customHeight="1">
      <c r="B53" s="73"/>
      <c r="C53" s="47" t="s">
        <v>21</v>
      </c>
      <c r="D53" s="46">
        <v>5</v>
      </c>
      <c r="E53" s="45">
        <v>1.0438413361169102E-2</v>
      </c>
    </row>
    <row r="54" spans="2:5" ht="15" customHeight="1">
      <c r="B54" s="73"/>
      <c r="C54" s="47" t="s">
        <v>215</v>
      </c>
      <c r="D54" s="46">
        <v>1</v>
      </c>
      <c r="E54" s="45">
        <v>2.0876826722338203E-3</v>
      </c>
    </row>
    <row r="55" spans="2:5" ht="15" customHeight="1">
      <c r="B55" s="73"/>
      <c r="C55" s="47" t="s">
        <v>216</v>
      </c>
      <c r="D55" s="46">
        <v>2</v>
      </c>
      <c r="E55" s="45">
        <v>4.1753653444676405E-3</v>
      </c>
    </row>
    <row r="56" spans="2:5" ht="15" customHeight="1">
      <c r="B56" s="74"/>
      <c r="C56" s="44" t="s">
        <v>15</v>
      </c>
      <c r="D56" s="43">
        <v>9</v>
      </c>
      <c r="E56" s="42">
        <v>1.8789144050104383E-2</v>
      </c>
    </row>
    <row r="57" spans="2:5" ht="15" customHeight="1">
      <c r="B57" s="72" t="s">
        <v>39</v>
      </c>
      <c r="C57" s="47" t="s">
        <v>126</v>
      </c>
      <c r="D57" s="46">
        <v>1</v>
      </c>
      <c r="E57" s="45">
        <v>2.0876826722338203E-3</v>
      </c>
    </row>
    <row r="58" spans="2:5" ht="15" customHeight="1">
      <c r="B58" s="73"/>
      <c r="C58" s="47" t="s">
        <v>54</v>
      </c>
      <c r="D58" s="46">
        <v>3</v>
      </c>
      <c r="E58" s="45">
        <v>6.2630480167014616E-3</v>
      </c>
    </row>
    <row r="59" spans="2:5" ht="15" customHeight="1">
      <c r="B59" s="73"/>
      <c r="C59" s="47" t="s">
        <v>125</v>
      </c>
      <c r="D59" s="46">
        <v>1</v>
      </c>
      <c r="E59" s="45">
        <v>2.0876826722338203E-3</v>
      </c>
    </row>
    <row r="60" spans="2:5" ht="15" customHeight="1">
      <c r="B60" s="73"/>
      <c r="C60" s="47" t="s">
        <v>217</v>
      </c>
      <c r="D60" s="46">
        <v>3</v>
      </c>
      <c r="E60" s="45">
        <v>6.2630480167014616E-3</v>
      </c>
    </row>
    <row r="61" spans="2:5" ht="15" customHeight="1">
      <c r="B61" s="73"/>
      <c r="C61" s="47" t="s">
        <v>124</v>
      </c>
      <c r="D61" s="46">
        <v>6</v>
      </c>
      <c r="E61" s="45">
        <v>1.2526096033402923E-2</v>
      </c>
    </row>
    <row r="62" spans="2:5" ht="15" customHeight="1">
      <c r="B62" s="73"/>
      <c r="C62" s="47" t="s">
        <v>123</v>
      </c>
      <c r="D62" s="46">
        <v>2</v>
      </c>
      <c r="E62" s="45">
        <v>4.1753653444676405E-3</v>
      </c>
    </row>
    <row r="63" spans="2:5" ht="15" customHeight="1">
      <c r="B63" s="73"/>
      <c r="C63" s="47" t="s">
        <v>122</v>
      </c>
      <c r="D63" s="46">
        <v>2</v>
      </c>
      <c r="E63" s="45">
        <v>4.1753653444676405E-3</v>
      </c>
    </row>
    <row r="64" spans="2:5" ht="15" customHeight="1">
      <c r="B64" s="73"/>
      <c r="C64" s="47" t="s">
        <v>121</v>
      </c>
      <c r="D64" s="46">
        <v>8</v>
      </c>
      <c r="E64" s="45">
        <v>1.6701461377870562E-2</v>
      </c>
    </row>
    <row r="65" spans="2:5" ht="15" customHeight="1">
      <c r="B65" s="73"/>
      <c r="C65" s="47" t="s">
        <v>218</v>
      </c>
      <c r="D65" s="46">
        <v>1</v>
      </c>
      <c r="E65" s="45">
        <v>2.0876826722338203E-3</v>
      </c>
    </row>
    <row r="66" spans="2:5" ht="15" customHeight="1">
      <c r="B66" s="73"/>
      <c r="C66" s="47" t="s">
        <v>120</v>
      </c>
      <c r="D66" s="46">
        <v>3</v>
      </c>
      <c r="E66" s="45">
        <v>6.2630480167014616E-3</v>
      </c>
    </row>
    <row r="67" spans="2:5" ht="15" customHeight="1">
      <c r="B67" s="73"/>
      <c r="C67" s="47" t="s">
        <v>219</v>
      </c>
      <c r="D67" s="46">
        <v>2</v>
      </c>
      <c r="E67" s="45">
        <v>4.1753653444676405E-3</v>
      </c>
    </row>
    <row r="68" spans="2:5" ht="15" customHeight="1">
      <c r="B68" s="74"/>
      <c r="C68" s="44" t="s">
        <v>15</v>
      </c>
      <c r="D68" s="43">
        <v>32</v>
      </c>
      <c r="E68" s="42">
        <v>6.6805845511482248E-2</v>
      </c>
    </row>
    <row r="69" spans="2:5" ht="15" customHeight="1">
      <c r="B69" s="72" t="s">
        <v>36</v>
      </c>
      <c r="C69" s="47" t="s">
        <v>119</v>
      </c>
      <c r="D69" s="46">
        <v>1</v>
      </c>
      <c r="E69" s="45">
        <v>2.0876826722338203E-3</v>
      </c>
    </row>
    <row r="70" spans="2:5" ht="15" customHeight="1">
      <c r="B70" s="73"/>
      <c r="C70" s="47" t="s">
        <v>36</v>
      </c>
      <c r="D70" s="46">
        <v>9</v>
      </c>
      <c r="E70" s="45">
        <v>1.8789144050104383E-2</v>
      </c>
    </row>
    <row r="71" spans="2:5" ht="15" customHeight="1">
      <c r="B71" s="73"/>
      <c r="C71" s="47" t="s">
        <v>220</v>
      </c>
      <c r="D71" s="46">
        <v>2</v>
      </c>
      <c r="E71" s="45">
        <v>4.1753653444676405E-3</v>
      </c>
    </row>
    <row r="72" spans="2:5" ht="15" customHeight="1">
      <c r="B72" s="73"/>
      <c r="C72" s="47" t="s">
        <v>221</v>
      </c>
      <c r="D72" s="46">
        <v>1</v>
      </c>
      <c r="E72" s="45">
        <v>2.0876826722338203E-3</v>
      </c>
    </row>
    <row r="73" spans="2:5" ht="15" customHeight="1">
      <c r="B73" s="73"/>
      <c r="C73" s="47" t="s">
        <v>118</v>
      </c>
      <c r="D73" s="46">
        <v>1</v>
      </c>
      <c r="E73" s="45">
        <v>2.0876826722338203E-3</v>
      </c>
    </row>
    <row r="74" spans="2:5" ht="15" customHeight="1">
      <c r="B74" s="73"/>
      <c r="C74" s="47" t="s">
        <v>117</v>
      </c>
      <c r="D74" s="46">
        <v>2</v>
      </c>
      <c r="E74" s="45">
        <v>4.1753653444676405E-3</v>
      </c>
    </row>
    <row r="75" spans="2:5" ht="15" customHeight="1">
      <c r="B75" s="73"/>
      <c r="C75" s="47" t="s">
        <v>222</v>
      </c>
      <c r="D75" s="46">
        <v>1</v>
      </c>
      <c r="E75" s="45">
        <v>2.0876826722338203E-3</v>
      </c>
    </row>
    <row r="76" spans="2:5" ht="15" customHeight="1">
      <c r="B76" s="74"/>
      <c r="C76" s="44" t="s">
        <v>15</v>
      </c>
      <c r="D76" s="43">
        <v>17</v>
      </c>
      <c r="E76" s="42">
        <v>3.5490605427974949E-2</v>
      </c>
    </row>
    <row r="77" spans="2:5" ht="15" customHeight="1">
      <c r="B77" s="72" t="s">
        <v>31</v>
      </c>
      <c r="C77" s="47" t="s">
        <v>223</v>
      </c>
      <c r="D77" s="46">
        <v>1</v>
      </c>
      <c r="E77" s="45">
        <v>2.0876826722338203E-3</v>
      </c>
    </row>
    <row r="78" spans="2:5" ht="15" customHeight="1">
      <c r="B78" s="73"/>
      <c r="C78" s="47" t="s">
        <v>116</v>
      </c>
      <c r="D78" s="46">
        <v>3</v>
      </c>
      <c r="E78" s="45">
        <v>6.2630480167014616E-3</v>
      </c>
    </row>
    <row r="79" spans="2:5" ht="15" customHeight="1">
      <c r="B79" s="73"/>
      <c r="C79" s="47" t="s">
        <v>224</v>
      </c>
      <c r="D79" s="46">
        <v>1</v>
      </c>
      <c r="E79" s="45">
        <v>2.0876826722338203E-3</v>
      </c>
    </row>
    <row r="80" spans="2:5" ht="15" customHeight="1">
      <c r="B80" s="73"/>
      <c r="C80" s="47" t="s">
        <v>115</v>
      </c>
      <c r="D80" s="46">
        <v>2</v>
      </c>
      <c r="E80" s="45">
        <v>4.1753653444676405E-3</v>
      </c>
    </row>
    <row r="81" spans="2:5" ht="15" customHeight="1">
      <c r="B81" s="73"/>
      <c r="C81" s="47" t="s">
        <v>225</v>
      </c>
      <c r="D81" s="46">
        <v>2</v>
      </c>
      <c r="E81" s="45">
        <v>4.1753653444676405E-3</v>
      </c>
    </row>
    <row r="82" spans="2:5" ht="15" customHeight="1">
      <c r="B82" s="73"/>
      <c r="C82" s="47" t="s">
        <v>114</v>
      </c>
      <c r="D82" s="46">
        <v>2</v>
      </c>
      <c r="E82" s="45">
        <v>4.1753653444676405E-3</v>
      </c>
    </row>
    <row r="83" spans="2:5" ht="15" customHeight="1">
      <c r="B83" s="73"/>
      <c r="C83" s="47" t="s">
        <v>113</v>
      </c>
      <c r="D83" s="46">
        <v>1</v>
      </c>
      <c r="E83" s="45">
        <v>2.0876826722338203E-3</v>
      </c>
    </row>
    <row r="84" spans="2:5" ht="15" customHeight="1">
      <c r="B84" s="74"/>
      <c r="C84" s="44" t="s">
        <v>15</v>
      </c>
      <c r="D84" s="43">
        <v>12</v>
      </c>
      <c r="E84" s="42">
        <v>2.5052192066805846E-2</v>
      </c>
    </row>
    <row r="85" spans="2:5" ht="15" customHeight="1">
      <c r="B85" s="72" t="s">
        <v>226</v>
      </c>
      <c r="C85" s="47" t="s">
        <v>112</v>
      </c>
      <c r="D85" s="46">
        <v>1</v>
      </c>
      <c r="E85" s="45">
        <v>2.0876826722338203E-3</v>
      </c>
    </row>
    <row r="86" spans="2:5" ht="15" customHeight="1">
      <c r="B86" s="73"/>
      <c r="C86" s="47" t="s">
        <v>227</v>
      </c>
      <c r="D86" s="46">
        <v>1</v>
      </c>
      <c r="E86" s="45">
        <v>2.0876826722338203E-3</v>
      </c>
    </row>
    <row r="87" spans="2:5" ht="15" customHeight="1">
      <c r="B87" s="73"/>
      <c r="C87" s="47" t="s">
        <v>111</v>
      </c>
      <c r="D87" s="46">
        <v>1</v>
      </c>
      <c r="E87" s="45">
        <v>2.0876826722338203E-3</v>
      </c>
    </row>
    <row r="88" spans="2:5" ht="15" customHeight="1">
      <c r="B88" s="73"/>
      <c r="C88" s="47" t="s">
        <v>228</v>
      </c>
      <c r="D88" s="46">
        <v>1</v>
      </c>
      <c r="E88" s="45">
        <v>2.0876826722338203E-3</v>
      </c>
    </row>
    <row r="89" spans="2:5" ht="15" customHeight="1">
      <c r="B89" s="73"/>
      <c r="C89" s="47" t="s">
        <v>229</v>
      </c>
      <c r="D89" s="46">
        <v>1</v>
      </c>
      <c r="E89" s="45">
        <v>2.0876826722338203E-3</v>
      </c>
    </row>
    <row r="90" spans="2:5" ht="15" customHeight="1">
      <c r="B90" s="73"/>
      <c r="C90" s="47" t="s">
        <v>230</v>
      </c>
      <c r="D90" s="46">
        <v>5</v>
      </c>
      <c r="E90" s="45">
        <v>1.0438413361169102E-2</v>
      </c>
    </row>
    <row r="91" spans="2:5" ht="15" customHeight="1">
      <c r="B91" s="73"/>
      <c r="C91" s="47" t="s">
        <v>231</v>
      </c>
      <c r="D91" s="46">
        <v>2</v>
      </c>
      <c r="E91" s="45">
        <v>4.1753653444676405E-3</v>
      </c>
    </row>
    <row r="92" spans="2:5" ht="15" customHeight="1">
      <c r="B92" s="73"/>
      <c r="C92" s="47" t="s">
        <v>110</v>
      </c>
      <c r="D92" s="46">
        <v>1</v>
      </c>
      <c r="E92" s="45">
        <v>2.0876826722338203E-3</v>
      </c>
    </row>
    <row r="93" spans="2:5" ht="15" customHeight="1">
      <c r="B93" s="73"/>
      <c r="C93" s="47" t="s">
        <v>232</v>
      </c>
      <c r="D93" s="46">
        <v>1</v>
      </c>
      <c r="E93" s="45">
        <v>2.0876826722338203E-3</v>
      </c>
    </row>
    <row r="94" spans="2:5" ht="15" customHeight="1">
      <c r="B94" s="73"/>
      <c r="C94" s="47" t="s">
        <v>109</v>
      </c>
      <c r="D94" s="46">
        <v>1</v>
      </c>
      <c r="E94" s="45">
        <v>2.0876826722338203E-3</v>
      </c>
    </row>
    <row r="95" spans="2:5" ht="15" customHeight="1">
      <c r="B95" s="73"/>
      <c r="C95" s="47" t="s">
        <v>233</v>
      </c>
      <c r="D95" s="46">
        <v>1</v>
      </c>
      <c r="E95" s="45">
        <v>2.0876826722338203E-3</v>
      </c>
    </row>
    <row r="96" spans="2:5" ht="15" customHeight="1">
      <c r="B96" s="74"/>
      <c r="C96" s="47" t="s">
        <v>108</v>
      </c>
      <c r="D96" s="46">
        <v>1</v>
      </c>
      <c r="E96" s="45">
        <v>2.0876826722338203E-3</v>
      </c>
    </row>
    <row r="97" spans="2:5" ht="15" customHeight="1">
      <c r="B97" s="61" t="s">
        <v>29</v>
      </c>
      <c r="C97" s="44" t="s">
        <v>15</v>
      </c>
      <c r="D97" s="43">
        <v>17</v>
      </c>
      <c r="E97" s="42">
        <v>3.5490605427974949E-2</v>
      </c>
    </row>
    <row r="98" spans="2:5" ht="15" customHeight="1">
      <c r="B98" s="72" t="s">
        <v>208</v>
      </c>
      <c r="C98" s="47" t="s">
        <v>107</v>
      </c>
      <c r="D98" s="46">
        <v>1</v>
      </c>
      <c r="E98" s="45">
        <v>2.0876826722338203E-3</v>
      </c>
    </row>
    <row r="99" spans="2:5" ht="15" customHeight="1">
      <c r="B99" s="73"/>
      <c r="C99" s="47" t="s">
        <v>234</v>
      </c>
      <c r="D99" s="46">
        <v>1</v>
      </c>
      <c r="E99" s="45">
        <v>2.0876826722338203E-3</v>
      </c>
    </row>
    <row r="100" spans="2:5" ht="15" customHeight="1">
      <c r="B100" s="73"/>
      <c r="C100" s="47" t="s">
        <v>235</v>
      </c>
      <c r="D100" s="46">
        <v>1</v>
      </c>
      <c r="E100" s="45">
        <v>2.0876826722338203E-3</v>
      </c>
    </row>
    <row r="101" spans="2:5" ht="15" customHeight="1">
      <c r="B101" s="73"/>
      <c r="C101" s="47" t="s">
        <v>106</v>
      </c>
      <c r="D101" s="46">
        <v>2</v>
      </c>
      <c r="E101" s="45">
        <v>4.1753653444676405E-3</v>
      </c>
    </row>
    <row r="102" spans="2:5" ht="15" customHeight="1">
      <c r="B102" s="74"/>
      <c r="C102" s="44" t="s">
        <v>15</v>
      </c>
      <c r="D102" s="43">
        <v>5</v>
      </c>
      <c r="E102" s="42">
        <v>1.0438413361169102E-2</v>
      </c>
    </row>
    <row r="103" spans="2:5" ht="15" customHeight="1">
      <c r="B103" s="72" t="s">
        <v>24</v>
      </c>
      <c r="C103" s="47" t="s">
        <v>236</v>
      </c>
      <c r="D103" s="46">
        <v>1</v>
      </c>
      <c r="E103" s="45">
        <v>2.0876826722338203E-3</v>
      </c>
    </row>
    <row r="104" spans="2:5" ht="15" customHeight="1">
      <c r="B104" s="73"/>
      <c r="C104" s="47" t="s">
        <v>237</v>
      </c>
      <c r="D104" s="46">
        <v>1</v>
      </c>
      <c r="E104" s="45">
        <v>2.0876826722338203E-3</v>
      </c>
    </row>
    <row r="105" spans="2:5" ht="15" customHeight="1">
      <c r="B105" s="73"/>
      <c r="C105" s="47" t="s">
        <v>238</v>
      </c>
      <c r="D105" s="46">
        <v>1</v>
      </c>
      <c r="E105" s="45">
        <v>2.0876826722338203E-3</v>
      </c>
    </row>
    <row r="106" spans="2:5" ht="15" customHeight="1">
      <c r="B106" s="73"/>
      <c r="C106" s="47" t="s">
        <v>239</v>
      </c>
      <c r="D106" s="46">
        <v>1</v>
      </c>
      <c r="E106" s="45">
        <v>2.0876826722338203E-3</v>
      </c>
    </row>
    <row r="107" spans="2:5" ht="15" customHeight="1">
      <c r="B107" s="73"/>
      <c r="C107" s="47" t="s">
        <v>105</v>
      </c>
      <c r="D107" s="46">
        <v>2</v>
      </c>
      <c r="E107" s="45">
        <v>4.1753653444676405E-3</v>
      </c>
    </row>
    <row r="108" spans="2:5" ht="15" customHeight="1">
      <c r="B108" s="73"/>
      <c r="C108" s="47" t="s">
        <v>240</v>
      </c>
      <c r="D108" s="46">
        <v>1</v>
      </c>
      <c r="E108" s="45">
        <v>2.0876826722338203E-3</v>
      </c>
    </row>
    <row r="109" spans="2:5" ht="15" customHeight="1">
      <c r="B109" s="73"/>
      <c r="C109" s="47" t="s">
        <v>241</v>
      </c>
      <c r="D109" s="46">
        <v>1</v>
      </c>
      <c r="E109" s="45">
        <v>2.0876826722338203E-3</v>
      </c>
    </row>
    <row r="110" spans="2:5" ht="15" customHeight="1">
      <c r="B110" s="73"/>
      <c r="C110" s="47" t="s">
        <v>242</v>
      </c>
      <c r="D110" s="46">
        <v>1</v>
      </c>
      <c r="E110" s="45">
        <v>2.0876826722338203E-3</v>
      </c>
    </row>
    <row r="111" spans="2:5" ht="15" customHeight="1">
      <c r="B111" s="73"/>
      <c r="C111" s="47" t="s">
        <v>243</v>
      </c>
      <c r="D111" s="46">
        <v>1</v>
      </c>
      <c r="E111" s="45">
        <v>2.0876826722338203E-3</v>
      </c>
    </row>
    <row r="112" spans="2:5" ht="15" customHeight="1">
      <c r="B112" s="74"/>
      <c r="C112" s="44" t="s">
        <v>15</v>
      </c>
      <c r="D112" s="43">
        <v>10</v>
      </c>
      <c r="E112" s="42">
        <v>2.0876826722338204E-2</v>
      </c>
    </row>
    <row r="113" spans="2:5" ht="15" customHeight="1">
      <c r="B113" s="72" t="s">
        <v>41</v>
      </c>
      <c r="C113" s="47" t="s">
        <v>104</v>
      </c>
      <c r="D113" s="46">
        <v>2</v>
      </c>
      <c r="E113" s="45">
        <v>4.1753653444676405E-3</v>
      </c>
    </row>
    <row r="114" spans="2:5" ht="15" customHeight="1">
      <c r="B114" s="73"/>
      <c r="C114" s="47" t="s">
        <v>103</v>
      </c>
      <c r="D114" s="46">
        <v>1</v>
      </c>
      <c r="E114" s="45">
        <v>2.0876826722338203E-3</v>
      </c>
    </row>
    <row r="115" spans="2:5" ht="15" customHeight="1">
      <c r="B115" s="73"/>
      <c r="C115" s="47" t="s">
        <v>102</v>
      </c>
      <c r="D115" s="46">
        <v>1</v>
      </c>
      <c r="E115" s="45">
        <v>2.0876826722338203E-3</v>
      </c>
    </row>
    <row r="116" spans="2:5" ht="15" customHeight="1">
      <c r="B116" s="73"/>
      <c r="C116" s="47" t="s">
        <v>244</v>
      </c>
      <c r="D116" s="46">
        <v>1</v>
      </c>
      <c r="E116" s="45">
        <v>2.0876826722338203E-3</v>
      </c>
    </row>
    <row r="117" spans="2:5" ht="15" customHeight="1">
      <c r="B117" s="73"/>
      <c r="C117" s="47" t="s">
        <v>101</v>
      </c>
      <c r="D117" s="46">
        <v>1</v>
      </c>
      <c r="E117" s="45">
        <v>2.0876826722338203E-3</v>
      </c>
    </row>
    <row r="118" spans="2:5" ht="15" customHeight="1">
      <c r="B118" s="73"/>
      <c r="C118" s="47" t="s">
        <v>245</v>
      </c>
      <c r="D118" s="46">
        <v>1</v>
      </c>
      <c r="E118" s="45">
        <v>2.0876826722338203E-3</v>
      </c>
    </row>
    <row r="119" spans="2:5" ht="15" customHeight="1">
      <c r="B119" s="73"/>
      <c r="C119" s="47" t="s">
        <v>246</v>
      </c>
      <c r="D119" s="46">
        <v>1</v>
      </c>
      <c r="E119" s="45">
        <v>2.0876826722338203E-3</v>
      </c>
    </row>
    <row r="120" spans="2:5" ht="15" customHeight="1">
      <c r="B120" s="73"/>
      <c r="C120" s="47" t="s">
        <v>137</v>
      </c>
      <c r="D120" s="46">
        <v>1</v>
      </c>
      <c r="E120" s="45">
        <v>2.0876826722338203E-3</v>
      </c>
    </row>
    <row r="121" spans="2:5" ht="15" customHeight="1">
      <c r="B121" s="73"/>
      <c r="C121" s="47" t="s">
        <v>100</v>
      </c>
      <c r="D121" s="46">
        <v>6</v>
      </c>
      <c r="E121" s="45">
        <v>1.2526096033402923E-2</v>
      </c>
    </row>
    <row r="122" spans="2:5" ht="15" customHeight="1">
      <c r="B122" s="73"/>
      <c r="C122" s="47" t="s">
        <v>247</v>
      </c>
      <c r="D122" s="46">
        <v>1</v>
      </c>
      <c r="E122" s="45">
        <v>2.0876826722338203E-3</v>
      </c>
    </row>
    <row r="123" spans="2:5" ht="15" customHeight="1">
      <c r="B123" s="73"/>
      <c r="C123" s="47" t="s">
        <v>248</v>
      </c>
      <c r="D123" s="46">
        <v>1</v>
      </c>
      <c r="E123" s="45">
        <v>2.0876826722338203E-3</v>
      </c>
    </row>
    <row r="124" spans="2:5" ht="15" customHeight="1">
      <c r="B124" s="73"/>
      <c r="C124" s="47" t="s">
        <v>99</v>
      </c>
      <c r="D124" s="46">
        <v>3</v>
      </c>
      <c r="E124" s="45">
        <v>6.2630480167014616E-3</v>
      </c>
    </row>
    <row r="125" spans="2:5" ht="15" customHeight="1">
      <c r="B125" s="73"/>
      <c r="C125" s="47" t="s">
        <v>98</v>
      </c>
      <c r="D125" s="46">
        <v>1</v>
      </c>
      <c r="E125" s="45">
        <v>2.0876826722338203E-3</v>
      </c>
    </row>
    <row r="126" spans="2:5" ht="15" customHeight="1">
      <c r="B126" s="73"/>
      <c r="C126" s="47" t="s">
        <v>97</v>
      </c>
      <c r="D126" s="46">
        <v>2</v>
      </c>
      <c r="E126" s="45">
        <v>4.1753653444676405E-3</v>
      </c>
    </row>
    <row r="127" spans="2:5" ht="15" customHeight="1">
      <c r="B127" s="73"/>
      <c r="C127" s="47" t="s">
        <v>96</v>
      </c>
      <c r="D127" s="46">
        <v>3</v>
      </c>
      <c r="E127" s="45">
        <v>6.2630480167014616E-3</v>
      </c>
    </row>
    <row r="128" spans="2:5" ht="15" customHeight="1">
      <c r="B128" s="73"/>
      <c r="C128" s="47" t="s">
        <v>95</v>
      </c>
      <c r="D128" s="46">
        <v>2</v>
      </c>
      <c r="E128" s="45">
        <v>4.1753653444676405E-3</v>
      </c>
    </row>
    <row r="129" spans="2:5" ht="15" customHeight="1">
      <c r="B129" s="73"/>
      <c r="C129" s="47" t="s">
        <v>249</v>
      </c>
      <c r="D129" s="46">
        <v>1</v>
      </c>
      <c r="E129" s="45">
        <v>2.0876826722338203E-3</v>
      </c>
    </row>
    <row r="130" spans="2:5" ht="15" customHeight="1">
      <c r="B130" s="73"/>
      <c r="C130" s="47" t="s">
        <v>250</v>
      </c>
      <c r="D130" s="46">
        <v>2</v>
      </c>
      <c r="E130" s="45">
        <v>4.1753653444676405E-3</v>
      </c>
    </row>
    <row r="131" spans="2:5" ht="15" customHeight="1">
      <c r="B131" s="73"/>
      <c r="C131" s="47" t="s">
        <v>94</v>
      </c>
      <c r="D131" s="46">
        <v>2</v>
      </c>
      <c r="E131" s="45">
        <v>4.1753653444676405E-3</v>
      </c>
    </row>
    <row r="132" spans="2:5" ht="15" customHeight="1">
      <c r="B132" s="73"/>
      <c r="C132" s="47" t="s">
        <v>93</v>
      </c>
      <c r="D132" s="46">
        <v>1</v>
      </c>
      <c r="E132" s="45">
        <v>2.0876826722338203E-3</v>
      </c>
    </row>
    <row r="133" spans="2:5" ht="15" customHeight="1">
      <c r="B133" s="73"/>
      <c r="C133" s="47" t="s">
        <v>92</v>
      </c>
      <c r="D133" s="46">
        <v>3</v>
      </c>
      <c r="E133" s="45">
        <v>6.2630480167014616E-3</v>
      </c>
    </row>
    <row r="134" spans="2:5" ht="15" customHeight="1">
      <c r="B134" s="73"/>
      <c r="C134" s="47" t="s">
        <v>251</v>
      </c>
      <c r="D134" s="46">
        <v>1</v>
      </c>
      <c r="E134" s="45">
        <v>2.0876826722338203E-3</v>
      </c>
    </row>
    <row r="135" spans="2:5" ht="15" customHeight="1">
      <c r="B135" s="74"/>
      <c r="C135" s="44" t="s">
        <v>15</v>
      </c>
      <c r="D135" s="43">
        <v>38</v>
      </c>
      <c r="E135" s="42">
        <v>7.9331941544885182E-2</v>
      </c>
    </row>
    <row r="136" spans="2:5" ht="15" customHeight="1">
      <c r="B136" s="72" t="s">
        <v>40</v>
      </c>
      <c r="C136" s="47" t="s">
        <v>91</v>
      </c>
      <c r="D136" s="46">
        <v>2</v>
      </c>
      <c r="E136" s="45">
        <v>4.1753653444676405E-3</v>
      </c>
    </row>
    <row r="137" spans="2:5" ht="15" customHeight="1">
      <c r="B137" s="73"/>
      <c r="C137" s="47" t="s">
        <v>252</v>
      </c>
      <c r="D137" s="46">
        <v>1</v>
      </c>
      <c r="E137" s="45">
        <v>2.0876826722338203E-3</v>
      </c>
    </row>
    <row r="138" spans="2:5" ht="15" customHeight="1">
      <c r="B138" s="73"/>
      <c r="C138" s="47" t="s">
        <v>90</v>
      </c>
      <c r="D138" s="46">
        <v>4</v>
      </c>
      <c r="E138" s="45">
        <v>8.350730688935281E-3</v>
      </c>
    </row>
    <row r="139" spans="2:5" ht="15" customHeight="1">
      <c r="B139" s="73"/>
      <c r="C139" s="47" t="s">
        <v>89</v>
      </c>
      <c r="D139" s="46">
        <v>1</v>
      </c>
      <c r="E139" s="45">
        <v>2.0876826722338203E-3</v>
      </c>
    </row>
    <row r="140" spans="2:5" ht="15" customHeight="1">
      <c r="B140" s="73"/>
      <c r="C140" s="47" t="s">
        <v>253</v>
      </c>
      <c r="D140" s="46">
        <v>2</v>
      </c>
      <c r="E140" s="45">
        <v>4.1753653444676405E-3</v>
      </c>
    </row>
    <row r="141" spans="2:5" ht="15" customHeight="1">
      <c r="B141" s="73"/>
      <c r="C141" s="47" t="s">
        <v>88</v>
      </c>
      <c r="D141" s="46">
        <v>1</v>
      </c>
      <c r="E141" s="45">
        <v>2.0876826722338203E-3</v>
      </c>
    </row>
    <row r="142" spans="2:5" ht="15" customHeight="1">
      <c r="B142" s="73"/>
      <c r="C142" s="47" t="s">
        <v>254</v>
      </c>
      <c r="D142" s="46">
        <v>1</v>
      </c>
      <c r="E142" s="45">
        <v>2.0876826722338203E-3</v>
      </c>
    </row>
    <row r="143" spans="2:5" ht="15" customHeight="1">
      <c r="B143" s="73"/>
      <c r="C143" s="47" t="s">
        <v>255</v>
      </c>
      <c r="D143" s="46">
        <v>1</v>
      </c>
      <c r="E143" s="45">
        <v>2.0876826722338203E-3</v>
      </c>
    </row>
    <row r="144" spans="2:5" ht="15" customHeight="1">
      <c r="B144" s="73"/>
      <c r="C144" s="47" t="s">
        <v>256</v>
      </c>
      <c r="D144" s="46">
        <v>1</v>
      </c>
      <c r="E144" s="45">
        <v>2.0876826722338203E-3</v>
      </c>
    </row>
    <row r="145" spans="2:5" ht="15" customHeight="1">
      <c r="B145" s="73"/>
      <c r="C145" s="47" t="s">
        <v>87</v>
      </c>
      <c r="D145" s="46">
        <v>4</v>
      </c>
      <c r="E145" s="45">
        <v>8.350730688935281E-3</v>
      </c>
    </row>
    <row r="146" spans="2:5" ht="15" customHeight="1">
      <c r="B146" s="73"/>
      <c r="C146" s="47" t="s">
        <v>86</v>
      </c>
      <c r="D146" s="46">
        <v>11</v>
      </c>
      <c r="E146" s="45">
        <v>2.2964509394572025E-2</v>
      </c>
    </row>
    <row r="147" spans="2:5" ht="15" customHeight="1">
      <c r="B147" s="73"/>
      <c r="C147" s="47" t="s">
        <v>85</v>
      </c>
      <c r="D147" s="46">
        <v>1</v>
      </c>
      <c r="E147" s="45">
        <v>2.0876826722338203E-3</v>
      </c>
    </row>
    <row r="148" spans="2:5" ht="15" customHeight="1">
      <c r="B148" s="74"/>
      <c r="C148" s="44" t="s">
        <v>15</v>
      </c>
      <c r="D148" s="43">
        <v>30</v>
      </c>
      <c r="E148" s="42">
        <v>6.2630480167014613E-2</v>
      </c>
    </row>
    <row r="149" spans="2:5" ht="15" customHeight="1">
      <c r="B149" s="72" t="s">
        <v>18</v>
      </c>
      <c r="C149" s="47" t="s">
        <v>257</v>
      </c>
      <c r="D149" s="46">
        <v>1</v>
      </c>
      <c r="E149" s="45">
        <v>2.0876826722338203E-3</v>
      </c>
    </row>
    <row r="150" spans="2:5" ht="15" customHeight="1">
      <c r="B150" s="74"/>
      <c r="C150" s="44" t="s">
        <v>15</v>
      </c>
      <c r="D150" s="43">
        <v>1</v>
      </c>
      <c r="E150" s="42">
        <v>2.0876826722338203E-3</v>
      </c>
    </row>
    <row r="151" spans="2:5" ht="15" customHeight="1">
      <c r="B151" s="72" t="s">
        <v>26</v>
      </c>
      <c r="C151" s="47" t="s">
        <v>84</v>
      </c>
      <c r="D151" s="46">
        <v>2</v>
      </c>
      <c r="E151" s="45">
        <v>4.1753653444676405E-3</v>
      </c>
    </row>
    <row r="152" spans="2:5" ht="15" customHeight="1">
      <c r="B152" s="73"/>
      <c r="C152" s="47" t="s">
        <v>83</v>
      </c>
      <c r="D152" s="46">
        <v>1</v>
      </c>
      <c r="E152" s="45">
        <v>2.0876826722338203E-3</v>
      </c>
    </row>
    <row r="153" spans="2:5" ht="15" customHeight="1">
      <c r="B153" s="73"/>
      <c r="C153" s="47" t="s">
        <v>82</v>
      </c>
      <c r="D153" s="46">
        <v>1</v>
      </c>
      <c r="E153" s="45">
        <v>2.0876826722338203E-3</v>
      </c>
    </row>
    <row r="154" spans="2:5" ht="15" customHeight="1">
      <c r="B154" s="73"/>
      <c r="C154" s="47" t="s">
        <v>258</v>
      </c>
      <c r="D154" s="46">
        <v>3</v>
      </c>
      <c r="E154" s="45">
        <v>6.2630480167014616E-3</v>
      </c>
    </row>
    <row r="155" spans="2:5" ht="15" customHeight="1">
      <c r="B155" s="74"/>
      <c r="C155" s="44" t="s">
        <v>15</v>
      </c>
      <c r="D155" s="43">
        <v>7</v>
      </c>
      <c r="E155" s="42">
        <v>1.4613778705636743E-2</v>
      </c>
    </row>
    <row r="156" spans="2:5" ht="15" customHeight="1">
      <c r="B156" s="72" t="s">
        <v>17</v>
      </c>
      <c r="C156" s="47" t="s">
        <v>81</v>
      </c>
      <c r="D156" s="46">
        <v>2</v>
      </c>
      <c r="E156" s="45">
        <v>4.1753653444676405E-3</v>
      </c>
    </row>
    <row r="157" spans="2:5" ht="15" customHeight="1">
      <c r="B157" s="73"/>
      <c r="C157" s="47" t="s">
        <v>259</v>
      </c>
      <c r="D157" s="46">
        <v>2</v>
      </c>
      <c r="E157" s="45">
        <v>4.1753653444676405E-3</v>
      </c>
    </row>
    <row r="158" spans="2:5" ht="15" customHeight="1">
      <c r="B158" s="74"/>
      <c r="C158" s="44" t="s">
        <v>15</v>
      </c>
      <c r="D158" s="43">
        <v>4</v>
      </c>
      <c r="E158" s="42">
        <v>8.350730688935281E-3</v>
      </c>
    </row>
    <row r="159" spans="2:5" ht="15" customHeight="1">
      <c r="B159" s="72" t="s">
        <v>35</v>
      </c>
      <c r="C159" s="47" t="s">
        <v>260</v>
      </c>
      <c r="D159" s="46">
        <v>1</v>
      </c>
      <c r="E159" s="45">
        <v>2.0876826722338203E-3</v>
      </c>
    </row>
    <row r="160" spans="2:5" ht="15" customHeight="1">
      <c r="B160" s="73"/>
      <c r="C160" s="47" t="s">
        <v>261</v>
      </c>
      <c r="D160" s="46">
        <v>1</v>
      </c>
      <c r="E160" s="45">
        <v>2.0876826722338203E-3</v>
      </c>
    </row>
    <row r="161" spans="2:5" ht="15" customHeight="1">
      <c r="B161" s="73"/>
      <c r="C161" s="47" t="s">
        <v>262</v>
      </c>
      <c r="D161" s="46">
        <v>1</v>
      </c>
      <c r="E161" s="45">
        <v>2.0876826722338203E-3</v>
      </c>
    </row>
    <row r="162" spans="2:5" ht="15" customHeight="1">
      <c r="B162" s="73"/>
      <c r="C162" s="47" t="s">
        <v>80</v>
      </c>
      <c r="D162" s="46">
        <v>1</v>
      </c>
      <c r="E162" s="45">
        <v>2.0876826722338203E-3</v>
      </c>
    </row>
    <row r="163" spans="2:5" ht="15" customHeight="1">
      <c r="B163" s="73"/>
      <c r="C163" s="47" t="s">
        <v>263</v>
      </c>
      <c r="D163" s="46">
        <v>1</v>
      </c>
      <c r="E163" s="45">
        <v>2.0876826722338203E-3</v>
      </c>
    </row>
    <row r="164" spans="2:5" ht="15" customHeight="1">
      <c r="B164" s="73"/>
      <c r="C164" s="47" t="s">
        <v>264</v>
      </c>
      <c r="D164" s="46">
        <v>1</v>
      </c>
      <c r="E164" s="45">
        <v>2.0876826722338203E-3</v>
      </c>
    </row>
    <row r="165" spans="2:5" ht="15" customHeight="1">
      <c r="B165" s="73"/>
      <c r="C165" s="47" t="s">
        <v>265</v>
      </c>
      <c r="D165" s="46">
        <v>1</v>
      </c>
      <c r="E165" s="45">
        <v>2.0876826722338203E-3</v>
      </c>
    </row>
    <row r="166" spans="2:5" ht="15" customHeight="1">
      <c r="B166" s="74"/>
      <c r="C166" s="44" t="s">
        <v>15</v>
      </c>
      <c r="D166" s="43">
        <v>7</v>
      </c>
      <c r="E166" s="42">
        <v>1.4613778705636743E-2</v>
      </c>
    </row>
    <row r="167" spans="2:5" ht="15" customHeight="1">
      <c r="B167" s="72" t="s">
        <v>37</v>
      </c>
      <c r="C167" s="47" t="s">
        <v>266</v>
      </c>
      <c r="D167" s="46">
        <v>1</v>
      </c>
      <c r="E167" s="45">
        <v>2.0876826722338203E-3</v>
      </c>
    </row>
    <row r="168" spans="2:5" ht="15" customHeight="1">
      <c r="B168" s="73"/>
      <c r="C168" s="47" t="s">
        <v>267</v>
      </c>
      <c r="D168" s="46">
        <v>1</v>
      </c>
      <c r="E168" s="45">
        <v>2.0876826722338203E-3</v>
      </c>
    </row>
    <row r="169" spans="2:5" ht="15" customHeight="1">
      <c r="B169" s="73"/>
      <c r="C169" s="47" t="s">
        <v>79</v>
      </c>
      <c r="D169" s="46">
        <v>2</v>
      </c>
      <c r="E169" s="45">
        <v>4.1753653444676405E-3</v>
      </c>
    </row>
    <row r="170" spans="2:5" ht="15" customHeight="1">
      <c r="B170" s="73"/>
      <c r="C170" s="47" t="s">
        <v>268</v>
      </c>
      <c r="D170" s="46">
        <v>1</v>
      </c>
      <c r="E170" s="45">
        <v>2.0876826722338203E-3</v>
      </c>
    </row>
    <row r="171" spans="2:5" ht="15" customHeight="1">
      <c r="B171" s="73"/>
      <c r="C171" s="47" t="s">
        <v>269</v>
      </c>
      <c r="D171" s="46">
        <v>1</v>
      </c>
      <c r="E171" s="45">
        <v>2.0876826722338203E-3</v>
      </c>
    </row>
    <row r="172" spans="2:5" ht="15" customHeight="1">
      <c r="B172" s="73"/>
      <c r="C172" s="47" t="s">
        <v>270</v>
      </c>
      <c r="D172" s="46">
        <v>1</v>
      </c>
      <c r="E172" s="45">
        <v>2.0876826722338203E-3</v>
      </c>
    </row>
    <row r="173" spans="2:5" ht="15" customHeight="1">
      <c r="B173" s="73"/>
      <c r="C173" s="47" t="s">
        <v>37</v>
      </c>
      <c r="D173" s="46">
        <v>5</v>
      </c>
      <c r="E173" s="45">
        <v>1.0438413361169102E-2</v>
      </c>
    </row>
    <row r="174" spans="2:5" ht="15" customHeight="1">
      <c r="B174" s="73"/>
      <c r="C174" s="47" t="s">
        <v>271</v>
      </c>
      <c r="D174" s="46">
        <v>1</v>
      </c>
      <c r="E174" s="45">
        <v>2.0876826722338203E-3</v>
      </c>
    </row>
    <row r="175" spans="2:5" ht="15" customHeight="1">
      <c r="B175" s="73"/>
      <c r="C175" s="47" t="s">
        <v>272</v>
      </c>
      <c r="D175" s="46">
        <v>2</v>
      </c>
      <c r="E175" s="45">
        <v>4.1753653444676405E-3</v>
      </c>
    </row>
    <row r="176" spans="2:5" ht="15" customHeight="1">
      <c r="B176" s="73"/>
      <c r="C176" s="47" t="s">
        <v>78</v>
      </c>
      <c r="D176" s="46">
        <v>1</v>
      </c>
      <c r="E176" s="45">
        <v>2.0876826722338203E-3</v>
      </c>
    </row>
    <row r="177" spans="2:5" ht="15" customHeight="1">
      <c r="B177" s="73"/>
      <c r="C177" s="47" t="s">
        <v>77</v>
      </c>
      <c r="D177" s="46">
        <v>2</v>
      </c>
      <c r="E177" s="45">
        <v>4.1753653444676405E-3</v>
      </c>
    </row>
    <row r="178" spans="2:5" ht="15" customHeight="1">
      <c r="B178" s="73"/>
      <c r="C178" s="47" t="s">
        <v>273</v>
      </c>
      <c r="D178" s="46">
        <v>2</v>
      </c>
      <c r="E178" s="45">
        <v>4.1753653444676405E-3</v>
      </c>
    </row>
    <row r="179" spans="2:5" ht="15" customHeight="1">
      <c r="B179" s="73"/>
      <c r="C179" s="47" t="s">
        <v>76</v>
      </c>
      <c r="D179" s="46">
        <v>2</v>
      </c>
      <c r="E179" s="45">
        <v>4.1753653444676405E-3</v>
      </c>
    </row>
    <row r="180" spans="2:5" ht="15" customHeight="1">
      <c r="B180" s="73"/>
      <c r="C180" s="47" t="s">
        <v>222</v>
      </c>
      <c r="D180" s="46">
        <v>4</v>
      </c>
      <c r="E180" s="45">
        <v>8.350730688935281E-3</v>
      </c>
    </row>
    <row r="181" spans="2:5" ht="15" customHeight="1">
      <c r="B181" s="73"/>
      <c r="C181" s="47" t="s">
        <v>274</v>
      </c>
      <c r="D181" s="46">
        <v>3</v>
      </c>
      <c r="E181" s="45">
        <v>6.2630480167014616E-3</v>
      </c>
    </row>
    <row r="182" spans="2:5" ht="15" customHeight="1">
      <c r="B182" s="74"/>
      <c r="C182" s="44" t="s">
        <v>15</v>
      </c>
      <c r="D182" s="43">
        <v>29</v>
      </c>
      <c r="E182" s="42">
        <v>6.0542797494780795E-2</v>
      </c>
    </row>
    <row r="183" spans="2:5" ht="15" customHeight="1">
      <c r="B183" s="72" t="s">
        <v>20</v>
      </c>
      <c r="C183" s="47" t="s">
        <v>75</v>
      </c>
      <c r="D183" s="46">
        <v>1</v>
      </c>
      <c r="E183" s="45">
        <v>2.0876826722338203E-3</v>
      </c>
    </row>
    <row r="184" spans="2:5" ht="15" customHeight="1">
      <c r="B184" s="73"/>
      <c r="C184" s="47" t="s">
        <v>74</v>
      </c>
      <c r="D184" s="46">
        <v>1</v>
      </c>
      <c r="E184" s="45">
        <v>2.0876826722338203E-3</v>
      </c>
    </row>
    <row r="185" spans="2:5" ht="15" customHeight="1">
      <c r="B185" s="73"/>
      <c r="C185" s="47" t="s">
        <v>73</v>
      </c>
      <c r="D185" s="46">
        <v>1</v>
      </c>
      <c r="E185" s="45">
        <v>2.0876826722338203E-3</v>
      </c>
    </row>
    <row r="186" spans="2:5" ht="15" customHeight="1">
      <c r="B186" s="74"/>
      <c r="C186" s="44" t="s">
        <v>15</v>
      </c>
      <c r="D186" s="43">
        <v>3</v>
      </c>
      <c r="E186" s="42">
        <v>6.2630480167014616E-3</v>
      </c>
    </row>
    <row r="187" spans="2:5" ht="15" customHeight="1">
      <c r="B187" s="72" t="s">
        <v>32</v>
      </c>
      <c r="C187" s="47" t="s">
        <v>72</v>
      </c>
      <c r="D187" s="46">
        <v>2</v>
      </c>
      <c r="E187" s="45">
        <v>4.1753653444676405E-3</v>
      </c>
    </row>
    <row r="188" spans="2:5" ht="15" customHeight="1">
      <c r="B188" s="73"/>
      <c r="C188" s="47" t="s">
        <v>275</v>
      </c>
      <c r="D188" s="46">
        <v>1</v>
      </c>
      <c r="E188" s="45">
        <v>2.0876826722338203E-3</v>
      </c>
    </row>
    <row r="189" spans="2:5" ht="15" customHeight="1">
      <c r="B189" s="73"/>
      <c r="C189" s="47" t="s">
        <v>32</v>
      </c>
      <c r="D189" s="46">
        <v>1</v>
      </c>
      <c r="E189" s="45">
        <v>2.0876826722338203E-3</v>
      </c>
    </row>
    <row r="190" spans="2:5" ht="15" customHeight="1">
      <c r="B190" s="73"/>
      <c r="C190" s="47" t="s">
        <v>276</v>
      </c>
      <c r="D190" s="46">
        <v>1</v>
      </c>
      <c r="E190" s="45">
        <v>2.0876826722338203E-3</v>
      </c>
    </row>
    <row r="191" spans="2:5" ht="15" customHeight="1">
      <c r="B191" s="73"/>
      <c r="C191" s="47" t="s">
        <v>71</v>
      </c>
      <c r="D191" s="46">
        <v>1</v>
      </c>
      <c r="E191" s="45">
        <v>2.0876826722338203E-3</v>
      </c>
    </row>
    <row r="192" spans="2:5" ht="15" customHeight="1">
      <c r="B192" s="73"/>
      <c r="C192" s="47" t="s">
        <v>277</v>
      </c>
      <c r="D192" s="46">
        <v>2</v>
      </c>
      <c r="E192" s="45">
        <v>4.1753653444676405E-3</v>
      </c>
    </row>
    <row r="193" spans="1:5" ht="15" customHeight="1">
      <c r="B193" s="74"/>
      <c r="C193" s="44" t="s">
        <v>15</v>
      </c>
      <c r="D193" s="43">
        <v>8</v>
      </c>
      <c r="E193" s="42">
        <v>1.6701461377870562E-2</v>
      </c>
    </row>
    <row r="194" spans="1:5" ht="15" customHeight="1">
      <c r="B194" s="72" t="s">
        <v>33</v>
      </c>
      <c r="C194" s="47" t="s">
        <v>70</v>
      </c>
      <c r="D194" s="46">
        <v>1</v>
      </c>
      <c r="E194" s="45">
        <v>2.0876826722338203E-3</v>
      </c>
    </row>
    <row r="195" spans="1:5" ht="15" customHeight="1">
      <c r="B195" s="73"/>
      <c r="C195" s="47" t="s">
        <v>278</v>
      </c>
      <c r="D195" s="46">
        <v>1</v>
      </c>
      <c r="E195" s="45">
        <v>2.0876826722338203E-3</v>
      </c>
    </row>
    <row r="196" spans="1:5" ht="15" customHeight="1">
      <c r="B196" s="73"/>
      <c r="C196" s="47" t="s">
        <v>69</v>
      </c>
      <c r="D196" s="46">
        <v>1</v>
      </c>
      <c r="E196" s="45">
        <v>2.0876826722338203E-3</v>
      </c>
    </row>
    <row r="197" spans="1:5" s="37" customFormat="1" ht="15" customHeight="1">
      <c r="A197" s="36"/>
      <c r="B197" s="73"/>
      <c r="C197" s="47" t="s">
        <v>68</v>
      </c>
      <c r="D197" s="46">
        <v>8</v>
      </c>
      <c r="E197" s="45">
        <v>1.6701461377870562E-2</v>
      </c>
    </row>
    <row r="198" spans="1:5" s="37" customFormat="1" ht="15" customHeight="1">
      <c r="A198" s="36"/>
      <c r="B198" s="73"/>
      <c r="C198" s="47" t="s">
        <v>279</v>
      </c>
      <c r="D198" s="46">
        <v>4</v>
      </c>
      <c r="E198" s="45">
        <v>8.350730688935281E-3</v>
      </c>
    </row>
    <row r="199" spans="1:5" s="37" customFormat="1" ht="15" customHeight="1">
      <c r="A199" s="36"/>
      <c r="B199" s="73"/>
      <c r="C199" s="47" t="s">
        <v>280</v>
      </c>
      <c r="D199" s="46">
        <v>1</v>
      </c>
      <c r="E199" s="45">
        <v>2.0876826722338203E-3</v>
      </c>
    </row>
    <row r="200" spans="1:5" s="37" customFormat="1" ht="15" customHeight="1">
      <c r="A200" s="36"/>
      <c r="B200" s="74"/>
      <c r="C200" s="44" t="s">
        <v>15</v>
      </c>
      <c r="D200" s="43">
        <v>16</v>
      </c>
      <c r="E200" s="42">
        <v>3.3402922755741124E-2</v>
      </c>
    </row>
    <row r="201" spans="1:5" s="37" customFormat="1" ht="15" customHeight="1">
      <c r="A201" s="36"/>
      <c r="B201" s="72" t="s">
        <v>30</v>
      </c>
      <c r="C201" s="47" t="s">
        <v>281</v>
      </c>
      <c r="D201" s="46">
        <v>1</v>
      </c>
      <c r="E201" s="45">
        <v>2.0876826722338203E-3</v>
      </c>
    </row>
    <row r="202" spans="1:5" ht="15" customHeight="1">
      <c r="B202" s="73"/>
      <c r="C202" s="47" t="s">
        <v>282</v>
      </c>
      <c r="D202" s="46">
        <v>1</v>
      </c>
      <c r="E202" s="45">
        <v>2.0876826722338203E-3</v>
      </c>
    </row>
    <row r="203" spans="1:5" ht="15" customHeight="1">
      <c r="B203" s="73"/>
      <c r="C203" s="47" t="s">
        <v>67</v>
      </c>
      <c r="D203" s="46">
        <v>4</v>
      </c>
      <c r="E203" s="45">
        <v>8.350730688935281E-3</v>
      </c>
    </row>
    <row r="204" spans="1:5" ht="15" customHeight="1">
      <c r="B204" s="73"/>
      <c r="C204" s="47" t="s">
        <v>66</v>
      </c>
      <c r="D204" s="46">
        <v>2</v>
      </c>
      <c r="E204" s="45">
        <v>4.1753653444676405E-3</v>
      </c>
    </row>
    <row r="205" spans="1:5" ht="15" customHeight="1">
      <c r="B205" s="73"/>
      <c r="C205" s="47" t="s">
        <v>65</v>
      </c>
      <c r="D205" s="46">
        <v>1</v>
      </c>
      <c r="E205" s="45">
        <v>2.0876826722338203E-3</v>
      </c>
    </row>
    <row r="206" spans="1:5" ht="15" customHeight="1">
      <c r="B206" s="74"/>
      <c r="C206" s="44" t="s">
        <v>15</v>
      </c>
      <c r="D206" s="43">
        <v>9</v>
      </c>
      <c r="E206" s="42">
        <v>1.8789144050104383E-2</v>
      </c>
    </row>
    <row r="207" spans="1:5" ht="15" customHeight="1">
      <c r="B207" s="72" t="s">
        <v>16</v>
      </c>
      <c r="C207" s="47" t="s">
        <v>64</v>
      </c>
      <c r="D207" s="46">
        <v>1</v>
      </c>
      <c r="E207" s="45">
        <v>2.0876826722338203E-3</v>
      </c>
    </row>
    <row r="208" spans="1:5" ht="15" customHeight="1">
      <c r="B208" s="73"/>
      <c r="C208" s="47" t="s">
        <v>283</v>
      </c>
      <c r="D208" s="46">
        <v>1</v>
      </c>
      <c r="E208" s="45">
        <v>2.0876826722338203E-3</v>
      </c>
    </row>
    <row r="209" spans="2:5" ht="15" customHeight="1">
      <c r="B209" s="74"/>
      <c r="C209" s="44" t="s">
        <v>15</v>
      </c>
      <c r="D209" s="43">
        <v>2</v>
      </c>
      <c r="E209" s="42">
        <v>4.1753653444676405E-3</v>
      </c>
    </row>
    <row r="210" spans="2:5" ht="15" customHeight="1">
      <c r="B210" s="72" t="s">
        <v>19</v>
      </c>
      <c r="C210" s="47" t="s">
        <v>284</v>
      </c>
      <c r="D210" s="46">
        <v>1</v>
      </c>
      <c r="E210" s="45">
        <v>2.0876826722338203E-3</v>
      </c>
    </row>
    <row r="211" spans="2:5" ht="15" customHeight="1">
      <c r="B211" s="73"/>
      <c r="C211" s="47" t="s">
        <v>63</v>
      </c>
      <c r="D211" s="46">
        <v>1</v>
      </c>
      <c r="E211" s="45">
        <v>2.0876826722338203E-3</v>
      </c>
    </row>
    <row r="212" spans="2:5" ht="15" customHeight="1">
      <c r="B212" s="73"/>
      <c r="C212" s="47" t="s">
        <v>285</v>
      </c>
      <c r="D212" s="46">
        <v>1</v>
      </c>
      <c r="E212" s="45">
        <v>2.0876826722338203E-3</v>
      </c>
    </row>
    <row r="213" spans="2:5" ht="15" customHeight="1">
      <c r="B213" s="74"/>
      <c r="C213" s="44" t="s">
        <v>15</v>
      </c>
      <c r="D213" s="43">
        <v>3</v>
      </c>
      <c r="E213" s="42">
        <v>6.2630480167014616E-3</v>
      </c>
    </row>
    <row r="214" spans="2:5" ht="15" customHeight="1">
      <c r="B214" s="72" t="s">
        <v>42</v>
      </c>
      <c r="C214" s="47" t="s">
        <v>286</v>
      </c>
      <c r="D214" s="46">
        <v>1</v>
      </c>
      <c r="E214" s="45">
        <v>2.0876826722338203E-3</v>
      </c>
    </row>
    <row r="215" spans="2:5" ht="15" customHeight="1">
      <c r="B215" s="73"/>
      <c r="C215" s="47" t="s">
        <v>62</v>
      </c>
      <c r="D215" s="46">
        <v>8</v>
      </c>
      <c r="E215" s="45">
        <v>1.6701461377870562E-2</v>
      </c>
    </row>
    <row r="216" spans="2:5" ht="15" customHeight="1">
      <c r="B216" s="73"/>
      <c r="C216" s="47" t="s">
        <v>61</v>
      </c>
      <c r="D216" s="46">
        <v>3</v>
      </c>
      <c r="E216" s="45">
        <v>6.2630480167014616E-3</v>
      </c>
    </row>
    <row r="217" spans="2:5" ht="15" customHeight="1">
      <c r="B217" s="73"/>
      <c r="C217" s="47" t="s">
        <v>60</v>
      </c>
      <c r="D217" s="46">
        <v>5</v>
      </c>
      <c r="E217" s="45">
        <v>1.0438413361169102E-2</v>
      </c>
    </row>
    <row r="218" spans="2:5" ht="15" customHeight="1">
      <c r="B218" s="73"/>
      <c r="C218" s="47" t="s">
        <v>59</v>
      </c>
      <c r="D218" s="46">
        <v>3</v>
      </c>
      <c r="E218" s="45">
        <v>6.2630480167014616E-3</v>
      </c>
    </row>
    <row r="219" spans="2:5" ht="15" customHeight="1">
      <c r="B219" s="73"/>
      <c r="C219" s="47" t="s">
        <v>58</v>
      </c>
      <c r="D219" s="46">
        <v>33</v>
      </c>
      <c r="E219" s="45">
        <v>6.889352818371608E-2</v>
      </c>
    </row>
    <row r="220" spans="2:5" ht="15" customHeight="1">
      <c r="B220" s="73"/>
      <c r="C220" s="47" t="s">
        <v>57</v>
      </c>
      <c r="D220" s="46">
        <v>1</v>
      </c>
      <c r="E220" s="45">
        <v>2.0876826722338203E-3</v>
      </c>
    </row>
    <row r="221" spans="2:5" ht="15" customHeight="1">
      <c r="B221" s="73"/>
      <c r="C221" s="47" t="s">
        <v>287</v>
      </c>
      <c r="D221" s="46">
        <v>2</v>
      </c>
      <c r="E221" s="45">
        <v>4.1753653444676405E-3</v>
      </c>
    </row>
    <row r="222" spans="2:5" ht="15" customHeight="1">
      <c r="B222" s="73"/>
      <c r="C222" s="47" t="s">
        <v>42</v>
      </c>
      <c r="D222" s="46">
        <v>4</v>
      </c>
      <c r="E222" s="45">
        <v>8.350730688935281E-3</v>
      </c>
    </row>
    <row r="223" spans="2:5" ht="15" customHeight="1">
      <c r="B223" s="73"/>
      <c r="C223" s="47" t="s">
        <v>56</v>
      </c>
      <c r="D223" s="46">
        <v>3</v>
      </c>
      <c r="E223" s="45">
        <v>6.2630480167014616E-3</v>
      </c>
    </row>
    <row r="224" spans="2:5" ht="15" customHeight="1">
      <c r="B224" s="73"/>
      <c r="C224" s="47" t="s">
        <v>288</v>
      </c>
      <c r="D224" s="46">
        <v>1</v>
      </c>
      <c r="E224" s="45">
        <v>2.0876826722338203E-3</v>
      </c>
    </row>
    <row r="225" spans="2:5" ht="15" customHeight="1">
      <c r="B225" s="73"/>
      <c r="C225" s="47" t="s">
        <v>55</v>
      </c>
      <c r="D225" s="46">
        <v>2</v>
      </c>
      <c r="E225" s="45">
        <v>4.1753653444676405E-3</v>
      </c>
    </row>
    <row r="226" spans="2:5" ht="15" customHeight="1">
      <c r="B226" s="74"/>
      <c r="C226" s="44" t="s">
        <v>15</v>
      </c>
      <c r="D226" s="43">
        <v>66</v>
      </c>
      <c r="E226" s="42">
        <v>0.13778705636743216</v>
      </c>
    </row>
    <row r="227" spans="2:5" ht="15" customHeight="1">
      <c r="B227" s="72" t="s">
        <v>28</v>
      </c>
      <c r="C227" s="47" t="s">
        <v>289</v>
      </c>
      <c r="D227" s="46">
        <v>1</v>
      </c>
      <c r="E227" s="45">
        <v>2.0876826722338203E-3</v>
      </c>
    </row>
    <row r="228" spans="2:5" ht="15" customHeight="1">
      <c r="B228" s="73"/>
      <c r="C228" s="47" t="s">
        <v>290</v>
      </c>
      <c r="D228" s="46">
        <v>1</v>
      </c>
      <c r="E228" s="45">
        <v>2.0876826722338203E-3</v>
      </c>
    </row>
    <row r="229" spans="2:5" ht="15" customHeight="1">
      <c r="B229" s="73"/>
      <c r="C229" s="47" t="s">
        <v>291</v>
      </c>
      <c r="D229" s="46">
        <v>1</v>
      </c>
      <c r="E229" s="45">
        <v>2.0876826722338203E-3</v>
      </c>
    </row>
    <row r="230" spans="2:5" ht="15" customHeight="1">
      <c r="B230" s="73"/>
      <c r="C230" s="47" t="s">
        <v>292</v>
      </c>
      <c r="D230" s="46">
        <v>2</v>
      </c>
      <c r="E230" s="45">
        <v>4.1753653444676405E-3</v>
      </c>
    </row>
    <row r="231" spans="2:5" ht="15" customHeight="1">
      <c r="B231" s="73"/>
      <c r="C231" s="47" t="s">
        <v>293</v>
      </c>
      <c r="D231" s="46">
        <v>1</v>
      </c>
      <c r="E231" s="45">
        <v>2.0876826722338203E-3</v>
      </c>
    </row>
    <row r="232" spans="2:5" ht="15" customHeight="1">
      <c r="B232" s="74"/>
      <c r="C232" s="44" t="s">
        <v>15</v>
      </c>
      <c r="D232" s="43">
        <v>6</v>
      </c>
      <c r="E232" s="42">
        <v>1.2526096033402923E-2</v>
      </c>
    </row>
    <row r="233" spans="2:5" ht="15" customHeight="1">
      <c r="B233" s="72" t="s">
        <v>196</v>
      </c>
      <c r="C233" s="47" t="s">
        <v>294</v>
      </c>
      <c r="D233" s="46">
        <v>1</v>
      </c>
      <c r="E233" s="45">
        <v>2.0876826722338203E-3</v>
      </c>
    </row>
    <row r="234" spans="2:5" ht="15" customHeight="1">
      <c r="B234" s="74"/>
      <c r="C234" s="44" t="s">
        <v>15</v>
      </c>
      <c r="D234" s="43">
        <v>1</v>
      </c>
      <c r="E234" s="42">
        <v>2.0876826722338203E-3</v>
      </c>
    </row>
    <row r="235" spans="2:5" ht="15" customHeight="1">
      <c r="B235" s="72" t="s">
        <v>38</v>
      </c>
      <c r="C235" s="47" t="s">
        <v>54</v>
      </c>
      <c r="D235" s="46">
        <v>1</v>
      </c>
      <c r="E235" s="45">
        <v>2.0876826722338203E-3</v>
      </c>
    </row>
    <row r="236" spans="2:5" ht="15" customHeight="1">
      <c r="B236" s="73"/>
      <c r="C236" s="47" t="s">
        <v>53</v>
      </c>
      <c r="D236" s="46">
        <v>2</v>
      </c>
      <c r="E236" s="45">
        <v>4.1753653444676405E-3</v>
      </c>
    </row>
    <row r="237" spans="2:5" ht="15" customHeight="1">
      <c r="B237" s="73"/>
      <c r="C237" s="47" t="s">
        <v>295</v>
      </c>
      <c r="D237" s="46">
        <v>1</v>
      </c>
      <c r="E237" s="45">
        <v>2.0876826722338203E-3</v>
      </c>
    </row>
    <row r="238" spans="2:5" ht="15" customHeight="1">
      <c r="B238" s="73"/>
      <c r="C238" s="47" t="s">
        <v>52</v>
      </c>
      <c r="D238" s="46">
        <v>1</v>
      </c>
      <c r="E238" s="45">
        <v>2.0876826722338203E-3</v>
      </c>
    </row>
    <row r="239" spans="2:5" ht="15" customHeight="1">
      <c r="B239" s="73"/>
      <c r="C239" s="47" t="s">
        <v>51</v>
      </c>
      <c r="D239" s="46">
        <v>1</v>
      </c>
      <c r="E239" s="45">
        <v>2.0876826722338203E-3</v>
      </c>
    </row>
    <row r="240" spans="2:5" ht="15" customHeight="1">
      <c r="B240" s="73"/>
      <c r="C240" s="47" t="s">
        <v>296</v>
      </c>
      <c r="D240" s="46">
        <v>1</v>
      </c>
      <c r="E240" s="45">
        <v>2.0876826722338203E-3</v>
      </c>
    </row>
    <row r="241" spans="2:6" ht="15" customHeight="1">
      <c r="B241" s="73"/>
      <c r="C241" s="47" t="s">
        <v>297</v>
      </c>
      <c r="D241" s="46">
        <v>1</v>
      </c>
      <c r="E241" s="45">
        <v>2.0876826722338203E-3</v>
      </c>
    </row>
    <row r="242" spans="2:6" ht="15" customHeight="1">
      <c r="B242" s="73"/>
      <c r="C242" s="47" t="s">
        <v>50</v>
      </c>
      <c r="D242" s="46">
        <v>1</v>
      </c>
      <c r="E242" s="45">
        <v>2.0876826722338203E-3</v>
      </c>
    </row>
    <row r="243" spans="2:6" ht="15" customHeight="1">
      <c r="B243" s="73"/>
      <c r="C243" s="47" t="s">
        <v>49</v>
      </c>
      <c r="D243" s="46">
        <v>1</v>
      </c>
      <c r="E243" s="45">
        <v>2.0876826722338203E-3</v>
      </c>
    </row>
    <row r="244" spans="2:6" ht="15" customHeight="1">
      <c r="B244" s="73"/>
      <c r="C244" s="47" t="s">
        <v>48</v>
      </c>
      <c r="D244" s="46">
        <v>1</v>
      </c>
      <c r="E244" s="45">
        <v>2.0876826722338203E-3</v>
      </c>
    </row>
    <row r="245" spans="2:6" ht="15" customHeight="1">
      <c r="B245" s="73"/>
      <c r="C245" s="47" t="s">
        <v>47</v>
      </c>
      <c r="D245" s="46">
        <v>1</v>
      </c>
      <c r="E245" s="45">
        <v>2.0876826722338203E-3</v>
      </c>
    </row>
    <row r="246" spans="2:6" ht="15" customHeight="1">
      <c r="B246" s="73"/>
      <c r="C246" s="47" t="s">
        <v>38</v>
      </c>
      <c r="D246" s="46">
        <v>3</v>
      </c>
      <c r="E246" s="45">
        <v>6.2630480167014616E-3</v>
      </c>
    </row>
    <row r="247" spans="2:6" ht="15" customHeight="1">
      <c r="B247" s="74"/>
      <c r="C247" s="44" t="s">
        <v>15</v>
      </c>
      <c r="D247" s="43">
        <v>15</v>
      </c>
      <c r="E247" s="42">
        <v>3.1315240083507306E-2</v>
      </c>
    </row>
    <row r="248" spans="2:6" ht="15" customHeight="1">
      <c r="B248" s="75" t="s">
        <v>15</v>
      </c>
      <c r="C248" s="76"/>
      <c r="D248" s="41">
        <f>SUMIF(C$10:C247,"Total",D$10:D247)</f>
        <v>479</v>
      </c>
      <c r="E248" s="40">
        <v>1</v>
      </c>
    </row>
    <row r="250" spans="2:6" ht="15" customHeight="1">
      <c r="B250" s="17"/>
      <c r="C250" s="19" t="s">
        <v>191</v>
      </c>
      <c r="D250"/>
      <c r="E250"/>
      <c r="F250" s="17"/>
    </row>
    <row r="251" spans="2:6" ht="15" customHeight="1">
      <c r="B251" s="17"/>
      <c r="C251" s="21" t="s">
        <v>14</v>
      </c>
      <c r="D251"/>
      <c r="E251"/>
      <c r="F251" s="17"/>
    </row>
    <row r="252" spans="2:6" ht="15" customHeight="1">
      <c r="B252" s="17"/>
      <c r="C252" s="20" t="s">
        <v>13</v>
      </c>
      <c r="D252"/>
      <c r="E252"/>
      <c r="F252" s="17"/>
    </row>
    <row r="253" spans="2:6" ht="15" customHeight="1">
      <c r="B253" s="17"/>
      <c r="C253" s="19" t="s">
        <v>12</v>
      </c>
      <c r="D253"/>
      <c r="E253"/>
      <c r="F253" s="17"/>
    </row>
    <row r="254" spans="2:6" ht="15" customHeight="1">
      <c r="B254" s="17"/>
      <c r="C254" s="19" t="s">
        <v>192</v>
      </c>
      <c r="D254"/>
      <c r="E254"/>
      <c r="F254" s="17"/>
    </row>
  </sheetData>
  <mergeCells count="32">
    <mergeCell ref="B25:B45"/>
    <mergeCell ref="B46:B51"/>
    <mergeCell ref="B7:E8"/>
    <mergeCell ref="B10:B15"/>
    <mergeCell ref="B16:B18"/>
    <mergeCell ref="B19:B20"/>
    <mergeCell ref="B21:B24"/>
    <mergeCell ref="B183:B186"/>
    <mergeCell ref="B187:B193"/>
    <mergeCell ref="B194:B200"/>
    <mergeCell ref="B201:B206"/>
    <mergeCell ref="B52:B56"/>
    <mergeCell ref="B57:B68"/>
    <mergeCell ref="B69:B76"/>
    <mergeCell ref="B77:B84"/>
    <mergeCell ref="B85:B96"/>
    <mergeCell ref="B98:B102"/>
    <mergeCell ref="B103:B112"/>
    <mergeCell ref="B113:B135"/>
    <mergeCell ref="B136:B148"/>
    <mergeCell ref="B149:B150"/>
    <mergeCell ref="B151:B155"/>
    <mergeCell ref="B156:B158"/>
    <mergeCell ref="B159:B166"/>
    <mergeCell ref="B167:B182"/>
    <mergeCell ref="B235:B247"/>
    <mergeCell ref="B248:C248"/>
    <mergeCell ref="B207:B209"/>
    <mergeCell ref="B210:B213"/>
    <mergeCell ref="B214:B226"/>
    <mergeCell ref="B227:B232"/>
    <mergeCell ref="B233:B23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7"/>
  <sheetViews>
    <sheetView showGridLines="0" topLeftCell="A12" zoomScaleNormal="100" zoomScaleSheetLayoutView="115" workbookViewId="0">
      <selection activeCell="D31" sqref="D31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1" t="s">
        <v>162</v>
      </c>
      <c r="C7" s="71"/>
      <c r="D7" s="71"/>
    </row>
    <row r="8" spans="1:4" s="29" customFormat="1" ht="15" customHeight="1">
      <c r="B8" s="71"/>
      <c r="C8" s="71"/>
      <c r="D8" s="71"/>
    </row>
    <row r="9" spans="1:4" s="29" customFormat="1" ht="33" customHeight="1">
      <c r="B9" s="71"/>
      <c r="C9" s="71"/>
      <c r="D9" s="7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161</v>
      </c>
      <c r="C11" s="31" t="s">
        <v>45</v>
      </c>
      <c r="D11" s="30" t="s">
        <v>44</v>
      </c>
    </row>
    <row r="12" spans="1:4">
      <c r="B12" s="27" t="s">
        <v>160</v>
      </c>
      <c r="C12" s="26">
        <v>5</v>
      </c>
      <c r="D12" s="25">
        <v>1.0438413361169102E-2</v>
      </c>
    </row>
    <row r="13" spans="1:4">
      <c r="B13" s="27" t="s">
        <v>159</v>
      </c>
      <c r="C13" s="26">
        <v>1</v>
      </c>
      <c r="D13" s="25">
        <v>2.0876826722338203E-3</v>
      </c>
    </row>
    <row r="14" spans="1:4">
      <c r="A14" s="28"/>
      <c r="B14" s="27" t="s">
        <v>158</v>
      </c>
      <c r="C14" s="26">
        <v>4</v>
      </c>
      <c r="D14" s="25">
        <v>8.350730688935281E-3</v>
      </c>
    </row>
    <row r="15" spans="1:4">
      <c r="A15" s="28"/>
      <c r="B15" s="27" t="s">
        <v>157</v>
      </c>
      <c r="C15" s="26">
        <v>6</v>
      </c>
      <c r="D15" s="25">
        <v>1.2526096033402923E-2</v>
      </c>
    </row>
    <row r="16" spans="1:4">
      <c r="B16" s="27" t="s">
        <v>156</v>
      </c>
      <c r="C16" s="26">
        <v>7</v>
      </c>
      <c r="D16" s="25">
        <v>1.4613778705636743E-2</v>
      </c>
    </row>
    <row r="17" spans="2:4">
      <c r="B17" s="27" t="s">
        <v>155</v>
      </c>
      <c r="C17" s="26">
        <v>32</v>
      </c>
      <c r="D17" s="25">
        <v>6.6805845511482248E-2</v>
      </c>
    </row>
    <row r="18" spans="2:4">
      <c r="B18" s="27" t="s">
        <v>154</v>
      </c>
      <c r="C18" s="26">
        <v>68</v>
      </c>
      <c r="D18" s="25">
        <v>0.14196242171189979</v>
      </c>
    </row>
    <row r="19" spans="2:4">
      <c r="B19" s="27" t="s">
        <v>153</v>
      </c>
      <c r="C19" s="26">
        <v>4</v>
      </c>
      <c r="D19" s="25">
        <v>8.350730688935281E-3</v>
      </c>
    </row>
    <row r="20" spans="2:4">
      <c r="B20" s="27" t="s">
        <v>152</v>
      </c>
      <c r="C20" s="26">
        <v>22</v>
      </c>
      <c r="D20" s="25">
        <v>4.5929018789144051E-2</v>
      </c>
    </row>
    <row r="21" spans="2:4">
      <c r="B21" s="27" t="s">
        <v>151</v>
      </c>
      <c r="C21" s="26">
        <v>20</v>
      </c>
      <c r="D21" s="25">
        <v>4.1753653444676408E-2</v>
      </c>
    </row>
    <row r="22" spans="2:4">
      <c r="B22" s="27" t="s">
        <v>150</v>
      </c>
      <c r="C22" s="26">
        <v>150</v>
      </c>
      <c r="D22" s="25">
        <v>0.31315240083507306</v>
      </c>
    </row>
    <row r="23" spans="2:4">
      <c r="B23" s="27" t="s">
        <v>149</v>
      </c>
      <c r="C23" s="26">
        <v>3</v>
      </c>
      <c r="D23" s="25">
        <v>6.2630480167014616E-3</v>
      </c>
    </row>
    <row r="24" spans="2:4">
      <c r="B24" s="27" t="s">
        <v>148</v>
      </c>
      <c r="C24" s="26">
        <v>48</v>
      </c>
      <c r="D24" s="25">
        <v>0.10020876826722339</v>
      </c>
    </row>
    <row r="25" spans="2:4">
      <c r="B25" s="27" t="s">
        <v>147</v>
      </c>
      <c r="C25" s="26">
        <v>94</v>
      </c>
      <c r="D25" s="25">
        <v>0.19624217118997914</v>
      </c>
    </row>
    <row r="26" spans="2:4">
      <c r="B26" s="27" t="s">
        <v>146</v>
      </c>
      <c r="C26" s="26">
        <v>1</v>
      </c>
      <c r="D26" s="25">
        <v>2.0876826722338203E-3</v>
      </c>
    </row>
    <row r="27" spans="2:4">
      <c r="B27" s="27" t="s">
        <v>298</v>
      </c>
      <c r="C27" s="26">
        <v>4</v>
      </c>
      <c r="D27" s="25">
        <v>8.350730688935281E-3</v>
      </c>
    </row>
    <row r="28" spans="2:4">
      <c r="B28" s="27" t="s">
        <v>299</v>
      </c>
      <c r="C28" s="26">
        <v>2</v>
      </c>
      <c r="D28" s="25">
        <v>4.1753653444676405E-3</v>
      </c>
    </row>
    <row r="29" spans="2:4">
      <c r="B29" s="27" t="s">
        <v>145</v>
      </c>
      <c r="C29" s="26">
        <v>3</v>
      </c>
      <c r="D29" s="25">
        <v>6.2630480167014616E-3</v>
      </c>
    </row>
    <row r="30" spans="2:4">
      <c r="B30" s="27" t="s">
        <v>144</v>
      </c>
      <c r="C30" s="26">
        <v>5</v>
      </c>
      <c r="D30" s="25">
        <v>1.0438413361169102E-2</v>
      </c>
    </row>
    <row r="31" spans="2:4">
      <c r="B31" s="24" t="s">
        <v>15</v>
      </c>
      <c r="C31" s="23">
        <v>479</v>
      </c>
      <c r="D31" s="22">
        <v>1</v>
      </c>
    </row>
    <row r="33" spans="2:4">
      <c r="B33" s="19" t="s">
        <v>191</v>
      </c>
      <c r="C33"/>
      <c r="D33"/>
    </row>
    <row r="34" spans="2:4">
      <c r="B34" s="21" t="s">
        <v>14</v>
      </c>
      <c r="C34"/>
      <c r="D34"/>
    </row>
    <row r="35" spans="2:4">
      <c r="B35" s="20" t="s">
        <v>13</v>
      </c>
      <c r="C35"/>
      <c r="D35"/>
    </row>
    <row r="36" spans="2:4">
      <c r="B36" s="19" t="s">
        <v>12</v>
      </c>
      <c r="C36"/>
      <c r="D36"/>
    </row>
    <row r="37" spans="2:4">
      <c r="B37" s="19" t="s">
        <v>192</v>
      </c>
      <c r="C37"/>
      <c r="D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92"/>
  <sheetViews>
    <sheetView topLeftCell="A175" zoomScaleNormal="100" zoomScaleSheetLayoutView="100" workbookViewId="0">
      <selection activeCell="C202" sqref="C20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161</v>
      </c>
      <c r="C9" s="51" t="s">
        <v>46</v>
      </c>
      <c r="D9" s="50" t="s">
        <v>45</v>
      </c>
      <c r="E9" s="49" t="s">
        <v>44</v>
      </c>
    </row>
    <row r="10" spans="1:5" ht="15" customHeight="1">
      <c r="B10" s="72" t="s">
        <v>160</v>
      </c>
      <c r="C10" s="47" t="s">
        <v>43</v>
      </c>
      <c r="D10" s="46">
        <v>1</v>
      </c>
      <c r="E10" s="45">
        <v>2.0876826722338203E-3</v>
      </c>
    </row>
    <row r="11" spans="1:5" ht="15" customHeight="1">
      <c r="B11" s="73"/>
      <c r="C11" s="47" t="s">
        <v>39</v>
      </c>
      <c r="D11" s="46">
        <v>1</v>
      </c>
      <c r="E11" s="45">
        <v>2.0876826722338203E-3</v>
      </c>
    </row>
    <row r="12" spans="1:5" ht="15" customHeight="1">
      <c r="B12" s="73"/>
      <c r="C12" s="47" t="s">
        <v>41</v>
      </c>
      <c r="D12" s="46">
        <v>1</v>
      </c>
      <c r="E12" s="45">
        <v>2.0876826722338203E-3</v>
      </c>
    </row>
    <row r="13" spans="1:5" ht="15" customHeight="1">
      <c r="B13" s="73"/>
      <c r="C13" s="47" t="s">
        <v>35</v>
      </c>
      <c r="D13" s="46">
        <v>1</v>
      </c>
      <c r="E13" s="45">
        <v>2.0876826722338203E-3</v>
      </c>
    </row>
    <row r="14" spans="1:5" ht="15" customHeight="1">
      <c r="B14" s="73"/>
      <c r="C14" s="47" t="s">
        <v>37</v>
      </c>
      <c r="D14" s="46">
        <v>1</v>
      </c>
      <c r="E14" s="45">
        <v>2.0876826722338203E-3</v>
      </c>
    </row>
    <row r="15" spans="1:5" ht="15" customHeight="1">
      <c r="B15" s="74"/>
      <c r="C15" s="44" t="s">
        <v>15</v>
      </c>
      <c r="D15" s="43">
        <v>5</v>
      </c>
      <c r="E15" s="42">
        <v>1.0438413361169102E-2</v>
      </c>
    </row>
    <row r="16" spans="1:5" ht="15" customHeight="1">
      <c r="B16" s="72" t="s">
        <v>159</v>
      </c>
      <c r="C16" s="47" t="s">
        <v>37</v>
      </c>
      <c r="D16" s="46">
        <v>1</v>
      </c>
      <c r="E16" s="45">
        <v>2.0876826722338203E-3</v>
      </c>
    </row>
    <row r="17" spans="2:5" ht="15" customHeight="1">
      <c r="B17" s="74"/>
      <c r="C17" s="44" t="s">
        <v>15</v>
      </c>
      <c r="D17" s="43">
        <v>1</v>
      </c>
      <c r="E17" s="42">
        <v>2.0876826722338203E-3</v>
      </c>
    </row>
    <row r="18" spans="2:5" ht="15" customHeight="1">
      <c r="B18" s="72" t="s">
        <v>158</v>
      </c>
      <c r="C18" s="47" t="s">
        <v>25</v>
      </c>
      <c r="D18" s="46">
        <v>1</v>
      </c>
      <c r="E18" s="45">
        <v>2.0876826722338203E-3</v>
      </c>
    </row>
    <row r="19" spans="2:5" ht="15" customHeight="1">
      <c r="B19" s="73"/>
      <c r="C19" s="47" t="s">
        <v>43</v>
      </c>
      <c r="D19" s="46">
        <v>2</v>
      </c>
      <c r="E19" s="45">
        <v>4.1753653444676405E-3</v>
      </c>
    </row>
    <row r="20" spans="2:5" ht="15" customHeight="1">
      <c r="B20" s="73"/>
      <c r="C20" s="47" t="s">
        <v>31</v>
      </c>
      <c r="D20" s="46">
        <v>1</v>
      </c>
      <c r="E20" s="45">
        <v>2.0876826722338203E-3</v>
      </c>
    </row>
    <row r="21" spans="2:5" ht="15" customHeight="1">
      <c r="B21" s="74"/>
      <c r="C21" s="44" t="s">
        <v>15</v>
      </c>
      <c r="D21" s="43">
        <v>4</v>
      </c>
      <c r="E21" s="42">
        <v>8.350730688935281E-3</v>
      </c>
    </row>
    <row r="22" spans="2:5" ht="15" customHeight="1">
      <c r="B22" s="72" t="s">
        <v>157</v>
      </c>
      <c r="C22" s="47" t="s">
        <v>25</v>
      </c>
      <c r="D22" s="46">
        <v>1</v>
      </c>
      <c r="E22" s="45">
        <v>2.0876826722338203E-3</v>
      </c>
    </row>
    <row r="23" spans="2:5" ht="15" customHeight="1">
      <c r="B23" s="73"/>
      <c r="C23" s="47" t="s">
        <v>43</v>
      </c>
      <c r="D23" s="46">
        <v>1</v>
      </c>
      <c r="E23" s="45">
        <v>2.0876826722338203E-3</v>
      </c>
    </row>
    <row r="24" spans="2:5" ht="15" customHeight="1">
      <c r="B24" s="73"/>
      <c r="C24" s="47" t="s">
        <v>41</v>
      </c>
      <c r="D24" s="46">
        <v>1</v>
      </c>
      <c r="E24" s="45">
        <v>2.0876826722338203E-3</v>
      </c>
    </row>
    <row r="25" spans="2:5" ht="15" customHeight="1">
      <c r="B25" s="73"/>
      <c r="C25" s="47" t="s">
        <v>40</v>
      </c>
      <c r="D25" s="46">
        <v>2</v>
      </c>
      <c r="E25" s="45">
        <v>4.1753653444676405E-3</v>
      </c>
    </row>
    <row r="26" spans="2:5" ht="15" customHeight="1">
      <c r="B26" s="73"/>
      <c r="C26" s="47" t="s">
        <v>38</v>
      </c>
      <c r="D26" s="46">
        <v>1</v>
      </c>
      <c r="E26" s="45">
        <v>2.0876826722338203E-3</v>
      </c>
    </row>
    <row r="27" spans="2:5" ht="15" customHeight="1">
      <c r="B27" s="74"/>
      <c r="C27" s="44" t="s">
        <v>15</v>
      </c>
      <c r="D27" s="43">
        <v>6</v>
      </c>
      <c r="E27" s="42">
        <v>1.2526096033402923E-2</v>
      </c>
    </row>
    <row r="28" spans="2:5" ht="15" customHeight="1">
      <c r="B28" s="72" t="s">
        <v>156</v>
      </c>
      <c r="C28" s="47" t="s">
        <v>25</v>
      </c>
      <c r="D28" s="46">
        <v>1</v>
      </c>
      <c r="E28" s="45">
        <v>2.0876826722338203E-3</v>
      </c>
    </row>
    <row r="29" spans="2:5" ht="15" customHeight="1">
      <c r="B29" s="73"/>
      <c r="C29" s="47" t="s">
        <v>43</v>
      </c>
      <c r="D29" s="46">
        <v>1</v>
      </c>
      <c r="E29" s="45">
        <v>2.0876826722338203E-3</v>
      </c>
    </row>
    <row r="30" spans="2:5" ht="15" customHeight="1">
      <c r="B30" s="73"/>
      <c r="C30" s="47" t="s">
        <v>29</v>
      </c>
      <c r="D30" s="46">
        <v>1</v>
      </c>
      <c r="E30" s="45">
        <v>2.0876826722338203E-3</v>
      </c>
    </row>
    <row r="31" spans="2:5" ht="15" customHeight="1">
      <c r="B31" s="73"/>
      <c r="C31" s="47" t="s">
        <v>34</v>
      </c>
      <c r="D31" s="46">
        <v>1</v>
      </c>
      <c r="E31" s="45">
        <v>2.0876826722338203E-3</v>
      </c>
    </row>
    <row r="32" spans="2:5" ht="15" customHeight="1">
      <c r="B32" s="73"/>
      <c r="C32" s="47" t="s">
        <v>24</v>
      </c>
      <c r="D32" s="46">
        <v>1</v>
      </c>
      <c r="E32" s="45">
        <v>2.0876826722338203E-3</v>
      </c>
    </row>
    <row r="33" spans="2:5" ht="15" customHeight="1">
      <c r="B33" s="73"/>
      <c r="C33" s="47" t="s">
        <v>37</v>
      </c>
      <c r="D33" s="46">
        <v>1</v>
      </c>
      <c r="E33" s="45">
        <v>2.0876826722338203E-3</v>
      </c>
    </row>
    <row r="34" spans="2:5" ht="15" customHeight="1">
      <c r="B34" s="73"/>
      <c r="C34" s="47" t="s">
        <v>42</v>
      </c>
      <c r="D34" s="46">
        <v>1</v>
      </c>
      <c r="E34" s="45">
        <v>2.0876826722338203E-3</v>
      </c>
    </row>
    <row r="35" spans="2:5" ht="15" customHeight="1">
      <c r="B35" s="74"/>
      <c r="C35" s="44" t="s">
        <v>15</v>
      </c>
      <c r="D35" s="43">
        <v>7</v>
      </c>
      <c r="E35" s="42">
        <v>1.4613778705636743E-2</v>
      </c>
    </row>
    <row r="36" spans="2:5" ht="15" customHeight="1">
      <c r="B36" s="72" t="s">
        <v>155</v>
      </c>
      <c r="C36" s="47" t="s">
        <v>25</v>
      </c>
      <c r="D36" s="46">
        <v>2</v>
      </c>
      <c r="E36" s="45">
        <v>4.1753653444676405E-3</v>
      </c>
    </row>
    <row r="37" spans="2:5" ht="15" customHeight="1">
      <c r="B37" s="73"/>
      <c r="C37" s="47" t="s">
        <v>27</v>
      </c>
      <c r="D37" s="46">
        <v>1</v>
      </c>
      <c r="E37" s="45">
        <v>2.0876826722338203E-3</v>
      </c>
    </row>
    <row r="38" spans="2:5" ht="15" customHeight="1">
      <c r="B38" s="73"/>
      <c r="C38" s="47" t="s">
        <v>43</v>
      </c>
      <c r="D38" s="46">
        <v>9</v>
      </c>
      <c r="E38" s="45">
        <v>1.8789144050104383E-2</v>
      </c>
    </row>
    <row r="39" spans="2:5" ht="15" customHeight="1">
      <c r="B39" s="73"/>
      <c r="C39" s="47" t="s">
        <v>21</v>
      </c>
      <c r="D39" s="46">
        <v>1</v>
      </c>
      <c r="E39" s="45">
        <v>2.0876826722338203E-3</v>
      </c>
    </row>
    <row r="40" spans="2:5" ht="15" customHeight="1">
      <c r="B40" s="73"/>
      <c r="C40" s="47" t="s">
        <v>29</v>
      </c>
      <c r="D40" s="46">
        <v>1</v>
      </c>
      <c r="E40" s="45">
        <v>2.0876826722338203E-3</v>
      </c>
    </row>
    <row r="41" spans="2:5" ht="15" customHeight="1">
      <c r="B41" s="73"/>
      <c r="C41" s="47" t="s">
        <v>24</v>
      </c>
      <c r="D41" s="46">
        <v>1</v>
      </c>
      <c r="E41" s="45">
        <v>2.0876826722338203E-3</v>
      </c>
    </row>
    <row r="42" spans="2:5" ht="15" customHeight="1">
      <c r="B42" s="73"/>
      <c r="C42" s="47" t="s">
        <v>41</v>
      </c>
      <c r="D42" s="46">
        <v>5</v>
      </c>
      <c r="E42" s="45">
        <v>1.0438413361169102E-2</v>
      </c>
    </row>
    <row r="43" spans="2:5" ht="15" customHeight="1">
      <c r="B43" s="73"/>
      <c r="C43" s="47" t="s">
        <v>40</v>
      </c>
      <c r="D43" s="46">
        <v>4</v>
      </c>
      <c r="E43" s="45">
        <v>8.350730688935281E-3</v>
      </c>
    </row>
    <row r="44" spans="2:5" ht="15" customHeight="1">
      <c r="B44" s="73"/>
      <c r="C44" s="47" t="s">
        <v>37</v>
      </c>
      <c r="D44" s="46">
        <v>3</v>
      </c>
      <c r="E44" s="45">
        <v>6.2630480167014616E-3</v>
      </c>
    </row>
    <row r="45" spans="2:5" ht="15" customHeight="1">
      <c r="B45" s="73"/>
      <c r="C45" s="47" t="s">
        <v>20</v>
      </c>
      <c r="D45" s="46">
        <v>1</v>
      </c>
      <c r="E45" s="45">
        <v>2.0876826722338203E-3</v>
      </c>
    </row>
    <row r="46" spans="2:5" ht="15" customHeight="1">
      <c r="B46" s="73"/>
      <c r="C46" s="47" t="s">
        <v>42</v>
      </c>
      <c r="D46" s="46">
        <v>2</v>
      </c>
      <c r="E46" s="45">
        <v>4.1753653444676405E-3</v>
      </c>
    </row>
    <row r="47" spans="2:5" ht="15" customHeight="1">
      <c r="B47" s="73"/>
      <c r="C47" s="47" t="s">
        <v>38</v>
      </c>
      <c r="D47" s="46">
        <v>2</v>
      </c>
      <c r="E47" s="45">
        <v>4.1753653444676405E-3</v>
      </c>
    </row>
    <row r="48" spans="2:5" ht="15" customHeight="1">
      <c r="B48" s="74"/>
      <c r="C48" s="44" t="s">
        <v>15</v>
      </c>
      <c r="D48" s="43">
        <v>32</v>
      </c>
      <c r="E48" s="42">
        <v>6.6805845511482248E-2</v>
      </c>
    </row>
    <row r="49" spans="2:5" ht="15" customHeight="1">
      <c r="B49" s="72" t="s">
        <v>154</v>
      </c>
      <c r="C49" s="47" t="s">
        <v>25</v>
      </c>
      <c r="D49" s="46">
        <v>4</v>
      </c>
      <c r="E49" s="45">
        <v>8.350730688935281E-3</v>
      </c>
    </row>
    <row r="50" spans="2:5" ht="15" customHeight="1">
      <c r="B50" s="73"/>
      <c r="C50" s="47" t="s">
        <v>27</v>
      </c>
      <c r="D50" s="46">
        <v>1</v>
      </c>
      <c r="E50" s="45">
        <v>2.0876826722338203E-3</v>
      </c>
    </row>
    <row r="51" spans="2:5" ht="15" customHeight="1">
      <c r="B51" s="73"/>
      <c r="C51" s="47" t="s">
        <v>43</v>
      </c>
      <c r="D51" s="46">
        <v>12</v>
      </c>
      <c r="E51" s="45">
        <v>2.5052192066805846E-2</v>
      </c>
    </row>
    <row r="52" spans="2:5" ht="15" customHeight="1">
      <c r="B52" s="73"/>
      <c r="C52" s="47" t="s">
        <v>23</v>
      </c>
      <c r="D52" s="46">
        <v>1</v>
      </c>
      <c r="E52" s="45">
        <v>2.0876826722338203E-3</v>
      </c>
    </row>
    <row r="53" spans="2:5" ht="15" customHeight="1">
      <c r="B53" s="73"/>
      <c r="C53" s="47" t="s">
        <v>21</v>
      </c>
      <c r="D53" s="46">
        <v>3</v>
      </c>
      <c r="E53" s="45">
        <v>6.2630480167014616E-3</v>
      </c>
    </row>
    <row r="54" spans="2:5" ht="15" customHeight="1">
      <c r="B54" s="73"/>
      <c r="C54" s="47" t="s">
        <v>39</v>
      </c>
      <c r="D54" s="46">
        <v>3</v>
      </c>
      <c r="E54" s="45">
        <v>6.2630480167014616E-3</v>
      </c>
    </row>
    <row r="55" spans="2:5" ht="15" customHeight="1">
      <c r="B55" s="73"/>
      <c r="C55" s="47" t="s">
        <v>36</v>
      </c>
      <c r="D55" s="46">
        <v>4</v>
      </c>
      <c r="E55" s="45">
        <v>8.350730688935281E-3</v>
      </c>
    </row>
    <row r="56" spans="2:5" ht="15" customHeight="1">
      <c r="B56" s="73"/>
      <c r="C56" s="47" t="s">
        <v>29</v>
      </c>
      <c r="D56" s="46">
        <v>3</v>
      </c>
      <c r="E56" s="45">
        <v>6.2630480167014616E-3</v>
      </c>
    </row>
    <row r="57" spans="2:5" ht="15" customHeight="1">
      <c r="B57" s="73"/>
      <c r="C57" s="47" t="s">
        <v>24</v>
      </c>
      <c r="D57" s="46">
        <v>4</v>
      </c>
      <c r="E57" s="45">
        <v>8.350730688935281E-3</v>
      </c>
    </row>
    <row r="58" spans="2:5" ht="15" customHeight="1">
      <c r="B58" s="73"/>
      <c r="C58" s="47" t="s">
        <v>41</v>
      </c>
      <c r="D58" s="46">
        <v>9</v>
      </c>
      <c r="E58" s="45">
        <v>1.8789144050104383E-2</v>
      </c>
    </row>
    <row r="59" spans="2:5" ht="15" customHeight="1">
      <c r="B59" s="73"/>
      <c r="C59" s="47" t="s">
        <v>40</v>
      </c>
      <c r="D59" s="46">
        <v>5</v>
      </c>
      <c r="E59" s="45">
        <v>1.0438413361169102E-2</v>
      </c>
    </row>
    <row r="60" spans="2:5" ht="15" customHeight="1">
      <c r="B60" s="73"/>
      <c r="C60" s="47" t="s">
        <v>37</v>
      </c>
      <c r="D60" s="46">
        <v>5</v>
      </c>
      <c r="E60" s="45">
        <v>1.0438413361169102E-2</v>
      </c>
    </row>
    <row r="61" spans="2:5" ht="15" customHeight="1">
      <c r="B61" s="73"/>
      <c r="C61" s="47" t="s">
        <v>33</v>
      </c>
      <c r="D61" s="46">
        <v>1</v>
      </c>
      <c r="E61" s="45">
        <v>2.0876826722338203E-3</v>
      </c>
    </row>
    <row r="62" spans="2:5" ht="15" customHeight="1">
      <c r="B62" s="73"/>
      <c r="C62" s="47" t="s">
        <v>42</v>
      </c>
      <c r="D62" s="46">
        <v>11</v>
      </c>
      <c r="E62" s="45">
        <v>2.2964509394572025E-2</v>
      </c>
    </row>
    <row r="63" spans="2:5" ht="15" customHeight="1">
      <c r="B63" s="73"/>
      <c r="C63" s="47" t="s">
        <v>28</v>
      </c>
      <c r="D63" s="46">
        <v>1</v>
      </c>
      <c r="E63" s="45">
        <v>2.0876826722338203E-3</v>
      </c>
    </row>
    <row r="64" spans="2:5" ht="15" customHeight="1">
      <c r="B64" s="73"/>
      <c r="C64" s="47" t="s">
        <v>38</v>
      </c>
      <c r="D64" s="46">
        <v>1</v>
      </c>
      <c r="E64" s="45">
        <v>2.0876826722338203E-3</v>
      </c>
    </row>
    <row r="65" spans="2:5" ht="15" customHeight="1">
      <c r="B65" s="74"/>
      <c r="C65" s="44" t="s">
        <v>15</v>
      </c>
      <c r="D65" s="43">
        <v>68</v>
      </c>
      <c r="E65" s="42">
        <v>0.14196242171189979</v>
      </c>
    </row>
    <row r="66" spans="2:5" ht="15" customHeight="1">
      <c r="B66" s="72" t="s">
        <v>153</v>
      </c>
      <c r="C66" s="47" t="s">
        <v>43</v>
      </c>
      <c r="D66" s="46">
        <v>1</v>
      </c>
      <c r="E66" s="45">
        <v>2.0876826722338203E-3</v>
      </c>
    </row>
    <row r="67" spans="2:5" ht="15" customHeight="1">
      <c r="B67" s="73"/>
      <c r="C67" s="47" t="s">
        <v>39</v>
      </c>
      <c r="D67" s="46">
        <v>1</v>
      </c>
      <c r="E67" s="45">
        <v>2.0876826722338203E-3</v>
      </c>
    </row>
    <row r="68" spans="2:5" ht="15" customHeight="1">
      <c r="B68" s="73"/>
      <c r="C68" s="47" t="s">
        <v>36</v>
      </c>
      <c r="D68" s="46">
        <v>1</v>
      </c>
      <c r="E68" s="45">
        <v>2.0876826722338203E-3</v>
      </c>
    </row>
    <row r="69" spans="2:5" ht="15" customHeight="1">
      <c r="B69" s="73"/>
      <c r="C69" s="47" t="s">
        <v>37</v>
      </c>
      <c r="D69" s="46">
        <v>1</v>
      </c>
      <c r="E69" s="45">
        <v>2.0876826722338203E-3</v>
      </c>
    </row>
    <row r="70" spans="2:5" ht="15" customHeight="1">
      <c r="B70" s="74"/>
      <c r="C70" s="44" t="s">
        <v>15</v>
      </c>
      <c r="D70" s="43">
        <v>4</v>
      </c>
      <c r="E70" s="42">
        <v>8.350730688935281E-3</v>
      </c>
    </row>
    <row r="71" spans="2:5" ht="15" customHeight="1">
      <c r="B71" s="72" t="s">
        <v>152</v>
      </c>
      <c r="C71" s="47" t="s">
        <v>25</v>
      </c>
      <c r="D71" s="46">
        <v>2</v>
      </c>
      <c r="E71" s="45">
        <v>4.1753653444676405E-3</v>
      </c>
    </row>
    <row r="72" spans="2:5" ht="15" customHeight="1">
      <c r="B72" s="73"/>
      <c r="C72" s="47" t="s">
        <v>43</v>
      </c>
      <c r="D72" s="46">
        <v>5</v>
      </c>
      <c r="E72" s="45">
        <v>1.0438413361169102E-2</v>
      </c>
    </row>
    <row r="73" spans="2:5" ht="15" customHeight="1">
      <c r="B73" s="73"/>
      <c r="C73" s="47" t="s">
        <v>21</v>
      </c>
      <c r="D73" s="46">
        <v>1</v>
      </c>
      <c r="E73" s="45">
        <v>2.0876826722338203E-3</v>
      </c>
    </row>
    <row r="74" spans="2:5" ht="15" customHeight="1">
      <c r="B74" s="73"/>
      <c r="C74" s="47" t="s">
        <v>39</v>
      </c>
      <c r="D74" s="46">
        <v>1</v>
      </c>
      <c r="E74" s="45">
        <v>2.0876826722338203E-3</v>
      </c>
    </row>
    <row r="75" spans="2:5" ht="15" customHeight="1">
      <c r="B75" s="73"/>
      <c r="C75" s="47" t="s">
        <v>36</v>
      </c>
      <c r="D75" s="46">
        <v>3</v>
      </c>
      <c r="E75" s="45">
        <v>6.2630480167014616E-3</v>
      </c>
    </row>
    <row r="76" spans="2:5" ht="15" customHeight="1">
      <c r="B76" s="73"/>
      <c r="C76" s="47" t="s">
        <v>29</v>
      </c>
      <c r="D76" s="46">
        <v>2</v>
      </c>
      <c r="E76" s="45">
        <v>4.1753653444676405E-3</v>
      </c>
    </row>
    <row r="77" spans="2:5" ht="15" customHeight="1">
      <c r="B77" s="73"/>
      <c r="C77" s="47" t="s">
        <v>34</v>
      </c>
      <c r="D77" s="46">
        <v>1</v>
      </c>
      <c r="E77" s="45">
        <v>2.0876826722338203E-3</v>
      </c>
    </row>
    <row r="78" spans="2:5" ht="15" customHeight="1">
      <c r="B78" s="73"/>
      <c r="C78" s="47" t="s">
        <v>24</v>
      </c>
      <c r="D78" s="46">
        <v>1</v>
      </c>
      <c r="E78" s="45">
        <v>2.0876826722338203E-3</v>
      </c>
    </row>
    <row r="79" spans="2:5" ht="15" customHeight="1">
      <c r="B79" s="73"/>
      <c r="C79" s="47" t="s">
        <v>41</v>
      </c>
      <c r="D79" s="46">
        <v>1</v>
      </c>
      <c r="E79" s="45">
        <v>2.0876826722338203E-3</v>
      </c>
    </row>
    <row r="80" spans="2:5" ht="15" customHeight="1">
      <c r="B80" s="73"/>
      <c r="C80" s="47" t="s">
        <v>26</v>
      </c>
      <c r="D80" s="46">
        <v>1</v>
      </c>
      <c r="E80" s="45">
        <v>2.0876826722338203E-3</v>
      </c>
    </row>
    <row r="81" spans="2:5" ht="15" customHeight="1">
      <c r="B81" s="73"/>
      <c r="C81" s="47" t="s">
        <v>37</v>
      </c>
      <c r="D81" s="46">
        <v>1</v>
      </c>
      <c r="E81" s="45">
        <v>2.0876826722338203E-3</v>
      </c>
    </row>
    <row r="82" spans="2:5" ht="15" customHeight="1">
      <c r="B82" s="73"/>
      <c r="C82" s="47" t="s">
        <v>32</v>
      </c>
      <c r="D82" s="46">
        <v>1</v>
      </c>
      <c r="E82" s="45">
        <v>2.0876826722338203E-3</v>
      </c>
    </row>
    <row r="83" spans="2:5" ht="15" customHeight="1">
      <c r="B83" s="73"/>
      <c r="C83" s="47" t="s">
        <v>30</v>
      </c>
      <c r="D83" s="46">
        <v>1</v>
      </c>
      <c r="E83" s="45">
        <v>2.0876826722338203E-3</v>
      </c>
    </row>
    <row r="84" spans="2:5" ht="15" customHeight="1">
      <c r="B84" s="73"/>
      <c r="C84" s="47" t="s">
        <v>38</v>
      </c>
      <c r="D84" s="46">
        <v>1</v>
      </c>
      <c r="E84" s="45">
        <v>2.0876826722338203E-3</v>
      </c>
    </row>
    <row r="85" spans="2:5" ht="15" customHeight="1">
      <c r="B85" s="74"/>
      <c r="C85" s="44" t="s">
        <v>15</v>
      </c>
      <c r="D85" s="43">
        <v>22</v>
      </c>
      <c r="E85" s="42">
        <v>4.5929018789144051E-2</v>
      </c>
    </row>
    <row r="86" spans="2:5" ht="15" customHeight="1">
      <c r="B86" s="72" t="s">
        <v>151</v>
      </c>
      <c r="C86" s="47" t="s">
        <v>195</v>
      </c>
      <c r="D86" s="46">
        <v>1</v>
      </c>
      <c r="E86" s="45">
        <v>2.0876826722338203E-3</v>
      </c>
    </row>
    <row r="87" spans="2:5" ht="15" customHeight="1">
      <c r="B87" s="73"/>
      <c r="C87" s="47" t="s">
        <v>43</v>
      </c>
      <c r="D87" s="46">
        <v>2</v>
      </c>
      <c r="E87" s="45">
        <v>4.1753653444676405E-3</v>
      </c>
    </row>
    <row r="88" spans="2:5" ht="15" customHeight="1">
      <c r="B88" s="73"/>
      <c r="C88" s="47" t="s">
        <v>23</v>
      </c>
      <c r="D88" s="46">
        <v>1</v>
      </c>
      <c r="E88" s="45">
        <v>2.0876826722338203E-3</v>
      </c>
    </row>
    <row r="89" spans="2:5" ht="15" customHeight="1">
      <c r="B89" s="73"/>
      <c r="C89" s="47" t="s">
        <v>39</v>
      </c>
      <c r="D89" s="46">
        <v>1</v>
      </c>
      <c r="E89" s="45">
        <v>2.0876826722338203E-3</v>
      </c>
    </row>
    <row r="90" spans="2:5" ht="15" customHeight="1">
      <c r="B90" s="73"/>
      <c r="C90" s="47" t="s">
        <v>31</v>
      </c>
      <c r="D90" s="46">
        <v>1</v>
      </c>
      <c r="E90" s="45">
        <v>2.0876826722338203E-3</v>
      </c>
    </row>
    <row r="91" spans="2:5" ht="15" customHeight="1">
      <c r="B91" s="73"/>
      <c r="C91" s="47" t="s">
        <v>29</v>
      </c>
      <c r="D91" s="46">
        <v>1</v>
      </c>
      <c r="E91" s="45">
        <v>2.0876826722338203E-3</v>
      </c>
    </row>
    <row r="92" spans="2:5" ht="15" customHeight="1">
      <c r="B92" s="73"/>
      <c r="C92" s="47" t="s">
        <v>41</v>
      </c>
      <c r="D92" s="46">
        <v>3</v>
      </c>
      <c r="E92" s="45">
        <v>6.2630480167014616E-3</v>
      </c>
    </row>
    <row r="93" spans="2:5" ht="15" customHeight="1">
      <c r="B93" s="73"/>
      <c r="C93" s="47" t="s">
        <v>35</v>
      </c>
      <c r="D93" s="46">
        <v>1</v>
      </c>
      <c r="E93" s="45">
        <v>2.0876826722338203E-3</v>
      </c>
    </row>
    <row r="94" spans="2:5" ht="15" customHeight="1">
      <c r="B94" s="73"/>
      <c r="C94" s="47" t="s">
        <v>42</v>
      </c>
      <c r="D94" s="46">
        <v>6</v>
      </c>
      <c r="E94" s="45">
        <v>1.2526096033402923E-2</v>
      </c>
    </row>
    <row r="95" spans="2:5" ht="15" customHeight="1">
      <c r="B95" s="73"/>
      <c r="C95" s="47" t="s">
        <v>38</v>
      </c>
      <c r="D95" s="46">
        <v>3</v>
      </c>
      <c r="E95" s="45">
        <v>6.2630480167014616E-3</v>
      </c>
    </row>
    <row r="96" spans="2:5" ht="15" customHeight="1">
      <c r="B96" s="74"/>
      <c r="C96" s="44" t="s">
        <v>15</v>
      </c>
      <c r="D96" s="43">
        <v>20</v>
      </c>
      <c r="E96" s="42">
        <v>4.1753653444676408E-2</v>
      </c>
    </row>
    <row r="97" spans="2:5" ht="15" customHeight="1">
      <c r="B97" s="72" t="s">
        <v>150</v>
      </c>
      <c r="C97" s="47" t="s">
        <v>25</v>
      </c>
      <c r="D97" s="46">
        <v>7</v>
      </c>
      <c r="E97" s="45">
        <v>1.4613778705636743E-2</v>
      </c>
    </row>
    <row r="98" spans="2:5" ht="15" customHeight="1">
      <c r="B98" s="73"/>
      <c r="C98" s="47" t="s">
        <v>27</v>
      </c>
      <c r="D98" s="46">
        <v>1</v>
      </c>
      <c r="E98" s="45">
        <v>2.0876826722338203E-3</v>
      </c>
    </row>
    <row r="99" spans="2:5" ht="15" customHeight="1">
      <c r="B99" s="73"/>
      <c r="C99" s="47" t="s">
        <v>43</v>
      </c>
      <c r="D99" s="46">
        <v>22</v>
      </c>
      <c r="E99" s="45">
        <v>4.5929018789144051E-2</v>
      </c>
    </row>
    <row r="100" spans="2:5" ht="15" customHeight="1">
      <c r="B100" s="73"/>
      <c r="C100" s="47" t="s">
        <v>23</v>
      </c>
      <c r="D100" s="46">
        <v>4</v>
      </c>
      <c r="E100" s="45">
        <v>8.350730688935281E-3</v>
      </c>
    </row>
    <row r="101" spans="2:5" ht="15" customHeight="1">
      <c r="B101" s="73"/>
      <c r="C101" s="47" t="s">
        <v>21</v>
      </c>
      <c r="D101" s="46">
        <v>1</v>
      </c>
      <c r="E101" s="45">
        <v>2.0876826722338203E-3</v>
      </c>
    </row>
    <row r="102" spans="2:5" ht="15" customHeight="1">
      <c r="B102" s="73"/>
      <c r="C102" s="47" t="s">
        <v>39</v>
      </c>
      <c r="D102" s="46">
        <v>14</v>
      </c>
      <c r="E102" s="45">
        <v>2.9227557411273485E-2</v>
      </c>
    </row>
    <row r="103" spans="2:5" ht="15" customHeight="1">
      <c r="B103" s="73"/>
      <c r="C103" s="47" t="s">
        <v>36</v>
      </c>
      <c r="D103" s="46">
        <v>5</v>
      </c>
      <c r="E103" s="45">
        <v>1.0438413361169102E-2</v>
      </c>
    </row>
    <row r="104" spans="2:5" ht="15" customHeight="1">
      <c r="B104" s="73"/>
      <c r="C104" s="47" t="s">
        <v>31</v>
      </c>
      <c r="D104" s="46">
        <v>2</v>
      </c>
      <c r="E104" s="45">
        <v>4.1753653444676405E-3</v>
      </c>
    </row>
    <row r="105" spans="2:5" ht="15" customHeight="1">
      <c r="B105" s="73"/>
      <c r="C105" s="47" t="s">
        <v>29</v>
      </c>
      <c r="D105" s="46">
        <v>8</v>
      </c>
      <c r="E105" s="45">
        <v>1.6701461377870562E-2</v>
      </c>
    </row>
    <row r="106" spans="2:5" ht="15" customHeight="1">
      <c r="B106" s="73"/>
      <c r="C106" s="47" t="s">
        <v>24</v>
      </c>
      <c r="D106" s="46">
        <v>2</v>
      </c>
      <c r="E106" s="45">
        <v>4.1753653444676405E-3</v>
      </c>
    </row>
    <row r="107" spans="2:5" ht="15" customHeight="1">
      <c r="B107" s="73"/>
      <c r="C107" s="47" t="s">
        <v>41</v>
      </c>
      <c r="D107" s="46">
        <v>11</v>
      </c>
      <c r="E107" s="45">
        <v>2.2964509394572025E-2</v>
      </c>
    </row>
    <row r="108" spans="2:5" ht="15" customHeight="1">
      <c r="B108" s="73"/>
      <c r="C108" s="47" t="s">
        <v>40</v>
      </c>
      <c r="D108" s="46">
        <v>5</v>
      </c>
      <c r="E108" s="45">
        <v>1.0438413361169102E-2</v>
      </c>
    </row>
    <row r="109" spans="2:5" ht="15" customHeight="1">
      <c r="B109" s="73"/>
      <c r="C109" s="47" t="s">
        <v>18</v>
      </c>
      <c r="D109" s="46">
        <v>1</v>
      </c>
      <c r="E109" s="45">
        <v>2.0876826722338203E-3</v>
      </c>
    </row>
    <row r="110" spans="2:5" ht="15" customHeight="1">
      <c r="B110" s="73"/>
      <c r="C110" s="47" t="s">
        <v>26</v>
      </c>
      <c r="D110" s="46">
        <v>3</v>
      </c>
      <c r="E110" s="45">
        <v>6.2630480167014616E-3</v>
      </c>
    </row>
    <row r="111" spans="2:5" ht="15" customHeight="1">
      <c r="B111" s="73"/>
      <c r="C111" s="47" t="s">
        <v>17</v>
      </c>
      <c r="D111" s="46">
        <v>1</v>
      </c>
      <c r="E111" s="45">
        <v>2.0876826722338203E-3</v>
      </c>
    </row>
    <row r="112" spans="2:5" ht="15" customHeight="1">
      <c r="B112" s="73"/>
      <c r="C112" s="47" t="s">
        <v>35</v>
      </c>
      <c r="D112" s="46">
        <v>2</v>
      </c>
      <c r="E112" s="45">
        <v>4.1753653444676405E-3</v>
      </c>
    </row>
    <row r="113" spans="2:5" ht="15" customHeight="1">
      <c r="B113" s="73"/>
      <c r="C113" s="47" t="s">
        <v>37</v>
      </c>
      <c r="D113" s="46">
        <v>8</v>
      </c>
      <c r="E113" s="45">
        <v>1.6701461377870562E-2</v>
      </c>
    </row>
    <row r="114" spans="2:5" ht="15" customHeight="1">
      <c r="B114" s="73"/>
      <c r="C114" s="47" t="s">
        <v>20</v>
      </c>
      <c r="D114" s="46">
        <v>2</v>
      </c>
      <c r="E114" s="45">
        <v>4.1753653444676405E-3</v>
      </c>
    </row>
    <row r="115" spans="2:5" ht="15" customHeight="1">
      <c r="B115" s="73"/>
      <c r="C115" s="47" t="s">
        <v>32</v>
      </c>
      <c r="D115" s="46">
        <v>6</v>
      </c>
      <c r="E115" s="45">
        <v>1.2526096033402923E-2</v>
      </c>
    </row>
    <row r="116" spans="2:5" ht="15" customHeight="1">
      <c r="B116" s="73"/>
      <c r="C116" s="47" t="s">
        <v>33</v>
      </c>
      <c r="D116" s="46">
        <v>8</v>
      </c>
      <c r="E116" s="45">
        <v>1.6701461377870562E-2</v>
      </c>
    </row>
    <row r="117" spans="2:5" ht="15" customHeight="1">
      <c r="B117" s="73"/>
      <c r="C117" s="47" t="s">
        <v>30</v>
      </c>
      <c r="D117" s="46">
        <v>3</v>
      </c>
      <c r="E117" s="45">
        <v>6.2630480167014616E-3</v>
      </c>
    </row>
    <row r="118" spans="2:5" ht="15" customHeight="1">
      <c r="B118" s="73"/>
      <c r="C118" s="47" t="s">
        <v>16</v>
      </c>
      <c r="D118" s="46">
        <v>2</v>
      </c>
      <c r="E118" s="45">
        <v>4.1753653444676405E-3</v>
      </c>
    </row>
    <row r="119" spans="2:5" ht="15" customHeight="1">
      <c r="B119" s="73"/>
      <c r="C119" s="47" t="s">
        <v>42</v>
      </c>
      <c r="D119" s="46">
        <v>22</v>
      </c>
      <c r="E119" s="45">
        <v>4.5929018789144051E-2</v>
      </c>
    </row>
    <row r="120" spans="2:5" ht="15" customHeight="1">
      <c r="B120" s="73"/>
      <c r="C120" s="47" t="s">
        <v>28</v>
      </c>
      <c r="D120" s="46">
        <v>3</v>
      </c>
      <c r="E120" s="45">
        <v>6.2630480167014616E-3</v>
      </c>
    </row>
    <row r="121" spans="2:5" ht="15" customHeight="1">
      <c r="B121" s="73"/>
      <c r="C121" s="47" t="s">
        <v>38</v>
      </c>
      <c r="D121" s="46">
        <v>7</v>
      </c>
      <c r="E121" s="45">
        <v>1.4613778705636743E-2</v>
      </c>
    </row>
    <row r="122" spans="2:5" ht="15" customHeight="1">
      <c r="B122" s="74"/>
      <c r="C122" s="44" t="s">
        <v>15</v>
      </c>
      <c r="D122" s="43">
        <v>150</v>
      </c>
      <c r="E122" s="42">
        <v>0.31315240083507306</v>
      </c>
    </row>
    <row r="123" spans="2:5" ht="15" customHeight="1">
      <c r="B123" s="72" t="s">
        <v>300</v>
      </c>
      <c r="C123" s="47" t="s">
        <v>43</v>
      </c>
      <c r="D123" s="46">
        <v>1</v>
      </c>
      <c r="E123" s="45">
        <v>2.0876826722338203E-3</v>
      </c>
    </row>
    <row r="124" spans="2:5" ht="15" customHeight="1">
      <c r="B124" s="73"/>
      <c r="C124" s="47" t="s">
        <v>42</v>
      </c>
      <c r="D124" s="46">
        <v>2</v>
      </c>
      <c r="E124" s="45">
        <v>4.1753653444676405E-3</v>
      </c>
    </row>
    <row r="125" spans="2:5" ht="15" customHeight="1">
      <c r="B125" s="74"/>
      <c r="C125" s="44" t="s">
        <v>15</v>
      </c>
      <c r="D125" s="43">
        <v>3</v>
      </c>
      <c r="E125" s="42">
        <v>6.2630480167014616E-3</v>
      </c>
    </row>
    <row r="126" spans="2:5" ht="15" customHeight="1">
      <c r="B126" s="72" t="s">
        <v>148</v>
      </c>
      <c r="C126" s="47" t="s">
        <v>25</v>
      </c>
      <c r="D126" s="46">
        <v>1</v>
      </c>
      <c r="E126" s="45">
        <v>2.0876826722338203E-3</v>
      </c>
    </row>
    <row r="127" spans="2:5" ht="15" customHeight="1">
      <c r="B127" s="73"/>
      <c r="C127" s="47" t="s">
        <v>22</v>
      </c>
      <c r="D127" s="46">
        <v>1</v>
      </c>
      <c r="E127" s="45">
        <v>2.0876826722338203E-3</v>
      </c>
    </row>
    <row r="128" spans="2:5" ht="15" customHeight="1">
      <c r="B128" s="73"/>
      <c r="C128" s="47" t="s">
        <v>43</v>
      </c>
      <c r="D128" s="46">
        <v>14</v>
      </c>
      <c r="E128" s="45">
        <v>2.9227557411273485E-2</v>
      </c>
    </row>
    <row r="129" spans="2:5" ht="15" customHeight="1">
      <c r="B129" s="73"/>
      <c r="C129" s="47" t="s">
        <v>23</v>
      </c>
      <c r="D129" s="46">
        <v>3</v>
      </c>
      <c r="E129" s="45">
        <v>6.2630480167014616E-3</v>
      </c>
    </row>
    <row r="130" spans="2:5" ht="15" customHeight="1">
      <c r="B130" s="73"/>
      <c r="C130" s="47" t="s">
        <v>21</v>
      </c>
      <c r="D130" s="46">
        <v>1</v>
      </c>
      <c r="E130" s="45">
        <v>2.0876826722338203E-3</v>
      </c>
    </row>
    <row r="131" spans="2:5" ht="15" customHeight="1">
      <c r="B131" s="73"/>
      <c r="C131" s="47" t="s">
        <v>39</v>
      </c>
      <c r="D131" s="46">
        <v>3</v>
      </c>
      <c r="E131" s="45">
        <v>6.2630480167014616E-3</v>
      </c>
    </row>
    <row r="132" spans="2:5" ht="15" customHeight="1">
      <c r="B132" s="73"/>
      <c r="C132" s="47" t="s">
        <v>36</v>
      </c>
      <c r="D132" s="46">
        <v>3</v>
      </c>
      <c r="E132" s="45">
        <v>6.2630480167014616E-3</v>
      </c>
    </row>
    <row r="133" spans="2:5" ht="15" customHeight="1">
      <c r="B133" s="73"/>
      <c r="C133" s="47" t="s">
        <v>31</v>
      </c>
      <c r="D133" s="46">
        <v>3</v>
      </c>
      <c r="E133" s="45">
        <v>6.2630480167014616E-3</v>
      </c>
    </row>
    <row r="134" spans="2:5" ht="15" customHeight="1">
      <c r="B134" s="73"/>
      <c r="C134" s="47" t="s">
        <v>34</v>
      </c>
      <c r="D134" s="46">
        <v>3</v>
      </c>
      <c r="E134" s="45">
        <v>6.2630480167014616E-3</v>
      </c>
    </row>
    <row r="135" spans="2:5" ht="15" customHeight="1">
      <c r="B135" s="73"/>
      <c r="C135" s="47" t="s">
        <v>40</v>
      </c>
      <c r="D135" s="46">
        <v>5</v>
      </c>
      <c r="E135" s="45">
        <v>1.0438413361169102E-2</v>
      </c>
    </row>
    <row r="136" spans="2:5" ht="15" customHeight="1">
      <c r="B136" s="73"/>
      <c r="C136" s="47" t="s">
        <v>17</v>
      </c>
      <c r="D136" s="46">
        <v>1</v>
      </c>
      <c r="E136" s="45">
        <v>2.0876826722338203E-3</v>
      </c>
    </row>
    <row r="137" spans="2:5" ht="15" customHeight="1">
      <c r="B137" s="73"/>
      <c r="C137" s="47" t="s">
        <v>35</v>
      </c>
      <c r="D137" s="46">
        <v>1</v>
      </c>
      <c r="E137" s="45">
        <v>2.0876826722338203E-3</v>
      </c>
    </row>
    <row r="138" spans="2:5" ht="15" customHeight="1">
      <c r="B138" s="73"/>
      <c r="C138" s="47" t="s">
        <v>37</v>
      </c>
      <c r="D138" s="46">
        <v>1</v>
      </c>
      <c r="E138" s="45">
        <v>2.0876826722338203E-3</v>
      </c>
    </row>
    <row r="139" spans="2:5" ht="15" customHeight="1">
      <c r="B139" s="73"/>
      <c r="C139" s="47" t="s">
        <v>32</v>
      </c>
      <c r="D139" s="46">
        <v>1</v>
      </c>
      <c r="E139" s="45">
        <v>2.0876826722338203E-3</v>
      </c>
    </row>
    <row r="140" spans="2:5" ht="15" customHeight="1">
      <c r="B140" s="73"/>
      <c r="C140" s="47" t="s">
        <v>33</v>
      </c>
      <c r="D140" s="46">
        <v>2</v>
      </c>
      <c r="E140" s="45">
        <v>4.1753653444676405E-3</v>
      </c>
    </row>
    <row r="141" spans="2:5" ht="15" customHeight="1">
      <c r="B141" s="73"/>
      <c r="C141" s="47" t="s">
        <v>30</v>
      </c>
      <c r="D141" s="46">
        <v>1</v>
      </c>
      <c r="E141" s="45">
        <v>2.0876826722338203E-3</v>
      </c>
    </row>
    <row r="142" spans="2:5" ht="15" customHeight="1">
      <c r="B142" s="73"/>
      <c r="C142" s="47" t="s">
        <v>19</v>
      </c>
      <c r="D142" s="46">
        <v>1</v>
      </c>
      <c r="E142" s="45">
        <v>2.0876826722338203E-3</v>
      </c>
    </row>
    <row r="143" spans="2:5" ht="15" customHeight="1">
      <c r="B143" s="73"/>
      <c r="C143" s="47" t="s">
        <v>42</v>
      </c>
      <c r="D143" s="46">
        <v>3</v>
      </c>
      <c r="E143" s="45">
        <v>6.2630480167014616E-3</v>
      </c>
    </row>
    <row r="144" spans="2:5" ht="15" customHeight="1">
      <c r="B144" s="74"/>
      <c r="C144" s="44" t="s">
        <v>15</v>
      </c>
      <c r="D144" s="43">
        <v>48</v>
      </c>
      <c r="E144" s="42">
        <v>0.10020876826722339</v>
      </c>
    </row>
    <row r="145" spans="2:5" ht="15" customHeight="1">
      <c r="B145" s="72" t="s">
        <v>147</v>
      </c>
      <c r="C145" s="47" t="s">
        <v>25</v>
      </c>
      <c r="D145" s="46">
        <v>2</v>
      </c>
      <c r="E145" s="45">
        <v>4.1753653444676405E-3</v>
      </c>
    </row>
    <row r="146" spans="2:5" ht="15" customHeight="1">
      <c r="B146" s="73"/>
      <c r="C146" s="47" t="s">
        <v>43</v>
      </c>
      <c r="D146" s="46">
        <v>17</v>
      </c>
      <c r="E146" s="45">
        <v>3.5490605427974949E-2</v>
      </c>
    </row>
    <row r="147" spans="2:5" ht="15" customHeight="1">
      <c r="B147" s="73"/>
      <c r="C147" s="47" t="s">
        <v>23</v>
      </c>
      <c r="D147" s="46">
        <v>2</v>
      </c>
      <c r="E147" s="45">
        <v>4.1753653444676405E-3</v>
      </c>
    </row>
    <row r="148" spans="2:5" ht="15" customHeight="1">
      <c r="B148" s="73"/>
      <c r="C148" s="47" t="s">
        <v>21</v>
      </c>
      <c r="D148" s="46">
        <v>1</v>
      </c>
      <c r="E148" s="45">
        <v>2.0876826722338203E-3</v>
      </c>
    </row>
    <row r="149" spans="2:5" ht="15" customHeight="1">
      <c r="B149" s="73"/>
      <c r="C149" s="47" t="s">
        <v>39</v>
      </c>
      <c r="D149" s="46">
        <v>7</v>
      </c>
      <c r="E149" s="45">
        <v>1.4613778705636743E-2</v>
      </c>
    </row>
    <row r="150" spans="2:5" ht="15" customHeight="1">
      <c r="B150" s="73"/>
      <c r="C150" s="47" t="s">
        <v>36</v>
      </c>
      <c r="D150" s="46">
        <v>1</v>
      </c>
      <c r="E150" s="45">
        <v>2.0876826722338203E-3</v>
      </c>
    </row>
    <row r="151" spans="2:5" ht="15" customHeight="1">
      <c r="B151" s="73"/>
      <c r="C151" s="47" t="s">
        <v>31</v>
      </c>
      <c r="D151" s="46">
        <v>5</v>
      </c>
      <c r="E151" s="45">
        <v>1.0438413361169102E-2</v>
      </c>
    </row>
    <row r="152" spans="2:5" ht="15" customHeight="1">
      <c r="B152" s="73"/>
      <c r="C152" s="47" t="s">
        <v>29</v>
      </c>
      <c r="D152" s="46">
        <v>1</v>
      </c>
      <c r="E152" s="45">
        <v>2.0876826722338203E-3</v>
      </c>
    </row>
    <row r="153" spans="2:5" ht="15" customHeight="1">
      <c r="B153" s="73"/>
      <c r="C153" s="47" t="s">
        <v>24</v>
      </c>
      <c r="D153" s="46">
        <v>1</v>
      </c>
      <c r="E153" s="45">
        <v>2.0876826722338203E-3</v>
      </c>
    </row>
    <row r="154" spans="2:5" ht="15" customHeight="1">
      <c r="B154" s="73"/>
      <c r="C154" s="47" t="s">
        <v>41</v>
      </c>
      <c r="D154" s="46">
        <v>5</v>
      </c>
      <c r="E154" s="45">
        <v>1.0438413361169102E-2</v>
      </c>
    </row>
    <row r="155" spans="2:5" ht="15" customHeight="1">
      <c r="B155" s="73"/>
      <c r="C155" s="47" t="s">
        <v>40</v>
      </c>
      <c r="D155" s="46">
        <v>9</v>
      </c>
      <c r="E155" s="45">
        <v>1.8789144050104383E-2</v>
      </c>
    </row>
    <row r="156" spans="2:5" ht="15" customHeight="1">
      <c r="B156" s="73"/>
      <c r="C156" s="47" t="s">
        <v>26</v>
      </c>
      <c r="D156" s="46">
        <v>2</v>
      </c>
      <c r="E156" s="45">
        <v>4.1753653444676405E-3</v>
      </c>
    </row>
    <row r="157" spans="2:5" ht="15" customHeight="1">
      <c r="B157" s="73"/>
      <c r="C157" s="47" t="s">
        <v>17</v>
      </c>
      <c r="D157" s="46">
        <v>2</v>
      </c>
      <c r="E157" s="45">
        <v>4.1753653444676405E-3</v>
      </c>
    </row>
    <row r="158" spans="2:5" ht="15" customHeight="1">
      <c r="B158" s="73"/>
      <c r="C158" s="47" t="s">
        <v>35</v>
      </c>
      <c r="D158" s="46">
        <v>2</v>
      </c>
      <c r="E158" s="45">
        <v>4.1753653444676405E-3</v>
      </c>
    </row>
    <row r="159" spans="2:5" ht="15" customHeight="1">
      <c r="B159" s="73"/>
      <c r="C159" s="47" t="s">
        <v>37</v>
      </c>
      <c r="D159" s="46">
        <v>7</v>
      </c>
      <c r="E159" s="45">
        <v>1.4613778705636743E-2</v>
      </c>
    </row>
    <row r="160" spans="2:5" ht="15" customHeight="1">
      <c r="B160" s="73"/>
      <c r="C160" s="47" t="s">
        <v>33</v>
      </c>
      <c r="D160" s="46">
        <v>4</v>
      </c>
      <c r="E160" s="45">
        <v>8.350730688935281E-3</v>
      </c>
    </row>
    <row r="161" spans="2:5" ht="15" customHeight="1">
      <c r="B161" s="73"/>
      <c r="C161" s="47" t="s">
        <v>30</v>
      </c>
      <c r="D161" s="46">
        <v>3</v>
      </c>
      <c r="E161" s="45">
        <v>6.2630480167014616E-3</v>
      </c>
    </row>
    <row r="162" spans="2:5" ht="15" customHeight="1">
      <c r="B162" s="73"/>
      <c r="C162" s="47" t="s">
        <v>19</v>
      </c>
      <c r="D162" s="46">
        <v>2</v>
      </c>
      <c r="E162" s="45">
        <v>4.1753653444676405E-3</v>
      </c>
    </row>
    <row r="163" spans="2:5" ht="15" customHeight="1">
      <c r="B163" s="73"/>
      <c r="C163" s="47" t="s">
        <v>42</v>
      </c>
      <c r="D163" s="46">
        <v>19</v>
      </c>
      <c r="E163" s="45">
        <v>3.9665970772442591E-2</v>
      </c>
    </row>
    <row r="164" spans="2:5" ht="15" customHeight="1">
      <c r="B164" s="73"/>
      <c r="C164" s="47" t="s">
        <v>28</v>
      </c>
      <c r="D164" s="46">
        <v>1</v>
      </c>
      <c r="E164" s="45">
        <v>2.0876826722338203E-3</v>
      </c>
    </row>
    <row r="165" spans="2:5" ht="15" customHeight="1">
      <c r="B165" s="73"/>
      <c r="C165" s="47" t="s">
        <v>196</v>
      </c>
      <c r="D165" s="46">
        <v>1</v>
      </c>
      <c r="E165" s="45">
        <v>2.0876826722338203E-3</v>
      </c>
    </row>
    <row r="166" spans="2:5" ht="15" customHeight="1">
      <c r="B166" s="74"/>
      <c r="C166" s="44" t="s">
        <v>15</v>
      </c>
      <c r="D166" s="43">
        <v>94</v>
      </c>
      <c r="E166" s="42">
        <v>0.19624217118997914</v>
      </c>
    </row>
    <row r="167" spans="2:5" ht="15" customHeight="1">
      <c r="B167" s="72" t="s">
        <v>146</v>
      </c>
      <c r="C167" s="47" t="s">
        <v>39</v>
      </c>
      <c r="D167" s="46">
        <v>1</v>
      </c>
      <c r="E167" s="45">
        <v>2.0876826722338203E-3</v>
      </c>
    </row>
    <row r="168" spans="2:5" ht="15" customHeight="1">
      <c r="B168" s="74"/>
      <c r="C168" s="44" t="s">
        <v>15</v>
      </c>
      <c r="D168" s="43">
        <v>1</v>
      </c>
      <c r="E168" s="42">
        <v>2.0876826722338203E-3</v>
      </c>
    </row>
    <row r="169" spans="2:5" ht="15" customHeight="1">
      <c r="B169" s="72" t="s">
        <v>298</v>
      </c>
      <c r="C169" s="47" t="s">
        <v>25</v>
      </c>
      <c r="D169" s="46">
        <v>1</v>
      </c>
      <c r="E169" s="45">
        <v>2.0876826722338203E-3</v>
      </c>
    </row>
    <row r="170" spans="2:5" ht="15" customHeight="1">
      <c r="B170" s="73"/>
      <c r="C170" s="47" t="s">
        <v>43</v>
      </c>
      <c r="D170" s="46">
        <v>1</v>
      </c>
      <c r="E170" s="45">
        <v>2.0876826722338203E-3</v>
      </c>
    </row>
    <row r="171" spans="2:5" ht="15" customHeight="1">
      <c r="B171" s="73"/>
      <c r="C171" s="47" t="s">
        <v>21</v>
      </c>
      <c r="D171" s="46">
        <v>1</v>
      </c>
      <c r="E171" s="45">
        <v>2.0876826722338203E-3</v>
      </c>
    </row>
    <row r="172" spans="2:5" ht="15" customHeight="1">
      <c r="B172" s="73"/>
      <c r="C172" s="47" t="s">
        <v>41</v>
      </c>
      <c r="D172" s="46">
        <v>1</v>
      </c>
      <c r="E172" s="45">
        <v>2.0876826722338203E-3</v>
      </c>
    </row>
    <row r="173" spans="2:5" ht="15" customHeight="1">
      <c r="B173" s="74"/>
      <c r="C173" s="44" t="s">
        <v>15</v>
      </c>
      <c r="D173" s="43">
        <v>4</v>
      </c>
      <c r="E173" s="42">
        <v>8.350730688935281E-3</v>
      </c>
    </row>
    <row r="174" spans="2:5" ht="15" customHeight="1">
      <c r="B174" s="72" t="s">
        <v>299</v>
      </c>
      <c r="C174" s="47" t="s">
        <v>22</v>
      </c>
      <c r="D174" s="46">
        <v>1</v>
      </c>
      <c r="E174" s="45">
        <v>2.0876826722338203E-3</v>
      </c>
    </row>
    <row r="175" spans="2:5" ht="15" customHeight="1">
      <c r="B175" s="73"/>
      <c r="C175" s="47" t="s">
        <v>26</v>
      </c>
      <c r="D175" s="46">
        <v>1</v>
      </c>
      <c r="E175" s="45">
        <v>2.0876826722338203E-3</v>
      </c>
    </row>
    <row r="176" spans="2:5" ht="15" customHeight="1">
      <c r="B176" s="74"/>
      <c r="C176" s="44" t="s">
        <v>15</v>
      </c>
      <c r="D176" s="43">
        <v>2</v>
      </c>
      <c r="E176" s="42">
        <v>4.1753653444676405E-3</v>
      </c>
    </row>
    <row r="177" spans="2:6" ht="15" customHeight="1">
      <c r="B177" s="72" t="s">
        <v>145</v>
      </c>
      <c r="C177" s="47" t="s">
        <v>43</v>
      </c>
      <c r="D177" s="46">
        <v>2</v>
      </c>
      <c r="E177" s="45">
        <v>4.1753653444676405E-3</v>
      </c>
    </row>
    <row r="178" spans="2:6" ht="15" customHeight="1">
      <c r="B178" s="73"/>
      <c r="C178" s="47" t="s">
        <v>30</v>
      </c>
      <c r="D178" s="46">
        <v>1</v>
      </c>
      <c r="E178" s="45">
        <v>2.0876826722338203E-3</v>
      </c>
    </row>
    <row r="179" spans="2:6" ht="15" customHeight="1">
      <c r="B179" s="74"/>
      <c r="C179" s="44" t="s">
        <v>15</v>
      </c>
      <c r="D179" s="43">
        <v>3</v>
      </c>
      <c r="E179" s="42">
        <v>6.2630480167014616E-3</v>
      </c>
    </row>
    <row r="180" spans="2:6" ht="15" customHeight="1">
      <c r="B180" s="72" t="s">
        <v>301</v>
      </c>
      <c r="C180" s="47" t="s">
        <v>43</v>
      </c>
      <c r="D180" s="46">
        <v>1</v>
      </c>
      <c r="E180" s="45">
        <v>2.0876826722338203E-3</v>
      </c>
    </row>
    <row r="181" spans="2:6" ht="15" customHeight="1">
      <c r="B181" s="73"/>
      <c r="C181" s="47" t="s">
        <v>23</v>
      </c>
      <c r="D181" s="46">
        <v>1</v>
      </c>
      <c r="E181" s="45">
        <v>2.0876826722338203E-3</v>
      </c>
    </row>
    <row r="182" spans="2:6" ht="15" customHeight="1">
      <c r="B182" s="73"/>
      <c r="C182" s="47" t="s">
        <v>41</v>
      </c>
      <c r="D182" s="46">
        <v>1</v>
      </c>
      <c r="E182" s="45">
        <v>2.0876826722338203E-3</v>
      </c>
    </row>
    <row r="183" spans="2:6" ht="15" customHeight="1">
      <c r="B183" s="73"/>
      <c r="C183" s="47" t="s">
        <v>33</v>
      </c>
      <c r="D183" s="46">
        <v>1</v>
      </c>
      <c r="E183" s="45">
        <v>2.0876826722338203E-3</v>
      </c>
    </row>
    <row r="184" spans="2:6" ht="15" customHeight="1">
      <c r="B184" s="73"/>
      <c r="C184" s="47" t="s">
        <v>28</v>
      </c>
      <c r="D184" s="46">
        <v>1</v>
      </c>
      <c r="E184" s="45">
        <v>2.0876826722338203E-3</v>
      </c>
    </row>
    <row r="185" spans="2:6" ht="15" customHeight="1">
      <c r="B185" s="74"/>
      <c r="C185" s="44" t="s">
        <v>15</v>
      </c>
      <c r="D185" s="43">
        <v>5</v>
      </c>
      <c r="E185" s="42">
        <v>1.0438413361169102E-2</v>
      </c>
    </row>
    <row r="186" spans="2:6" ht="15" customHeight="1">
      <c r="B186" s="75" t="s">
        <v>15</v>
      </c>
      <c r="C186" s="76"/>
      <c r="D186" s="41">
        <v>479</v>
      </c>
      <c r="E186" s="40">
        <v>1</v>
      </c>
    </row>
    <row r="188" spans="2:6" ht="15" customHeight="1">
      <c r="B188" s="17"/>
      <c r="C188" s="19" t="s">
        <v>191</v>
      </c>
      <c r="D188"/>
      <c r="E188"/>
      <c r="F188" s="17"/>
    </row>
    <row r="189" spans="2:6" ht="15" customHeight="1">
      <c r="B189" s="17"/>
      <c r="C189" s="21" t="s">
        <v>14</v>
      </c>
      <c r="D189"/>
      <c r="E189"/>
      <c r="F189" s="17"/>
    </row>
    <row r="190" spans="2:6" ht="15" customHeight="1">
      <c r="B190" s="17"/>
      <c r="C190" s="20" t="s">
        <v>13</v>
      </c>
      <c r="D190"/>
      <c r="E190"/>
      <c r="F190" s="17"/>
    </row>
    <row r="191" spans="2:6" ht="15" customHeight="1">
      <c r="B191" s="17"/>
      <c r="C191" s="19" t="s">
        <v>12</v>
      </c>
      <c r="D191"/>
      <c r="E191"/>
      <c r="F191" s="17"/>
    </row>
    <row r="192" spans="2:6" ht="15" customHeight="1">
      <c r="B192" s="17"/>
      <c r="C192" s="19" t="s">
        <v>192</v>
      </c>
      <c r="D192"/>
      <c r="E192"/>
      <c r="F192" s="17"/>
    </row>
  </sheetData>
  <mergeCells count="21">
    <mergeCell ref="B7:E8"/>
    <mergeCell ref="B10:B15"/>
    <mergeCell ref="B16:B17"/>
    <mergeCell ref="B18:B21"/>
    <mergeCell ref="B22:B27"/>
    <mergeCell ref="B28:B35"/>
    <mergeCell ref="B36:B48"/>
    <mergeCell ref="B49:B65"/>
    <mergeCell ref="B66:B70"/>
    <mergeCell ref="B71:B85"/>
    <mergeCell ref="B86:B96"/>
    <mergeCell ref="B97:B122"/>
    <mergeCell ref="B123:B125"/>
    <mergeCell ref="B126:B144"/>
    <mergeCell ref="B145:B166"/>
    <mergeCell ref="B186:C186"/>
    <mergeCell ref="B167:B168"/>
    <mergeCell ref="B169:B173"/>
    <mergeCell ref="B174:B176"/>
    <mergeCell ref="B177:B179"/>
    <mergeCell ref="B180:B18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D24" sqref="D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302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166</v>
      </c>
      <c r="C11" s="31" t="s">
        <v>45</v>
      </c>
      <c r="D11" s="30" t="s">
        <v>44</v>
      </c>
    </row>
    <row r="12" spans="1:5">
      <c r="B12" s="27" t="s">
        <v>165</v>
      </c>
      <c r="C12" s="26">
        <v>291</v>
      </c>
      <c r="D12" s="25">
        <v>0.60751565762004178</v>
      </c>
    </row>
    <row r="13" spans="1:5">
      <c r="B13" s="27" t="s">
        <v>164</v>
      </c>
      <c r="C13" s="26">
        <v>188</v>
      </c>
      <c r="D13" s="25">
        <v>0.39248434237995827</v>
      </c>
    </row>
    <row r="14" spans="1:5">
      <c r="B14" s="24" t="s">
        <v>163</v>
      </c>
      <c r="C14" s="23">
        <v>479</v>
      </c>
      <c r="D14" s="22">
        <v>1</v>
      </c>
    </row>
    <row r="15" spans="1:5">
      <c r="A15" s="28"/>
      <c r="B15" s="28"/>
      <c r="C15" s="60"/>
      <c r="D15" s="28"/>
      <c r="E15" s="28"/>
    </row>
    <row r="16" spans="1:5">
      <c r="B16" s="19" t="s">
        <v>191</v>
      </c>
      <c r="C16"/>
      <c r="D16"/>
    </row>
    <row r="17" spans="2:4">
      <c r="B17" s="21" t="s">
        <v>14</v>
      </c>
      <c r="C17"/>
      <c r="D17"/>
    </row>
    <row r="18" spans="2:4">
      <c r="B18" s="20" t="s">
        <v>13</v>
      </c>
      <c r="C18"/>
      <c r="D18"/>
    </row>
    <row r="19" spans="2:4">
      <c r="B19" s="19" t="s">
        <v>12</v>
      </c>
      <c r="C19"/>
      <c r="D19"/>
    </row>
    <row r="20" spans="2:4">
      <c r="B20" s="19" t="s">
        <v>192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topLeftCell="A79" zoomScaleNormal="100" zoomScaleSheetLayoutView="100" workbookViewId="0">
      <selection activeCell="D111" sqref="D1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46</v>
      </c>
      <c r="C9" s="51" t="s">
        <v>166</v>
      </c>
      <c r="D9" s="50" t="s">
        <v>45</v>
      </c>
      <c r="E9" s="49" t="s">
        <v>44</v>
      </c>
    </row>
    <row r="10" spans="1:5" ht="15" customHeight="1">
      <c r="B10" s="72" t="s">
        <v>25</v>
      </c>
      <c r="C10" s="47" t="s">
        <v>168</v>
      </c>
      <c r="D10" s="46">
        <v>13</v>
      </c>
      <c r="E10" s="45">
        <v>2.7139874739039668E-2</v>
      </c>
    </row>
    <row r="11" spans="1:5" ht="15" customHeight="1">
      <c r="B11" s="73"/>
      <c r="C11" s="47" t="s">
        <v>167</v>
      </c>
      <c r="D11" s="46">
        <v>9</v>
      </c>
      <c r="E11" s="45">
        <v>1.8789144050104383E-2</v>
      </c>
    </row>
    <row r="12" spans="1:5" ht="15" customHeight="1">
      <c r="B12" s="74"/>
      <c r="C12" s="44" t="s">
        <v>15</v>
      </c>
      <c r="D12" s="43">
        <v>22</v>
      </c>
      <c r="E12" s="42">
        <v>4.5929018789144051E-2</v>
      </c>
    </row>
    <row r="13" spans="1:5" ht="15" customHeight="1">
      <c r="B13" s="72" t="s">
        <v>22</v>
      </c>
      <c r="C13" s="47" t="s">
        <v>168</v>
      </c>
      <c r="D13" s="46">
        <v>1</v>
      </c>
      <c r="E13" s="45">
        <v>2.0876826722338203E-3</v>
      </c>
    </row>
    <row r="14" spans="1:5" ht="15" customHeight="1">
      <c r="B14" s="73"/>
      <c r="C14" s="47" t="s">
        <v>167</v>
      </c>
      <c r="D14" s="46">
        <v>1</v>
      </c>
      <c r="E14" s="45">
        <v>2.0876826722338203E-3</v>
      </c>
    </row>
    <row r="15" spans="1:5" ht="15" customHeight="1">
      <c r="B15" s="74"/>
      <c r="C15" s="44" t="s">
        <v>15</v>
      </c>
      <c r="D15" s="43">
        <v>2</v>
      </c>
      <c r="E15" s="42">
        <v>4.1753653444676405E-3</v>
      </c>
    </row>
    <row r="16" spans="1:5" ht="15" customHeight="1">
      <c r="B16" s="72" t="s">
        <v>195</v>
      </c>
      <c r="C16" s="47" t="s">
        <v>167</v>
      </c>
      <c r="D16" s="46">
        <v>1</v>
      </c>
      <c r="E16" s="45">
        <v>2.0876826722338203E-3</v>
      </c>
    </row>
    <row r="17" spans="2:5" ht="15" customHeight="1">
      <c r="B17" s="74"/>
      <c r="C17" s="44" t="s">
        <v>15</v>
      </c>
      <c r="D17" s="43">
        <v>1</v>
      </c>
      <c r="E17" s="42">
        <v>2.0876826722338203E-3</v>
      </c>
    </row>
    <row r="18" spans="2:5" ht="15" customHeight="1">
      <c r="B18" s="72" t="s">
        <v>27</v>
      </c>
      <c r="C18" s="47" t="s">
        <v>168</v>
      </c>
      <c r="D18" s="46">
        <v>3</v>
      </c>
      <c r="E18" s="45">
        <v>6.2630480167014616E-3</v>
      </c>
    </row>
    <row r="19" spans="2:5" ht="15" customHeight="1">
      <c r="B19" s="74"/>
      <c r="C19" s="44" t="s">
        <v>15</v>
      </c>
      <c r="D19" s="43">
        <v>3</v>
      </c>
      <c r="E19" s="42">
        <v>6.2630480167014616E-3</v>
      </c>
    </row>
    <row r="20" spans="2:5" ht="15" customHeight="1">
      <c r="B20" s="72" t="s">
        <v>43</v>
      </c>
      <c r="C20" s="47" t="s">
        <v>168</v>
      </c>
      <c r="D20" s="46">
        <v>56</v>
      </c>
      <c r="E20" s="45">
        <v>0.11691022964509394</v>
      </c>
    </row>
    <row r="21" spans="2:5" ht="15" customHeight="1">
      <c r="B21" s="73"/>
      <c r="C21" s="47" t="s">
        <v>167</v>
      </c>
      <c r="D21" s="46">
        <v>36</v>
      </c>
      <c r="E21" s="45">
        <v>7.5156576200417533E-2</v>
      </c>
    </row>
    <row r="22" spans="2:5" ht="15" customHeight="1">
      <c r="B22" s="74"/>
      <c r="C22" s="44" t="s">
        <v>15</v>
      </c>
      <c r="D22" s="43">
        <v>92</v>
      </c>
      <c r="E22" s="42">
        <v>0.19206680584551147</v>
      </c>
    </row>
    <row r="23" spans="2:5" ht="15" customHeight="1">
      <c r="B23" s="72" t="s">
        <v>23</v>
      </c>
      <c r="C23" s="47" t="s">
        <v>168</v>
      </c>
      <c r="D23" s="46">
        <v>6</v>
      </c>
      <c r="E23" s="45">
        <v>1.2526096033402923E-2</v>
      </c>
    </row>
    <row r="24" spans="2:5" ht="15" customHeight="1">
      <c r="B24" s="73"/>
      <c r="C24" s="47" t="s">
        <v>167</v>
      </c>
      <c r="D24" s="46">
        <v>6</v>
      </c>
      <c r="E24" s="45">
        <v>1.2526096033402923E-2</v>
      </c>
    </row>
    <row r="25" spans="2:5" ht="15" customHeight="1">
      <c r="B25" s="74"/>
      <c r="C25" s="44" t="s">
        <v>15</v>
      </c>
      <c r="D25" s="43">
        <v>12</v>
      </c>
      <c r="E25" s="42">
        <v>2.5052192066805846E-2</v>
      </c>
    </row>
    <row r="26" spans="2:5" ht="15" customHeight="1">
      <c r="B26" s="72" t="s">
        <v>21</v>
      </c>
      <c r="C26" s="47" t="s">
        <v>168</v>
      </c>
      <c r="D26" s="46">
        <v>4</v>
      </c>
      <c r="E26" s="45">
        <v>8.350730688935281E-3</v>
      </c>
    </row>
    <row r="27" spans="2:5" ht="15" customHeight="1">
      <c r="B27" s="73"/>
      <c r="C27" s="47" t="s">
        <v>167</v>
      </c>
      <c r="D27" s="46">
        <v>5</v>
      </c>
      <c r="E27" s="45">
        <v>1.0438413361169102E-2</v>
      </c>
    </row>
    <row r="28" spans="2:5" ht="15" customHeight="1">
      <c r="B28" s="74"/>
      <c r="C28" s="44" t="s">
        <v>15</v>
      </c>
      <c r="D28" s="43">
        <v>9</v>
      </c>
      <c r="E28" s="42">
        <v>1.8789144050104383E-2</v>
      </c>
    </row>
    <row r="29" spans="2:5" ht="15" customHeight="1">
      <c r="B29" s="72" t="s">
        <v>39</v>
      </c>
      <c r="C29" s="47" t="s">
        <v>168</v>
      </c>
      <c r="D29" s="46">
        <v>18</v>
      </c>
      <c r="E29" s="45">
        <v>3.7578288100208766E-2</v>
      </c>
    </row>
    <row r="30" spans="2:5" ht="15" customHeight="1">
      <c r="B30" s="73"/>
      <c r="C30" s="47" t="s">
        <v>167</v>
      </c>
      <c r="D30" s="46">
        <v>14</v>
      </c>
      <c r="E30" s="45">
        <v>2.9227557411273485E-2</v>
      </c>
    </row>
    <row r="31" spans="2:5" ht="15" customHeight="1">
      <c r="B31" s="74"/>
      <c r="C31" s="44" t="s">
        <v>15</v>
      </c>
      <c r="D31" s="43">
        <v>32</v>
      </c>
      <c r="E31" s="42">
        <v>6.6805845511482248E-2</v>
      </c>
    </row>
    <row r="32" spans="2:5" ht="15" customHeight="1">
      <c r="B32" s="72" t="s">
        <v>36</v>
      </c>
      <c r="C32" s="47" t="s">
        <v>168</v>
      </c>
      <c r="D32" s="46">
        <v>8</v>
      </c>
      <c r="E32" s="45">
        <v>1.6701461377870562E-2</v>
      </c>
    </row>
    <row r="33" spans="2:5" ht="15" customHeight="1">
      <c r="B33" s="73"/>
      <c r="C33" s="47" t="s">
        <v>167</v>
      </c>
      <c r="D33" s="46">
        <v>9</v>
      </c>
      <c r="E33" s="45">
        <v>1.8789144050104383E-2</v>
      </c>
    </row>
    <row r="34" spans="2:5" ht="15" customHeight="1">
      <c r="B34" s="74"/>
      <c r="C34" s="44" t="s">
        <v>15</v>
      </c>
      <c r="D34" s="43">
        <v>17</v>
      </c>
      <c r="E34" s="42">
        <v>3.5490605427974949E-2</v>
      </c>
    </row>
    <row r="35" spans="2:5" ht="15" customHeight="1">
      <c r="B35" s="72" t="s">
        <v>31</v>
      </c>
      <c r="C35" s="47" t="s">
        <v>168</v>
      </c>
      <c r="D35" s="46">
        <v>8</v>
      </c>
      <c r="E35" s="45">
        <v>1.6701461377870562E-2</v>
      </c>
    </row>
    <row r="36" spans="2:5" ht="15" customHeight="1">
      <c r="B36" s="73"/>
      <c r="C36" s="47" t="s">
        <v>167</v>
      </c>
      <c r="D36" s="46">
        <v>4</v>
      </c>
      <c r="E36" s="45">
        <v>8.350730688935281E-3</v>
      </c>
    </row>
    <row r="37" spans="2:5" ht="15" customHeight="1">
      <c r="B37" s="74"/>
      <c r="C37" s="44" t="s">
        <v>15</v>
      </c>
      <c r="D37" s="43">
        <v>12</v>
      </c>
      <c r="E37" s="42">
        <v>2.5052192066805846E-2</v>
      </c>
    </row>
    <row r="38" spans="2:5" ht="15" customHeight="1">
      <c r="B38" s="72" t="s">
        <v>29</v>
      </c>
      <c r="C38" s="47" t="s">
        <v>168</v>
      </c>
      <c r="D38" s="46">
        <v>8</v>
      </c>
      <c r="E38" s="45">
        <v>1.6701461377870562E-2</v>
      </c>
    </row>
    <row r="39" spans="2:5" ht="15" customHeight="1">
      <c r="B39" s="73"/>
      <c r="C39" s="47" t="s">
        <v>167</v>
      </c>
      <c r="D39" s="46">
        <v>9</v>
      </c>
      <c r="E39" s="45">
        <v>1.8789144050104383E-2</v>
      </c>
    </row>
    <row r="40" spans="2:5" ht="15" customHeight="1">
      <c r="B40" s="74"/>
      <c r="C40" s="44" t="s">
        <v>15</v>
      </c>
      <c r="D40" s="43">
        <v>17</v>
      </c>
      <c r="E40" s="42">
        <v>3.5490605427974949E-2</v>
      </c>
    </row>
    <row r="41" spans="2:5" ht="15" customHeight="1">
      <c r="B41" s="72" t="s">
        <v>34</v>
      </c>
      <c r="C41" s="47" t="s">
        <v>168</v>
      </c>
      <c r="D41" s="46">
        <v>3</v>
      </c>
      <c r="E41" s="45">
        <v>6.2630480167014616E-3</v>
      </c>
    </row>
    <row r="42" spans="2:5" ht="15" customHeight="1">
      <c r="B42" s="73"/>
      <c r="C42" s="47" t="s">
        <v>167</v>
      </c>
      <c r="D42" s="46">
        <v>2</v>
      </c>
      <c r="E42" s="45">
        <v>4.1753653444676405E-3</v>
      </c>
    </row>
    <row r="43" spans="2:5" ht="15" customHeight="1">
      <c r="B43" s="74"/>
      <c r="C43" s="44" t="s">
        <v>15</v>
      </c>
      <c r="D43" s="43">
        <v>5</v>
      </c>
      <c r="E43" s="42">
        <v>1.0438413361169102E-2</v>
      </c>
    </row>
    <row r="44" spans="2:5" ht="15" customHeight="1">
      <c r="B44" s="72" t="s">
        <v>24</v>
      </c>
      <c r="C44" s="47" t="s">
        <v>168</v>
      </c>
      <c r="D44" s="46">
        <v>4</v>
      </c>
      <c r="E44" s="45">
        <v>8.350730688935281E-3</v>
      </c>
    </row>
    <row r="45" spans="2:5" ht="15" customHeight="1">
      <c r="B45" s="73"/>
      <c r="C45" s="47" t="s">
        <v>167</v>
      </c>
      <c r="D45" s="46">
        <v>6</v>
      </c>
      <c r="E45" s="45">
        <v>1.2526096033402923E-2</v>
      </c>
    </row>
    <row r="46" spans="2:5" ht="15" customHeight="1">
      <c r="B46" s="74"/>
      <c r="C46" s="44" t="s">
        <v>15</v>
      </c>
      <c r="D46" s="43">
        <v>10</v>
      </c>
      <c r="E46" s="42">
        <v>2.0876826722338204E-2</v>
      </c>
    </row>
    <row r="47" spans="2:5" ht="15" customHeight="1">
      <c r="B47" s="72" t="s">
        <v>41</v>
      </c>
      <c r="C47" s="47" t="s">
        <v>168</v>
      </c>
      <c r="D47" s="46">
        <v>27</v>
      </c>
      <c r="E47" s="45">
        <v>5.6367432150313153E-2</v>
      </c>
    </row>
    <row r="48" spans="2:5" ht="15" customHeight="1">
      <c r="B48" s="73"/>
      <c r="C48" s="47" t="s">
        <v>167</v>
      </c>
      <c r="D48" s="46">
        <v>11</v>
      </c>
      <c r="E48" s="45">
        <v>2.2964509394572025E-2</v>
      </c>
    </row>
    <row r="49" spans="2:5" ht="15" customHeight="1">
      <c r="B49" s="74"/>
      <c r="C49" s="44" t="s">
        <v>15</v>
      </c>
      <c r="D49" s="43">
        <v>38</v>
      </c>
      <c r="E49" s="42">
        <v>7.9331941544885182E-2</v>
      </c>
    </row>
    <row r="50" spans="2:5" ht="15" customHeight="1">
      <c r="B50" s="72" t="s">
        <v>40</v>
      </c>
      <c r="C50" s="47" t="s">
        <v>168</v>
      </c>
      <c r="D50" s="46">
        <v>17</v>
      </c>
      <c r="E50" s="45">
        <v>3.5490605427974949E-2</v>
      </c>
    </row>
    <row r="51" spans="2:5" ht="15" customHeight="1">
      <c r="B51" s="73"/>
      <c r="C51" s="47" t="s">
        <v>167</v>
      </c>
      <c r="D51" s="46">
        <v>13</v>
      </c>
      <c r="E51" s="45">
        <v>2.7139874739039668E-2</v>
      </c>
    </row>
    <row r="52" spans="2:5" ht="15" customHeight="1">
      <c r="B52" s="74"/>
      <c r="C52" s="44" t="s">
        <v>15</v>
      </c>
      <c r="D52" s="43">
        <v>30</v>
      </c>
      <c r="E52" s="42">
        <v>6.2630480167014613E-2</v>
      </c>
    </row>
    <row r="53" spans="2:5" ht="15" customHeight="1">
      <c r="B53" s="72" t="s">
        <v>18</v>
      </c>
      <c r="C53" s="47" t="s">
        <v>167</v>
      </c>
      <c r="D53" s="46">
        <v>1</v>
      </c>
      <c r="E53" s="45">
        <v>2.0876826722338203E-3</v>
      </c>
    </row>
    <row r="54" spans="2:5" ht="15" customHeight="1">
      <c r="B54" s="74"/>
      <c r="C54" s="44" t="s">
        <v>15</v>
      </c>
      <c r="D54" s="43">
        <v>1</v>
      </c>
      <c r="E54" s="42">
        <v>2.0876826722338203E-3</v>
      </c>
    </row>
    <row r="55" spans="2:5" ht="15" customHeight="1">
      <c r="B55" s="72" t="s">
        <v>26</v>
      </c>
      <c r="C55" s="47" t="s">
        <v>168</v>
      </c>
      <c r="D55" s="46">
        <v>4</v>
      </c>
      <c r="E55" s="45">
        <v>8.350730688935281E-3</v>
      </c>
    </row>
    <row r="56" spans="2:5" ht="15" customHeight="1">
      <c r="B56" s="73"/>
      <c r="C56" s="47" t="s">
        <v>167</v>
      </c>
      <c r="D56" s="46">
        <v>3</v>
      </c>
      <c r="E56" s="45">
        <v>6.2630480167014616E-3</v>
      </c>
    </row>
    <row r="57" spans="2:5" ht="15" customHeight="1">
      <c r="B57" s="74"/>
      <c r="C57" s="44" t="s">
        <v>15</v>
      </c>
      <c r="D57" s="43">
        <v>7</v>
      </c>
      <c r="E57" s="42">
        <v>1.4613778705636743E-2</v>
      </c>
    </row>
    <row r="58" spans="2:5" ht="15" customHeight="1">
      <c r="B58" s="72" t="s">
        <v>17</v>
      </c>
      <c r="C58" s="47" t="s">
        <v>168</v>
      </c>
      <c r="D58" s="46">
        <v>2</v>
      </c>
      <c r="E58" s="45">
        <v>4.1753653444676405E-3</v>
      </c>
    </row>
    <row r="59" spans="2:5" ht="15" customHeight="1">
      <c r="B59" s="73"/>
      <c r="C59" s="47" t="s">
        <v>167</v>
      </c>
      <c r="D59" s="46">
        <v>2</v>
      </c>
      <c r="E59" s="45">
        <v>4.1753653444676405E-3</v>
      </c>
    </row>
    <row r="60" spans="2:5" ht="15" customHeight="1">
      <c r="B60" s="74"/>
      <c r="C60" s="44" t="s">
        <v>15</v>
      </c>
      <c r="D60" s="43">
        <v>4</v>
      </c>
      <c r="E60" s="42">
        <v>8.350730688935281E-3</v>
      </c>
    </row>
    <row r="61" spans="2:5" ht="15" customHeight="1">
      <c r="B61" s="72" t="s">
        <v>35</v>
      </c>
      <c r="C61" s="47" t="s">
        <v>168</v>
      </c>
      <c r="D61" s="46">
        <v>4</v>
      </c>
      <c r="E61" s="45">
        <v>8.350730688935281E-3</v>
      </c>
    </row>
    <row r="62" spans="2:5" ht="15" customHeight="1">
      <c r="B62" s="73"/>
      <c r="C62" s="47" t="s">
        <v>167</v>
      </c>
      <c r="D62" s="46">
        <v>3</v>
      </c>
      <c r="E62" s="45">
        <v>6.2630480167014616E-3</v>
      </c>
    </row>
    <row r="63" spans="2:5" ht="15" customHeight="1">
      <c r="B63" s="74"/>
      <c r="C63" s="44" t="s">
        <v>15</v>
      </c>
      <c r="D63" s="43">
        <v>7</v>
      </c>
      <c r="E63" s="42">
        <v>1.4613778705636743E-2</v>
      </c>
    </row>
    <row r="64" spans="2:5" ht="15" customHeight="1">
      <c r="B64" s="72" t="s">
        <v>37</v>
      </c>
      <c r="C64" s="47" t="s">
        <v>168</v>
      </c>
      <c r="D64" s="46">
        <v>26</v>
      </c>
      <c r="E64" s="45">
        <v>5.4279749478079335E-2</v>
      </c>
    </row>
    <row r="65" spans="2:5" ht="15" customHeight="1">
      <c r="B65" s="73"/>
      <c r="C65" s="47" t="s">
        <v>167</v>
      </c>
      <c r="D65" s="46">
        <v>3</v>
      </c>
      <c r="E65" s="45">
        <v>6.2630480167014616E-3</v>
      </c>
    </row>
    <row r="66" spans="2:5" ht="15" customHeight="1">
      <c r="B66" s="74"/>
      <c r="C66" s="44" t="s">
        <v>15</v>
      </c>
      <c r="D66" s="43">
        <v>29</v>
      </c>
      <c r="E66" s="42">
        <v>6.0542797494780795E-2</v>
      </c>
    </row>
    <row r="67" spans="2:5" ht="15" customHeight="1">
      <c r="B67" s="72" t="s">
        <v>20</v>
      </c>
      <c r="C67" s="47" t="s">
        <v>168</v>
      </c>
      <c r="D67" s="46">
        <v>3</v>
      </c>
      <c r="E67" s="45">
        <v>6.2630480167014616E-3</v>
      </c>
    </row>
    <row r="68" spans="2:5" ht="15" customHeight="1">
      <c r="B68" s="74"/>
      <c r="C68" s="44" t="s">
        <v>15</v>
      </c>
      <c r="D68" s="43">
        <v>3</v>
      </c>
      <c r="E68" s="42">
        <v>6.2630480167014616E-3</v>
      </c>
    </row>
    <row r="69" spans="2:5" ht="15" customHeight="1">
      <c r="B69" s="72" t="s">
        <v>32</v>
      </c>
      <c r="C69" s="47" t="s">
        <v>168</v>
      </c>
      <c r="D69" s="46">
        <v>7</v>
      </c>
      <c r="E69" s="45">
        <v>1.4613778705636743E-2</v>
      </c>
    </row>
    <row r="70" spans="2:5" ht="15" customHeight="1">
      <c r="B70" s="73"/>
      <c r="C70" s="47" t="s">
        <v>167</v>
      </c>
      <c r="D70" s="46">
        <v>1</v>
      </c>
      <c r="E70" s="45">
        <v>2.0876826722338203E-3</v>
      </c>
    </row>
    <row r="71" spans="2:5" ht="15" customHeight="1">
      <c r="B71" s="74"/>
      <c r="C71" s="44" t="s">
        <v>15</v>
      </c>
      <c r="D71" s="43">
        <v>8</v>
      </c>
      <c r="E71" s="42">
        <v>1.6701461377870562E-2</v>
      </c>
    </row>
    <row r="72" spans="2:5" ht="15" customHeight="1">
      <c r="B72" s="72" t="s">
        <v>33</v>
      </c>
      <c r="C72" s="47" t="s">
        <v>168</v>
      </c>
      <c r="D72" s="46">
        <v>8</v>
      </c>
      <c r="E72" s="45">
        <v>1.6701461377870562E-2</v>
      </c>
    </row>
    <row r="73" spans="2:5" ht="15" customHeight="1">
      <c r="B73" s="73"/>
      <c r="C73" s="47" t="s">
        <v>167</v>
      </c>
      <c r="D73" s="46">
        <v>8</v>
      </c>
      <c r="E73" s="45">
        <v>1.6701461377870562E-2</v>
      </c>
    </row>
    <row r="74" spans="2:5" ht="15" customHeight="1">
      <c r="B74" s="74"/>
      <c r="C74" s="44" t="s">
        <v>15</v>
      </c>
      <c r="D74" s="43">
        <v>16</v>
      </c>
      <c r="E74" s="42">
        <v>3.3402922755741124E-2</v>
      </c>
    </row>
    <row r="75" spans="2:5" ht="15" customHeight="1">
      <c r="B75" s="72" t="s">
        <v>30</v>
      </c>
      <c r="C75" s="47" t="s">
        <v>168</v>
      </c>
      <c r="D75" s="46">
        <v>5</v>
      </c>
      <c r="E75" s="45">
        <v>1.0438413361169102E-2</v>
      </c>
    </row>
    <row r="76" spans="2:5" ht="15" customHeight="1">
      <c r="B76" s="73"/>
      <c r="C76" s="47" t="s">
        <v>167</v>
      </c>
      <c r="D76" s="46">
        <v>4</v>
      </c>
      <c r="E76" s="45">
        <v>8.350730688935281E-3</v>
      </c>
    </row>
    <row r="77" spans="2:5" ht="15" customHeight="1">
      <c r="B77" s="74"/>
      <c r="C77" s="44" t="s">
        <v>15</v>
      </c>
      <c r="D77" s="43">
        <v>9</v>
      </c>
      <c r="E77" s="42">
        <v>1.8789144050104383E-2</v>
      </c>
    </row>
    <row r="78" spans="2:5" ht="15" customHeight="1">
      <c r="B78" s="72" t="s">
        <v>16</v>
      </c>
      <c r="C78" s="47" t="s">
        <v>168</v>
      </c>
      <c r="D78" s="46">
        <v>2</v>
      </c>
      <c r="E78" s="45">
        <v>4.1753653444676405E-3</v>
      </c>
    </row>
    <row r="79" spans="2:5" ht="15" customHeight="1">
      <c r="B79" s="74"/>
      <c r="C79" s="44" t="s">
        <v>15</v>
      </c>
      <c r="D79" s="43">
        <v>2</v>
      </c>
      <c r="E79" s="42">
        <v>4.1753653444676405E-3</v>
      </c>
    </row>
    <row r="80" spans="2:5" ht="15" customHeight="1">
      <c r="B80" s="72" t="s">
        <v>19</v>
      </c>
      <c r="C80" s="47" t="s">
        <v>168</v>
      </c>
      <c r="D80" s="46">
        <v>1</v>
      </c>
      <c r="E80" s="45">
        <v>2.0876826722338203E-3</v>
      </c>
    </row>
    <row r="81" spans="2:6" ht="15" customHeight="1">
      <c r="B81" s="73"/>
      <c r="C81" s="47" t="s">
        <v>167</v>
      </c>
      <c r="D81" s="46">
        <v>2</v>
      </c>
      <c r="E81" s="45">
        <v>4.1753653444676405E-3</v>
      </c>
    </row>
    <row r="82" spans="2:6" ht="15" customHeight="1">
      <c r="B82" s="74"/>
      <c r="C82" s="44" t="s">
        <v>15</v>
      </c>
      <c r="D82" s="43">
        <v>3</v>
      </c>
      <c r="E82" s="42">
        <v>6.2630480167014616E-3</v>
      </c>
    </row>
    <row r="83" spans="2:6" ht="15" customHeight="1">
      <c r="B83" s="72" t="s">
        <v>42</v>
      </c>
      <c r="C83" s="47" t="s">
        <v>168</v>
      </c>
      <c r="D83" s="46">
        <v>37</v>
      </c>
      <c r="E83" s="45">
        <v>7.724425887265135E-2</v>
      </c>
    </row>
    <row r="84" spans="2:6" ht="15" customHeight="1">
      <c r="B84" s="73"/>
      <c r="C84" s="47" t="s">
        <v>167</v>
      </c>
      <c r="D84" s="46">
        <v>29</v>
      </c>
      <c r="E84" s="45">
        <v>6.0542797494780795E-2</v>
      </c>
    </row>
    <row r="85" spans="2:6" ht="15" customHeight="1">
      <c r="B85" s="74"/>
      <c r="C85" s="44" t="s">
        <v>15</v>
      </c>
      <c r="D85" s="43">
        <v>66</v>
      </c>
      <c r="E85" s="42">
        <v>0.13778705636743216</v>
      </c>
    </row>
    <row r="86" spans="2:6" ht="15" customHeight="1">
      <c r="B86" s="72" t="s">
        <v>28</v>
      </c>
      <c r="C86" s="47" t="s">
        <v>168</v>
      </c>
      <c r="D86" s="46">
        <v>5</v>
      </c>
      <c r="E86" s="45">
        <v>1.0438413361169102E-2</v>
      </c>
    </row>
    <row r="87" spans="2:6" ht="15" customHeight="1">
      <c r="B87" s="73"/>
      <c r="C87" s="47" t="s">
        <v>167</v>
      </c>
      <c r="D87" s="46">
        <v>1</v>
      </c>
      <c r="E87" s="45">
        <v>2.0876826722338203E-3</v>
      </c>
    </row>
    <row r="88" spans="2:6" ht="15" customHeight="1">
      <c r="B88" s="74"/>
      <c r="C88" s="44" t="s">
        <v>15</v>
      </c>
      <c r="D88" s="43">
        <v>6</v>
      </c>
      <c r="E88" s="42">
        <v>1.2526096033402923E-2</v>
      </c>
    </row>
    <row r="89" spans="2:6" ht="15" customHeight="1">
      <c r="B89" s="72" t="s">
        <v>196</v>
      </c>
      <c r="C89" s="47" t="s">
        <v>168</v>
      </c>
      <c r="D89" s="46">
        <v>1</v>
      </c>
      <c r="E89" s="45">
        <v>2.0876826722338203E-3</v>
      </c>
    </row>
    <row r="90" spans="2:6" ht="15" customHeight="1">
      <c r="B90" s="74"/>
      <c r="C90" s="44" t="s">
        <v>15</v>
      </c>
      <c r="D90" s="43">
        <v>1</v>
      </c>
      <c r="E90" s="42">
        <v>2.0876826722338203E-3</v>
      </c>
    </row>
    <row r="91" spans="2:6" ht="15" customHeight="1">
      <c r="B91" s="72" t="s">
        <v>38</v>
      </c>
      <c r="C91" s="47" t="s">
        <v>168</v>
      </c>
      <c r="D91" s="46">
        <v>10</v>
      </c>
      <c r="E91" s="45">
        <v>2.0876826722338204E-2</v>
      </c>
    </row>
    <row r="92" spans="2:6" ht="15" customHeight="1">
      <c r="B92" s="73"/>
      <c r="C92" s="47" t="s">
        <v>167</v>
      </c>
      <c r="D92" s="46">
        <v>5</v>
      </c>
      <c r="E92" s="45">
        <v>1.0438413361169102E-2</v>
      </c>
    </row>
    <row r="93" spans="2:6" ht="15" customHeight="1">
      <c r="B93" s="74"/>
      <c r="C93" s="44" t="s">
        <v>15</v>
      </c>
      <c r="D93" s="43">
        <v>15</v>
      </c>
      <c r="E93" s="42">
        <v>3.1315240083507306E-2</v>
      </c>
    </row>
    <row r="94" spans="2:6" ht="15" customHeight="1">
      <c r="B94" s="75" t="s">
        <v>15</v>
      </c>
      <c r="C94" s="76"/>
      <c r="D94" s="41">
        <f>SUMIF(C10:C93,"TOTAL",D10:D93)</f>
        <v>479</v>
      </c>
      <c r="E94" s="40">
        <v>1</v>
      </c>
    </row>
    <row r="96" spans="2:6" ht="15" customHeight="1">
      <c r="B96" s="17"/>
      <c r="C96" s="19" t="s">
        <v>191</v>
      </c>
      <c r="D96"/>
      <c r="E96"/>
      <c r="F96" s="17"/>
    </row>
    <row r="97" spans="2:6" ht="15" customHeight="1">
      <c r="B97" s="17"/>
      <c r="C97" s="21" t="s">
        <v>14</v>
      </c>
      <c r="D97"/>
      <c r="E97"/>
      <c r="F97" s="17"/>
    </row>
    <row r="98" spans="2:6" ht="15" customHeight="1">
      <c r="B98" s="17"/>
      <c r="C98" s="20" t="s">
        <v>13</v>
      </c>
      <c r="D98"/>
      <c r="E98"/>
      <c r="F98" s="17"/>
    </row>
    <row r="99" spans="2:6" ht="15" customHeight="1">
      <c r="B99" s="17"/>
      <c r="C99" s="19" t="s">
        <v>12</v>
      </c>
      <c r="D99"/>
      <c r="E99"/>
      <c r="F99" s="17"/>
    </row>
    <row r="100" spans="2:6" ht="15" customHeight="1">
      <c r="B100" s="17"/>
      <c r="C100" s="19" t="s">
        <v>192</v>
      </c>
      <c r="D100"/>
      <c r="E100"/>
      <c r="F100" s="17"/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32">
    <mergeCell ref="B7:E8"/>
    <mergeCell ref="B58:B60"/>
    <mergeCell ref="B61:B63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4"/>
    <mergeCell ref="B55:B57"/>
    <mergeCell ref="B10:B12"/>
    <mergeCell ref="B13:B15"/>
    <mergeCell ref="B16:B17"/>
    <mergeCell ref="B18:B19"/>
    <mergeCell ref="B20:B22"/>
    <mergeCell ref="B91:B93"/>
    <mergeCell ref="B94:C94"/>
    <mergeCell ref="B64:B66"/>
    <mergeCell ref="B67:B68"/>
    <mergeCell ref="B69:B71"/>
    <mergeCell ref="B72:B74"/>
    <mergeCell ref="B75:B77"/>
    <mergeCell ref="B78:B79"/>
    <mergeCell ref="B80:B82"/>
    <mergeCell ref="B83:B85"/>
    <mergeCell ref="B86:B88"/>
    <mergeCell ref="B89:B9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3"/>
  <sheetViews>
    <sheetView topLeftCell="A10" zoomScale="115" zoomScaleNormal="115" zoomScaleSheetLayoutView="100" workbookViewId="0">
      <selection activeCell="C21" sqref="C2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166</v>
      </c>
      <c r="C9" s="51" t="s">
        <v>175</v>
      </c>
      <c r="D9" s="50" t="s">
        <v>45</v>
      </c>
      <c r="E9" s="49" t="s">
        <v>44</v>
      </c>
    </row>
    <row r="10" spans="1:5" ht="15" customHeight="1">
      <c r="B10" s="72" t="s">
        <v>168</v>
      </c>
      <c r="C10" s="47" t="s">
        <v>174</v>
      </c>
      <c r="D10" s="46">
        <v>13</v>
      </c>
      <c r="E10" s="45">
        <v>2.7139874739039668E-2</v>
      </c>
    </row>
    <row r="11" spans="1:5" ht="15" customHeight="1">
      <c r="B11" s="73"/>
      <c r="C11" s="47" t="s">
        <v>173</v>
      </c>
      <c r="D11" s="46">
        <v>61</v>
      </c>
      <c r="E11" s="45">
        <v>0.12734864300626306</v>
      </c>
    </row>
    <row r="12" spans="1:5" ht="15" customHeight="1">
      <c r="B12" s="73"/>
      <c r="C12" s="47" t="s">
        <v>172</v>
      </c>
      <c r="D12" s="46">
        <v>111</v>
      </c>
      <c r="E12" s="45">
        <v>0.23173277661795408</v>
      </c>
    </row>
    <row r="13" spans="1:5" ht="15" customHeight="1">
      <c r="B13" s="73"/>
      <c r="C13" s="47" t="s">
        <v>171</v>
      </c>
      <c r="D13" s="46">
        <v>65</v>
      </c>
      <c r="E13" s="45">
        <v>0.13569937369519833</v>
      </c>
    </row>
    <row r="14" spans="1:5" ht="15" customHeight="1">
      <c r="B14" s="73"/>
      <c r="C14" s="47" t="s">
        <v>170</v>
      </c>
      <c r="D14" s="46">
        <v>38</v>
      </c>
      <c r="E14" s="45">
        <v>7.9331941544885182E-2</v>
      </c>
    </row>
    <row r="15" spans="1:5" ht="15" customHeight="1">
      <c r="B15" s="74"/>
      <c r="C15" s="47" t="s">
        <v>169</v>
      </c>
      <c r="D15" s="46">
        <v>3</v>
      </c>
      <c r="E15" s="45">
        <v>6.2630480167014616E-3</v>
      </c>
    </row>
    <row r="16" spans="1:5" ht="15" customHeight="1">
      <c r="B16" s="72" t="s">
        <v>167</v>
      </c>
      <c r="C16" s="47" t="s">
        <v>174</v>
      </c>
      <c r="D16" s="46">
        <v>8</v>
      </c>
      <c r="E16" s="45">
        <v>1.6701461377870562E-2</v>
      </c>
    </row>
    <row r="17" spans="2:6" ht="15" customHeight="1">
      <c r="B17" s="73"/>
      <c r="C17" s="47" t="s">
        <v>173</v>
      </c>
      <c r="D17" s="46">
        <v>29</v>
      </c>
      <c r="E17" s="45">
        <v>6.0542797494780795E-2</v>
      </c>
    </row>
    <row r="18" spans="2:6" ht="15" customHeight="1">
      <c r="B18" s="73"/>
      <c r="C18" s="47" t="s">
        <v>172</v>
      </c>
      <c r="D18" s="46">
        <v>67</v>
      </c>
      <c r="E18" s="45">
        <v>0.13987473903966596</v>
      </c>
    </row>
    <row r="19" spans="2:6" ht="15" customHeight="1">
      <c r="B19" s="73"/>
      <c r="C19" s="47" t="s">
        <v>171</v>
      </c>
      <c r="D19" s="46">
        <v>62</v>
      </c>
      <c r="E19" s="45">
        <v>0.12943632567849686</v>
      </c>
    </row>
    <row r="20" spans="2:6" ht="15" customHeight="1">
      <c r="B20" s="73"/>
      <c r="C20" s="47" t="s">
        <v>170</v>
      </c>
      <c r="D20" s="46">
        <v>21</v>
      </c>
      <c r="E20" s="45">
        <v>4.3841336116910233E-2</v>
      </c>
    </row>
    <row r="21" spans="2:6" ht="15" customHeight="1">
      <c r="B21" s="74"/>
      <c r="C21" s="47" t="s">
        <v>169</v>
      </c>
      <c r="D21" s="46">
        <v>1</v>
      </c>
      <c r="E21" s="45">
        <v>2.0876826722338203E-3</v>
      </c>
    </row>
    <row r="22" spans="2:6" ht="15" customHeight="1">
      <c r="B22" s="75" t="s">
        <v>15</v>
      </c>
      <c r="C22" s="76"/>
      <c r="D22" s="41">
        <v>479</v>
      </c>
      <c r="E22" s="40">
        <v>1</v>
      </c>
    </row>
    <row r="24" spans="2:6" ht="15" customHeight="1">
      <c r="B24" s="17"/>
      <c r="C24" s="19" t="s">
        <v>191</v>
      </c>
      <c r="D24"/>
      <c r="E24"/>
      <c r="F24" s="17"/>
    </row>
    <row r="25" spans="2:6" ht="15" customHeight="1">
      <c r="B25" s="17"/>
      <c r="C25" s="21" t="s">
        <v>14</v>
      </c>
      <c r="D25"/>
      <c r="E25"/>
      <c r="F25" s="17"/>
    </row>
    <row r="26" spans="2:6" ht="15" customHeight="1">
      <c r="B26" s="17"/>
      <c r="C26" s="20" t="s">
        <v>13</v>
      </c>
      <c r="D26"/>
      <c r="E26"/>
      <c r="F26" s="17"/>
    </row>
    <row r="27" spans="2:6" ht="15" customHeight="1">
      <c r="B27" s="17"/>
      <c r="C27" s="19" t="s">
        <v>12</v>
      </c>
      <c r="D27"/>
      <c r="E27"/>
      <c r="F27" s="17"/>
    </row>
    <row r="28" spans="2:6" ht="15" customHeight="1">
      <c r="B28" s="17"/>
      <c r="C28" s="19" t="s">
        <v>192</v>
      </c>
      <c r="D28"/>
      <c r="E28"/>
      <c r="F28" s="17"/>
    </row>
    <row r="459" spans="2:2" s="37" customFormat="1" ht="15" customHeight="1">
      <c r="B459" s="38"/>
    </row>
    <row r="460" spans="2:2" s="37" customFormat="1" ht="15" customHeight="1">
      <c r="B460" s="39"/>
    </row>
    <row r="461" spans="2:2" s="37" customFormat="1" ht="15" customHeight="1">
      <c r="B461" s="39"/>
    </row>
    <row r="462" spans="2:2" s="37" customFormat="1" ht="15" customHeight="1">
      <c r="B462" s="38"/>
    </row>
    <row r="463" spans="2:2" s="37" customFormat="1" ht="15" customHeight="1">
      <c r="B463" s="38"/>
    </row>
  </sheetData>
  <mergeCells count="4">
    <mergeCell ref="B16:B21"/>
    <mergeCell ref="B22:C22"/>
    <mergeCell ref="B7:E8"/>
    <mergeCell ref="B10:B1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1"/>
  <sheetViews>
    <sheetView showGridLines="0" tabSelected="1" zoomScaleNormal="100" zoomScaleSheetLayoutView="115" workbookViewId="0">
      <selection activeCell="E16" sqref="E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1" t="s">
        <v>190</v>
      </c>
      <c r="C7" s="71"/>
      <c r="D7" s="71"/>
    </row>
    <row r="8" spans="2:4" s="29" customFormat="1" ht="15" customHeight="1">
      <c r="B8" s="71"/>
      <c r="C8" s="71"/>
      <c r="D8" s="71"/>
    </row>
    <row r="9" spans="2:4" s="29" customFormat="1" ht="33" customHeight="1">
      <c r="B9" s="71"/>
      <c r="C9" s="71"/>
      <c r="D9" s="71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187</v>
      </c>
      <c r="C11" s="31" t="s">
        <v>45</v>
      </c>
      <c r="D11" s="30" t="s">
        <v>44</v>
      </c>
    </row>
    <row r="12" spans="2:4">
      <c r="B12" s="27" t="s">
        <v>186</v>
      </c>
      <c r="C12" s="26">
        <v>305</v>
      </c>
      <c r="D12" s="25">
        <v>0.63674321503131526</v>
      </c>
    </row>
    <row r="13" spans="2:4">
      <c r="B13" s="27" t="s">
        <v>185</v>
      </c>
      <c r="C13" s="26">
        <v>98</v>
      </c>
      <c r="D13" s="25">
        <v>0.20459290187891441</v>
      </c>
    </row>
    <row r="14" spans="2:4">
      <c r="B14" s="27" t="s">
        <v>184</v>
      </c>
      <c r="C14" s="26">
        <v>32</v>
      </c>
      <c r="D14" s="25">
        <v>6.6805845511482248E-2</v>
      </c>
    </row>
    <row r="15" spans="2:4">
      <c r="B15" s="27" t="s">
        <v>183</v>
      </c>
      <c r="C15" s="26">
        <v>13</v>
      </c>
      <c r="D15" s="25">
        <v>2.7139874739039668E-2</v>
      </c>
    </row>
    <row r="16" spans="2:4">
      <c r="B16" s="27" t="s">
        <v>180</v>
      </c>
      <c r="C16" s="26">
        <v>10</v>
      </c>
      <c r="D16" s="25">
        <v>2.0876826722338204E-2</v>
      </c>
    </row>
    <row r="17" spans="2:4">
      <c r="B17" s="27" t="s">
        <v>182</v>
      </c>
      <c r="C17" s="26">
        <v>9</v>
      </c>
      <c r="D17" s="25">
        <v>1.8789144050104383E-2</v>
      </c>
    </row>
    <row r="18" spans="2:4">
      <c r="B18" s="27" t="s">
        <v>179</v>
      </c>
      <c r="C18" s="26">
        <v>3</v>
      </c>
      <c r="D18" s="25">
        <v>6.2630480167014616E-3</v>
      </c>
    </row>
    <row r="19" spans="2:4">
      <c r="B19" s="27" t="s">
        <v>181</v>
      </c>
      <c r="C19" s="26">
        <v>3</v>
      </c>
      <c r="D19" s="25">
        <v>6.2630480167014616E-3</v>
      </c>
    </row>
    <row r="20" spans="2:4">
      <c r="B20" s="27" t="s">
        <v>176</v>
      </c>
      <c r="C20" s="26">
        <v>2</v>
      </c>
      <c r="D20" s="25">
        <v>4.1753653444676405E-3</v>
      </c>
    </row>
    <row r="21" spans="2:4">
      <c r="B21" s="27" t="s">
        <v>188</v>
      </c>
      <c r="C21" s="26">
        <v>1</v>
      </c>
      <c r="D21" s="25">
        <v>2.0876826722338203E-3</v>
      </c>
    </row>
    <row r="22" spans="2:4">
      <c r="B22" s="27" t="s">
        <v>189</v>
      </c>
      <c r="C22" s="26">
        <v>1</v>
      </c>
      <c r="D22" s="25">
        <v>2.0876826722338203E-3</v>
      </c>
    </row>
    <row r="23" spans="2:4">
      <c r="B23" s="27" t="s">
        <v>178</v>
      </c>
      <c r="C23" s="26">
        <v>1</v>
      </c>
      <c r="D23" s="25">
        <v>2.0876826722338203E-3</v>
      </c>
    </row>
    <row r="24" spans="2:4">
      <c r="B24" s="27" t="s">
        <v>177</v>
      </c>
      <c r="C24" s="26">
        <v>1</v>
      </c>
      <c r="D24" s="25">
        <v>2.0876826722338203E-3</v>
      </c>
    </row>
    <row r="25" spans="2:4">
      <c r="B25" s="24" t="s">
        <v>15</v>
      </c>
      <c r="C25" s="23">
        <v>479</v>
      </c>
      <c r="D25" s="22">
        <v>1</v>
      </c>
    </row>
    <row r="27" spans="2:4">
      <c r="B27" s="19" t="s">
        <v>191</v>
      </c>
    </row>
    <row r="28" spans="2:4">
      <c r="B28" s="21" t="s">
        <v>14</v>
      </c>
    </row>
    <row r="29" spans="2:4">
      <c r="B29" s="20" t="s">
        <v>13</v>
      </c>
    </row>
    <row r="30" spans="2:4">
      <c r="B30" s="19" t="s">
        <v>12</v>
      </c>
    </row>
    <row r="31" spans="2:4">
      <c r="B31" s="19" t="s">
        <v>192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Wyoming_Edomexgral</vt:lpstr>
      <vt:lpstr>Wyoming_EDOMEX</vt:lpstr>
      <vt:lpstr>Wyoming_Educagral</vt:lpstr>
      <vt:lpstr>Wyoming_Eduedo</vt:lpstr>
      <vt:lpstr>Wyoming_gengral</vt:lpstr>
      <vt:lpstr>Wyoming_edomexgen</vt:lpstr>
      <vt:lpstr>Wyoming_edadgen</vt:lpstr>
      <vt:lpstr>Wyoming_ocupgral</vt:lpstr>
      <vt:lpstr>Índice!Área_de_impresión</vt:lpstr>
      <vt:lpstr>Wyoming_edadgen!Área_de_impresión</vt:lpstr>
      <vt:lpstr>Wyoming_EDOMEX!Área_de_impresión</vt:lpstr>
      <vt:lpstr>Wyoming_edomexgen!Área_de_impresión</vt:lpstr>
      <vt:lpstr>Wyoming_Eduedo!Área_de_impresión</vt:lpstr>
      <vt:lpstr>Wyoming_edadgen!Títulos_a_imprimir</vt:lpstr>
      <vt:lpstr>Wyoming_EDOMEX!Títulos_a_imprimir</vt:lpstr>
      <vt:lpstr>Wyoming_edomexgen!Títulos_a_imprimir</vt:lpstr>
      <vt:lpstr>Wyoming_Edomexgral!Títulos_a_imprimir</vt:lpstr>
      <vt:lpstr>Wyoming_Educagral!Títulos_a_imprimir</vt:lpstr>
      <vt:lpstr>Wyoming_Eduedo!Títulos_a_imprimir</vt:lpstr>
      <vt:lpstr>Wyoming_gengral!Títulos_a_imprimir</vt:lpstr>
      <vt:lpstr>Wyoming_ocupgral!Títulos_a_imprimir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2020-05-18T10:16:16Z</dcterms:created>
  <dcterms:modified xsi:type="dcterms:W3CDTF">2023-09-14T18:38:32Z</dcterms:modified>
</cp:coreProperties>
</file>