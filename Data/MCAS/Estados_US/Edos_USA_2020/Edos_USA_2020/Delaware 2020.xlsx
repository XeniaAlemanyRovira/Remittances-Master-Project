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esoto\Analisisinfo2.7\Matrículas\Anual\Matrículas2020\USA\Finales_USA\"/>
    </mc:Choice>
  </mc:AlternateContent>
  <bookViews>
    <workbookView xWindow="0" yWindow="0" windowWidth="23355" windowHeight="8880" tabRatio="920" firstSheet="5" activeTab="8"/>
  </bookViews>
  <sheets>
    <sheet name="Índice" sheetId="1" r:id="rId1"/>
    <sheet name="Delaware_Edomexgral" sheetId="2" r:id="rId2"/>
    <sheet name="Delaware_EDOMEX" sheetId="11" r:id="rId3"/>
    <sheet name="Delaware_Educagral" sheetId="4" r:id="rId4"/>
    <sheet name="Delaware_Eduedo" sheetId="10" r:id="rId5"/>
    <sheet name="Delaware_gengral" sheetId="6" r:id="rId6"/>
    <sheet name="Delaware_edomexgen" sheetId="7" r:id="rId7"/>
    <sheet name="Delaware_edadgen" sheetId="8" r:id="rId8"/>
    <sheet name="Delaware_ocupgral" sheetId="9" r:id="rId9"/>
  </sheets>
  <definedNames>
    <definedName name="_xlnm._FilterDatabase" localSheetId="7" hidden="1">Delaware_edadgen!$B$9:$E$9</definedName>
    <definedName name="_xlnm._FilterDatabase" localSheetId="2" hidden="1">Delaware_EDOMEX!$B$9:$E$9</definedName>
    <definedName name="_xlnm._FilterDatabase" localSheetId="6" hidden="1">Delaware_edomexgen!$B$9:$E$9</definedName>
    <definedName name="_xlnm._FilterDatabase" localSheetId="1" hidden="1">Delaware_Edomexgral!$B$11:$D$11</definedName>
    <definedName name="_xlnm._FilterDatabase" localSheetId="3" hidden="1">Delaware_Educagral!$B$11:$D$11</definedName>
    <definedName name="_xlnm._FilterDatabase" localSheetId="4" hidden="1">Delaware_Eduedo!$B$9:$E$9</definedName>
    <definedName name="_xlnm._FilterDatabase" localSheetId="5" hidden="1">Delaware_gengral!$B$11:$D$11</definedName>
    <definedName name="_xlnm._FilterDatabase" localSheetId="8" hidden="1">Delaware_ocupgral!$B$11:$D$11</definedName>
    <definedName name="_xlnm.Print_Area" localSheetId="7">Delaware_edadgen!$A$1:$E$9</definedName>
    <definedName name="_xlnm.Print_Area" localSheetId="2">Delaware_EDOMEX!$A$1:$E$9</definedName>
    <definedName name="_xlnm.Print_Area" localSheetId="6">Delaware_edomexgen!$A$1:$E$9</definedName>
    <definedName name="_xlnm.Print_Area" localSheetId="4">Delaware_Eduedo!$A$1:$E$9</definedName>
    <definedName name="_xlnm.Print_Titles" localSheetId="7">Delaware_edadgen!$1:$9</definedName>
    <definedName name="_xlnm.Print_Titles" localSheetId="2">Delaware_EDOMEX!$1:$9</definedName>
    <definedName name="_xlnm.Print_Titles" localSheetId="6">Delaware_edomexgen!$1:$9</definedName>
    <definedName name="_xlnm.Print_Titles" localSheetId="1">Delaware_Edomexgral!$1:$11</definedName>
    <definedName name="_xlnm.Print_Titles" localSheetId="3">Delaware_Educagral!$1:$11</definedName>
    <definedName name="_xlnm.Print_Titles" localSheetId="4">Delaware_Eduedo!$1:$9</definedName>
    <definedName name="_xlnm.Print_Titles" localSheetId="5">Delaware_gengral!$1:$11</definedName>
    <definedName name="_xlnm.Print_Titles" localSheetId="8">Delaware_ocupgral!$1:$11</definedName>
  </definedNames>
  <calcPr calcId="152511"/>
</workbook>
</file>

<file path=xl/calcChain.xml><?xml version="1.0" encoding="utf-8"?>
<calcChain xmlns="http://schemas.openxmlformats.org/spreadsheetml/2006/main">
  <c r="D81" i="7" l="1"/>
  <c r="D331" i="11" l="1"/>
</calcChain>
</file>

<file path=xl/sharedStrings.xml><?xml version="1.0" encoding="utf-8"?>
<sst xmlns="http://schemas.openxmlformats.org/spreadsheetml/2006/main" count="843" uniqueCount="397">
  <si>
    <t xml:space="preserve">Da clic al texto para ir a la información, selecciona                 para regresar. </t>
  </si>
  <si>
    <t>1. Por Estados de la República Mexicana</t>
  </si>
  <si>
    <t>2. Por Municipio de origen</t>
  </si>
  <si>
    <t>2.1 Por estado de la República Mexicana y municipio de origen</t>
  </si>
  <si>
    <t>3. Por Nivel Educativo</t>
  </si>
  <si>
    <t>3.1 Educación general</t>
  </si>
  <si>
    <t>3.2 Por Estado de la República Mexicana</t>
  </si>
  <si>
    <t>4. Por Género</t>
  </si>
  <si>
    <t>4.1 Género General</t>
  </si>
  <si>
    <t>4.2 Por Estados de la República Mexicana</t>
  </si>
  <si>
    <t>5. Por estructura de Edad</t>
  </si>
  <si>
    <t>6. Por Ocupación</t>
  </si>
  <si>
    <t xml:space="preserve">Secretaría de Relaciones Exteriores </t>
  </si>
  <si>
    <t>Elaborado por: Análisis de Información, Instituto de los Mexicanos en el Exterior</t>
  </si>
  <si>
    <t>Fuente: Expedición de Matrículas Consulares de Alta Seguridad en los Consulados de México en E.E.U.U.</t>
  </si>
  <si>
    <t>Total</t>
  </si>
  <si>
    <t>Sonora</t>
  </si>
  <si>
    <t>Tlaxcala</t>
  </si>
  <si>
    <t>Baja California</t>
  </si>
  <si>
    <t>Aguascalientes</t>
  </si>
  <si>
    <t>Tabasco</t>
  </si>
  <si>
    <t>Querétaro</t>
  </si>
  <si>
    <t>Nayarit</t>
  </si>
  <si>
    <t>Durango</t>
  </si>
  <si>
    <t>Zacatecas</t>
  </si>
  <si>
    <t>Tamaulipas</t>
  </si>
  <si>
    <t>Chihuahua</t>
  </si>
  <si>
    <t>Hidalgo</t>
  </si>
  <si>
    <t>San Luis Potosí</t>
  </si>
  <si>
    <t>Oaxaca</t>
  </si>
  <si>
    <t>Chiapas</t>
  </si>
  <si>
    <t>Morelos</t>
  </si>
  <si>
    <t>Jalisco</t>
  </si>
  <si>
    <t>Guanajuato</t>
  </si>
  <si>
    <t>Ciudad de México</t>
  </si>
  <si>
    <t>Guerrero</t>
  </si>
  <si>
    <t>Veracruz</t>
  </si>
  <si>
    <t>Michoacán</t>
  </si>
  <si>
    <t>Puebla</t>
  </si>
  <si>
    <t>Estado de México</t>
  </si>
  <si>
    <t>Porcentaje de Matrículas</t>
  </si>
  <si>
    <t>Número de Matrículas</t>
  </si>
  <si>
    <t>Estado de Origen</t>
  </si>
  <si>
    <t>Villanueva</t>
  </si>
  <si>
    <t>Río Grande</t>
  </si>
  <si>
    <t>Tuxpan</t>
  </si>
  <si>
    <t>Tres Valles</t>
  </si>
  <si>
    <t>Tlalixcoyan</t>
  </si>
  <si>
    <t>Tierra Blanca</t>
  </si>
  <si>
    <t>Soledad de Doblado</t>
  </si>
  <si>
    <t>Santiago Tuxtla</t>
  </si>
  <si>
    <t>San Andrés Tuxtla</t>
  </si>
  <si>
    <t>Poza Rica de Hidalgo</t>
  </si>
  <si>
    <t>Playa Vicente</t>
  </si>
  <si>
    <t>Papantla</t>
  </si>
  <si>
    <t>Misantla</t>
  </si>
  <si>
    <t>Minatitlán</t>
  </si>
  <si>
    <t>Martínez de la Torre</t>
  </si>
  <si>
    <t>Ixhuatlán de Madero</t>
  </si>
  <si>
    <t>Ignacio de la Llave</t>
  </si>
  <si>
    <t>Cuitláhuac</t>
  </si>
  <si>
    <t>Cosamaloapan de Carpio</t>
  </si>
  <si>
    <t>Carrillo Puerto</t>
  </si>
  <si>
    <t>Atzalan</t>
  </si>
  <si>
    <t>Alvarado</t>
  </si>
  <si>
    <t>Xaloztoc</t>
  </si>
  <si>
    <t>Calpulalpan</t>
  </si>
  <si>
    <t>Río Bravo</t>
  </si>
  <si>
    <t>Reynosa</t>
  </si>
  <si>
    <t>Ocampo</t>
  </si>
  <si>
    <t>El Mante</t>
  </si>
  <si>
    <t>Paraíso</t>
  </si>
  <si>
    <t>Huimanguillo</t>
  </si>
  <si>
    <t>Centro</t>
  </si>
  <si>
    <t>Rioverde</t>
  </si>
  <si>
    <t>Ciudad del Maíz</t>
  </si>
  <si>
    <t>Cárdenas</t>
  </si>
  <si>
    <t>Pinal de Amoles</t>
  </si>
  <si>
    <t>Cadereyta de Montes</t>
  </si>
  <si>
    <t>Zoquitlán</t>
  </si>
  <si>
    <t>Zautla</t>
  </si>
  <si>
    <t>Zacapoaxtla</t>
  </si>
  <si>
    <t>Tlahuapan</t>
  </si>
  <si>
    <t>Tlacotepec de Benito Juárez</t>
  </si>
  <si>
    <t>Tilapa</t>
  </si>
  <si>
    <t>Teopantlán</t>
  </si>
  <si>
    <t>Tecamachalco</t>
  </si>
  <si>
    <t>San Pablo Anicano</t>
  </si>
  <si>
    <t>San Martín Texmelucan</t>
  </si>
  <si>
    <t>Quecholac</t>
  </si>
  <si>
    <t>Izúcar de Matamoros</t>
  </si>
  <si>
    <t>Huejotzingo</t>
  </si>
  <si>
    <t>Huehuetlán el Chico</t>
  </si>
  <si>
    <t>Huaquechula</t>
  </si>
  <si>
    <t>Hermenegildo Galeana</t>
  </si>
  <si>
    <t>Domingo Arenas</t>
  </si>
  <si>
    <t>Chietla</t>
  </si>
  <si>
    <t>Chichiquila</t>
  </si>
  <si>
    <t>Chiautla</t>
  </si>
  <si>
    <t>Calpan</t>
  </si>
  <si>
    <t>Atlixco</t>
  </si>
  <si>
    <t>Ajalpan</t>
  </si>
  <si>
    <t>Acatlán</t>
  </si>
  <si>
    <t>Silacayoápam</t>
  </si>
  <si>
    <t>Santiago Juxtlahuaca</t>
  </si>
  <si>
    <t>Oaxaca de Juárez</t>
  </si>
  <si>
    <t>Magdalena Tequisistlán</t>
  </si>
  <si>
    <t>Tepic</t>
  </si>
  <si>
    <t>Rosamorada</t>
  </si>
  <si>
    <t>La Yesca</t>
  </si>
  <si>
    <t>Acaponeta</t>
  </si>
  <si>
    <t>Zacatepec</t>
  </si>
  <si>
    <t>Yautepec</t>
  </si>
  <si>
    <t>Tlaquiltenango</t>
  </si>
  <si>
    <t>Tlaltizapán de Zapata</t>
  </si>
  <si>
    <t>Tetecala</t>
  </si>
  <si>
    <t>Temixco</t>
  </si>
  <si>
    <t>Jojutla</t>
  </si>
  <si>
    <t>Jiutepec</t>
  </si>
  <si>
    <t>Cuernavaca</t>
  </si>
  <si>
    <t>Cuautla</t>
  </si>
  <si>
    <t>Axochiapan</t>
  </si>
  <si>
    <t>Amacuzac</t>
  </si>
  <si>
    <t>Zitácuaro</t>
  </si>
  <si>
    <t>Zinapécuaro</t>
  </si>
  <si>
    <t>Zamora</t>
  </si>
  <si>
    <t>Zacapu</t>
  </si>
  <si>
    <t>Uruapan</t>
  </si>
  <si>
    <t>Tacámbaro</t>
  </si>
  <si>
    <t>Quiroga</t>
  </si>
  <si>
    <t>Puruándiro</t>
  </si>
  <si>
    <t>Pátzcuaro</t>
  </si>
  <si>
    <t>Nocupétaro</t>
  </si>
  <si>
    <t>Nahuatzen</t>
  </si>
  <si>
    <t>Múgica</t>
  </si>
  <si>
    <t>Morelia</t>
  </si>
  <si>
    <t>Lázaro Cárdenas</t>
  </si>
  <si>
    <t>Huetamo</t>
  </si>
  <si>
    <t>Erongarícuaro</t>
  </si>
  <si>
    <t>Coeneo</t>
  </si>
  <si>
    <t>Carácuaro</t>
  </si>
  <si>
    <t>Ario</t>
  </si>
  <si>
    <t>Acuitzio</t>
  </si>
  <si>
    <t>Zapotlanejo</t>
  </si>
  <si>
    <t>Lagos de Moreno</t>
  </si>
  <si>
    <t>Guadalajara</t>
  </si>
  <si>
    <t>Encarnación de Díaz</t>
  </si>
  <si>
    <t>El Salto</t>
  </si>
  <si>
    <t>Tulancingo de Bravo</t>
  </si>
  <si>
    <t>Chapulhuacán</t>
  </si>
  <si>
    <t>Tlacoachistlahuaca</t>
  </si>
  <si>
    <t>Tetipac</t>
  </si>
  <si>
    <t>Tepecoacuilco de Trujano</t>
  </si>
  <si>
    <t>Teloloapan</t>
  </si>
  <si>
    <t>Taxco de Alarcón</t>
  </si>
  <si>
    <t>Pilcaya</t>
  </si>
  <si>
    <t>Leonardo Bravo</t>
  </si>
  <si>
    <t>Juan R. Escudero</t>
  </si>
  <si>
    <t>Zihuatanejo de Azueta</t>
  </si>
  <si>
    <t>Iguala de la Independencia</t>
  </si>
  <si>
    <t>Huitzuco de los Figueroa</t>
  </si>
  <si>
    <t>General Heliodoro Castillo</t>
  </si>
  <si>
    <t>General Canuto A. Neri</t>
  </si>
  <si>
    <t>Coahuayutla de José María Izazaga</t>
  </si>
  <si>
    <t>Chilapa de Álvarez</t>
  </si>
  <si>
    <t>Ayutla de los Libres</t>
  </si>
  <si>
    <t>Arcelia</t>
  </si>
  <si>
    <t>Acapulco de Juárez</t>
  </si>
  <si>
    <t>Yuriria</t>
  </si>
  <si>
    <t>Uriangato</t>
  </si>
  <si>
    <t>Salvatierra</t>
  </si>
  <si>
    <t>Pénjamo</t>
  </si>
  <si>
    <t>Moroleón</t>
  </si>
  <si>
    <t>Manuel Doblado</t>
  </si>
  <si>
    <t>León</t>
  </si>
  <si>
    <t>Irapuato</t>
  </si>
  <si>
    <t>Celaya</t>
  </si>
  <si>
    <t>Acámbaro</t>
  </si>
  <si>
    <t>Zumpahuacán</t>
  </si>
  <si>
    <t>Zinacantepec</t>
  </si>
  <si>
    <t>Zacualpan</t>
  </si>
  <si>
    <t>Valle de Bravo</t>
  </si>
  <si>
    <t>Tultitlán</t>
  </si>
  <si>
    <t>Toluca</t>
  </si>
  <si>
    <t>Tlalnepantla de Baz</t>
  </si>
  <si>
    <t>Texcoco</t>
  </si>
  <si>
    <t>Texcaltitlán</t>
  </si>
  <si>
    <t>Tenango del Valle</t>
  </si>
  <si>
    <t>Tenancingo</t>
  </si>
  <si>
    <t>Temoaya</t>
  </si>
  <si>
    <t>Temascaltepec</t>
  </si>
  <si>
    <t>Sultepec</t>
  </si>
  <si>
    <t>San Felipe del Progreso</t>
  </si>
  <si>
    <t>Nezahualcóyotl</t>
  </si>
  <si>
    <t>Naucalpan de Juárez</t>
  </si>
  <si>
    <t>Malinalco</t>
  </si>
  <si>
    <t>Ixtlahuaca</t>
  </si>
  <si>
    <t>Ixtapan de la Sal</t>
  </si>
  <si>
    <t>Ixtapaluca</t>
  </si>
  <si>
    <t>Ecatepec de Morelos</t>
  </si>
  <si>
    <t>Coatepec Harinas</t>
  </si>
  <si>
    <t>Chalco</t>
  </si>
  <si>
    <t>Calimaya</t>
  </si>
  <si>
    <t>Atlautla</t>
  </si>
  <si>
    <t>Amecameca</t>
  </si>
  <si>
    <t>Amatepec</t>
  </si>
  <si>
    <t>Amanalco</t>
  </si>
  <si>
    <t>Almoloya de Juárez</t>
  </si>
  <si>
    <t>Almoloya de Alquisiras</t>
  </si>
  <si>
    <t>Iztapalapa</t>
  </si>
  <si>
    <t>Gustavo A. Madero</t>
  </si>
  <si>
    <t>Cuauhtémoc</t>
  </si>
  <si>
    <t>Coyoacán</t>
  </si>
  <si>
    <t>Benito Juárez</t>
  </si>
  <si>
    <t>Azcapotzalco</t>
  </si>
  <si>
    <t>Álvaro Obregón</t>
  </si>
  <si>
    <t>Unión Juárez</t>
  </si>
  <si>
    <t>Tapachula</t>
  </si>
  <si>
    <t>Motozintla</t>
  </si>
  <si>
    <t>Las Margaritas</t>
  </si>
  <si>
    <t>La Grandeza</t>
  </si>
  <si>
    <t>Huixtla</t>
  </si>
  <si>
    <t>Huehuetán</t>
  </si>
  <si>
    <t>Frontera Comalapa</t>
  </si>
  <si>
    <t>Cacahoatán</t>
  </si>
  <si>
    <t>Amatenango de la Frontera</t>
  </si>
  <si>
    <t>Tijuana</t>
  </si>
  <si>
    <t>Municipio Origen</t>
  </si>
  <si>
    <t>Menores de edad</t>
  </si>
  <si>
    <t>Profesional Titulado</t>
  </si>
  <si>
    <t>Profesional pasante</t>
  </si>
  <si>
    <t>2° Año de profesional</t>
  </si>
  <si>
    <t>1° Año de profesional</t>
  </si>
  <si>
    <t>Preparatoria con certificado</t>
  </si>
  <si>
    <t>Preparatoria sin certificado</t>
  </si>
  <si>
    <t>Capacitación Técnica</t>
  </si>
  <si>
    <t>Secundaria con certificado</t>
  </si>
  <si>
    <t>3° Secundaria</t>
  </si>
  <si>
    <t>2° Secundaria</t>
  </si>
  <si>
    <t>1° Secundaria</t>
  </si>
  <si>
    <t>Primaria con certificado</t>
  </si>
  <si>
    <t>6° Primaria</t>
  </si>
  <si>
    <t>5° Primaria</t>
  </si>
  <si>
    <t>4° Primaria</t>
  </si>
  <si>
    <t>3° Primaria</t>
  </si>
  <si>
    <t>2° Primaria</t>
  </si>
  <si>
    <t>1° Primaria</t>
  </si>
  <si>
    <t>Sin Estudios</t>
  </si>
  <si>
    <t>Nivel de Estudios</t>
  </si>
  <si>
    <t>MATRÍCULAS CONSULARES EXPEDIDAS EN EL ESTADO DE DELAWARE EN EE.UU. POR NIVEL DE EDUCACIÓN</t>
  </si>
  <si>
    <t>TOTAL</t>
  </si>
  <si>
    <t>MUJER</t>
  </si>
  <si>
    <t>HOMBRE</t>
  </si>
  <si>
    <t>Género</t>
  </si>
  <si>
    <t>Mujer</t>
  </si>
  <si>
    <t>Hombre</t>
  </si>
  <si>
    <t>Entre 66 y 75 Años</t>
  </si>
  <si>
    <t>Entre 50 y 65 Años</t>
  </si>
  <si>
    <t>Entre 40 y 49 Años</t>
  </si>
  <si>
    <t>Entre 29 y 39 Años</t>
  </si>
  <si>
    <t>Entre 18 y 28 Años</t>
  </si>
  <si>
    <t>Entre 11 y 17 Años</t>
  </si>
  <si>
    <t>Más de 75 Años</t>
  </si>
  <si>
    <t>Edad cumplida</t>
  </si>
  <si>
    <t>Mesero(a)</t>
  </si>
  <si>
    <t>Operario(a)</t>
  </si>
  <si>
    <t>Comerciante</t>
  </si>
  <si>
    <t>Albañil</t>
  </si>
  <si>
    <t>Otro</t>
  </si>
  <si>
    <t>Pintor(a)</t>
  </si>
  <si>
    <t>Jardinero(a)</t>
  </si>
  <si>
    <t>Campesino(a)</t>
  </si>
  <si>
    <t>Cocinero(a)</t>
  </si>
  <si>
    <t>Obrero(a)</t>
  </si>
  <si>
    <t>Estudiante</t>
  </si>
  <si>
    <t>Hogar</t>
  </si>
  <si>
    <t>Empleado(a)</t>
  </si>
  <si>
    <t>Ocupación</t>
  </si>
  <si>
    <t>Menores De Edad</t>
  </si>
  <si>
    <t>Profesional titulado</t>
  </si>
  <si>
    <t>Capacitación técnica</t>
  </si>
  <si>
    <t>Mapimí</t>
  </si>
  <si>
    <t>MATRÍCULAS CONSULARES DE ALTA SEGURIDAD EXPEDIDAS EN EL ESTADO DE DELAWARE EN EE.UU. POR ESTADO DE LA REPÚBLICA MEXICANA DURANTE EL 2020</t>
  </si>
  <si>
    <t>Yucatán</t>
  </si>
  <si>
    <t>Jesús María</t>
  </si>
  <si>
    <t>Angel Albino Corzo</t>
  </si>
  <si>
    <t>Bejucal de Ocampo</t>
  </si>
  <si>
    <t>El Porvenir</t>
  </si>
  <si>
    <t>Ixhuatán</t>
  </si>
  <si>
    <t>La Concordia</t>
  </si>
  <si>
    <t>Teopisca</t>
  </si>
  <si>
    <t>Villa Comaltitlán</t>
  </si>
  <si>
    <t>Hidalgo del Parral</t>
  </si>
  <si>
    <t>Madera</t>
  </si>
  <si>
    <t>Canelas</t>
  </si>
  <si>
    <t>Gómez Palacio</t>
  </si>
  <si>
    <t>Pánuco de Coronado</t>
  </si>
  <si>
    <t>Aculco</t>
  </si>
  <si>
    <t>Cocotitlán</t>
  </si>
  <si>
    <t>Ecatzingo</t>
  </si>
  <si>
    <t>Ixtapan del Oro</t>
  </si>
  <si>
    <t>Joquicingo</t>
  </si>
  <si>
    <t>La Paz</t>
  </si>
  <si>
    <t>Ocoyoacac</t>
  </si>
  <si>
    <t>San Martín de las Pirámides</t>
  </si>
  <si>
    <t>San Simón de Guerero</t>
  </si>
  <si>
    <t>Tepetlaoxtoc</t>
  </si>
  <si>
    <t>Tepotzotlán</t>
  </si>
  <si>
    <t>Valle de Chalco Solidaridad</t>
  </si>
  <si>
    <t>Villa Guerero</t>
  </si>
  <si>
    <t>GUANAJUATO</t>
  </si>
  <si>
    <t>Guerero</t>
  </si>
  <si>
    <t>Ajuchitlán del Progreso</t>
  </si>
  <si>
    <t>Coyuca de Catalán</t>
  </si>
  <si>
    <t>Florencio Villarreal</t>
  </si>
  <si>
    <t>Olinalá</t>
  </si>
  <si>
    <t>Pedro Ascencio Alquisiras</t>
  </si>
  <si>
    <t>Zirándaro</t>
  </si>
  <si>
    <t>Ahualulco de Mercado</t>
  </si>
  <si>
    <t>Chapala</t>
  </si>
  <si>
    <t>Cuquío</t>
  </si>
  <si>
    <t>Jalostotitlán</t>
  </si>
  <si>
    <t>Puerto Vallarta</t>
  </si>
  <si>
    <t>Tizapán el Alto</t>
  </si>
  <si>
    <t>Zapopan</t>
  </si>
  <si>
    <t>Chavinda</t>
  </si>
  <si>
    <t>Gabriel Zamora</t>
  </si>
  <si>
    <t>La Huacana</t>
  </si>
  <si>
    <t>San Lucas</t>
  </si>
  <si>
    <t>Tangamandapio</t>
  </si>
  <si>
    <t>Puente de Ixtla</t>
  </si>
  <si>
    <t>Tlayacapan</t>
  </si>
  <si>
    <t>Ixtlán del Río</t>
  </si>
  <si>
    <t>Nuevo Zoquiápam</t>
  </si>
  <si>
    <t>San Andrés Cabecera Nueva</t>
  </si>
  <si>
    <t>San Dionisio del Mar</t>
  </si>
  <si>
    <t>San Gabriel Mixtepec</t>
  </si>
  <si>
    <t>San Juan Bautista Tuxtepec</t>
  </si>
  <si>
    <t>San Juan Quiahije</t>
  </si>
  <si>
    <t>San Juan Teitipac</t>
  </si>
  <si>
    <t>San Juan Tepeuxila</t>
  </si>
  <si>
    <t>San Juan Yatzona</t>
  </si>
  <si>
    <t>San Lucas Ojitlán</t>
  </si>
  <si>
    <t>San Miguel Quetzaltepec</t>
  </si>
  <si>
    <t>San Miguel Tequixtepec</t>
  </si>
  <si>
    <t>San Sebastián Abasolo</t>
  </si>
  <si>
    <t>Santiago Jocotepec</t>
  </si>
  <si>
    <t>Santo Domingo Tehuantepec</t>
  </si>
  <si>
    <t>Santo Domingo Tepuxtepec</t>
  </si>
  <si>
    <t>Santo Domingo Tonalá</t>
  </si>
  <si>
    <t>Santo Domingo Zanatepec</t>
  </si>
  <si>
    <t>Tlacolula de Matamoros</t>
  </si>
  <si>
    <t>Villa de Tututepec de Melchor Ocampo</t>
  </si>
  <si>
    <t>Ayotoxco de Guerero</t>
  </si>
  <si>
    <t>Chapulco</t>
  </si>
  <si>
    <t>Cohetzala</t>
  </si>
  <si>
    <t>Cuetzalan del Progreso</t>
  </si>
  <si>
    <t>Huauchinango</t>
  </si>
  <si>
    <t>Huehuetla</t>
  </si>
  <si>
    <t>Libres</t>
  </si>
  <si>
    <t>San Jerónimo Xayacatlán</t>
  </si>
  <si>
    <t>Tecali de Herrera</t>
  </si>
  <si>
    <t>Tepeojuma</t>
  </si>
  <si>
    <t>Xicotlán</t>
  </si>
  <si>
    <t>El Marqués</t>
  </si>
  <si>
    <t>Ezequiel Montes</t>
  </si>
  <si>
    <t>Ebano</t>
  </si>
  <si>
    <t>Tamasopo</t>
  </si>
  <si>
    <t>Tampamolón Corona</t>
  </si>
  <si>
    <t>Cajeme</t>
  </si>
  <si>
    <t>Cunduacán</t>
  </si>
  <si>
    <t>Jalpa de Méndez</t>
  </si>
  <si>
    <t>Macuspana</t>
  </si>
  <si>
    <t>Natívitas</t>
  </si>
  <si>
    <t>Actopan</t>
  </si>
  <si>
    <t>Atoyac</t>
  </si>
  <si>
    <t>Boca del Río</t>
  </si>
  <si>
    <t>Cazones de Herrera</t>
  </si>
  <si>
    <t>Chacaltianguis</t>
  </si>
  <si>
    <t>Córdoba</t>
  </si>
  <si>
    <t>Gutiérrez Zamora</t>
  </si>
  <si>
    <t>Hueyapan de Ocampo</t>
  </si>
  <si>
    <t>Isla</t>
  </si>
  <si>
    <t>Jamapa</t>
  </si>
  <si>
    <t>Jesús Carranza</t>
  </si>
  <si>
    <t>Omealca</t>
  </si>
  <si>
    <t>Tantoyuca</t>
  </si>
  <si>
    <t>Mérida</t>
  </si>
  <si>
    <t>Pinos</t>
  </si>
  <si>
    <t>Sain Alto</t>
  </si>
  <si>
    <t>Posgrado [Doctorado]</t>
  </si>
  <si>
    <t>MATRÍCULAS CONSULARES DE ALTA SEGURIDAD EXPEDIDAS EN EE.UU A MEXICANOS EN EL ESTADO DE DELAWARE, POR GÉNERO 2020</t>
  </si>
  <si>
    <t>Jubilado(a)</t>
  </si>
  <si>
    <t>MATRÍCULAS CONSULARES DE ALTA SEGURIDAD EXPEDIDAS EN EE.UU A MEXICANOS EN EL ESTADO DE  DELAWARE, POR PERFIL OCUPACIONAL 2020</t>
  </si>
  <si>
    <t>Matrículas consulares expedidas a mexicanos  en el estado de Delaware en el 2020</t>
  </si>
  <si>
    <t>Tamaño de la muestra: 497,795</t>
  </si>
  <si>
    <t>Octubre de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</si>
</sst>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.0%"/>
    <numFmt numFmtId="165" formatCode="0.0%"/>
    <numFmt numFmtId="166" formatCode="#,###"/>
  </numFmts>
  <fonts count="2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Montserrat"/>
    </font>
    <font>
      <sz val="11"/>
      <color theme="1"/>
      <name val="Montserrat"/>
    </font>
    <font>
      <sz val="12"/>
      <color theme="1"/>
      <name val="Montserrat"/>
    </font>
    <font>
      <u/>
      <sz val="11"/>
      <color theme="10"/>
      <name val="Calibri"/>
      <family val="2"/>
      <scheme val="minor"/>
    </font>
    <font>
      <u/>
      <sz val="12"/>
      <color theme="10"/>
      <name val="Montserrat"/>
    </font>
    <font>
      <sz val="10"/>
      <name val="Arial"/>
      <family val="2"/>
    </font>
    <font>
      <sz val="7"/>
      <color indexed="8"/>
      <name val="Montserrat"/>
    </font>
    <font>
      <b/>
      <sz val="9"/>
      <color theme="0"/>
      <name val="Montserrat"/>
    </font>
    <font>
      <sz val="9"/>
      <color rgb="FF000000"/>
      <name val="Montserrat"/>
    </font>
    <font>
      <sz val="9"/>
      <color theme="1"/>
      <name val="Montserrat"/>
    </font>
    <font>
      <sz val="11"/>
      <color theme="1"/>
      <name val="Soberana Sans"/>
      <family val="3"/>
    </font>
    <font>
      <sz val="8"/>
      <color theme="1"/>
      <name val="Arial"/>
      <family val="2"/>
    </font>
    <font>
      <sz val="11"/>
      <color theme="1"/>
      <name val="Arial Narrow"/>
      <family val="2"/>
    </font>
    <font>
      <sz val="10"/>
      <color theme="1"/>
      <name val="Montserrat"/>
    </font>
    <font>
      <sz val="11"/>
      <name val="Calibri"/>
      <family val="2"/>
      <scheme val="minor"/>
    </font>
    <font>
      <sz val="11"/>
      <name val="Soberana Sans"/>
      <family val="3"/>
    </font>
    <font>
      <sz val="8"/>
      <color indexed="8"/>
      <name val="Soberana Sans"/>
      <family val="3"/>
    </font>
    <font>
      <sz val="9"/>
      <name val="Montserrat"/>
    </font>
    <font>
      <sz val="8"/>
      <color theme="1"/>
      <name val="Soberana Sans"/>
      <family val="3"/>
    </font>
    <font>
      <sz val="11"/>
      <color indexed="8"/>
      <name val="Calibri"/>
      <family val="2"/>
    </font>
    <font>
      <b/>
      <sz val="9"/>
      <color indexed="9"/>
      <name val="Montserrat"/>
    </font>
    <font>
      <b/>
      <sz val="11"/>
      <name val="Arial Narrow"/>
      <family val="2"/>
    </font>
  </fonts>
  <fills count="7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249977111117893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5" fillId="0" borderId="0" applyNumberFormat="0" applyFill="0" applyBorder="0" applyAlignment="0" applyProtection="0"/>
    <xf numFmtId="0" fontId="7" fillId="0" borderId="0"/>
    <xf numFmtId="0" fontId="21" fillId="0" borderId="0"/>
  </cellStyleXfs>
  <cellXfs count="79">
    <xf numFmtId="0" fontId="0" fillId="0" borderId="0" xfId="0"/>
    <xf numFmtId="0" fontId="3" fillId="0" borderId="0" xfId="0" applyFont="1"/>
    <xf numFmtId="0" fontId="4" fillId="0" borderId="4" xfId="0" applyFont="1" applyBorder="1" applyAlignment="1">
      <alignment horizontal="left"/>
    </xf>
    <xf numFmtId="0" fontId="4" fillId="0" borderId="0" xfId="0" applyFont="1" applyBorder="1" applyAlignment="1">
      <alignment horizontal="left"/>
    </xf>
    <xf numFmtId="0" fontId="4" fillId="0" borderId="5" xfId="0" applyFont="1" applyBorder="1" applyAlignment="1">
      <alignment horizontal="left"/>
    </xf>
    <xf numFmtId="0" fontId="4" fillId="0" borderId="4" xfId="0" applyFont="1" applyBorder="1" applyAlignment="1">
      <alignment horizontal="left" wrapText="1"/>
    </xf>
    <xf numFmtId="0" fontId="4" fillId="0" borderId="0" xfId="0" applyFont="1" applyBorder="1" applyAlignment="1">
      <alignment horizontal="left" wrapText="1"/>
    </xf>
    <xf numFmtId="0" fontId="4" fillId="0" borderId="5" xfId="0" applyFont="1" applyBorder="1" applyAlignment="1">
      <alignment horizontal="left" wrapText="1"/>
    </xf>
    <xf numFmtId="0" fontId="4" fillId="0" borderId="4" xfId="0" applyFont="1" applyBorder="1" applyAlignment="1"/>
    <xf numFmtId="0" fontId="4" fillId="0" borderId="0" xfId="0" applyFont="1" applyBorder="1" applyAlignment="1"/>
    <xf numFmtId="0" fontId="4" fillId="0" borderId="5" xfId="0" applyFont="1" applyBorder="1" applyAlignment="1"/>
    <xf numFmtId="0" fontId="4" fillId="0" borderId="4" xfId="0" applyFont="1" applyBorder="1"/>
    <xf numFmtId="0" fontId="4" fillId="0" borderId="0" xfId="0" applyFont="1" applyBorder="1"/>
    <xf numFmtId="0" fontId="4" fillId="0" borderId="5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0" fillId="3" borderId="0" xfId="0" applyFont="1" applyFill="1"/>
    <xf numFmtId="3" fontId="0" fillId="3" borderId="0" xfId="0" applyNumberFormat="1" applyFont="1" applyFill="1"/>
    <xf numFmtId="0" fontId="8" fillId="3" borderId="0" xfId="0" applyFont="1" applyFill="1"/>
    <xf numFmtId="0" fontId="8" fillId="3" borderId="0" xfId="0" applyFont="1" applyFill="1" applyAlignment="1">
      <alignment vertical="top"/>
    </xf>
    <xf numFmtId="0" fontId="8" fillId="3" borderId="0" xfId="0" applyFont="1" applyFill="1" applyAlignment="1">
      <alignment vertical="center"/>
    </xf>
    <xf numFmtId="164" fontId="9" fillId="4" borderId="9" xfId="0" applyNumberFormat="1" applyFont="1" applyFill="1" applyBorder="1" applyAlignment="1">
      <alignment horizontal="right" vertical="top" wrapText="1"/>
    </xf>
    <xf numFmtId="3" fontId="9" fillId="4" borderId="9" xfId="0" applyNumberFormat="1" applyFont="1" applyFill="1" applyBorder="1" applyAlignment="1">
      <alignment horizontal="right" vertical="top" wrapText="1"/>
    </xf>
    <xf numFmtId="49" fontId="9" fillId="4" borderId="9" xfId="0" applyNumberFormat="1" applyFont="1" applyFill="1" applyBorder="1" applyAlignment="1">
      <alignment vertical="top" wrapText="1"/>
    </xf>
    <xf numFmtId="164" fontId="10" fillId="3" borderId="9" xfId="0" applyNumberFormat="1" applyFont="1" applyFill="1" applyBorder="1" applyAlignment="1">
      <alignment horizontal="right" vertical="top" wrapText="1"/>
    </xf>
    <xf numFmtId="3" fontId="10" fillId="3" borderId="9" xfId="0" applyNumberFormat="1" applyFont="1" applyFill="1" applyBorder="1" applyAlignment="1">
      <alignment horizontal="right" vertical="top" wrapText="1"/>
    </xf>
    <xf numFmtId="49" fontId="11" fillId="3" borderId="9" xfId="0" applyNumberFormat="1" applyFont="1" applyFill="1" applyBorder="1" applyAlignment="1">
      <alignment vertical="top" wrapText="1"/>
    </xf>
    <xf numFmtId="0" fontId="12" fillId="3" borderId="0" xfId="0" applyFont="1" applyFill="1"/>
    <xf numFmtId="0" fontId="13" fillId="0" borderId="0" xfId="0" applyFont="1"/>
    <xf numFmtId="0" fontId="9" fillId="2" borderId="10" xfId="0" applyFont="1" applyFill="1" applyBorder="1" applyAlignment="1">
      <alignment horizontal="center" vertical="center" wrapText="1"/>
    </xf>
    <xf numFmtId="1" fontId="9" fillId="2" borderId="10" xfId="0" applyNumberFormat="1" applyFont="1" applyFill="1" applyBorder="1" applyAlignment="1">
      <alignment horizontal="center" vertical="center" wrapText="1"/>
    </xf>
    <xf numFmtId="0" fontId="9" fillId="2" borderId="11" xfId="0" applyFont="1" applyFill="1" applyBorder="1" applyAlignment="1">
      <alignment horizontal="center" vertical="center" wrapText="1"/>
    </xf>
    <xf numFmtId="0" fontId="14" fillId="0" borderId="0" xfId="0" applyFont="1" applyBorder="1" applyAlignment="1">
      <alignment horizontal="center" vertical="center" wrapText="1"/>
    </xf>
    <xf numFmtId="3" fontId="13" fillId="0" borderId="0" xfId="0" applyNumberFormat="1" applyFont="1"/>
    <xf numFmtId="1" fontId="13" fillId="0" borderId="0" xfId="0" applyNumberFormat="1" applyFont="1"/>
    <xf numFmtId="0" fontId="16" fillId="3" borderId="0" xfId="0" applyFont="1" applyFill="1"/>
    <xf numFmtId="0" fontId="17" fillId="3" borderId="0" xfId="0" applyFont="1" applyFill="1"/>
    <xf numFmtId="0" fontId="18" fillId="0" borderId="0" xfId="0" applyFont="1" applyBorder="1"/>
    <xf numFmtId="0" fontId="18" fillId="0" borderId="0" xfId="0" applyFont="1" applyBorder="1" applyAlignment="1">
      <alignment vertical="top"/>
    </xf>
    <xf numFmtId="164" fontId="9" fillId="5" borderId="9" xfId="0" applyNumberFormat="1" applyFont="1" applyFill="1" applyBorder="1" applyAlignment="1">
      <alignment horizontal="right" vertical="center" wrapText="1"/>
    </xf>
    <xf numFmtId="3" fontId="9" fillId="5" borderId="9" xfId="0" applyNumberFormat="1" applyFont="1" applyFill="1" applyBorder="1" applyAlignment="1">
      <alignment horizontal="right" vertical="center" wrapText="1"/>
    </xf>
    <xf numFmtId="165" fontId="9" fillId="6" borderId="9" xfId="1" applyNumberFormat="1" applyFont="1" applyFill="1" applyBorder="1" applyAlignment="1">
      <alignment vertical="center" wrapText="1"/>
    </xf>
    <xf numFmtId="3" fontId="9" fillId="6" borderId="9" xfId="3" applyNumberFormat="1" applyFont="1" applyFill="1" applyBorder="1" applyAlignment="1">
      <alignment horizontal="right" vertical="center" wrapText="1"/>
    </xf>
    <xf numFmtId="49" fontId="9" fillId="6" borderId="9" xfId="3" applyNumberFormat="1" applyFont="1" applyFill="1" applyBorder="1" applyAlignment="1">
      <alignment vertical="center" wrapText="1"/>
    </xf>
    <xf numFmtId="164" fontId="19" fillId="3" borderId="9" xfId="3" applyNumberFormat="1" applyFont="1" applyFill="1" applyBorder="1" applyAlignment="1">
      <alignment horizontal="right" vertical="center" wrapText="1"/>
    </xf>
    <xf numFmtId="166" fontId="19" fillId="3" borderId="9" xfId="3" applyNumberFormat="1" applyFont="1" applyFill="1" applyBorder="1" applyAlignment="1">
      <alignment horizontal="right" vertical="center" wrapText="1"/>
    </xf>
    <xf numFmtId="49" fontId="19" fillId="3" borderId="9" xfId="3" applyNumberFormat="1" applyFont="1" applyFill="1" applyBorder="1" applyAlignment="1">
      <alignment vertical="center" wrapText="1"/>
    </xf>
    <xf numFmtId="0" fontId="20" fillId="3" borderId="0" xfId="0" applyFont="1" applyFill="1"/>
    <xf numFmtId="0" fontId="22" fillId="2" borderId="10" xfId="4" applyFont="1" applyFill="1" applyBorder="1" applyAlignment="1">
      <alignment horizontal="center" vertical="center" wrapText="1"/>
    </xf>
    <xf numFmtId="1" fontId="22" fillId="2" borderId="10" xfId="4" applyNumberFormat="1" applyFont="1" applyFill="1" applyBorder="1" applyAlignment="1">
      <alignment horizontal="center" vertical="center" wrapText="1"/>
    </xf>
    <xf numFmtId="0" fontId="9" fillId="2" borderId="10" xfId="4" applyFont="1" applyFill="1" applyBorder="1" applyAlignment="1">
      <alignment horizontal="center" vertical="center" wrapText="1"/>
    </xf>
    <xf numFmtId="0" fontId="13" fillId="3" borderId="0" xfId="0" applyFont="1" applyFill="1"/>
    <xf numFmtId="0" fontId="23" fillId="3" borderId="0" xfId="0" applyFont="1" applyFill="1" applyAlignment="1"/>
    <xf numFmtId="0" fontId="20" fillId="3" borderId="0" xfId="0" applyFont="1" applyFill="1" applyAlignment="1">
      <alignment vertical="center"/>
    </xf>
    <xf numFmtId="0" fontId="13" fillId="3" borderId="0" xfId="0" applyFont="1" applyFill="1" applyBorder="1"/>
    <xf numFmtId="3" fontId="13" fillId="3" borderId="0" xfId="0" applyNumberFormat="1" applyFont="1" applyFill="1" applyBorder="1"/>
    <xf numFmtId="1" fontId="13" fillId="3" borderId="0" xfId="0" applyNumberFormat="1" applyFont="1" applyFill="1" applyBorder="1"/>
    <xf numFmtId="0" fontId="20" fillId="3" borderId="0" xfId="0" applyFont="1" applyFill="1" applyBorder="1"/>
    <xf numFmtId="0" fontId="20" fillId="3" borderId="0" xfId="0" applyFont="1" applyFill="1" applyBorder="1" applyAlignment="1">
      <alignment vertical="center"/>
    </xf>
    <xf numFmtId="3" fontId="12" fillId="3" borderId="0" xfId="0" applyNumberFormat="1" applyFont="1" applyFill="1"/>
    <xf numFmtId="0" fontId="4" fillId="0" borderId="0" xfId="0" applyFont="1"/>
    <xf numFmtId="49" fontId="19" fillId="3" borderId="9" xfId="3" applyNumberFormat="1" applyFont="1" applyFill="1" applyBorder="1" applyAlignment="1">
      <alignment horizontal="center" vertical="center" wrapText="1"/>
    </xf>
    <xf numFmtId="0" fontId="6" fillId="0" borderId="0" xfId="2" applyFont="1" applyBorder="1" applyAlignment="1">
      <alignment horizontal="left"/>
    </xf>
    <xf numFmtId="0" fontId="6" fillId="0" borderId="5" xfId="2" applyFont="1" applyBorder="1" applyAlignment="1">
      <alignment horizontal="left"/>
    </xf>
    <xf numFmtId="0" fontId="6" fillId="0" borderId="4" xfId="2" applyFont="1" applyBorder="1" applyAlignment="1">
      <alignment horizontal="left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4" fillId="0" borderId="4" xfId="0" applyFont="1" applyBorder="1" applyAlignment="1">
      <alignment horizontal="left" wrapText="1"/>
    </xf>
    <xf numFmtId="0" fontId="4" fillId="0" borderId="0" xfId="0" applyFont="1" applyBorder="1" applyAlignment="1">
      <alignment horizontal="left" wrapText="1"/>
    </xf>
    <xf numFmtId="0" fontId="4" fillId="0" borderId="5" xfId="0" applyFont="1" applyBorder="1" applyAlignment="1">
      <alignment horizontal="left" wrapText="1"/>
    </xf>
    <xf numFmtId="0" fontId="15" fillId="0" borderId="0" xfId="0" applyFont="1" applyBorder="1" applyAlignment="1">
      <alignment horizontal="center" vertical="center" wrapText="1"/>
    </xf>
    <xf numFmtId="49" fontId="9" fillId="5" borderId="13" xfId="0" applyNumberFormat="1" applyFont="1" applyFill="1" applyBorder="1" applyAlignment="1">
      <alignment horizontal="center" vertical="center" wrapText="1"/>
    </xf>
    <xf numFmtId="49" fontId="9" fillId="5" borderId="12" xfId="0" applyNumberFormat="1" applyFont="1" applyFill="1" applyBorder="1" applyAlignment="1">
      <alignment horizontal="center" vertical="center" wrapText="1"/>
    </xf>
    <xf numFmtId="49" fontId="19" fillId="3" borderId="10" xfId="3" applyNumberFormat="1" applyFont="1" applyFill="1" applyBorder="1" applyAlignment="1">
      <alignment horizontal="center" vertical="center" wrapText="1"/>
    </xf>
    <xf numFmtId="49" fontId="19" fillId="3" borderId="14" xfId="3" applyNumberFormat="1" applyFont="1" applyFill="1" applyBorder="1" applyAlignment="1">
      <alignment horizontal="center" vertical="center" wrapText="1"/>
    </xf>
    <xf numFmtId="49" fontId="19" fillId="3" borderId="15" xfId="3" applyNumberFormat="1" applyFont="1" applyFill="1" applyBorder="1" applyAlignment="1">
      <alignment horizontal="center" vertical="center" wrapText="1"/>
    </xf>
    <xf numFmtId="0" fontId="12" fillId="3" borderId="0" xfId="0" applyFont="1" applyFill="1" applyAlignment="1">
      <alignment horizontal="center" wrapText="1"/>
    </xf>
  </cellXfs>
  <cellStyles count="5">
    <cellStyle name="Hipervínculo" xfId="2" builtinId="8"/>
    <cellStyle name="Normal" xfId="0" builtinId="0"/>
    <cellStyle name="Normal 2" xfId="3"/>
    <cellStyle name="Normal_Hoja1" xfId="4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&#205;ndice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332198</xdr:colOff>
      <xdr:row>2</xdr:row>
      <xdr:rowOff>19380</xdr:rowOff>
    </xdr:from>
    <xdr:to>
      <xdr:col>3</xdr:col>
      <xdr:colOff>844295</xdr:colOff>
      <xdr:row>3</xdr:row>
      <xdr:rowOff>19381</xdr:rowOff>
    </xdr:to>
    <xdr:sp macro="" textlink="">
      <xdr:nvSpPr>
        <xdr:cNvPr id="2" name="Rectángulo redondeado 1">
          <a:hlinkClick xmlns:r="http://schemas.openxmlformats.org/officeDocument/2006/relationships" r:id="rId1"/>
        </xdr:cNvPr>
        <xdr:cNvSpPr/>
      </xdr:nvSpPr>
      <xdr:spPr>
        <a:xfrm>
          <a:off x="3656423" y="743280"/>
          <a:ext cx="512097" cy="180976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DELAWARE 2020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="" xmlns:a16="http://schemas.microsoft.com/office/drawing/2014/main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190500</xdr:colOff>
      <xdr:row>8</xdr:row>
      <xdr:rowOff>19050</xdr:rowOff>
    </xdr:from>
    <xdr:to>
      <xdr:col>5</xdr:col>
      <xdr:colOff>83472</xdr:colOff>
      <xdr:row>8</xdr:row>
      <xdr:rowOff>209551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4619625" y="1733550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:a16="http://schemas.microsoft.com/office/drawing/2014/main" xmlns="" id="{00000000-0008-0000-0A00-000003000000}"/>
            </a:ext>
          </a:extLst>
        </xdr:cNvPr>
        <xdr:cNvSpPr txBox="1"/>
      </xdr:nvSpPr>
      <xdr:spPr>
        <a:xfrm>
          <a:off x="37599" y="1368090"/>
          <a:ext cx="5703971" cy="6632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Montserrat" panose="00000500000000000000" pitchFamily="2" charset="0"/>
            </a:rPr>
            <a:t>MATRÍCULAS CONSULARES DE ALTA SEGURIDAD EXPEDIDAS EN EL ESTADO DE DELAWARE DE EE.UU. POR ESTADO Y MUNICIPIO DE LA REPÚBLICA MEXICANA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:a16="http://schemas.microsoft.com/office/drawing/2014/main" xmlns="" id="{00000000-0008-0000-0A00-000007000000}"/>
            </a:ext>
          </a:extLst>
        </xdr:cNvPr>
        <xdr:cNvSpPr txBox="1"/>
      </xdr:nvSpPr>
      <xdr:spPr>
        <a:xfrm>
          <a:off x="57978" y="41414"/>
          <a:ext cx="5657435" cy="10774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DELAWARE 2020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28403" y="2028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3357"/>
    <xdr:pic>
      <xdr:nvPicPr>
        <xdr:cNvPr id="5" name="Imagen 4" descr="D:\Users\yayala\Desktop\logo SRE.jpg">
          <a:extLst>
            <a:ext uri="{FF2B5EF4-FFF2-40B4-BE49-F238E27FC236}">
              <a16:creationId xmlns:a16="http://schemas.microsoft.com/office/drawing/2014/main" xmlns="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65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584638</xdr:colOff>
      <xdr:row>7</xdr:row>
      <xdr:rowOff>151086</xdr:rowOff>
    </xdr:from>
    <xdr:to>
      <xdr:col>4</xdr:col>
      <xdr:colOff>1096735</xdr:colOff>
      <xdr:row>7</xdr:row>
      <xdr:rowOff>330381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223313" y="1894161"/>
          <a:ext cx="512097" cy="17929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DELAWARE 2020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="" xmlns:a16="http://schemas.microsoft.com/office/drawing/2014/main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161925</xdr:colOff>
      <xdr:row>8</xdr:row>
      <xdr:rowOff>0</xdr:rowOff>
    </xdr:from>
    <xdr:to>
      <xdr:col>5</xdr:col>
      <xdr:colOff>54897</xdr:colOff>
      <xdr:row>8</xdr:row>
      <xdr:rowOff>190501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5181600" y="1714500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="" xmlns:a16="http://schemas.microsoft.com/office/drawing/2014/main" id="{00000000-0008-0000-0A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Montserrat" panose="00000500000000000000" pitchFamily="2" charset="0"/>
            </a:rPr>
            <a:t>MATRÍCULAS CONSULARES DE ALTA SEGURIDAD EXPEDIDAS EN EE.UU A MEXICANOS EN EL ESTADO DE  DELAWARE, POR NIVEL DE EDUCACIÓN Y ESTADO DE LA REPÚBLICA, DURANTE EL 2020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="" xmlns:a16="http://schemas.microsoft.com/office/drawing/2014/main" id="{00000000-0008-0000-0A00-000007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DELAWARE 2020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3357"/>
    <xdr:pic>
      <xdr:nvPicPr>
        <xdr:cNvPr id="5" name="Imagen 4" descr="D:\Users\yayala\Desktop\logo SRE.jpg">
          <a:extLst>
            <a:ext uri="{FF2B5EF4-FFF2-40B4-BE49-F238E27FC236}">
              <a16:creationId xmlns="" xmlns:a16="http://schemas.microsoft.com/office/drawing/2014/main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0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479534</xdr:colOff>
      <xdr:row>7</xdr:row>
      <xdr:rowOff>151086</xdr:rowOff>
    </xdr:from>
    <xdr:to>
      <xdr:col>4</xdr:col>
      <xdr:colOff>991631</xdr:colOff>
      <xdr:row>7</xdr:row>
      <xdr:rowOff>341587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117224" y="1891862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DELAWARE 2020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="" xmlns:a16="http://schemas.microsoft.com/office/drawing/2014/main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219075</xdr:colOff>
      <xdr:row>7</xdr:row>
      <xdr:rowOff>171450</xdr:rowOff>
    </xdr:from>
    <xdr:to>
      <xdr:col>5</xdr:col>
      <xdr:colOff>112047</xdr:colOff>
      <xdr:row>8</xdr:row>
      <xdr:rowOff>171451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4648200" y="1695450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:a16="http://schemas.microsoft.com/office/drawing/2014/main" xmlns="" id="{00000000-0008-0000-0A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Montserrat" panose="00000500000000000000" pitchFamily="2" charset="0"/>
            </a:rPr>
            <a:t>MATRÍCULAS CONSULARES DE ALTA SEGURIDAD EXPEDIDAS EN EE.UU A MEXICANOS EN EL ESTADO DE DELAWARE, POR ESTADO DE LA REPÚBLICA MEXICANA Y GÉNERO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:a16="http://schemas.microsoft.com/office/drawing/2014/main" xmlns="" id="{00000000-0008-0000-0A00-000007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DELAWARE 2020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3357"/>
    <xdr:pic>
      <xdr:nvPicPr>
        <xdr:cNvPr id="5" name="Imagen 4" descr="D:\Users\yayala\Desktop\logo SRE.jpg">
          <a:extLst>
            <a:ext uri="{FF2B5EF4-FFF2-40B4-BE49-F238E27FC236}">
              <a16:creationId xmlns:a16="http://schemas.microsoft.com/office/drawing/2014/main" xmlns="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0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558362</xdr:colOff>
      <xdr:row>7</xdr:row>
      <xdr:rowOff>137948</xdr:rowOff>
    </xdr:from>
    <xdr:to>
      <xdr:col>4</xdr:col>
      <xdr:colOff>1070459</xdr:colOff>
      <xdr:row>7</xdr:row>
      <xdr:rowOff>328449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196052" y="1878724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:a16="http://schemas.microsoft.com/office/drawing/2014/main" xmlns="" id="{00000000-0008-0000-0A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Montserrat" panose="00000500000000000000" pitchFamily="2" charset="0"/>
            </a:rPr>
            <a:t>MATRÍCULAS CONSULARES DE ALTA SEGURIDAD EXPEDIDAS EN EE.UU A MEXICANOS EN EL ESTADO DE DELAWARE, POR GÉNERO Y RANGO DE EDAD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:a16="http://schemas.microsoft.com/office/drawing/2014/main" xmlns="" id="{00000000-0008-0000-0A00-000007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DELAWARE 2020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3357"/>
    <xdr:pic>
      <xdr:nvPicPr>
        <xdr:cNvPr id="5" name="Imagen 4" descr="D:\Users\yayala\Desktop\logo SRE.jpg">
          <a:extLst>
            <a:ext uri="{FF2B5EF4-FFF2-40B4-BE49-F238E27FC236}">
              <a16:creationId xmlns:a16="http://schemas.microsoft.com/office/drawing/2014/main" xmlns="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0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479535</xdr:colOff>
      <xdr:row>7</xdr:row>
      <xdr:rowOff>72258</xdr:rowOff>
    </xdr:from>
    <xdr:to>
      <xdr:col>4</xdr:col>
      <xdr:colOff>991632</xdr:colOff>
      <xdr:row>7</xdr:row>
      <xdr:rowOff>262759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117225" y="1813034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xmlns="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DELAWARE 2020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:a16="http://schemas.microsoft.com/office/drawing/2014/main" xmlns="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228600</xdr:colOff>
      <xdr:row>8</xdr:row>
      <xdr:rowOff>9525</xdr:rowOff>
    </xdr:from>
    <xdr:to>
      <xdr:col>5</xdr:col>
      <xdr:colOff>121572</xdr:colOff>
      <xdr:row>8</xdr:row>
      <xdr:rowOff>200026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4657725" y="1724025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/>
  <dimension ref="A1:D22"/>
  <sheetViews>
    <sheetView showGridLines="0" view="pageBreakPreview" zoomScaleNormal="100" zoomScaleSheetLayoutView="100" workbookViewId="0">
      <selection sqref="A1:D1"/>
    </sheetView>
  </sheetViews>
  <sheetFormatPr baseColWidth="10" defaultColWidth="11.42578125" defaultRowHeight="18"/>
  <cols>
    <col min="1" max="1" width="5.140625" style="1" customWidth="1"/>
    <col min="2" max="2" width="20" style="1" customWidth="1"/>
    <col min="3" max="3" width="24.7109375" style="1" customWidth="1"/>
    <col min="4" max="4" width="28.85546875" style="1" customWidth="1"/>
    <col min="5" max="16384" width="11.42578125" style="1"/>
  </cols>
  <sheetData>
    <row r="1" spans="1:4" ht="42" customHeight="1" thickBot="1">
      <c r="A1" s="66" t="s">
        <v>394</v>
      </c>
      <c r="B1" s="67"/>
      <c r="C1" s="67"/>
      <c r="D1" s="68"/>
    </row>
    <row r="2" spans="1:4" ht="18.75">
      <c r="A2" s="2"/>
      <c r="B2" s="3"/>
      <c r="C2" s="3"/>
      <c r="D2" s="4"/>
    </row>
    <row r="3" spans="1:4">
      <c r="A3" s="69" t="s">
        <v>0</v>
      </c>
      <c r="B3" s="70"/>
      <c r="C3" s="70"/>
      <c r="D3" s="71"/>
    </row>
    <row r="4" spans="1:4">
      <c r="A4" s="69"/>
      <c r="B4" s="70"/>
      <c r="C4" s="70"/>
      <c r="D4" s="71"/>
    </row>
    <row r="5" spans="1:4" ht="18.75">
      <c r="A5" s="5"/>
      <c r="B5" s="6"/>
      <c r="C5" s="6"/>
      <c r="D5" s="7"/>
    </row>
    <row r="6" spans="1:4" ht="18.75">
      <c r="A6" s="65" t="s">
        <v>1</v>
      </c>
      <c r="B6" s="63"/>
      <c r="C6" s="63"/>
      <c r="D6" s="64"/>
    </row>
    <row r="7" spans="1:4" ht="18.75">
      <c r="A7" s="8"/>
      <c r="B7" s="9"/>
      <c r="C7" s="9"/>
      <c r="D7" s="10"/>
    </row>
    <row r="8" spans="1:4" ht="18.75">
      <c r="A8" s="11" t="s">
        <v>2</v>
      </c>
      <c r="B8" s="12"/>
      <c r="C8" s="12"/>
      <c r="D8" s="13"/>
    </row>
    <row r="9" spans="1:4" ht="18.75">
      <c r="A9" s="11"/>
      <c r="B9" s="63" t="s">
        <v>3</v>
      </c>
      <c r="C9" s="63"/>
      <c r="D9" s="64"/>
    </row>
    <row r="10" spans="1:4" ht="18.75">
      <c r="A10" s="11" t="s">
        <v>4</v>
      </c>
      <c r="B10" s="12"/>
      <c r="C10" s="12"/>
      <c r="D10" s="13"/>
    </row>
    <row r="11" spans="1:4" ht="18.75">
      <c r="A11" s="11"/>
      <c r="B11" s="63" t="s">
        <v>5</v>
      </c>
      <c r="C11" s="63"/>
      <c r="D11" s="64"/>
    </row>
    <row r="12" spans="1:4" ht="18.75">
      <c r="A12" s="11"/>
      <c r="B12" s="63" t="s">
        <v>6</v>
      </c>
      <c r="C12" s="63"/>
      <c r="D12" s="64"/>
    </row>
    <row r="13" spans="1:4" ht="18.75">
      <c r="A13" s="11"/>
      <c r="B13" s="12"/>
      <c r="C13" s="12"/>
      <c r="D13" s="13"/>
    </row>
    <row r="14" spans="1:4" ht="18.75">
      <c r="A14" s="11" t="s">
        <v>7</v>
      </c>
      <c r="B14" s="12"/>
      <c r="C14" s="12"/>
      <c r="D14" s="13"/>
    </row>
    <row r="15" spans="1:4" ht="18.75">
      <c r="A15" s="11"/>
      <c r="B15" s="63" t="s">
        <v>8</v>
      </c>
      <c r="C15" s="63"/>
      <c r="D15" s="64"/>
    </row>
    <row r="16" spans="1:4" ht="18.75">
      <c r="A16" s="11"/>
      <c r="B16" s="63" t="s">
        <v>9</v>
      </c>
      <c r="C16" s="63"/>
      <c r="D16" s="64"/>
    </row>
    <row r="17" spans="1:4" ht="18.75">
      <c r="A17" s="11"/>
      <c r="B17" s="12"/>
      <c r="C17" s="12"/>
      <c r="D17" s="13"/>
    </row>
    <row r="18" spans="1:4" ht="18.75">
      <c r="A18" s="65" t="s">
        <v>10</v>
      </c>
      <c r="B18" s="63"/>
      <c r="C18" s="63"/>
      <c r="D18" s="64"/>
    </row>
    <row r="19" spans="1:4" ht="18.75">
      <c r="A19" s="11"/>
      <c r="B19" s="12"/>
      <c r="C19" s="12"/>
      <c r="D19" s="13"/>
    </row>
    <row r="20" spans="1:4" ht="18.75">
      <c r="A20" s="65" t="s">
        <v>11</v>
      </c>
      <c r="B20" s="63"/>
      <c r="C20" s="63"/>
      <c r="D20" s="64"/>
    </row>
    <row r="21" spans="1:4" ht="19.5" thickBot="1">
      <c r="A21" s="14"/>
      <c r="B21" s="15"/>
      <c r="C21" s="15"/>
      <c r="D21" s="16"/>
    </row>
    <row r="22" spans="1:4" ht="18.75">
      <c r="A22" s="61"/>
      <c r="B22" s="61"/>
      <c r="C22" s="61"/>
      <c r="D22" s="61"/>
    </row>
  </sheetData>
  <mergeCells count="10">
    <mergeCell ref="B15:D15"/>
    <mergeCell ref="B16:D16"/>
    <mergeCell ref="A18:D18"/>
    <mergeCell ref="A20:D20"/>
    <mergeCell ref="A1:D1"/>
    <mergeCell ref="A3:D4"/>
    <mergeCell ref="A6:D6"/>
    <mergeCell ref="B9:D9"/>
    <mergeCell ref="B11:D11"/>
    <mergeCell ref="B12:D12"/>
  </mergeCells>
  <hyperlinks>
    <hyperlink ref="A6" location="Aguascalientes_EdoUsa!A1" display="1. Por Estados de USA"/>
    <hyperlink ref="B11" location="Aguascalientes_educ_gral!A1" display="4.1 Educación general"/>
    <hyperlink ref="B12" location="Aguascalientes_NivelE_Cons!A1" display="4.2 Por Estado de USA"/>
    <hyperlink ref="B15" location="Aguascalientes_GenGral!A1" display="5.1 Género General"/>
    <hyperlink ref="B16" location="Aguascalientes_GENERO!A1" display="5.3 Por Circunscripción Consular"/>
    <hyperlink ref="A18" location="Aguascalientes_Gen_Edad!A1" display="6. Por estructura de Edad"/>
    <hyperlink ref="A20" location="Aguascalientes_ocup_gral!A1" display="7. Por Ocupación"/>
    <hyperlink ref="A6:D6" location="Delaware_Edomexgral!A1" display="1. Por Estados de la República Mexicana"/>
    <hyperlink ref="B9" location="Alabama_EDOMEX!Área_de_impresión" display="2.1 Por estado de la República Mexicana y municipio de origen"/>
    <hyperlink ref="B11:D11" location="Delaware_Educagral!A1" display="3.1 Educación general"/>
    <hyperlink ref="B12:D12" location="Delaware_Eduedo!A1" display="3.2 Por Estado de la República Mexicana"/>
    <hyperlink ref="B15:D15" location="Delaware_gengral!A1" display="4.1 Género General"/>
    <hyperlink ref="B16:D16" location="Delaware_edomexgen!A1" display="4.2 Por Estados de la República Mexicana"/>
    <hyperlink ref="A18:D18" location="Delaware_edadgen!A1" display="5. Por estructura de Edad"/>
    <hyperlink ref="A20:D20" location="Delaware_ocupgral!A1" display="6. Por Ocupación"/>
    <hyperlink ref="B9:D9" location="Delaware_EDOMEX!A1" display="2.1 Por estado de la República Mexicana y municipio de origen"/>
  </hyperlink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E43"/>
  <sheetViews>
    <sheetView showGridLines="0" topLeftCell="A24" zoomScaleNormal="100" zoomScaleSheetLayoutView="115" workbookViewId="0">
      <selection activeCell="D41" sqref="D41"/>
    </sheetView>
  </sheetViews>
  <sheetFormatPr baseColWidth="10" defaultColWidth="11.42578125" defaultRowHeight="15"/>
  <cols>
    <col min="1" max="1" width="9.28515625" style="17" customWidth="1"/>
    <col min="2" max="2" width="21.7109375" style="17" customWidth="1"/>
    <col min="3" max="3" width="17.7109375" style="18" customWidth="1"/>
    <col min="4" max="4" width="17.7109375" style="17" customWidth="1"/>
    <col min="5" max="5" width="9.28515625" style="17" customWidth="1"/>
    <col min="6" max="6" width="5.7109375" style="17" customWidth="1"/>
    <col min="7" max="16384" width="11.42578125" style="17"/>
  </cols>
  <sheetData>
    <row r="1" spans="1:5" s="29" customFormat="1" ht="15" customHeight="1">
      <c r="C1" s="35"/>
    </row>
    <row r="2" spans="1:5" s="29" customFormat="1" ht="15" customHeight="1">
      <c r="C2" s="35"/>
    </row>
    <row r="3" spans="1:5" s="29" customFormat="1" ht="15" customHeight="1">
      <c r="C3" s="35"/>
    </row>
    <row r="4" spans="1:5" s="29" customFormat="1" ht="30" customHeight="1">
      <c r="C4" s="35"/>
      <c r="D4" s="34"/>
    </row>
    <row r="5" spans="1:5" s="29" customFormat="1" ht="15" customHeight="1">
      <c r="C5" s="35"/>
      <c r="D5" s="34"/>
    </row>
    <row r="6" spans="1:5" s="29" customFormat="1" ht="15" customHeight="1">
      <c r="C6" s="35"/>
      <c r="D6" s="34"/>
    </row>
    <row r="7" spans="1:5" s="29" customFormat="1" ht="15" customHeight="1">
      <c r="B7" s="72" t="s">
        <v>282</v>
      </c>
      <c r="C7" s="72"/>
      <c r="D7" s="72"/>
    </row>
    <row r="8" spans="1:5" s="29" customFormat="1" ht="15" customHeight="1">
      <c r="B8" s="72"/>
      <c r="C8" s="72"/>
      <c r="D8" s="72"/>
    </row>
    <row r="9" spans="1:5" s="29" customFormat="1" ht="33" customHeight="1">
      <c r="B9" s="72"/>
      <c r="C9" s="72"/>
      <c r="D9" s="72"/>
    </row>
    <row r="10" spans="1:5" s="29" customFormat="1" ht="4.5" customHeight="1">
      <c r="B10" s="33"/>
      <c r="C10" s="33"/>
      <c r="D10" s="33"/>
    </row>
    <row r="11" spans="1:5" s="29" customFormat="1" ht="33" customHeight="1">
      <c r="B11" s="32" t="s">
        <v>42</v>
      </c>
      <c r="C11" s="31" t="s">
        <v>41</v>
      </c>
      <c r="D11" s="30" t="s">
        <v>40</v>
      </c>
    </row>
    <row r="12" spans="1:5">
      <c r="B12" s="27" t="s">
        <v>39</v>
      </c>
      <c r="C12" s="26">
        <v>241</v>
      </c>
      <c r="D12" s="25">
        <v>0.25051975051975051</v>
      </c>
    </row>
    <row r="13" spans="1:5">
      <c r="B13" s="27" t="s">
        <v>38</v>
      </c>
      <c r="C13" s="26">
        <v>199</v>
      </c>
      <c r="D13" s="25">
        <v>0.20686070686070687</v>
      </c>
    </row>
    <row r="14" spans="1:5">
      <c r="A14" s="28"/>
      <c r="B14" s="27" t="s">
        <v>35</v>
      </c>
      <c r="C14" s="26">
        <v>72</v>
      </c>
      <c r="D14" s="25">
        <v>7.4844074844074848E-2</v>
      </c>
      <c r="E14" s="28"/>
    </row>
    <row r="15" spans="1:5">
      <c r="A15" s="28"/>
      <c r="B15" s="27" t="s">
        <v>36</v>
      </c>
      <c r="C15" s="26">
        <v>67</v>
      </c>
      <c r="D15" s="25">
        <v>6.964656964656965E-2</v>
      </c>
      <c r="E15" s="28"/>
    </row>
    <row r="16" spans="1:5">
      <c r="B16" s="27" t="s">
        <v>37</v>
      </c>
      <c r="C16" s="26">
        <v>65</v>
      </c>
      <c r="D16" s="25">
        <v>6.7567567567567571E-2</v>
      </c>
    </row>
    <row r="17" spans="2:4">
      <c r="B17" s="27" t="s">
        <v>33</v>
      </c>
      <c r="C17" s="26">
        <v>53</v>
      </c>
      <c r="D17" s="25">
        <v>5.5093555093555097E-2</v>
      </c>
    </row>
    <row r="18" spans="2:4">
      <c r="B18" s="27" t="s">
        <v>34</v>
      </c>
      <c r="C18" s="26">
        <v>51</v>
      </c>
      <c r="D18" s="25">
        <v>5.3014553014553017E-2</v>
      </c>
    </row>
    <row r="19" spans="2:4">
      <c r="B19" s="27" t="s">
        <v>31</v>
      </c>
      <c r="C19" s="26">
        <v>38</v>
      </c>
      <c r="D19" s="25">
        <v>3.9501039501039503E-2</v>
      </c>
    </row>
    <row r="20" spans="2:4">
      <c r="B20" s="27" t="s">
        <v>32</v>
      </c>
      <c r="C20" s="26">
        <v>37</v>
      </c>
      <c r="D20" s="25">
        <v>3.8461538461538464E-2</v>
      </c>
    </row>
    <row r="21" spans="2:4">
      <c r="B21" s="27" t="s">
        <v>30</v>
      </c>
      <c r="C21" s="26">
        <v>33</v>
      </c>
      <c r="D21" s="25">
        <v>3.4303534303534305E-2</v>
      </c>
    </row>
    <row r="22" spans="2:4">
      <c r="B22" s="27" t="s">
        <v>29</v>
      </c>
      <c r="C22" s="26">
        <v>33</v>
      </c>
      <c r="D22" s="25">
        <v>3.4303534303534305E-2</v>
      </c>
    </row>
    <row r="23" spans="2:4">
      <c r="B23" s="27" t="s">
        <v>28</v>
      </c>
      <c r="C23" s="26">
        <v>16</v>
      </c>
      <c r="D23" s="25">
        <v>1.6632016632016633E-2</v>
      </c>
    </row>
    <row r="24" spans="2:4">
      <c r="B24" s="27" t="s">
        <v>20</v>
      </c>
      <c r="C24" s="26">
        <v>8</v>
      </c>
      <c r="D24" s="25">
        <v>8.3160083160083165E-3</v>
      </c>
    </row>
    <row r="25" spans="2:4">
      <c r="B25" s="27" t="s">
        <v>19</v>
      </c>
      <c r="C25" s="26">
        <v>6</v>
      </c>
      <c r="D25" s="25">
        <v>6.2370062370062374E-3</v>
      </c>
    </row>
    <row r="26" spans="2:4">
      <c r="B26" s="27" t="s">
        <v>23</v>
      </c>
      <c r="C26" s="26">
        <v>6</v>
      </c>
      <c r="D26" s="25">
        <v>6.2370062370062374E-3</v>
      </c>
    </row>
    <row r="27" spans="2:4">
      <c r="B27" s="27" t="s">
        <v>22</v>
      </c>
      <c r="C27" s="26">
        <v>6</v>
      </c>
      <c r="D27" s="25">
        <v>6.2370062370062374E-3</v>
      </c>
    </row>
    <row r="28" spans="2:4">
      <c r="B28" s="27" t="s">
        <v>17</v>
      </c>
      <c r="C28" s="26">
        <v>6</v>
      </c>
      <c r="D28" s="25">
        <v>6.2370062370062374E-3</v>
      </c>
    </row>
    <row r="29" spans="2:4">
      <c r="B29" s="27" t="s">
        <v>24</v>
      </c>
      <c r="C29" s="26">
        <v>6</v>
      </c>
      <c r="D29" s="25">
        <v>6.2370062370062374E-3</v>
      </c>
    </row>
    <row r="30" spans="2:4">
      <c r="B30" s="27" t="s">
        <v>26</v>
      </c>
      <c r="C30" s="26">
        <v>5</v>
      </c>
      <c r="D30" s="25">
        <v>5.1975051975051978E-3</v>
      </c>
    </row>
    <row r="31" spans="2:4">
      <c r="B31" s="27" t="s">
        <v>21</v>
      </c>
      <c r="C31" s="26">
        <v>5</v>
      </c>
      <c r="D31" s="25">
        <v>5.1975051975051978E-3</v>
      </c>
    </row>
    <row r="32" spans="2:4">
      <c r="B32" s="27" t="s">
        <v>27</v>
      </c>
      <c r="C32" s="26">
        <v>3</v>
      </c>
      <c r="D32" s="25">
        <v>3.1185031185031187E-3</v>
      </c>
    </row>
    <row r="33" spans="2:4">
      <c r="B33" s="27" t="s">
        <v>25</v>
      </c>
      <c r="C33" s="26">
        <v>3</v>
      </c>
      <c r="D33" s="25">
        <v>3.1185031185031187E-3</v>
      </c>
    </row>
    <row r="34" spans="2:4">
      <c r="B34" s="27" t="s">
        <v>18</v>
      </c>
      <c r="C34" s="26">
        <v>1</v>
      </c>
      <c r="D34" s="25">
        <v>1.0395010395010396E-3</v>
      </c>
    </row>
    <row r="35" spans="2:4">
      <c r="B35" s="27" t="s">
        <v>16</v>
      </c>
      <c r="C35" s="26">
        <v>1</v>
      </c>
      <c r="D35" s="25">
        <v>1.0395010395010396E-3</v>
      </c>
    </row>
    <row r="36" spans="2:4">
      <c r="B36" s="27" t="s">
        <v>283</v>
      </c>
      <c r="C36" s="26">
        <v>1</v>
      </c>
      <c r="D36" s="25">
        <v>1.0395010395010396E-3</v>
      </c>
    </row>
    <row r="37" spans="2:4">
      <c r="B37" s="24" t="s">
        <v>15</v>
      </c>
      <c r="C37" s="23">
        <v>962</v>
      </c>
      <c r="D37" s="22">
        <v>1</v>
      </c>
    </row>
    <row r="39" spans="2:4">
      <c r="B39" s="19" t="s">
        <v>395</v>
      </c>
      <c r="C39"/>
      <c r="D39"/>
    </row>
    <row r="40" spans="2:4">
      <c r="B40" s="21" t="s">
        <v>14</v>
      </c>
      <c r="C40"/>
      <c r="D40"/>
    </row>
    <row r="41" spans="2:4">
      <c r="B41" s="20" t="s">
        <v>13</v>
      </c>
      <c r="C41"/>
      <c r="D41"/>
    </row>
    <row r="42" spans="2:4">
      <c r="B42" s="19" t="s">
        <v>12</v>
      </c>
      <c r="C42"/>
      <c r="D42"/>
    </row>
    <row r="43" spans="2:4">
      <c r="B43" s="19" t="s">
        <v>396</v>
      </c>
      <c r="C43"/>
      <c r="D43"/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66" orientation="portrait" r:id="rId1"/>
  <headerFooter>
    <oddFooter>&amp;C&amp;P de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F337"/>
  <sheetViews>
    <sheetView topLeftCell="A317" zoomScale="98" zoomScaleNormal="98" zoomScaleSheetLayoutView="100" workbookViewId="0">
      <selection activeCell="D331" sqref="D331"/>
    </sheetView>
  </sheetViews>
  <sheetFormatPr baseColWidth="10" defaultColWidth="35" defaultRowHeight="15" customHeight="1"/>
  <cols>
    <col min="1" max="1" width="1" style="36" customWidth="1"/>
    <col min="2" max="2" width="22.85546875" style="37" customWidth="1"/>
    <col min="3" max="3" width="31.42578125" style="37" customWidth="1"/>
    <col min="4" max="4" width="14.28515625" style="37" customWidth="1"/>
    <col min="5" max="5" width="16.85546875" style="37" customWidth="1"/>
    <col min="6" max="16384" width="35" style="36"/>
  </cols>
  <sheetData>
    <row r="1" spans="1:5" s="55" customFormat="1" ht="12" customHeight="1">
      <c r="B1" s="59"/>
      <c r="C1" s="58"/>
      <c r="D1" s="58"/>
      <c r="E1" s="58"/>
    </row>
    <row r="2" spans="1:5" s="55" customFormat="1" ht="15" customHeight="1">
      <c r="C2" s="57"/>
    </row>
    <row r="3" spans="1:5" s="55" customFormat="1" ht="15" customHeight="1">
      <c r="C3" s="57"/>
    </row>
    <row r="4" spans="1:5" s="55" customFormat="1" ht="30" customHeight="1">
      <c r="C4" s="57"/>
      <c r="D4" s="56"/>
    </row>
    <row r="5" spans="1:5" s="55" customFormat="1" ht="15" customHeight="1">
      <c r="C5" s="57"/>
      <c r="D5" s="56"/>
    </row>
    <row r="6" spans="1:5" s="52" customFormat="1" ht="24" customHeight="1">
      <c r="B6" s="54"/>
      <c r="C6" s="48"/>
      <c r="D6" s="48"/>
      <c r="E6" s="48"/>
    </row>
    <row r="7" spans="1:5" s="52" customFormat="1" ht="26.25" customHeight="1">
      <c r="A7" s="53"/>
      <c r="B7" s="78"/>
      <c r="C7" s="78"/>
      <c r="D7" s="78"/>
      <c r="E7" s="78"/>
    </row>
    <row r="8" spans="1:5" s="52" customFormat="1" ht="33" customHeight="1">
      <c r="A8" s="53"/>
      <c r="B8" s="78"/>
      <c r="C8" s="78"/>
      <c r="D8" s="78"/>
      <c r="E8" s="78"/>
    </row>
    <row r="9" spans="1:5" s="29" customFormat="1" ht="40.5" customHeight="1">
      <c r="B9" s="49" t="s">
        <v>42</v>
      </c>
      <c r="C9" s="51" t="s">
        <v>227</v>
      </c>
      <c r="D9" s="50" t="s">
        <v>41</v>
      </c>
      <c r="E9" s="49" t="s">
        <v>40</v>
      </c>
    </row>
    <row r="10" spans="1:5" ht="15" customHeight="1">
      <c r="B10" s="75" t="s">
        <v>19</v>
      </c>
      <c r="C10" s="47" t="s">
        <v>19</v>
      </c>
      <c r="D10" s="46">
        <v>5</v>
      </c>
      <c r="E10" s="45">
        <v>5.1975051975051978E-3</v>
      </c>
    </row>
    <row r="11" spans="1:5" ht="15" customHeight="1">
      <c r="B11" s="77"/>
      <c r="C11" s="47" t="s">
        <v>284</v>
      </c>
      <c r="D11" s="46">
        <v>1</v>
      </c>
      <c r="E11" s="45">
        <v>1.0395010395010396E-3</v>
      </c>
    </row>
    <row r="12" spans="1:5" ht="15" customHeight="1">
      <c r="B12" s="76"/>
      <c r="C12" s="44" t="s">
        <v>15</v>
      </c>
      <c r="D12" s="43">
        <v>6</v>
      </c>
      <c r="E12" s="42">
        <v>6.2370062370062374E-3</v>
      </c>
    </row>
    <row r="13" spans="1:5" ht="15" customHeight="1">
      <c r="B13" s="75" t="s">
        <v>18</v>
      </c>
      <c r="C13" s="47" t="s">
        <v>226</v>
      </c>
      <c r="D13" s="46">
        <v>1</v>
      </c>
      <c r="E13" s="45">
        <v>1.0395010395010396E-3</v>
      </c>
    </row>
    <row r="14" spans="1:5" ht="15" customHeight="1">
      <c r="B14" s="76"/>
      <c r="C14" s="44" t="s">
        <v>15</v>
      </c>
      <c r="D14" s="43">
        <v>1</v>
      </c>
      <c r="E14" s="42">
        <v>1.0395010395010396E-3</v>
      </c>
    </row>
    <row r="15" spans="1:5" ht="15" customHeight="1">
      <c r="B15" s="75" t="s">
        <v>30</v>
      </c>
      <c r="C15" s="47" t="s">
        <v>225</v>
      </c>
      <c r="D15" s="46">
        <v>1</v>
      </c>
      <c r="E15" s="45">
        <v>1.0395010395010396E-3</v>
      </c>
    </row>
    <row r="16" spans="1:5" ht="15" customHeight="1">
      <c r="B16" s="77"/>
      <c r="C16" s="47" t="s">
        <v>285</v>
      </c>
      <c r="D16" s="46">
        <v>3</v>
      </c>
      <c r="E16" s="45">
        <v>3.1185031185031187E-3</v>
      </c>
    </row>
    <row r="17" spans="1:5" ht="15" customHeight="1">
      <c r="B17" s="77"/>
      <c r="C17" s="47" t="s">
        <v>286</v>
      </c>
      <c r="D17" s="46">
        <v>1</v>
      </c>
      <c r="E17" s="45">
        <v>1.0395010395010396E-3</v>
      </c>
    </row>
    <row r="18" spans="1:5" ht="15" customHeight="1">
      <c r="B18" s="77"/>
      <c r="C18" s="47" t="s">
        <v>224</v>
      </c>
      <c r="D18" s="46">
        <v>5</v>
      </c>
      <c r="E18" s="45">
        <v>5.1975051975051978E-3</v>
      </c>
    </row>
    <row r="19" spans="1:5" ht="15" customHeight="1">
      <c r="B19" s="77"/>
      <c r="C19" s="47" t="s">
        <v>287</v>
      </c>
      <c r="D19" s="46">
        <v>1</v>
      </c>
      <c r="E19" s="45">
        <v>1.0395010395010396E-3</v>
      </c>
    </row>
    <row r="20" spans="1:5" ht="15" customHeight="1">
      <c r="B20" s="77"/>
      <c r="C20" s="47" t="s">
        <v>223</v>
      </c>
      <c r="D20" s="46">
        <v>2</v>
      </c>
      <c r="E20" s="45">
        <v>2.0790020790020791E-3</v>
      </c>
    </row>
    <row r="21" spans="1:5" ht="15" customHeight="1">
      <c r="B21" s="77"/>
      <c r="C21" s="47" t="s">
        <v>222</v>
      </c>
      <c r="D21" s="46">
        <v>2</v>
      </c>
      <c r="E21" s="45">
        <v>2.0790020790020791E-3</v>
      </c>
    </row>
    <row r="22" spans="1:5" ht="15" customHeight="1">
      <c r="B22" s="77"/>
      <c r="C22" s="47" t="s">
        <v>221</v>
      </c>
      <c r="D22" s="46">
        <v>1</v>
      </c>
      <c r="E22" s="45">
        <v>1.0395010395010396E-3</v>
      </c>
    </row>
    <row r="23" spans="1:5" ht="15" customHeight="1">
      <c r="B23" s="77"/>
      <c r="C23" s="47" t="s">
        <v>288</v>
      </c>
      <c r="D23" s="46">
        <v>1</v>
      </c>
      <c r="E23" s="45">
        <v>1.0395010395010396E-3</v>
      </c>
    </row>
    <row r="24" spans="1:5" ht="15" customHeight="1">
      <c r="B24" s="77"/>
      <c r="C24" s="47" t="s">
        <v>289</v>
      </c>
      <c r="D24" s="46">
        <v>3</v>
      </c>
      <c r="E24" s="45">
        <v>3.1185031185031187E-3</v>
      </c>
    </row>
    <row r="25" spans="1:5" ht="15" customHeight="1">
      <c r="B25" s="77"/>
      <c r="C25" s="47" t="s">
        <v>220</v>
      </c>
      <c r="D25" s="46">
        <v>1</v>
      </c>
      <c r="E25" s="45">
        <v>1.0395010395010396E-3</v>
      </c>
    </row>
    <row r="26" spans="1:5" ht="15" customHeight="1">
      <c r="B26" s="77"/>
      <c r="C26" s="47" t="s">
        <v>219</v>
      </c>
      <c r="D26" s="46">
        <v>1</v>
      </c>
      <c r="E26" s="45">
        <v>1.0395010395010396E-3</v>
      </c>
    </row>
    <row r="27" spans="1:5" ht="15" customHeight="1">
      <c r="B27" s="77"/>
      <c r="C27" s="47" t="s">
        <v>218</v>
      </c>
      <c r="D27" s="46">
        <v>1</v>
      </c>
      <c r="E27" s="45">
        <v>1.0395010395010396E-3</v>
      </c>
    </row>
    <row r="28" spans="1:5" ht="15" customHeight="1">
      <c r="B28" s="77"/>
      <c r="C28" s="47" t="s">
        <v>217</v>
      </c>
      <c r="D28" s="46">
        <v>4</v>
      </c>
      <c r="E28" s="45">
        <v>4.1580041580041582E-3</v>
      </c>
    </row>
    <row r="29" spans="1:5" ht="15" customHeight="1">
      <c r="B29" s="77"/>
      <c r="C29" s="47" t="s">
        <v>290</v>
      </c>
      <c r="D29" s="46">
        <v>1</v>
      </c>
      <c r="E29" s="45">
        <v>1.0395010395010396E-3</v>
      </c>
    </row>
    <row r="30" spans="1:5" ht="15" customHeight="1">
      <c r="B30" s="77"/>
      <c r="C30" s="47" t="s">
        <v>216</v>
      </c>
      <c r="D30" s="46">
        <v>4</v>
      </c>
      <c r="E30" s="45">
        <v>4.1580041580041582E-3</v>
      </c>
    </row>
    <row r="31" spans="1:5" ht="15" customHeight="1">
      <c r="B31" s="77"/>
      <c r="C31" s="47" t="s">
        <v>291</v>
      </c>
      <c r="D31" s="46">
        <v>1</v>
      </c>
      <c r="E31" s="45">
        <v>1.0395010395010396E-3</v>
      </c>
    </row>
    <row r="32" spans="1:5" s="37" customFormat="1" ht="15" customHeight="1">
      <c r="A32" s="36"/>
      <c r="B32" s="76"/>
      <c r="C32" s="44" t="s">
        <v>15</v>
      </c>
      <c r="D32" s="43">
        <v>33</v>
      </c>
      <c r="E32" s="42">
        <v>3.4303534303534305E-2</v>
      </c>
    </row>
    <row r="33" spans="1:5" s="37" customFormat="1" ht="15" customHeight="1">
      <c r="A33" s="36"/>
      <c r="B33" s="75" t="s">
        <v>26</v>
      </c>
      <c r="C33" s="47" t="s">
        <v>26</v>
      </c>
      <c r="D33" s="46">
        <v>2</v>
      </c>
      <c r="E33" s="45">
        <v>2.0790020790020791E-3</v>
      </c>
    </row>
    <row r="34" spans="1:5" s="37" customFormat="1" ht="15" customHeight="1">
      <c r="A34" s="36"/>
      <c r="B34" s="77"/>
      <c r="C34" s="47" t="s">
        <v>211</v>
      </c>
      <c r="D34" s="46">
        <v>1</v>
      </c>
      <c r="E34" s="45">
        <v>1.0395010395010396E-3</v>
      </c>
    </row>
    <row r="35" spans="1:5" s="37" customFormat="1" ht="15" customHeight="1">
      <c r="A35" s="36"/>
      <c r="B35" s="77"/>
      <c r="C35" s="47" t="s">
        <v>292</v>
      </c>
      <c r="D35" s="46">
        <v>1</v>
      </c>
      <c r="E35" s="45">
        <v>1.0395010395010396E-3</v>
      </c>
    </row>
    <row r="36" spans="1:5" s="37" customFormat="1" ht="15" customHeight="1">
      <c r="A36" s="36"/>
      <c r="B36" s="77"/>
      <c r="C36" s="47" t="s">
        <v>293</v>
      </c>
      <c r="D36" s="46">
        <v>1</v>
      </c>
      <c r="E36" s="45">
        <v>1.0395010395010396E-3</v>
      </c>
    </row>
    <row r="37" spans="1:5" ht="15" customHeight="1">
      <c r="B37" s="76"/>
      <c r="C37" s="44" t="s">
        <v>15</v>
      </c>
      <c r="D37" s="43">
        <v>5</v>
      </c>
      <c r="E37" s="42">
        <v>5.1975051975051978E-3</v>
      </c>
    </row>
    <row r="38" spans="1:5" ht="15" customHeight="1">
      <c r="B38" s="75" t="s">
        <v>34</v>
      </c>
      <c r="C38" s="47" t="s">
        <v>215</v>
      </c>
      <c r="D38" s="46">
        <v>1</v>
      </c>
      <c r="E38" s="45">
        <v>1.0395010395010396E-3</v>
      </c>
    </row>
    <row r="39" spans="1:5" ht="15" customHeight="1">
      <c r="B39" s="77"/>
      <c r="C39" s="47" t="s">
        <v>214</v>
      </c>
      <c r="D39" s="46">
        <v>1</v>
      </c>
      <c r="E39" s="45">
        <v>1.0395010395010396E-3</v>
      </c>
    </row>
    <row r="40" spans="1:5" ht="15" customHeight="1">
      <c r="B40" s="77"/>
      <c r="C40" s="47" t="s">
        <v>212</v>
      </c>
      <c r="D40" s="46">
        <v>22</v>
      </c>
      <c r="E40" s="45">
        <v>2.286902286902287E-2</v>
      </c>
    </row>
    <row r="41" spans="1:5" ht="15" customHeight="1">
      <c r="B41" s="77"/>
      <c r="C41" s="47" t="s">
        <v>211</v>
      </c>
      <c r="D41" s="46">
        <v>13</v>
      </c>
      <c r="E41" s="45">
        <v>1.3513513513513514E-2</v>
      </c>
    </row>
    <row r="42" spans="1:5" ht="15" customHeight="1">
      <c r="B42" s="77"/>
      <c r="C42" s="47" t="s">
        <v>210</v>
      </c>
      <c r="D42" s="46">
        <v>13</v>
      </c>
      <c r="E42" s="45">
        <v>1.3513513513513514E-2</v>
      </c>
    </row>
    <row r="43" spans="1:5" ht="15" customHeight="1">
      <c r="B43" s="77"/>
      <c r="C43" s="47" t="s">
        <v>209</v>
      </c>
      <c r="D43" s="46">
        <v>1</v>
      </c>
      <c r="E43" s="45">
        <v>1.0395010395010396E-3</v>
      </c>
    </row>
    <row r="44" spans="1:5" ht="15" customHeight="1">
      <c r="B44" s="76"/>
      <c r="C44" s="44" t="s">
        <v>15</v>
      </c>
      <c r="D44" s="43">
        <v>51</v>
      </c>
      <c r="E44" s="42">
        <v>5.3014553014553017E-2</v>
      </c>
    </row>
    <row r="45" spans="1:5" ht="15" customHeight="1">
      <c r="B45" s="75" t="s">
        <v>23</v>
      </c>
      <c r="C45" s="47" t="s">
        <v>294</v>
      </c>
      <c r="D45" s="46">
        <v>1</v>
      </c>
      <c r="E45" s="45">
        <v>1.0395010395010396E-3</v>
      </c>
    </row>
    <row r="46" spans="1:5" ht="15" customHeight="1">
      <c r="B46" s="77"/>
      <c r="C46" s="47" t="s">
        <v>23</v>
      </c>
      <c r="D46" s="46">
        <v>1</v>
      </c>
      <c r="E46" s="45">
        <v>1.0395010395010396E-3</v>
      </c>
    </row>
    <row r="47" spans="1:5" ht="15" customHeight="1">
      <c r="B47" s="77"/>
      <c r="C47" s="47" t="s">
        <v>295</v>
      </c>
      <c r="D47" s="46">
        <v>1</v>
      </c>
      <c r="E47" s="45">
        <v>1.0395010395010396E-3</v>
      </c>
    </row>
    <row r="48" spans="1:5" ht="15" customHeight="1">
      <c r="B48" s="77"/>
      <c r="C48" s="47" t="s">
        <v>281</v>
      </c>
      <c r="D48" s="46">
        <v>1</v>
      </c>
      <c r="E48" s="45">
        <v>1.0395010395010396E-3</v>
      </c>
    </row>
    <row r="49" spans="2:5" ht="15" customHeight="1">
      <c r="B49" s="77"/>
      <c r="C49" s="47" t="s">
        <v>296</v>
      </c>
      <c r="D49" s="46">
        <v>2</v>
      </c>
      <c r="E49" s="45">
        <v>2.0790020790020791E-3</v>
      </c>
    </row>
    <row r="50" spans="2:5" ht="15" customHeight="1">
      <c r="B50" s="76"/>
      <c r="C50" s="44" t="s">
        <v>15</v>
      </c>
      <c r="D50" s="43">
        <v>6</v>
      </c>
      <c r="E50" s="42">
        <v>6.2370062370062374E-3</v>
      </c>
    </row>
    <row r="51" spans="2:5" ht="15" customHeight="1">
      <c r="B51" s="75" t="s">
        <v>39</v>
      </c>
      <c r="C51" s="47" t="s">
        <v>297</v>
      </c>
      <c r="D51" s="46">
        <v>1</v>
      </c>
      <c r="E51" s="45">
        <v>1.0395010395010396E-3</v>
      </c>
    </row>
    <row r="52" spans="2:5" ht="15" customHeight="1">
      <c r="B52" s="77"/>
      <c r="C52" s="47" t="s">
        <v>208</v>
      </c>
      <c r="D52" s="46">
        <v>39</v>
      </c>
      <c r="E52" s="45">
        <v>4.0540540540540543E-2</v>
      </c>
    </row>
    <row r="53" spans="2:5" ht="15" customHeight="1">
      <c r="B53" s="77"/>
      <c r="C53" s="47" t="s">
        <v>207</v>
      </c>
      <c r="D53" s="46">
        <v>2</v>
      </c>
      <c r="E53" s="45">
        <v>2.0790020790020791E-3</v>
      </c>
    </row>
    <row r="54" spans="2:5" ht="15" customHeight="1">
      <c r="B54" s="77"/>
      <c r="C54" s="47" t="s">
        <v>206</v>
      </c>
      <c r="D54" s="46">
        <v>5</v>
      </c>
      <c r="E54" s="45">
        <v>5.1975051975051978E-3</v>
      </c>
    </row>
    <row r="55" spans="2:5" ht="15" customHeight="1">
      <c r="B55" s="77"/>
      <c r="C55" s="47" t="s">
        <v>205</v>
      </c>
      <c r="D55" s="46">
        <v>1</v>
      </c>
      <c r="E55" s="45">
        <v>1.0395010395010396E-3</v>
      </c>
    </row>
    <row r="56" spans="2:5" ht="15" customHeight="1">
      <c r="B56" s="77"/>
      <c r="C56" s="47" t="s">
        <v>204</v>
      </c>
      <c r="D56" s="46">
        <v>2</v>
      </c>
      <c r="E56" s="45">
        <v>2.0790020790020791E-3</v>
      </c>
    </row>
    <row r="57" spans="2:5" ht="15" customHeight="1">
      <c r="B57" s="77"/>
      <c r="C57" s="47" t="s">
        <v>203</v>
      </c>
      <c r="D57" s="46">
        <v>3</v>
      </c>
      <c r="E57" s="45">
        <v>3.1185031185031187E-3</v>
      </c>
    </row>
    <row r="58" spans="2:5" ht="15" customHeight="1">
      <c r="B58" s="77"/>
      <c r="C58" s="47" t="s">
        <v>202</v>
      </c>
      <c r="D58" s="46">
        <v>1</v>
      </c>
      <c r="E58" s="45">
        <v>1.0395010395010396E-3</v>
      </c>
    </row>
    <row r="59" spans="2:5" ht="15" customHeight="1">
      <c r="B59" s="77"/>
      <c r="C59" s="47" t="s">
        <v>201</v>
      </c>
      <c r="D59" s="46">
        <v>2</v>
      </c>
      <c r="E59" s="45">
        <v>2.0790020790020791E-3</v>
      </c>
    </row>
    <row r="60" spans="2:5" ht="15" customHeight="1">
      <c r="B60" s="77"/>
      <c r="C60" s="47" t="s">
        <v>200</v>
      </c>
      <c r="D60" s="46">
        <v>6</v>
      </c>
      <c r="E60" s="45">
        <v>6.2370062370062374E-3</v>
      </c>
    </row>
    <row r="61" spans="2:5" ht="15" customHeight="1">
      <c r="B61" s="77"/>
      <c r="C61" s="47" t="s">
        <v>298</v>
      </c>
      <c r="D61" s="46">
        <v>1</v>
      </c>
      <c r="E61" s="45">
        <v>1.0395010395010396E-3</v>
      </c>
    </row>
    <row r="62" spans="2:5" ht="15" customHeight="1">
      <c r="B62" s="77"/>
      <c r="C62" s="47" t="s">
        <v>199</v>
      </c>
      <c r="D62" s="46">
        <v>2</v>
      </c>
      <c r="E62" s="45">
        <v>2.0790020790020791E-3</v>
      </c>
    </row>
    <row r="63" spans="2:5" ht="15" customHeight="1">
      <c r="B63" s="77"/>
      <c r="C63" s="47" t="s">
        <v>299</v>
      </c>
      <c r="D63" s="46">
        <v>1</v>
      </c>
      <c r="E63" s="45">
        <v>1.0395010395010396E-3</v>
      </c>
    </row>
    <row r="64" spans="2:5" ht="15" customHeight="1">
      <c r="B64" s="77"/>
      <c r="C64" s="47" t="s">
        <v>198</v>
      </c>
      <c r="D64" s="46">
        <v>1</v>
      </c>
      <c r="E64" s="45">
        <v>1.0395010395010396E-3</v>
      </c>
    </row>
    <row r="65" spans="2:5" ht="15" customHeight="1">
      <c r="B65" s="77"/>
      <c r="C65" s="47" t="s">
        <v>197</v>
      </c>
      <c r="D65" s="46">
        <v>4</v>
      </c>
      <c r="E65" s="45">
        <v>4.1580041580041582E-3</v>
      </c>
    </row>
    <row r="66" spans="2:5" ht="15" customHeight="1">
      <c r="B66" s="77"/>
      <c r="C66" s="47" t="s">
        <v>300</v>
      </c>
      <c r="D66" s="46">
        <v>1</v>
      </c>
      <c r="E66" s="45">
        <v>1.0395010395010396E-3</v>
      </c>
    </row>
    <row r="67" spans="2:5" ht="15" customHeight="1">
      <c r="B67" s="77"/>
      <c r="C67" s="47" t="s">
        <v>196</v>
      </c>
      <c r="D67" s="46">
        <v>1</v>
      </c>
      <c r="E67" s="45">
        <v>1.0395010395010396E-3</v>
      </c>
    </row>
    <row r="68" spans="2:5" ht="15" customHeight="1">
      <c r="B68" s="77"/>
      <c r="C68" s="47" t="s">
        <v>301</v>
      </c>
      <c r="D68" s="46">
        <v>6</v>
      </c>
      <c r="E68" s="45">
        <v>6.2370062370062374E-3</v>
      </c>
    </row>
    <row r="69" spans="2:5" ht="15" customHeight="1">
      <c r="B69" s="77"/>
      <c r="C69" s="47" t="s">
        <v>302</v>
      </c>
      <c r="D69" s="46">
        <v>4</v>
      </c>
      <c r="E69" s="45">
        <v>4.1580041580041582E-3</v>
      </c>
    </row>
    <row r="70" spans="2:5" ht="15" customHeight="1">
      <c r="B70" s="77"/>
      <c r="C70" s="47" t="s">
        <v>195</v>
      </c>
      <c r="D70" s="46">
        <v>3</v>
      </c>
      <c r="E70" s="45">
        <v>3.1185031185031187E-3</v>
      </c>
    </row>
    <row r="71" spans="2:5" ht="15" customHeight="1">
      <c r="B71" s="77"/>
      <c r="C71" s="47" t="s">
        <v>194</v>
      </c>
      <c r="D71" s="46">
        <v>1</v>
      </c>
      <c r="E71" s="45">
        <v>1.0395010395010396E-3</v>
      </c>
    </row>
    <row r="72" spans="2:5" ht="15" customHeight="1">
      <c r="B72" s="77"/>
      <c r="C72" s="47" t="s">
        <v>193</v>
      </c>
      <c r="D72" s="46">
        <v>6</v>
      </c>
      <c r="E72" s="45">
        <v>6.2370062370062374E-3</v>
      </c>
    </row>
    <row r="73" spans="2:5" ht="15" customHeight="1">
      <c r="B73" s="77"/>
      <c r="C73" s="47" t="s">
        <v>303</v>
      </c>
      <c r="D73" s="46">
        <v>1</v>
      </c>
      <c r="E73" s="45">
        <v>1.0395010395010396E-3</v>
      </c>
    </row>
    <row r="74" spans="2:5" ht="15" customHeight="1">
      <c r="B74" s="77"/>
      <c r="C74" s="47" t="s">
        <v>192</v>
      </c>
      <c r="D74" s="46">
        <v>2</v>
      </c>
      <c r="E74" s="45">
        <v>2.0790020790020791E-3</v>
      </c>
    </row>
    <row r="75" spans="2:5" ht="15" customHeight="1">
      <c r="B75" s="77"/>
      <c r="C75" s="47" t="s">
        <v>304</v>
      </c>
      <c r="D75" s="46">
        <v>1</v>
      </c>
      <c r="E75" s="45">
        <v>1.0395010395010396E-3</v>
      </c>
    </row>
    <row r="76" spans="2:5" ht="15" customHeight="1">
      <c r="B76" s="77"/>
      <c r="C76" s="47" t="s">
        <v>305</v>
      </c>
      <c r="D76" s="46">
        <v>1</v>
      </c>
      <c r="E76" s="45">
        <v>1.0395010395010396E-3</v>
      </c>
    </row>
    <row r="77" spans="2:5" ht="15" customHeight="1">
      <c r="B77" s="77"/>
      <c r="C77" s="47" t="s">
        <v>191</v>
      </c>
      <c r="D77" s="46">
        <v>6</v>
      </c>
      <c r="E77" s="45">
        <v>6.2370062370062374E-3</v>
      </c>
    </row>
    <row r="78" spans="2:5" ht="15" customHeight="1">
      <c r="B78" s="77"/>
      <c r="C78" s="47" t="s">
        <v>190</v>
      </c>
      <c r="D78" s="46">
        <v>5</v>
      </c>
      <c r="E78" s="45">
        <v>5.1975051975051978E-3</v>
      </c>
    </row>
    <row r="79" spans="2:5" ht="15" customHeight="1">
      <c r="B79" s="77"/>
      <c r="C79" s="47" t="s">
        <v>189</v>
      </c>
      <c r="D79" s="46">
        <v>2</v>
      </c>
      <c r="E79" s="45">
        <v>2.0790020790020791E-3</v>
      </c>
    </row>
    <row r="80" spans="2:5" ht="15" customHeight="1">
      <c r="B80" s="77"/>
      <c r="C80" s="47" t="s">
        <v>188</v>
      </c>
      <c r="D80" s="46">
        <v>71</v>
      </c>
      <c r="E80" s="45">
        <v>7.3804573804573809E-2</v>
      </c>
    </row>
    <row r="81" spans="2:5" ht="15" customHeight="1">
      <c r="B81" s="77"/>
      <c r="C81" s="47" t="s">
        <v>187</v>
      </c>
      <c r="D81" s="46">
        <v>2</v>
      </c>
      <c r="E81" s="45">
        <v>2.0790020790020791E-3</v>
      </c>
    </row>
    <row r="82" spans="2:5" ht="15" customHeight="1">
      <c r="B82" s="77"/>
      <c r="C82" s="47" t="s">
        <v>306</v>
      </c>
      <c r="D82" s="46">
        <v>3</v>
      </c>
      <c r="E82" s="45">
        <v>3.1185031185031187E-3</v>
      </c>
    </row>
    <row r="83" spans="2:5" ht="15" customHeight="1">
      <c r="B83" s="77"/>
      <c r="C83" s="47" t="s">
        <v>307</v>
      </c>
      <c r="D83" s="46">
        <v>1</v>
      </c>
      <c r="E83" s="45">
        <v>1.0395010395010396E-3</v>
      </c>
    </row>
    <row r="84" spans="2:5" ht="15" customHeight="1">
      <c r="B84" s="77"/>
      <c r="C84" s="47" t="s">
        <v>186</v>
      </c>
      <c r="D84" s="46">
        <v>1</v>
      </c>
      <c r="E84" s="45">
        <v>1.0395010395010396E-3</v>
      </c>
    </row>
    <row r="85" spans="2:5" ht="15" customHeight="1">
      <c r="B85" s="77"/>
      <c r="C85" s="47" t="s">
        <v>185</v>
      </c>
      <c r="D85" s="46">
        <v>1</v>
      </c>
      <c r="E85" s="45">
        <v>1.0395010395010396E-3</v>
      </c>
    </row>
    <row r="86" spans="2:5" ht="15" customHeight="1">
      <c r="B86" s="77"/>
      <c r="C86" s="47" t="s">
        <v>184</v>
      </c>
      <c r="D86" s="46">
        <v>2</v>
      </c>
      <c r="E86" s="45">
        <v>2.0790020790020791E-3</v>
      </c>
    </row>
    <row r="87" spans="2:5" ht="15" customHeight="1">
      <c r="B87" s="77"/>
      <c r="C87" s="47" t="s">
        <v>183</v>
      </c>
      <c r="D87" s="46">
        <v>11</v>
      </c>
      <c r="E87" s="45">
        <v>1.1434511434511435E-2</v>
      </c>
    </row>
    <row r="88" spans="2:5" ht="15" customHeight="1">
      <c r="B88" s="77"/>
      <c r="C88" s="47" t="s">
        <v>182</v>
      </c>
      <c r="D88" s="46">
        <v>1</v>
      </c>
      <c r="E88" s="45">
        <v>1.0395010395010396E-3</v>
      </c>
    </row>
    <row r="89" spans="2:5" ht="15" customHeight="1">
      <c r="B89" s="77"/>
      <c r="C89" s="47" t="s">
        <v>181</v>
      </c>
      <c r="D89" s="46">
        <v>3</v>
      </c>
      <c r="E89" s="45">
        <v>3.1185031185031187E-3</v>
      </c>
    </row>
    <row r="90" spans="2:5" ht="15" customHeight="1">
      <c r="B90" s="77"/>
      <c r="C90" s="47" t="s">
        <v>308</v>
      </c>
      <c r="D90" s="46">
        <v>1</v>
      </c>
      <c r="E90" s="45">
        <v>1.0395010395010396E-3</v>
      </c>
    </row>
    <row r="91" spans="2:5" ht="15" customHeight="1">
      <c r="B91" s="77"/>
      <c r="C91" s="47" t="s">
        <v>309</v>
      </c>
      <c r="D91" s="46">
        <v>1</v>
      </c>
      <c r="E91" s="45">
        <v>1.0395010395010396E-3</v>
      </c>
    </row>
    <row r="92" spans="2:5" ht="15" customHeight="1">
      <c r="B92" s="77"/>
      <c r="C92" s="47" t="s">
        <v>180</v>
      </c>
      <c r="D92" s="46">
        <v>7</v>
      </c>
      <c r="E92" s="45">
        <v>7.2765072765072769E-3</v>
      </c>
    </row>
    <row r="93" spans="2:5" ht="15" customHeight="1">
      <c r="B93" s="77"/>
      <c r="C93" s="47" t="s">
        <v>179</v>
      </c>
      <c r="D93" s="46">
        <v>5</v>
      </c>
      <c r="E93" s="45">
        <v>5.1975051975051978E-3</v>
      </c>
    </row>
    <row r="94" spans="2:5" ht="15" customHeight="1">
      <c r="B94" s="77"/>
      <c r="C94" s="47" t="s">
        <v>178</v>
      </c>
      <c r="D94" s="46">
        <v>20</v>
      </c>
      <c r="E94" s="45">
        <v>2.0790020790020791E-2</v>
      </c>
    </row>
    <row r="95" spans="2:5" ht="15" customHeight="1">
      <c r="B95" s="76"/>
      <c r="C95" s="44" t="s">
        <v>15</v>
      </c>
      <c r="D95" s="43">
        <v>241</v>
      </c>
      <c r="E95" s="42">
        <v>0.25051975051975051</v>
      </c>
    </row>
    <row r="96" spans="2:5" ht="15" customHeight="1">
      <c r="B96" s="75" t="s">
        <v>310</v>
      </c>
      <c r="C96" s="47" t="s">
        <v>177</v>
      </c>
      <c r="D96" s="46">
        <v>5</v>
      </c>
      <c r="E96" s="45">
        <v>5.1975051975051978E-3</v>
      </c>
    </row>
    <row r="97" spans="2:5" ht="15" customHeight="1">
      <c r="B97" s="77"/>
      <c r="C97" s="47" t="s">
        <v>176</v>
      </c>
      <c r="D97" s="46">
        <v>4</v>
      </c>
      <c r="E97" s="45">
        <v>4.1580041580041582E-3</v>
      </c>
    </row>
    <row r="98" spans="2:5" ht="15" customHeight="1">
      <c r="B98" s="77"/>
      <c r="C98" s="47" t="s">
        <v>175</v>
      </c>
      <c r="D98" s="46">
        <v>4</v>
      </c>
      <c r="E98" s="45">
        <v>4.1580041580041582E-3</v>
      </c>
    </row>
    <row r="99" spans="2:5" ht="15" customHeight="1">
      <c r="B99" s="77"/>
      <c r="C99" s="47" t="s">
        <v>174</v>
      </c>
      <c r="D99" s="46">
        <v>3</v>
      </c>
      <c r="E99" s="45">
        <v>3.1185031185031187E-3</v>
      </c>
    </row>
    <row r="100" spans="2:5" ht="15" customHeight="1">
      <c r="B100" s="77"/>
      <c r="C100" s="47" t="s">
        <v>173</v>
      </c>
      <c r="D100" s="46">
        <v>1</v>
      </c>
      <c r="E100" s="45">
        <v>1.0395010395010396E-3</v>
      </c>
    </row>
    <row r="101" spans="2:5" ht="15" customHeight="1">
      <c r="B101" s="77"/>
      <c r="C101" s="47" t="s">
        <v>172</v>
      </c>
      <c r="D101" s="46">
        <v>23</v>
      </c>
      <c r="E101" s="45">
        <v>2.390852390852391E-2</v>
      </c>
    </row>
    <row r="102" spans="2:5" ht="15" customHeight="1">
      <c r="B102" s="77"/>
      <c r="C102" s="47" t="s">
        <v>171</v>
      </c>
      <c r="D102" s="46">
        <v>1</v>
      </c>
      <c r="E102" s="45">
        <v>1.0395010395010396E-3</v>
      </c>
    </row>
    <row r="103" spans="2:5" ht="15" customHeight="1">
      <c r="B103" s="77"/>
      <c r="C103" s="47" t="s">
        <v>170</v>
      </c>
      <c r="D103" s="46">
        <v>1</v>
      </c>
      <c r="E103" s="45">
        <v>1.0395010395010396E-3</v>
      </c>
    </row>
    <row r="104" spans="2:5" ht="15" customHeight="1">
      <c r="B104" s="77"/>
      <c r="C104" s="47" t="s">
        <v>169</v>
      </c>
      <c r="D104" s="46">
        <v>4</v>
      </c>
      <c r="E104" s="45">
        <v>4.1580041580041582E-3</v>
      </c>
    </row>
    <row r="105" spans="2:5" ht="15" customHeight="1">
      <c r="B105" s="76"/>
      <c r="C105" s="47" t="s">
        <v>168</v>
      </c>
      <c r="D105" s="46">
        <v>7</v>
      </c>
      <c r="E105" s="45">
        <v>7.2765072765072769E-3</v>
      </c>
    </row>
    <row r="106" spans="2:5" ht="15" customHeight="1">
      <c r="B106" s="62" t="s">
        <v>33</v>
      </c>
      <c r="C106" s="44" t="s">
        <v>15</v>
      </c>
      <c r="D106" s="43">
        <v>53</v>
      </c>
      <c r="E106" s="42">
        <v>5.5093555093555097E-2</v>
      </c>
    </row>
    <row r="107" spans="2:5" ht="15" customHeight="1">
      <c r="B107" s="75" t="s">
        <v>311</v>
      </c>
      <c r="C107" s="47" t="s">
        <v>167</v>
      </c>
      <c r="D107" s="46">
        <v>12</v>
      </c>
      <c r="E107" s="45">
        <v>1.2474012474012475E-2</v>
      </c>
    </row>
    <row r="108" spans="2:5" ht="15" customHeight="1">
      <c r="B108" s="77"/>
      <c r="C108" s="47" t="s">
        <v>312</v>
      </c>
      <c r="D108" s="46">
        <v>1</v>
      </c>
      <c r="E108" s="45">
        <v>1.0395010395010396E-3</v>
      </c>
    </row>
    <row r="109" spans="2:5" ht="15" customHeight="1">
      <c r="B109" s="77"/>
      <c r="C109" s="47" t="s">
        <v>166</v>
      </c>
      <c r="D109" s="46">
        <v>1</v>
      </c>
      <c r="E109" s="45">
        <v>1.0395010395010396E-3</v>
      </c>
    </row>
    <row r="110" spans="2:5" ht="15" customHeight="1">
      <c r="B110" s="77"/>
      <c r="C110" s="47" t="s">
        <v>165</v>
      </c>
      <c r="D110" s="46">
        <v>1</v>
      </c>
      <c r="E110" s="45">
        <v>1.0395010395010396E-3</v>
      </c>
    </row>
    <row r="111" spans="2:5" ht="15" customHeight="1">
      <c r="B111" s="77"/>
      <c r="C111" s="47" t="s">
        <v>164</v>
      </c>
      <c r="D111" s="46">
        <v>5</v>
      </c>
      <c r="E111" s="45">
        <v>5.1975051975051978E-3</v>
      </c>
    </row>
    <row r="112" spans="2:5" ht="15" customHeight="1">
      <c r="B112" s="77"/>
      <c r="C112" s="47" t="s">
        <v>163</v>
      </c>
      <c r="D112" s="46">
        <v>3</v>
      </c>
      <c r="E112" s="45">
        <v>3.1185031185031187E-3</v>
      </c>
    </row>
    <row r="113" spans="2:5" ht="15" customHeight="1">
      <c r="B113" s="77"/>
      <c r="C113" s="47" t="s">
        <v>313</v>
      </c>
      <c r="D113" s="46">
        <v>1</v>
      </c>
      <c r="E113" s="45">
        <v>1.0395010395010396E-3</v>
      </c>
    </row>
    <row r="114" spans="2:5" ht="15" customHeight="1">
      <c r="B114" s="77"/>
      <c r="C114" s="47" t="s">
        <v>314</v>
      </c>
      <c r="D114" s="46">
        <v>1</v>
      </c>
      <c r="E114" s="45">
        <v>1.0395010395010396E-3</v>
      </c>
    </row>
    <row r="115" spans="2:5" ht="15" customHeight="1">
      <c r="B115" s="77"/>
      <c r="C115" s="47" t="s">
        <v>162</v>
      </c>
      <c r="D115" s="46">
        <v>1</v>
      </c>
      <c r="E115" s="45">
        <v>1.0395010395010396E-3</v>
      </c>
    </row>
    <row r="116" spans="2:5" ht="15" customHeight="1">
      <c r="B116" s="77"/>
      <c r="C116" s="47" t="s">
        <v>161</v>
      </c>
      <c r="D116" s="46">
        <v>4</v>
      </c>
      <c r="E116" s="45">
        <v>4.1580041580041582E-3</v>
      </c>
    </row>
    <row r="117" spans="2:5" ht="15" customHeight="1">
      <c r="B117" s="77"/>
      <c r="C117" s="47" t="s">
        <v>160</v>
      </c>
      <c r="D117" s="46">
        <v>3</v>
      </c>
      <c r="E117" s="45">
        <v>3.1185031185031187E-3</v>
      </c>
    </row>
    <row r="118" spans="2:5" ht="15" customHeight="1">
      <c r="B118" s="77"/>
      <c r="C118" s="47" t="s">
        <v>159</v>
      </c>
      <c r="D118" s="46">
        <v>3</v>
      </c>
      <c r="E118" s="45">
        <v>3.1185031185031187E-3</v>
      </c>
    </row>
    <row r="119" spans="2:5" ht="15" customHeight="1">
      <c r="B119" s="77"/>
      <c r="C119" s="47" t="s">
        <v>158</v>
      </c>
      <c r="D119" s="46">
        <v>1</v>
      </c>
      <c r="E119" s="45">
        <v>1.0395010395010396E-3</v>
      </c>
    </row>
    <row r="120" spans="2:5" ht="15" customHeight="1">
      <c r="B120" s="77"/>
      <c r="C120" s="47" t="s">
        <v>157</v>
      </c>
      <c r="D120" s="46">
        <v>2</v>
      </c>
      <c r="E120" s="45">
        <v>2.0790020790020791E-3</v>
      </c>
    </row>
    <row r="121" spans="2:5" ht="15" customHeight="1">
      <c r="B121" s="77"/>
      <c r="C121" s="47" t="s">
        <v>156</v>
      </c>
      <c r="D121" s="46">
        <v>1</v>
      </c>
      <c r="E121" s="45">
        <v>1.0395010395010396E-3</v>
      </c>
    </row>
    <row r="122" spans="2:5" ht="15" customHeight="1">
      <c r="B122" s="77"/>
      <c r="C122" s="47" t="s">
        <v>315</v>
      </c>
      <c r="D122" s="46">
        <v>1</v>
      </c>
      <c r="E122" s="45">
        <v>1.0395010395010396E-3</v>
      </c>
    </row>
    <row r="123" spans="2:5" ht="15" customHeight="1">
      <c r="B123" s="77"/>
      <c r="C123" s="47" t="s">
        <v>316</v>
      </c>
      <c r="D123" s="46">
        <v>1</v>
      </c>
      <c r="E123" s="45">
        <v>1.0395010395010396E-3</v>
      </c>
    </row>
    <row r="124" spans="2:5" ht="15" customHeight="1">
      <c r="B124" s="77"/>
      <c r="C124" s="47" t="s">
        <v>155</v>
      </c>
      <c r="D124" s="46">
        <v>1</v>
      </c>
      <c r="E124" s="45">
        <v>1.0395010395010396E-3</v>
      </c>
    </row>
    <row r="125" spans="2:5" ht="15" customHeight="1">
      <c r="B125" s="77"/>
      <c r="C125" s="47" t="s">
        <v>154</v>
      </c>
      <c r="D125" s="46">
        <v>5</v>
      </c>
      <c r="E125" s="45">
        <v>5.1975051975051978E-3</v>
      </c>
    </row>
    <row r="126" spans="2:5" ht="15" customHeight="1">
      <c r="B126" s="77"/>
      <c r="C126" s="47" t="s">
        <v>153</v>
      </c>
      <c r="D126" s="46">
        <v>2</v>
      </c>
      <c r="E126" s="45">
        <v>2.0790020790020791E-3</v>
      </c>
    </row>
    <row r="127" spans="2:5" ht="15" customHeight="1">
      <c r="B127" s="77"/>
      <c r="C127" s="47" t="s">
        <v>152</v>
      </c>
      <c r="D127" s="46">
        <v>18</v>
      </c>
      <c r="E127" s="45">
        <v>1.8711018711018712E-2</v>
      </c>
    </row>
    <row r="128" spans="2:5" ht="15" customHeight="1">
      <c r="B128" s="77"/>
      <c r="C128" s="47" t="s">
        <v>151</v>
      </c>
      <c r="D128" s="46">
        <v>2</v>
      </c>
      <c r="E128" s="45">
        <v>2.0790020790020791E-3</v>
      </c>
    </row>
    <row r="129" spans="2:5" ht="15" customHeight="1">
      <c r="B129" s="77"/>
      <c r="C129" s="47" t="s">
        <v>150</v>
      </c>
      <c r="D129" s="46">
        <v>1</v>
      </c>
      <c r="E129" s="45">
        <v>1.0395010395010396E-3</v>
      </c>
    </row>
    <row r="130" spans="2:5" ht="15" customHeight="1">
      <c r="B130" s="77"/>
      <c r="C130" s="47" t="s">
        <v>317</v>
      </c>
      <c r="D130" s="46">
        <v>1</v>
      </c>
      <c r="E130" s="45">
        <v>1.0395010395010396E-3</v>
      </c>
    </row>
    <row r="131" spans="2:5" ht="15" customHeight="1">
      <c r="B131" s="76"/>
      <c r="C131" s="44" t="s">
        <v>15</v>
      </c>
      <c r="D131" s="43">
        <v>72</v>
      </c>
      <c r="E131" s="42">
        <v>7.4844074844074848E-2</v>
      </c>
    </row>
    <row r="132" spans="2:5" ht="15" customHeight="1">
      <c r="B132" s="75" t="s">
        <v>27</v>
      </c>
      <c r="C132" s="47" t="s">
        <v>149</v>
      </c>
      <c r="D132" s="46">
        <v>1</v>
      </c>
      <c r="E132" s="45">
        <v>1.0395010395010396E-3</v>
      </c>
    </row>
    <row r="133" spans="2:5" ht="15" customHeight="1">
      <c r="B133" s="77"/>
      <c r="C133" s="47" t="s">
        <v>148</v>
      </c>
      <c r="D133" s="46">
        <v>2</v>
      </c>
      <c r="E133" s="45">
        <v>2.0790020790020791E-3</v>
      </c>
    </row>
    <row r="134" spans="2:5" ht="15" customHeight="1">
      <c r="B134" s="76"/>
      <c r="C134" s="44" t="s">
        <v>15</v>
      </c>
      <c r="D134" s="43">
        <v>3</v>
      </c>
      <c r="E134" s="42">
        <v>3.1185031185031187E-3</v>
      </c>
    </row>
    <row r="135" spans="2:5" ht="15" customHeight="1">
      <c r="B135" s="75" t="s">
        <v>32</v>
      </c>
      <c r="C135" s="47" t="s">
        <v>318</v>
      </c>
      <c r="D135" s="46">
        <v>2</v>
      </c>
      <c r="E135" s="45">
        <v>2.0790020790020791E-3</v>
      </c>
    </row>
    <row r="136" spans="2:5" ht="15" customHeight="1">
      <c r="B136" s="77"/>
      <c r="C136" s="47" t="s">
        <v>319</v>
      </c>
      <c r="D136" s="46">
        <v>1</v>
      </c>
      <c r="E136" s="45">
        <v>1.0395010395010396E-3</v>
      </c>
    </row>
    <row r="137" spans="2:5" ht="15" customHeight="1">
      <c r="B137" s="77"/>
      <c r="C137" s="47" t="s">
        <v>320</v>
      </c>
      <c r="D137" s="46">
        <v>1</v>
      </c>
      <c r="E137" s="45">
        <v>1.0395010395010396E-3</v>
      </c>
    </row>
    <row r="138" spans="2:5" ht="15" customHeight="1">
      <c r="B138" s="77"/>
      <c r="C138" s="47" t="s">
        <v>147</v>
      </c>
      <c r="D138" s="46">
        <v>2</v>
      </c>
      <c r="E138" s="45">
        <v>2.0790020790020791E-3</v>
      </c>
    </row>
    <row r="139" spans="2:5" ht="15" customHeight="1">
      <c r="B139" s="77"/>
      <c r="C139" s="47" t="s">
        <v>146</v>
      </c>
      <c r="D139" s="46">
        <v>5</v>
      </c>
      <c r="E139" s="45">
        <v>5.1975051975051978E-3</v>
      </c>
    </row>
    <row r="140" spans="2:5" ht="15" customHeight="1">
      <c r="B140" s="77"/>
      <c r="C140" s="47" t="s">
        <v>145</v>
      </c>
      <c r="D140" s="46">
        <v>1</v>
      </c>
      <c r="E140" s="45">
        <v>1.0395010395010396E-3</v>
      </c>
    </row>
    <row r="141" spans="2:5" ht="15" customHeight="1">
      <c r="B141" s="77"/>
      <c r="C141" s="47" t="s">
        <v>321</v>
      </c>
      <c r="D141" s="46">
        <v>1</v>
      </c>
      <c r="E141" s="45">
        <v>1.0395010395010396E-3</v>
      </c>
    </row>
    <row r="142" spans="2:5" ht="15" customHeight="1">
      <c r="B142" s="77"/>
      <c r="C142" s="47" t="s">
        <v>144</v>
      </c>
      <c r="D142" s="46">
        <v>20</v>
      </c>
      <c r="E142" s="45">
        <v>2.0790020790020791E-2</v>
      </c>
    </row>
    <row r="143" spans="2:5" ht="15" customHeight="1">
      <c r="B143" s="77"/>
      <c r="C143" s="47" t="s">
        <v>322</v>
      </c>
      <c r="D143" s="46">
        <v>1</v>
      </c>
      <c r="E143" s="45">
        <v>1.0395010395010396E-3</v>
      </c>
    </row>
    <row r="144" spans="2:5" ht="15" customHeight="1">
      <c r="B144" s="77"/>
      <c r="C144" s="47" t="s">
        <v>323</v>
      </c>
      <c r="D144" s="46">
        <v>1</v>
      </c>
      <c r="E144" s="45">
        <v>1.0395010395010396E-3</v>
      </c>
    </row>
    <row r="145" spans="2:5" ht="15" customHeight="1">
      <c r="B145" s="77"/>
      <c r="C145" s="47" t="s">
        <v>324</v>
      </c>
      <c r="D145" s="46">
        <v>1</v>
      </c>
      <c r="E145" s="45">
        <v>1.0395010395010396E-3</v>
      </c>
    </row>
    <row r="146" spans="2:5" ht="15" customHeight="1">
      <c r="B146" s="77"/>
      <c r="C146" s="47" t="s">
        <v>143</v>
      </c>
      <c r="D146" s="46">
        <v>1</v>
      </c>
      <c r="E146" s="45">
        <v>1.0395010395010396E-3</v>
      </c>
    </row>
    <row r="147" spans="2:5" ht="15" customHeight="1">
      <c r="B147" s="76"/>
      <c r="C147" s="44" t="s">
        <v>15</v>
      </c>
      <c r="D147" s="43">
        <v>37</v>
      </c>
      <c r="E147" s="42">
        <v>3.8461538461538464E-2</v>
      </c>
    </row>
    <row r="148" spans="2:5" ht="15" customHeight="1">
      <c r="B148" s="75" t="s">
        <v>37</v>
      </c>
      <c r="C148" s="47" t="s">
        <v>142</v>
      </c>
      <c r="D148" s="46">
        <v>1</v>
      </c>
      <c r="E148" s="45">
        <v>1.0395010395010396E-3</v>
      </c>
    </row>
    <row r="149" spans="2:5" ht="15" customHeight="1">
      <c r="B149" s="77"/>
      <c r="C149" s="47" t="s">
        <v>141</v>
      </c>
      <c r="D149" s="46">
        <v>1</v>
      </c>
      <c r="E149" s="45">
        <v>1.0395010395010396E-3</v>
      </c>
    </row>
    <row r="150" spans="2:5" ht="15" customHeight="1">
      <c r="B150" s="77"/>
      <c r="C150" s="47" t="s">
        <v>140</v>
      </c>
      <c r="D150" s="46">
        <v>2</v>
      </c>
      <c r="E150" s="45">
        <v>2.0790020790020791E-3</v>
      </c>
    </row>
    <row r="151" spans="2:5" ht="15" customHeight="1">
      <c r="B151" s="77"/>
      <c r="C151" s="47" t="s">
        <v>325</v>
      </c>
      <c r="D151" s="46">
        <v>1</v>
      </c>
      <c r="E151" s="45">
        <v>1.0395010395010396E-3</v>
      </c>
    </row>
    <row r="152" spans="2:5" ht="15" customHeight="1">
      <c r="B152" s="77"/>
      <c r="C152" s="47" t="s">
        <v>139</v>
      </c>
      <c r="D152" s="46">
        <v>3</v>
      </c>
      <c r="E152" s="45">
        <v>3.1185031185031187E-3</v>
      </c>
    </row>
    <row r="153" spans="2:5" ht="15" customHeight="1">
      <c r="B153" s="77"/>
      <c r="C153" s="47" t="s">
        <v>138</v>
      </c>
      <c r="D153" s="46">
        <v>3</v>
      </c>
      <c r="E153" s="45">
        <v>3.1185031185031187E-3</v>
      </c>
    </row>
    <row r="154" spans="2:5" ht="15" customHeight="1">
      <c r="B154" s="77"/>
      <c r="C154" s="47" t="s">
        <v>326</v>
      </c>
      <c r="D154" s="46">
        <v>1</v>
      </c>
      <c r="E154" s="45">
        <v>1.0395010395010396E-3</v>
      </c>
    </row>
    <row r="155" spans="2:5" ht="15" customHeight="1">
      <c r="B155" s="77"/>
      <c r="C155" s="47" t="s">
        <v>137</v>
      </c>
      <c r="D155" s="46">
        <v>2</v>
      </c>
      <c r="E155" s="45">
        <v>2.0790020790020791E-3</v>
      </c>
    </row>
    <row r="156" spans="2:5" ht="15" customHeight="1">
      <c r="B156" s="77"/>
      <c r="C156" s="47" t="s">
        <v>327</v>
      </c>
      <c r="D156" s="46">
        <v>2</v>
      </c>
      <c r="E156" s="45">
        <v>2.0790020790020791E-3</v>
      </c>
    </row>
    <row r="157" spans="2:5" ht="15" customHeight="1">
      <c r="B157" s="77"/>
      <c r="C157" s="47" t="s">
        <v>136</v>
      </c>
      <c r="D157" s="46">
        <v>3</v>
      </c>
      <c r="E157" s="45">
        <v>3.1185031185031187E-3</v>
      </c>
    </row>
    <row r="158" spans="2:5" ht="15" customHeight="1">
      <c r="B158" s="77"/>
      <c r="C158" s="47" t="s">
        <v>135</v>
      </c>
      <c r="D158" s="46">
        <v>1</v>
      </c>
      <c r="E158" s="45">
        <v>1.0395010395010396E-3</v>
      </c>
    </row>
    <row r="159" spans="2:5" ht="15" customHeight="1">
      <c r="B159" s="77"/>
      <c r="C159" s="47" t="s">
        <v>134</v>
      </c>
      <c r="D159" s="46">
        <v>3</v>
      </c>
      <c r="E159" s="45">
        <v>3.1185031185031187E-3</v>
      </c>
    </row>
    <row r="160" spans="2:5" ht="15" customHeight="1">
      <c r="B160" s="77"/>
      <c r="C160" s="47" t="s">
        <v>133</v>
      </c>
      <c r="D160" s="46">
        <v>1</v>
      </c>
      <c r="E160" s="45">
        <v>1.0395010395010396E-3</v>
      </c>
    </row>
    <row r="161" spans="2:5" ht="15" customHeight="1">
      <c r="B161" s="77"/>
      <c r="C161" s="47" t="s">
        <v>132</v>
      </c>
      <c r="D161" s="46">
        <v>22</v>
      </c>
      <c r="E161" s="45">
        <v>2.286902286902287E-2</v>
      </c>
    </row>
    <row r="162" spans="2:5" ht="15" customHeight="1">
      <c r="B162" s="77"/>
      <c r="C162" s="47" t="s">
        <v>69</v>
      </c>
      <c r="D162" s="46">
        <v>1</v>
      </c>
      <c r="E162" s="45">
        <v>1.0395010395010396E-3</v>
      </c>
    </row>
    <row r="163" spans="2:5" ht="15" customHeight="1">
      <c r="B163" s="77"/>
      <c r="C163" s="47" t="s">
        <v>131</v>
      </c>
      <c r="D163" s="46">
        <v>3</v>
      </c>
      <c r="E163" s="45">
        <v>3.1185031185031187E-3</v>
      </c>
    </row>
    <row r="164" spans="2:5" ht="15" customHeight="1">
      <c r="B164" s="77"/>
      <c r="C164" s="47" t="s">
        <v>130</v>
      </c>
      <c r="D164" s="46">
        <v>1</v>
      </c>
      <c r="E164" s="45">
        <v>1.0395010395010396E-3</v>
      </c>
    </row>
    <row r="165" spans="2:5" ht="15" customHeight="1">
      <c r="B165" s="77"/>
      <c r="C165" s="47" t="s">
        <v>129</v>
      </c>
      <c r="D165" s="46">
        <v>1</v>
      </c>
      <c r="E165" s="45">
        <v>1.0395010395010396E-3</v>
      </c>
    </row>
    <row r="166" spans="2:5" ht="15" customHeight="1">
      <c r="B166" s="77"/>
      <c r="C166" s="47" t="s">
        <v>328</v>
      </c>
      <c r="D166" s="46">
        <v>1</v>
      </c>
      <c r="E166" s="45">
        <v>1.0395010395010396E-3</v>
      </c>
    </row>
    <row r="167" spans="2:5" ht="15" customHeight="1">
      <c r="B167" s="77"/>
      <c r="C167" s="47" t="s">
        <v>128</v>
      </c>
      <c r="D167" s="46">
        <v>1</v>
      </c>
      <c r="E167" s="45">
        <v>1.0395010395010396E-3</v>
      </c>
    </row>
    <row r="168" spans="2:5" ht="15" customHeight="1">
      <c r="B168" s="77"/>
      <c r="C168" s="47" t="s">
        <v>329</v>
      </c>
      <c r="D168" s="46">
        <v>1</v>
      </c>
      <c r="E168" s="45">
        <v>1.0395010395010396E-3</v>
      </c>
    </row>
    <row r="169" spans="2:5" ht="15" customHeight="1">
      <c r="B169" s="77"/>
      <c r="C169" s="47" t="s">
        <v>127</v>
      </c>
      <c r="D169" s="46">
        <v>1</v>
      </c>
      <c r="E169" s="45">
        <v>1.0395010395010396E-3</v>
      </c>
    </row>
    <row r="170" spans="2:5" ht="15" customHeight="1">
      <c r="B170" s="77"/>
      <c r="C170" s="47" t="s">
        <v>126</v>
      </c>
      <c r="D170" s="46">
        <v>4</v>
      </c>
      <c r="E170" s="45">
        <v>4.1580041580041582E-3</v>
      </c>
    </row>
    <row r="171" spans="2:5" ht="15" customHeight="1">
      <c r="B171" s="77"/>
      <c r="C171" s="47" t="s">
        <v>125</v>
      </c>
      <c r="D171" s="46">
        <v>2</v>
      </c>
      <c r="E171" s="45">
        <v>2.0790020790020791E-3</v>
      </c>
    </row>
    <row r="172" spans="2:5" ht="15" customHeight="1">
      <c r="B172" s="77"/>
      <c r="C172" s="47" t="s">
        <v>124</v>
      </c>
      <c r="D172" s="46">
        <v>1</v>
      </c>
      <c r="E172" s="45">
        <v>1.0395010395010396E-3</v>
      </c>
    </row>
    <row r="173" spans="2:5" ht="15" customHeight="1">
      <c r="B173" s="77"/>
      <c r="C173" s="47" t="s">
        <v>123</v>
      </c>
      <c r="D173" s="46">
        <v>2</v>
      </c>
      <c r="E173" s="45">
        <v>2.0790020790020791E-3</v>
      </c>
    </row>
    <row r="174" spans="2:5" ht="15" customHeight="1">
      <c r="B174" s="76"/>
      <c r="C174" s="44" t="s">
        <v>15</v>
      </c>
      <c r="D174" s="43">
        <v>65</v>
      </c>
      <c r="E174" s="42">
        <v>6.7567567567567571E-2</v>
      </c>
    </row>
    <row r="175" spans="2:5" ht="15" customHeight="1">
      <c r="B175" s="75" t="s">
        <v>31</v>
      </c>
      <c r="C175" s="47" t="s">
        <v>122</v>
      </c>
      <c r="D175" s="46">
        <v>1</v>
      </c>
      <c r="E175" s="45">
        <v>1.0395010395010396E-3</v>
      </c>
    </row>
    <row r="176" spans="2:5" ht="15" customHeight="1">
      <c r="B176" s="77"/>
      <c r="C176" s="47" t="s">
        <v>121</v>
      </c>
      <c r="D176" s="46">
        <v>1</v>
      </c>
      <c r="E176" s="45">
        <v>1.0395010395010396E-3</v>
      </c>
    </row>
    <row r="177" spans="2:5" ht="15" customHeight="1">
      <c r="B177" s="77"/>
      <c r="C177" s="47" t="s">
        <v>120</v>
      </c>
      <c r="D177" s="46">
        <v>5</v>
      </c>
      <c r="E177" s="45">
        <v>5.1975051975051978E-3</v>
      </c>
    </row>
    <row r="178" spans="2:5" ht="15" customHeight="1">
      <c r="B178" s="77"/>
      <c r="C178" s="47" t="s">
        <v>119</v>
      </c>
      <c r="D178" s="46">
        <v>3</v>
      </c>
      <c r="E178" s="45">
        <v>3.1185031185031187E-3</v>
      </c>
    </row>
    <row r="179" spans="2:5" ht="15" customHeight="1">
      <c r="B179" s="77"/>
      <c r="C179" s="47" t="s">
        <v>118</v>
      </c>
      <c r="D179" s="46">
        <v>1</v>
      </c>
      <c r="E179" s="45">
        <v>1.0395010395010396E-3</v>
      </c>
    </row>
    <row r="180" spans="2:5" ht="15" customHeight="1">
      <c r="B180" s="77"/>
      <c r="C180" s="47" t="s">
        <v>117</v>
      </c>
      <c r="D180" s="46">
        <v>7</v>
      </c>
      <c r="E180" s="45">
        <v>7.2765072765072769E-3</v>
      </c>
    </row>
    <row r="181" spans="2:5" ht="15" customHeight="1">
      <c r="B181" s="77"/>
      <c r="C181" s="47" t="s">
        <v>330</v>
      </c>
      <c r="D181" s="46">
        <v>1</v>
      </c>
      <c r="E181" s="45">
        <v>1.0395010395010396E-3</v>
      </c>
    </row>
    <row r="182" spans="2:5" ht="15" customHeight="1">
      <c r="B182" s="77"/>
      <c r="C182" s="47" t="s">
        <v>116</v>
      </c>
      <c r="D182" s="46">
        <v>2</v>
      </c>
      <c r="E182" s="45">
        <v>2.0790020790020791E-3</v>
      </c>
    </row>
    <row r="183" spans="2:5" ht="15" customHeight="1">
      <c r="B183" s="77"/>
      <c r="C183" s="47" t="s">
        <v>115</v>
      </c>
      <c r="D183" s="46">
        <v>1</v>
      </c>
      <c r="E183" s="45">
        <v>1.0395010395010396E-3</v>
      </c>
    </row>
    <row r="184" spans="2:5" ht="15" customHeight="1">
      <c r="B184" s="77"/>
      <c r="C184" s="47" t="s">
        <v>114</v>
      </c>
      <c r="D184" s="46">
        <v>8</v>
      </c>
      <c r="E184" s="45">
        <v>8.3160083160083165E-3</v>
      </c>
    </row>
    <row r="185" spans="2:5" ht="15" customHeight="1">
      <c r="B185" s="77"/>
      <c r="C185" s="47" t="s">
        <v>113</v>
      </c>
      <c r="D185" s="46">
        <v>1</v>
      </c>
      <c r="E185" s="45">
        <v>1.0395010395010396E-3</v>
      </c>
    </row>
    <row r="186" spans="2:5" ht="15" customHeight="1">
      <c r="B186" s="77"/>
      <c r="C186" s="47" t="s">
        <v>331</v>
      </c>
      <c r="D186" s="46">
        <v>1</v>
      </c>
      <c r="E186" s="45">
        <v>1.0395010395010396E-3</v>
      </c>
    </row>
    <row r="187" spans="2:5" ht="15" customHeight="1">
      <c r="B187" s="77"/>
      <c r="C187" s="47" t="s">
        <v>112</v>
      </c>
      <c r="D187" s="46">
        <v>2</v>
      </c>
      <c r="E187" s="45">
        <v>2.0790020790020791E-3</v>
      </c>
    </row>
    <row r="188" spans="2:5" ht="15" customHeight="1">
      <c r="B188" s="77"/>
      <c r="C188" s="47" t="s">
        <v>111</v>
      </c>
      <c r="D188" s="46">
        <v>4</v>
      </c>
      <c r="E188" s="45">
        <v>4.1580041580041582E-3</v>
      </c>
    </row>
    <row r="189" spans="2:5" ht="15" customHeight="1">
      <c r="B189" s="76"/>
      <c r="C189" s="44" t="s">
        <v>15</v>
      </c>
      <c r="D189" s="43">
        <v>38</v>
      </c>
      <c r="E189" s="42">
        <v>3.9501039501039503E-2</v>
      </c>
    </row>
    <row r="190" spans="2:5" ht="15" customHeight="1">
      <c r="B190" s="75" t="s">
        <v>22</v>
      </c>
      <c r="C190" s="47" t="s">
        <v>110</v>
      </c>
      <c r="D190" s="46">
        <v>1</v>
      </c>
      <c r="E190" s="45">
        <v>1.0395010395010396E-3</v>
      </c>
    </row>
    <row r="191" spans="2:5" ht="15" customHeight="1">
      <c r="B191" s="77"/>
      <c r="C191" s="47" t="s">
        <v>332</v>
      </c>
      <c r="D191" s="46">
        <v>1</v>
      </c>
      <c r="E191" s="45">
        <v>1.0395010395010396E-3</v>
      </c>
    </row>
    <row r="192" spans="2:5" ht="15" customHeight="1">
      <c r="B192" s="77"/>
      <c r="C192" s="47" t="s">
        <v>109</v>
      </c>
      <c r="D192" s="46">
        <v>1</v>
      </c>
      <c r="E192" s="45">
        <v>1.0395010395010396E-3</v>
      </c>
    </row>
    <row r="193" spans="2:5" ht="15" customHeight="1">
      <c r="B193" s="77"/>
      <c r="C193" s="47" t="s">
        <v>108</v>
      </c>
      <c r="D193" s="46">
        <v>1</v>
      </c>
      <c r="E193" s="45">
        <v>1.0395010395010396E-3</v>
      </c>
    </row>
    <row r="194" spans="2:5" ht="15" customHeight="1">
      <c r="B194" s="77"/>
      <c r="C194" s="47" t="s">
        <v>107</v>
      </c>
      <c r="D194" s="46">
        <v>2</v>
      </c>
      <c r="E194" s="45">
        <v>2.0790020790020791E-3</v>
      </c>
    </row>
    <row r="195" spans="2:5" ht="15" customHeight="1">
      <c r="B195" s="76"/>
      <c r="C195" s="44" t="s">
        <v>15</v>
      </c>
      <c r="D195" s="43">
        <v>6</v>
      </c>
      <c r="E195" s="42">
        <v>6.2370062370062374E-3</v>
      </c>
    </row>
    <row r="196" spans="2:5" ht="15" customHeight="1">
      <c r="B196" s="75" t="s">
        <v>29</v>
      </c>
      <c r="C196" s="47" t="s">
        <v>106</v>
      </c>
      <c r="D196" s="46">
        <v>5</v>
      </c>
      <c r="E196" s="45">
        <v>5.1975051975051978E-3</v>
      </c>
    </row>
    <row r="197" spans="2:5" ht="15" customHeight="1">
      <c r="B197" s="77"/>
      <c r="C197" s="47" t="s">
        <v>333</v>
      </c>
      <c r="D197" s="46">
        <v>2</v>
      </c>
      <c r="E197" s="45">
        <v>2.0790020790020791E-3</v>
      </c>
    </row>
    <row r="198" spans="2:5" ht="15" customHeight="1">
      <c r="B198" s="77"/>
      <c r="C198" s="47" t="s">
        <v>105</v>
      </c>
      <c r="D198" s="46">
        <v>1</v>
      </c>
      <c r="E198" s="45">
        <v>1.0395010395010396E-3</v>
      </c>
    </row>
    <row r="199" spans="2:5" ht="15" customHeight="1">
      <c r="B199" s="77"/>
      <c r="C199" s="47" t="s">
        <v>334</v>
      </c>
      <c r="D199" s="46">
        <v>1</v>
      </c>
      <c r="E199" s="45">
        <v>1.0395010395010396E-3</v>
      </c>
    </row>
    <row r="200" spans="2:5" ht="15" customHeight="1">
      <c r="B200" s="77"/>
      <c r="C200" s="47" t="s">
        <v>335</v>
      </c>
      <c r="D200" s="46">
        <v>1</v>
      </c>
      <c r="E200" s="45">
        <v>1.0395010395010396E-3</v>
      </c>
    </row>
    <row r="201" spans="2:5" ht="15" customHeight="1">
      <c r="B201" s="77"/>
      <c r="C201" s="47" t="s">
        <v>336</v>
      </c>
      <c r="D201" s="46">
        <v>2</v>
      </c>
      <c r="E201" s="45">
        <v>2.0790020790020791E-3</v>
      </c>
    </row>
    <row r="202" spans="2:5" ht="15" customHeight="1">
      <c r="B202" s="77"/>
      <c r="C202" s="47" t="s">
        <v>337</v>
      </c>
      <c r="D202" s="46">
        <v>1</v>
      </c>
      <c r="E202" s="45">
        <v>1.0395010395010396E-3</v>
      </c>
    </row>
    <row r="203" spans="2:5" ht="15" customHeight="1">
      <c r="B203" s="77"/>
      <c r="C203" s="47" t="s">
        <v>338</v>
      </c>
      <c r="D203" s="46">
        <v>1</v>
      </c>
      <c r="E203" s="45">
        <v>1.0395010395010396E-3</v>
      </c>
    </row>
    <row r="204" spans="2:5" ht="15" customHeight="1">
      <c r="B204" s="77"/>
      <c r="C204" s="47" t="s">
        <v>339</v>
      </c>
      <c r="D204" s="46">
        <v>1</v>
      </c>
      <c r="E204" s="45">
        <v>1.0395010395010396E-3</v>
      </c>
    </row>
    <row r="205" spans="2:5" ht="15" customHeight="1">
      <c r="B205" s="77"/>
      <c r="C205" s="47" t="s">
        <v>340</v>
      </c>
      <c r="D205" s="46">
        <v>2</v>
      </c>
      <c r="E205" s="45">
        <v>2.0790020790020791E-3</v>
      </c>
    </row>
    <row r="206" spans="2:5" ht="15" customHeight="1">
      <c r="B206" s="77"/>
      <c r="C206" s="47" t="s">
        <v>341</v>
      </c>
      <c r="D206" s="46">
        <v>1</v>
      </c>
      <c r="E206" s="45">
        <v>1.0395010395010396E-3</v>
      </c>
    </row>
    <row r="207" spans="2:5" ht="15" customHeight="1">
      <c r="B207" s="77"/>
      <c r="C207" s="47" t="s">
        <v>342</v>
      </c>
      <c r="D207" s="46">
        <v>1</v>
      </c>
      <c r="E207" s="45">
        <v>1.0395010395010396E-3</v>
      </c>
    </row>
    <row r="208" spans="2:5" ht="15" customHeight="1">
      <c r="B208" s="77"/>
      <c r="C208" s="47" t="s">
        <v>343</v>
      </c>
      <c r="D208" s="46">
        <v>1</v>
      </c>
      <c r="E208" s="45">
        <v>1.0395010395010396E-3</v>
      </c>
    </row>
    <row r="209" spans="2:5" ht="15" customHeight="1">
      <c r="B209" s="77"/>
      <c r="C209" s="47" t="s">
        <v>344</v>
      </c>
      <c r="D209" s="46">
        <v>1</v>
      </c>
      <c r="E209" s="45">
        <v>1.0395010395010396E-3</v>
      </c>
    </row>
    <row r="210" spans="2:5" ht="15" customHeight="1">
      <c r="B210" s="77"/>
      <c r="C210" s="47" t="s">
        <v>345</v>
      </c>
      <c r="D210" s="46">
        <v>1</v>
      </c>
      <c r="E210" s="45">
        <v>1.0395010395010396E-3</v>
      </c>
    </row>
    <row r="211" spans="2:5" ht="15" customHeight="1">
      <c r="B211" s="77"/>
      <c r="C211" s="47" t="s">
        <v>346</v>
      </c>
      <c r="D211" s="46">
        <v>2</v>
      </c>
      <c r="E211" s="45">
        <v>2.0790020790020791E-3</v>
      </c>
    </row>
    <row r="212" spans="2:5" ht="15" customHeight="1">
      <c r="B212" s="77"/>
      <c r="C212" s="47" t="s">
        <v>104</v>
      </c>
      <c r="D212" s="46">
        <v>1</v>
      </c>
      <c r="E212" s="45">
        <v>1.0395010395010396E-3</v>
      </c>
    </row>
    <row r="213" spans="2:5" ht="15" customHeight="1">
      <c r="B213" s="77"/>
      <c r="C213" s="47" t="s">
        <v>347</v>
      </c>
      <c r="D213" s="46">
        <v>1</v>
      </c>
      <c r="E213" s="45">
        <v>1.0395010395010396E-3</v>
      </c>
    </row>
    <row r="214" spans="2:5" ht="15" customHeight="1">
      <c r="B214" s="77"/>
      <c r="C214" s="47" t="s">
        <v>348</v>
      </c>
      <c r="D214" s="46">
        <v>1</v>
      </c>
      <c r="E214" s="45">
        <v>1.0395010395010396E-3</v>
      </c>
    </row>
    <row r="215" spans="2:5" ht="15" customHeight="1">
      <c r="B215" s="77"/>
      <c r="C215" s="47" t="s">
        <v>349</v>
      </c>
      <c r="D215" s="46">
        <v>1</v>
      </c>
      <c r="E215" s="45">
        <v>1.0395010395010396E-3</v>
      </c>
    </row>
    <row r="216" spans="2:5" ht="15" customHeight="1">
      <c r="B216" s="77"/>
      <c r="C216" s="47" t="s">
        <v>350</v>
      </c>
      <c r="D216" s="46">
        <v>1</v>
      </c>
      <c r="E216" s="45">
        <v>1.0395010395010396E-3</v>
      </c>
    </row>
    <row r="217" spans="2:5" ht="15" customHeight="1">
      <c r="B217" s="77"/>
      <c r="C217" s="47" t="s">
        <v>103</v>
      </c>
      <c r="D217" s="46">
        <v>1</v>
      </c>
      <c r="E217" s="45">
        <v>1.0395010395010396E-3</v>
      </c>
    </row>
    <row r="218" spans="2:5" ht="15" customHeight="1">
      <c r="B218" s="77"/>
      <c r="C218" s="47" t="s">
        <v>351</v>
      </c>
      <c r="D218" s="46">
        <v>1</v>
      </c>
      <c r="E218" s="45">
        <v>1.0395010395010396E-3</v>
      </c>
    </row>
    <row r="219" spans="2:5" ht="15" customHeight="1">
      <c r="B219" s="77"/>
      <c r="C219" s="47" t="s">
        <v>352</v>
      </c>
      <c r="D219" s="46">
        <v>2</v>
      </c>
      <c r="E219" s="45">
        <v>2.0790020790020791E-3</v>
      </c>
    </row>
    <row r="220" spans="2:5" ht="15" customHeight="1">
      <c r="B220" s="76"/>
      <c r="C220" s="44" t="s">
        <v>15</v>
      </c>
      <c r="D220" s="43">
        <v>33</v>
      </c>
      <c r="E220" s="42">
        <v>3.4303534303534305E-2</v>
      </c>
    </row>
    <row r="221" spans="2:5" ht="15" customHeight="1">
      <c r="B221" s="75" t="s">
        <v>38</v>
      </c>
      <c r="C221" s="47" t="s">
        <v>102</v>
      </c>
      <c r="D221" s="46">
        <v>4</v>
      </c>
      <c r="E221" s="45">
        <v>4.1580041580041582E-3</v>
      </c>
    </row>
    <row r="222" spans="2:5" ht="15" customHeight="1">
      <c r="B222" s="77"/>
      <c r="C222" s="47" t="s">
        <v>101</v>
      </c>
      <c r="D222" s="46">
        <v>11</v>
      </c>
      <c r="E222" s="45">
        <v>1.1434511434511435E-2</v>
      </c>
    </row>
    <row r="223" spans="2:5" ht="15" customHeight="1">
      <c r="B223" s="77"/>
      <c r="C223" s="47" t="s">
        <v>100</v>
      </c>
      <c r="D223" s="46">
        <v>2</v>
      </c>
      <c r="E223" s="45">
        <v>2.0790020790020791E-3</v>
      </c>
    </row>
    <row r="224" spans="2:5" ht="15" customHeight="1">
      <c r="B224" s="77"/>
      <c r="C224" s="47" t="s">
        <v>353</v>
      </c>
      <c r="D224" s="46">
        <v>1</v>
      </c>
      <c r="E224" s="45">
        <v>1.0395010395010396E-3</v>
      </c>
    </row>
    <row r="225" spans="2:5" ht="15" customHeight="1">
      <c r="B225" s="77"/>
      <c r="C225" s="47" t="s">
        <v>99</v>
      </c>
      <c r="D225" s="46">
        <v>10</v>
      </c>
      <c r="E225" s="45">
        <v>1.0395010395010396E-2</v>
      </c>
    </row>
    <row r="226" spans="2:5" ht="15" customHeight="1">
      <c r="B226" s="77"/>
      <c r="C226" s="47" t="s">
        <v>354</v>
      </c>
      <c r="D226" s="46">
        <v>1</v>
      </c>
      <c r="E226" s="45">
        <v>1.0395010395010396E-3</v>
      </c>
    </row>
    <row r="227" spans="2:5" ht="15" customHeight="1">
      <c r="B227" s="77"/>
      <c r="C227" s="47" t="s">
        <v>98</v>
      </c>
      <c r="D227" s="46">
        <v>10</v>
      </c>
      <c r="E227" s="45">
        <v>1.0395010395010396E-2</v>
      </c>
    </row>
    <row r="228" spans="2:5" ht="15" customHeight="1">
      <c r="B228" s="77"/>
      <c r="C228" s="47" t="s">
        <v>97</v>
      </c>
      <c r="D228" s="46">
        <v>2</v>
      </c>
      <c r="E228" s="45">
        <v>2.0790020790020791E-3</v>
      </c>
    </row>
    <row r="229" spans="2:5" ht="15" customHeight="1">
      <c r="B229" s="77"/>
      <c r="C229" s="47" t="s">
        <v>96</v>
      </c>
      <c r="D229" s="46">
        <v>5</v>
      </c>
      <c r="E229" s="45">
        <v>5.1975051975051978E-3</v>
      </c>
    </row>
    <row r="230" spans="2:5" ht="15" customHeight="1">
      <c r="B230" s="77"/>
      <c r="C230" s="47" t="s">
        <v>355</v>
      </c>
      <c r="D230" s="46">
        <v>1</v>
      </c>
      <c r="E230" s="45">
        <v>1.0395010395010396E-3</v>
      </c>
    </row>
    <row r="231" spans="2:5" ht="15" customHeight="1">
      <c r="B231" s="77"/>
      <c r="C231" s="47" t="s">
        <v>356</v>
      </c>
      <c r="D231" s="46">
        <v>1</v>
      </c>
      <c r="E231" s="45">
        <v>1.0395010395010396E-3</v>
      </c>
    </row>
    <row r="232" spans="2:5" ht="15" customHeight="1">
      <c r="B232" s="77"/>
      <c r="C232" s="47" t="s">
        <v>95</v>
      </c>
      <c r="D232" s="46">
        <v>6</v>
      </c>
      <c r="E232" s="45">
        <v>6.2370062370062374E-3</v>
      </c>
    </row>
    <row r="233" spans="2:5" ht="15" customHeight="1">
      <c r="B233" s="77"/>
      <c r="C233" s="47" t="s">
        <v>94</v>
      </c>
      <c r="D233" s="46">
        <v>2</v>
      </c>
      <c r="E233" s="45">
        <v>2.0790020790020791E-3</v>
      </c>
    </row>
    <row r="234" spans="2:5" ht="15" customHeight="1">
      <c r="B234" s="77"/>
      <c r="C234" s="47" t="s">
        <v>93</v>
      </c>
      <c r="D234" s="46">
        <v>1</v>
      </c>
      <c r="E234" s="45">
        <v>1.0395010395010396E-3</v>
      </c>
    </row>
    <row r="235" spans="2:5" ht="15" customHeight="1">
      <c r="B235" s="77"/>
      <c r="C235" s="47" t="s">
        <v>357</v>
      </c>
      <c r="D235" s="46">
        <v>1</v>
      </c>
      <c r="E235" s="45">
        <v>1.0395010395010396E-3</v>
      </c>
    </row>
    <row r="236" spans="2:5" ht="15" customHeight="1">
      <c r="B236" s="77"/>
      <c r="C236" s="47" t="s">
        <v>358</v>
      </c>
      <c r="D236" s="46">
        <v>1</v>
      </c>
      <c r="E236" s="45">
        <v>1.0395010395010396E-3</v>
      </c>
    </row>
    <row r="237" spans="2:5" ht="15" customHeight="1">
      <c r="B237" s="77"/>
      <c r="C237" s="47" t="s">
        <v>92</v>
      </c>
      <c r="D237" s="46">
        <v>40</v>
      </c>
      <c r="E237" s="45">
        <v>4.1580041580041582E-2</v>
      </c>
    </row>
    <row r="238" spans="2:5" ht="15" customHeight="1">
      <c r="B238" s="77"/>
      <c r="C238" s="47" t="s">
        <v>91</v>
      </c>
      <c r="D238" s="46">
        <v>63</v>
      </c>
      <c r="E238" s="45">
        <v>6.5488565488565492E-2</v>
      </c>
    </row>
    <row r="239" spans="2:5" ht="15" customHeight="1">
      <c r="B239" s="77"/>
      <c r="C239" s="47" t="s">
        <v>90</v>
      </c>
      <c r="D239" s="46">
        <v>1</v>
      </c>
      <c r="E239" s="45">
        <v>1.0395010395010396E-3</v>
      </c>
    </row>
    <row r="240" spans="2:5" ht="15" customHeight="1">
      <c r="B240" s="77"/>
      <c r="C240" s="47" t="s">
        <v>359</v>
      </c>
      <c r="D240" s="46">
        <v>2</v>
      </c>
      <c r="E240" s="45">
        <v>2.0790020790020791E-3</v>
      </c>
    </row>
    <row r="241" spans="2:5" ht="15" customHeight="1">
      <c r="B241" s="77"/>
      <c r="C241" s="47" t="s">
        <v>38</v>
      </c>
      <c r="D241" s="46">
        <v>8</v>
      </c>
      <c r="E241" s="45">
        <v>8.3160083160083165E-3</v>
      </c>
    </row>
    <row r="242" spans="2:5" ht="15" customHeight="1">
      <c r="B242" s="77"/>
      <c r="C242" s="47" t="s">
        <v>89</v>
      </c>
      <c r="D242" s="46">
        <v>2</v>
      </c>
      <c r="E242" s="45">
        <v>2.0790020790020791E-3</v>
      </c>
    </row>
    <row r="243" spans="2:5" ht="15" customHeight="1">
      <c r="B243" s="77"/>
      <c r="C243" s="47" t="s">
        <v>360</v>
      </c>
      <c r="D243" s="46">
        <v>1</v>
      </c>
      <c r="E243" s="45">
        <v>1.0395010395010396E-3</v>
      </c>
    </row>
    <row r="244" spans="2:5" ht="15" customHeight="1">
      <c r="B244" s="77"/>
      <c r="C244" s="47" t="s">
        <v>88</v>
      </c>
      <c r="D244" s="46">
        <v>2</v>
      </c>
      <c r="E244" s="45">
        <v>2.0790020790020791E-3</v>
      </c>
    </row>
    <row r="245" spans="2:5" ht="15" customHeight="1">
      <c r="B245" s="77"/>
      <c r="C245" s="47" t="s">
        <v>87</v>
      </c>
      <c r="D245" s="46">
        <v>1</v>
      </c>
      <c r="E245" s="45">
        <v>1.0395010395010396E-3</v>
      </c>
    </row>
    <row r="246" spans="2:5" ht="15" customHeight="1">
      <c r="B246" s="77"/>
      <c r="C246" s="47" t="s">
        <v>361</v>
      </c>
      <c r="D246" s="46">
        <v>1</v>
      </c>
      <c r="E246" s="45">
        <v>1.0395010395010396E-3</v>
      </c>
    </row>
    <row r="247" spans="2:5" ht="15" customHeight="1">
      <c r="B247" s="77"/>
      <c r="C247" s="47" t="s">
        <v>86</v>
      </c>
      <c r="D247" s="46">
        <v>1</v>
      </c>
      <c r="E247" s="45">
        <v>1.0395010395010396E-3</v>
      </c>
    </row>
    <row r="248" spans="2:5" ht="15" customHeight="1">
      <c r="B248" s="77"/>
      <c r="C248" s="47" t="s">
        <v>85</v>
      </c>
      <c r="D248" s="46">
        <v>1</v>
      </c>
      <c r="E248" s="45">
        <v>1.0395010395010396E-3</v>
      </c>
    </row>
    <row r="249" spans="2:5" ht="15" customHeight="1">
      <c r="B249" s="77"/>
      <c r="C249" s="47" t="s">
        <v>362</v>
      </c>
      <c r="D249" s="46">
        <v>1</v>
      </c>
      <c r="E249" s="45">
        <v>1.0395010395010396E-3</v>
      </c>
    </row>
    <row r="250" spans="2:5" ht="15" customHeight="1">
      <c r="B250" s="77"/>
      <c r="C250" s="47" t="s">
        <v>84</v>
      </c>
      <c r="D250" s="46">
        <v>1</v>
      </c>
      <c r="E250" s="45">
        <v>1.0395010395010396E-3</v>
      </c>
    </row>
    <row r="251" spans="2:5" ht="15" customHeight="1">
      <c r="B251" s="77"/>
      <c r="C251" s="47" t="s">
        <v>83</v>
      </c>
      <c r="D251" s="46">
        <v>2</v>
      </c>
      <c r="E251" s="45">
        <v>2.0790020790020791E-3</v>
      </c>
    </row>
    <row r="252" spans="2:5" ht="15" customHeight="1">
      <c r="B252" s="77"/>
      <c r="C252" s="47" t="s">
        <v>82</v>
      </c>
      <c r="D252" s="46">
        <v>7</v>
      </c>
      <c r="E252" s="45">
        <v>7.2765072765072769E-3</v>
      </c>
    </row>
    <row r="253" spans="2:5" ht="15" customHeight="1">
      <c r="B253" s="77"/>
      <c r="C253" s="47" t="s">
        <v>363</v>
      </c>
      <c r="D253" s="46">
        <v>1</v>
      </c>
      <c r="E253" s="45">
        <v>1.0395010395010396E-3</v>
      </c>
    </row>
    <row r="254" spans="2:5" ht="15" customHeight="1">
      <c r="B254" s="77"/>
      <c r="C254" s="47" t="s">
        <v>81</v>
      </c>
      <c r="D254" s="46">
        <v>2</v>
      </c>
      <c r="E254" s="45">
        <v>2.0790020790020791E-3</v>
      </c>
    </row>
    <row r="255" spans="2:5" ht="15" customHeight="1">
      <c r="B255" s="77"/>
      <c r="C255" s="47" t="s">
        <v>80</v>
      </c>
      <c r="D255" s="46">
        <v>2</v>
      </c>
      <c r="E255" s="45">
        <v>2.0790020790020791E-3</v>
      </c>
    </row>
    <row r="256" spans="2:5" ht="15" customHeight="1">
      <c r="B256" s="77"/>
      <c r="C256" s="47" t="s">
        <v>79</v>
      </c>
      <c r="D256" s="46">
        <v>1</v>
      </c>
      <c r="E256" s="45">
        <v>1.0395010395010396E-3</v>
      </c>
    </row>
    <row r="257" spans="2:5" ht="15" customHeight="1">
      <c r="B257" s="76"/>
      <c r="C257" s="44" t="s">
        <v>15</v>
      </c>
      <c r="D257" s="43">
        <v>199</v>
      </c>
      <c r="E257" s="42">
        <v>0.20686070686070687</v>
      </c>
    </row>
    <row r="258" spans="2:5" ht="15" customHeight="1">
      <c r="B258" s="75" t="s">
        <v>21</v>
      </c>
      <c r="C258" s="47" t="s">
        <v>78</v>
      </c>
      <c r="D258" s="46">
        <v>1</v>
      </c>
      <c r="E258" s="45">
        <v>1.0395010395010396E-3</v>
      </c>
    </row>
    <row r="259" spans="2:5" ht="15" customHeight="1">
      <c r="B259" s="77"/>
      <c r="C259" s="47" t="s">
        <v>364</v>
      </c>
      <c r="D259" s="46">
        <v>1</v>
      </c>
      <c r="E259" s="45">
        <v>1.0395010395010396E-3</v>
      </c>
    </row>
    <row r="260" spans="2:5" ht="15" customHeight="1">
      <c r="B260" s="77"/>
      <c r="C260" s="47" t="s">
        <v>365</v>
      </c>
      <c r="D260" s="46">
        <v>1</v>
      </c>
      <c r="E260" s="45">
        <v>1.0395010395010396E-3</v>
      </c>
    </row>
    <row r="261" spans="2:5" ht="15" customHeight="1">
      <c r="B261" s="77"/>
      <c r="C261" s="47" t="s">
        <v>77</v>
      </c>
      <c r="D261" s="46">
        <v>1</v>
      </c>
      <c r="E261" s="45">
        <v>1.0395010395010396E-3</v>
      </c>
    </row>
    <row r="262" spans="2:5" ht="15" customHeight="1">
      <c r="B262" s="77"/>
      <c r="C262" s="47" t="s">
        <v>21</v>
      </c>
      <c r="D262" s="46">
        <v>1</v>
      </c>
      <c r="E262" s="45">
        <v>1.0395010395010396E-3</v>
      </c>
    </row>
    <row r="263" spans="2:5" ht="15" customHeight="1">
      <c r="B263" s="76"/>
      <c r="C263" s="44" t="s">
        <v>15</v>
      </c>
      <c r="D263" s="43">
        <v>5</v>
      </c>
      <c r="E263" s="42">
        <v>5.1975051975051978E-3</v>
      </c>
    </row>
    <row r="264" spans="2:5" ht="15" customHeight="1">
      <c r="B264" s="75" t="s">
        <v>28</v>
      </c>
      <c r="C264" s="47" t="s">
        <v>75</v>
      </c>
      <c r="D264" s="46">
        <v>4</v>
      </c>
      <c r="E264" s="45">
        <v>4.1580041580041582E-3</v>
      </c>
    </row>
    <row r="265" spans="2:5" ht="15" customHeight="1">
      <c r="B265" s="77"/>
      <c r="C265" s="47" t="s">
        <v>366</v>
      </c>
      <c r="D265" s="46">
        <v>1</v>
      </c>
      <c r="E265" s="45">
        <v>1.0395010395010396E-3</v>
      </c>
    </row>
    <row r="266" spans="2:5" ht="15" customHeight="1">
      <c r="B266" s="77"/>
      <c r="C266" s="47" t="s">
        <v>74</v>
      </c>
      <c r="D266" s="46">
        <v>6</v>
      </c>
      <c r="E266" s="45">
        <v>6.2370062370062374E-3</v>
      </c>
    </row>
    <row r="267" spans="2:5" ht="15" customHeight="1">
      <c r="B267" s="77"/>
      <c r="C267" s="47" t="s">
        <v>367</v>
      </c>
      <c r="D267" s="46">
        <v>4</v>
      </c>
      <c r="E267" s="45">
        <v>4.1580041580041582E-3</v>
      </c>
    </row>
    <row r="268" spans="2:5" ht="15" customHeight="1">
      <c r="B268" s="77"/>
      <c r="C268" s="47" t="s">
        <v>368</v>
      </c>
      <c r="D268" s="46">
        <v>1</v>
      </c>
      <c r="E268" s="45">
        <v>1.0395010395010396E-3</v>
      </c>
    </row>
    <row r="269" spans="2:5" ht="15" customHeight="1">
      <c r="B269" s="76"/>
      <c r="C269" s="44" t="s">
        <v>15</v>
      </c>
      <c r="D269" s="43">
        <v>16</v>
      </c>
      <c r="E269" s="42">
        <v>1.6632016632016633E-2</v>
      </c>
    </row>
    <row r="270" spans="2:5" ht="15" customHeight="1">
      <c r="B270" s="75" t="s">
        <v>16</v>
      </c>
      <c r="C270" s="47" t="s">
        <v>369</v>
      </c>
      <c r="D270" s="46">
        <v>1</v>
      </c>
      <c r="E270" s="45">
        <v>1.0395010395010396E-3</v>
      </c>
    </row>
    <row r="271" spans="2:5" ht="15" customHeight="1">
      <c r="B271" s="76"/>
      <c r="C271" s="44" t="s">
        <v>15</v>
      </c>
      <c r="D271" s="43">
        <v>1</v>
      </c>
      <c r="E271" s="42">
        <v>1.0395010395010396E-3</v>
      </c>
    </row>
    <row r="272" spans="2:5" ht="15" customHeight="1">
      <c r="B272" s="75" t="s">
        <v>20</v>
      </c>
      <c r="C272" s="47" t="s">
        <v>76</v>
      </c>
      <c r="D272" s="46">
        <v>2</v>
      </c>
      <c r="E272" s="45">
        <v>2.0790020790020791E-3</v>
      </c>
    </row>
    <row r="273" spans="2:5" ht="15" customHeight="1">
      <c r="B273" s="77"/>
      <c r="C273" s="47" t="s">
        <v>73</v>
      </c>
      <c r="D273" s="46">
        <v>1</v>
      </c>
      <c r="E273" s="45">
        <v>1.0395010395010396E-3</v>
      </c>
    </row>
    <row r="274" spans="2:5" ht="15" customHeight="1">
      <c r="B274" s="77"/>
      <c r="C274" s="47" t="s">
        <v>370</v>
      </c>
      <c r="D274" s="46">
        <v>1</v>
      </c>
      <c r="E274" s="45">
        <v>1.0395010395010396E-3</v>
      </c>
    </row>
    <row r="275" spans="2:5" ht="15" customHeight="1">
      <c r="B275" s="77"/>
      <c r="C275" s="47" t="s">
        <v>72</v>
      </c>
      <c r="D275" s="46">
        <v>1</v>
      </c>
      <c r="E275" s="45">
        <v>1.0395010395010396E-3</v>
      </c>
    </row>
    <row r="276" spans="2:5" ht="15" customHeight="1">
      <c r="B276" s="77"/>
      <c r="C276" s="47" t="s">
        <v>371</v>
      </c>
      <c r="D276" s="46">
        <v>1</v>
      </c>
      <c r="E276" s="45">
        <v>1.0395010395010396E-3</v>
      </c>
    </row>
    <row r="277" spans="2:5" ht="15" customHeight="1">
      <c r="B277" s="77"/>
      <c r="C277" s="47" t="s">
        <v>372</v>
      </c>
      <c r="D277" s="46">
        <v>1</v>
      </c>
      <c r="E277" s="45">
        <v>1.0395010395010396E-3</v>
      </c>
    </row>
    <row r="278" spans="2:5" ht="15" customHeight="1">
      <c r="B278" s="77"/>
      <c r="C278" s="47" t="s">
        <v>71</v>
      </c>
      <c r="D278" s="46">
        <v>1</v>
      </c>
      <c r="E278" s="45">
        <v>1.0395010395010396E-3</v>
      </c>
    </row>
    <row r="279" spans="2:5" ht="15" customHeight="1">
      <c r="B279" s="76"/>
      <c r="C279" s="44" t="s">
        <v>15</v>
      </c>
      <c r="D279" s="43">
        <v>8</v>
      </c>
      <c r="E279" s="42">
        <v>8.3160083160083165E-3</v>
      </c>
    </row>
    <row r="280" spans="2:5" ht="15" customHeight="1">
      <c r="B280" s="75" t="s">
        <v>25</v>
      </c>
      <c r="C280" s="47" t="s">
        <v>70</v>
      </c>
      <c r="D280" s="46">
        <v>1</v>
      </c>
      <c r="E280" s="45">
        <v>1.0395010395010396E-3</v>
      </c>
    </row>
    <row r="281" spans="2:5" ht="15" customHeight="1">
      <c r="B281" s="77"/>
      <c r="C281" s="47" t="s">
        <v>68</v>
      </c>
      <c r="D281" s="46">
        <v>1</v>
      </c>
      <c r="E281" s="45">
        <v>1.0395010395010396E-3</v>
      </c>
    </row>
    <row r="282" spans="2:5" ht="15" customHeight="1">
      <c r="B282" s="77"/>
      <c r="C282" s="47" t="s">
        <v>67</v>
      </c>
      <c r="D282" s="46">
        <v>1</v>
      </c>
      <c r="E282" s="45">
        <v>1.0395010395010396E-3</v>
      </c>
    </row>
    <row r="283" spans="2:5" ht="15" customHeight="1">
      <c r="B283" s="76"/>
      <c r="C283" s="44" t="s">
        <v>15</v>
      </c>
      <c r="D283" s="43">
        <v>3</v>
      </c>
      <c r="E283" s="42">
        <v>3.1185031185031187E-3</v>
      </c>
    </row>
    <row r="284" spans="2:5" ht="15" customHeight="1">
      <c r="B284" s="75" t="s">
        <v>17</v>
      </c>
      <c r="C284" s="47" t="s">
        <v>66</v>
      </c>
      <c r="D284" s="46">
        <v>4</v>
      </c>
      <c r="E284" s="45">
        <v>4.1580041580041582E-3</v>
      </c>
    </row>
    <row r="285" spans="2:5" ht="15" customHeight="1">
      <c r="B285" s="77"/>
      <c r="C285" s="47" t="s">
        <v>373</v>
      </c>
      <c r="D285" s="46">
        <v>1</v>
      </c>
      <c r="E285" s="45">
        <v>1.0395010395010396E-3</v>
      </c>
    </row>
    <row r="286" spans="2:5" ht="15" customHeight="1">
      <c r="B286" s="77"/>
      <c r="C286" s="47" t="s">
        <v>65</v>
      </c>
      <c r="D286" s="46">
        <v>1</v>
      </c>
      <c r="E286" s="45">
        <v>1.0395010395010396E-3</v>
      </c>
    </row>
    <row r="287" spans="2:5" ht="15" customHeight="1">
      <c r="B287" s="76"/>
      <c r="C287" s="44" t="s">
        <v>15</v>
      </c>
      <c r="D287" s="43">
        <v>6</v>
      </c>
      <c r="E287" s="42">
        <v>6.2370062370062374E-3</v>
      </c>
    </row>
    <row r="288" spans="2:5" ht="15" customHeight="1">
      <c r="B288" s="75" t="s">
        <v>36</v>
      </c>
      <c r="C288" s="47" t="s">
        <v>374</v>
      </c>
      <c r="D288" s="46">
        <v>1</v>
      </c>
      <c r="E288" s="45">
        <v>1.0395010395010396E-3</v>
      </c>
    </row>
    <row r="289" spans="2:5" ht="15" customHeight="1">
      <c r="B289" s="77"/>
      <c r="C289" s="47" t="s">
        <v>64</v>
      </c>
      <c r="D289" s="46">
        <v>2</v>
      </c>
      <c r="E289" s="45">
        <v>2.0790020790020791E-3</v>
      </c>
    </row>
    <row r="290" spans="2:5" ht="15" customHeight="1">
      <c r="B290" s="77"/>
      <c r="C290" s="47" t="s">
        <v>375</v>
      </c>
      <c r="D290" s="46">
        <v>2</v>
      </c>
      <c r="E290" s="45">
        <v>2.0790020790020791E-3</v>
      </c>
    </row>
    <row r="291" spans="2:5" ht="15" customHeight="1">
      <c r="B291" s="77"/>
      <c r="C291" s="47" t="s">
        <v>63</v>
      </c>
      <c r="D291" s="46">
        <v>1</v>
      </c>
      <c r="E291" s="45">
        <v>1.0395010395010396E-3</v>
      </c>
    </row>
    <row r="292" spans="2:5" ht="15" customHeight="1">
      <c r="B292" s="77"/>
      <c r="C292" s="47" t="s">
        <v>376</v>
      </c>
      <c r="D292" s="46">
        <v>1</v>
      </c>
      <c r="E292" s="45">
        <v>1.0395010395010396E-3</v>
      </c>
    </row>
    <row r="293" spans="2:5" ht="15" customHeight="1">
      <c r="B293" s="77"/>
      <c r="C293" s="47" t="s">
        <v>62</v>
      </c>
      <c r="D293" s="46">
        <v>1</v>
      </c>
      <c r="E293" s="45">
        <v>1.0395010395010396E-3</v>
      </c>
    </row>
    <row r="294" spans="2:5" ht="15" customHeight="1">
      <c r="B294" s="77"/>
      <c r="C294" s="47" t="s">
        <v>377</v>
      </c>
      <c r="D294" s="46">
        <v>1</v>
      </c>
      <c r="E294" s="45">
        <v>1.0395010395010396E-3</v>
      </c>
    </row>
    <row r="295" spans="2:5" ht="15" customHeight="1">
      <c r="B295" s="77"/>
      <c r="C295" s="47" t="s">
        <v>378</v>
      </c>
      <c r="D295" s="46">
        <v>2</v>
      </c>
      <c r="E295" s="45">
        <v>2.0790020790020791E-3</v>
      </c>
    </row>
    <row r="296" spans="2:5" ht="15" customHeight="1">
      <c r="B296" s="77"/>
      <c r="C296" s="47" t="s">
        <v>379</v>
      </c>
      <c r="D296" s="46">
        <v>5</v>
      </c>
      <c r="E296" s="45">
        <v>5.1975051975051978E-3</v>
      </c>
    </row>
    <row r="297" spans="2:5" ht="15" customHeight="1">
      <c r="B297" s="77"/>
      <c r="C297" s="47" t="s">
        <v>61</v>
      </c>
      <c r="D297" s="46">
        <v>5</v>
      </c>
      <c r="E297" s="45">
        <v>5.1975051975051978E-3</v>
      </c>
    </row>
    <row r="298" spans="2:5" ht="15" customHeight="1">
      <c r="B298" s="77"/>
      <c r="C298" s="47" t="s">
        <v>60</v>
      </c>
      <c r="D298" s="46">
        <v>2</v>
      </c>
      <c r="E298" s="45">
        <v>2.0790020790020791E-3</v>
      </c>
    </row>
    <row r="299" spans="2:5" ht="15" customHeight="1">
      <c r="B299" s="77"/>
      <c r="C299" s="47" t="s">
        <v>380</v>
      </c>
      <c r="D299" s="46">
        <v>1</v>
      </c>
      <c r="E299" s="45">
        <v>1.0395010395010396E-3</v>
      </c>
    </row>
    <row r="300" spans="2:5" ht="15" customHeight="1">
      <c r="B300" s="77"/>
      <c r="C300" s="47" t="s">
        <v>381</v>
      </c>
      <c r="D300" s="46">
        <v>1</v>
      </c>
      <c r="E300" s="45">
        <v>1.0395010395010396E-3</v>
      </c>
    </row>
    <row r="301" spans="2:5" ht="15" customHeight="1">
      <c r="B301" s="77"/>
      <c r="C301" s="47" t="s">
        <v>59</v>
      </c>
      <c r="D301" s="46">
        <v>1</v>
      </c>
      <c r="E301" s="45">
        <v>1.0395010395010396E-3</v>
      </c>
    </row>
    <row r="302" spans="2:5" ht="15" customHeight="1">
      <c r="B302" s="77"/>
      <c r="C302" s="47" t="s">
        <v>382</v>
      </c>
      <c r="D302" s="46">
        <v>1</v>
      </c>
      <c r="E302" s="45">
        <v>1.0395010395010396E-3</v>
      </c>
    </row>
    <row r="303" spans="2:5" ht="15" customHeight="1">
      <c r="B303" s="77"/>
      <c r="C303" s="47" t="s">
        <v>58</v>
      </c>
      <c r="D303" s="46">
        <v>2</v>
      </c>
      <c r="E303" s="45">
        <v>2.0790020790020791E-3</v>
      </c>
    </row>
    <row r="304" spans="2:5" ht="15" customHeight="1">
      <c r="B304" s="77"/>
      <c r="C304" s="47" t="s">
        <v>383</v>
      </c>
      <c r="D304" s="46">
        <v>1</v>
      </c>
      <c r="E304" s="45">
        <v>1.0395010395010396E-3</v>
      </c>
    </row>
    <row r="305" spans="2:5" ht="15" customHeight="1">
      <c r="B305" s="77"/>
      <c r="C305" s="47" t="s">
        <v>384</v>
      </c>
      <c r="D305" s="46">
        <v>1</v>
      </c>
      <c r="E305" s="45">
        <v>1.0395010395010396E-3</v>
      </c>
    </row>
    <row r="306" spans="2:5" ht="15" customHeight="1">
      <c r="B306" s="77"/>
      <c r="C306" s="47" t="s">
        <v>57</v>
      </c>
      <c r="D306" s="46">
        <v>3</v>
      </c>
      <c r="E306" s="45">
        <v>3.1185031185031187E-3</v>
      </c>
    </row>
    <row r="307" spans="2:5" ht="15" customHeight="1">
      <c r="B307" s="77"/>
      <c r="C307" s="47" t="s">
        <v>56</v>
      </c>
      <c r="D307" s="46">
        <v>1</v>
      </c>
      <c r="E307" s="45">
        <v>1.0395010395010396E-3</v>
      </c>
    </row>
    <row r="308" spans="2:5" ht="15" customHeight="1">
      <c r="B308" s="77"/>
      <c r="C308" s="47" t="s">
        <v>55</v>
      </c>
      <c r="D308" s="46">
        <v>1</v>
      </c>
      <c r="E308" s="45">
        <v>1.0395010395010396E-3</v>
      </c>
    </row>
    <row r="309" spans="2:5" ht="15" customHeight="1">
      <c r="B309" s="77"/>
      <c r="C309" s="47" t="s">
        <v>385</v>
      </c>
      <c r="D309" s="46">
        <v>1</v>
      </c>
      <c r="E309" s="45">
        <v>1.0395010395010396E-3</v>
      </c>
    </row>
    <row r="310" spans="2:5" ht="15" customHeight="1">
      <c r="B310" s="77"/>
      <c r="C310" s="47" t="s">
        <v>54</v>
      </c>
      <c r="D310" s="46">
        <v>1</v>
      </c>
      <c r="E310" s="45">
        <v>1.0395010395010396E-3</v>
      </c>
    </row>
    <row r="311" spans="2:5" ht="15" customHeight="1">
      <c r="B311" s="77"/>
      <c r="C311" s="47" t="s">
        <v>53</v>
      </c>
      <c r="D311" s="46">
        <v>1</v>
      </c>
      <c r="E311" s="45">
        <v>1.0395010395010396E-3</v>
      </c>
    </row>
    <row r="312" spans="2:5" ht="15" customHeight="1">
      <c r="B312" s="77"/>
      <c r="C312" s="47" t="s">
        <v>52</v>
      </c>
      <c r="D312" s="46">
        <v>1</v>
      </c>
      <c r="E312" s="45">
        <v>1.0395010395010396E-3</v>
      </c>
    </row>
    <row r="313" spans="2:5" ht="15" customHeight="1">
      <c r="B313" s="77"/>
      <c r="C313" s="47" t="s">
        <v>51</v>
      </c>
      <c r="D313" s="46">
        <v>2</v>
      </c>
      <c r="E313" s="45">
        <v>2.0790020790020791E-3</v>
      </c>
    </row>
    <row r="314" spans="2:5" ht="15" customHeight="1">
      <c r="B314" s="77"/>
      <c r="C314" s="47" t="s">
        <v>50</v>
      </c>
      <c r="D314" s="46">
        <v>1</v>
      </c>
      <c r="E314" s="45">
        <v>1.0395010395010396E-3</v>
      </c>
    </row>
    <row r="315" spans="2:5" ht="15" customHeight="1">
      <c r="B315" s="77"/>
      <c r="C315" s="47" t="s">
        <v>49</v>
      </c>
      <c r="D315" s="46">
        <v>1</v>
      </c>
      <c r="E315" s="45">
        <v>1.0395010395010396E-3</v>
      </c>
    </row>
    <row r="316" spans="2:5" ht="15" customHeight="1">
      <c r="B316" s="77"/>
      <c r="C316" s="47" t="s">
        <v>386</v>
      </c>
      <c r="D316" s="46">
        <v>1</v>
      </c>
      <c r="E316" s="45">
        <v>1.0395010395010396E-3</v>
      </c>
    </row>
    <row r="317" spans="2:5" ht="15" customHeight="1">
      <c r="B317" s="77"/>
      <c r="C317" s="47" t="s">
        <v>48</v>
      </c>
      <c r="D317" s="46">
        <v>8</v>
      </c>
      <c r="E317" s="45">
        <v>8.3160083160083165E-3</v>
      </c>
    </row>
    <row r="318" spans="2:5" ht="15" customHeight="1">
      <c r="B318" s="77"/>
      <c r="C318" s="47" t="s">
        <v>47</v>
      </c>
      <c r="D318" s="46">
        <v>4</v>
      </c>
      <c r="E318" s="45">
        <v>4.1580041580041582E-3</v>
      </c>
    </row>
    <row r="319" spans="2:5" ht="15" customHeight="1">
      <c r="B319" s="77"/>
      <c r="C319" s="47" t="s">
        <v>46</v>
      </c>
      <c r="D319" s="46">
        <v>2</v>
      </c>
      <c r="E319" s="45">
        <v>2.0790020790020791E-3</v>
      </c>
    </row>
    <row r="320" spans="2:5" ht="15" customHeight="1">
      <c r="B320" s="77"/>
      <c r="C320" s="47" t="s">
        <v>45</v>
      </c>
      <c r="D320" s="46">
        <v>1</v>
      </c>
      <c r="E320" s="45">
        <v>1.0395010395010396E-3</v>
      </c>
    </row>
    <row r="321" spans="2:6" ht="15" customHeight="1">
      <c r="B321" s="77"/>
      <c r="C321" s="47" t="s">
        <v>36</v>
      </c>
      <c r="D321" s="46">
        <v>7</v>
      </c>
      <c r="E321" s="45">
        <v>7.2765072765072769E-3</v>
      </c>
    </row>
    <row r="322" spans="2:6" ht="15" customHeight="1">
      <c r="B322" s="76"/>
      <c r="C322" s="44" t="s">
        <v>15</v>
      </c>
      <c r="D322" s="43">
        <v>67</v>
      </c>
      <c r="E322" s="42">
        <v>6.964656964656965E-2</v>
      </c>
    </row>
    <row r="323" spans="2:6" ht="15" customHeight="1">
      <c r="B323" s="75" t="s">
        <v>283</v>
      </c>
      <c r="C323" s="47" t="s">
        <v>387</v>
      </c>
      <c r="D323" s="46">
        <v>1</v>
      </c>
      <c r="E323" s="45">
        <v>1.0395010395010396E-3</v>
      </c>
    </row>
    <row r="324" spans="2:6" ht="15" customHeight="1">
      <c r="B324" s="76"/>
      <c r="C324" s="44" t="s">
        <v>15</v>
      </c>
      <c r="D324" s="43">
        <v>1</v>
      </c>
      <c r="E324" s="42">
        <v>1.0395010395010396E-3</v>
      </c>
    </row>
    <row r="325" spans="2:6" ht="15" customHeight="1">
      <c r="B325" s="75" t="s">
        <v>24</v>
      </c>
      <c r="C325" s="47" t="s">
        <v>213</v>
      </c>
      <c r="D325" s="46">
        <v>1</v>
      </c>
      <c r="E325" s="45">
        <v>1.0395010395010396E-3</v>
      </c>
    </row>
    <row r="326" spans="2:6" ht="15" customHeight="1">
      <c r="B326" s="77"/>
      <c r="C326" s="47" t="s">
        <v>388</v>
      </c>
      <c r="D326" s="46">
        <v>1</v>
      </c>
      <c r="E326" s="45">
        <v>1.0395010395010396E-3</v>
      </c>
    </row>
    <row r="327" spans="2:6" ht="15" customHeight="1">
      <c r="B327" s="77"/>
      <c r="C327" s="47" t="s">
        <v>44</v>
      </c>
      <c r="D327" s="46">
        <v>2</v>
      </c>
      <c r="E327" s="45">
        <v>2.0790020790020791E-3</v>
      </c>
    </row>
    <row r="328" spans="2:6" ht="15" customHeight="1">
      <c r="B328" s="77"/>
      <c r="C328" s="47" t="s">
        <v>389</v>
      </c>
      <c r="D328" s="46">
        <v>1</v>
      </c>
      <c r="E328" s="45">
        <v>1.0395010395010396E-3</v>
      </c>
    </row>
    <row r="329" spans="2:6" ht="15" customHeight="1">
      <c r="B329" s="77"/>
      <c r="C329" s="47" t="s">
        <v>43</v>
      </c>
      <c r="D329" s="46">
        <v>1</v>
      </c>
      <c r="E329" s="45">
        <v>1.0395010395010396E-3</v>
      </c>
    </row>
    <row r="330" spans="2:6" ht="15" customHeight="1">
      <c r="B330" s="76"/>
      <c r="C330" s="44" t="s">
        <v>15</v>
      </c>
      <c r="D330" s="43">
        <v>6</v>
      </c>
      <c r="E330" s="42">
        <v>6.2370062370062374E-3</v>
      </c>
    </row>
    <row r="331" spans="2:6" ht="15" customHeight="1">
      <c r="B331" s="73" t="s">
        <v>15</v>
      </c>
      <c r="C331" s="74"/>
      <c r="D331" s="41">
        <f>SUMIF(C$10:C330,"Total",D$10:D330)</f>
        <v>962</v>
      </c>
      <c r="E331" s="40">
        <v>1</v>
      </c>
    </row>
    <row r="333" spans="2:6" ht="15" customHeight="1">
      <c r="B333" s="17"/>
      <c r="C333" s="19" t="s">
        <v>395</v>
      </c>
      <c r="D333"/>
      <c r="E333"/>
      <c r="F333" s="17"/>
    </row>
    <row r="334" spans="2:6" ht="15" customHeight="1">
      <c r="B334" s="17"/>
      <c r="C334" s="21" t="s">
        <v>14</v>
      </c>
      <c r="D334"/>
      <c r="E334"/>
      <c r="F334" s="17"/>
    </row>
    <row r="335" spans="2:6" ht="15" customHeight="1">
      <c r="B335" s="17"/>
      <c r="C335" s="20" t="s">
        <v>13</v>
      </c>
      <c r="D335"/>
      <c r="E335"/>
      <c r="F335" s="17"/>
    </row>
    <row r="336" spans="2:6" ht="15" customHeight="1">
      <c r="B336" s="17"/>
      <c r="C336" s="19" t="s">
        <v>12</v>
      </c>
      <c r="D336"/>
      <c r="E336"/>
      <c r="F336" s="17"/>
    </row>
    <row r="337" spans="2:6" ht="15" customHeight="1">
      <c r="B337" s="17"/>
      <c r="C337" s="19" t="s">
        <v>396</v>
      </c>
      <c r="D337"/>
      <c r="E337"/>
      <c r="F337" s="17"/>
    </row>
  </sheetData>
  <mergeCells count="27">
    <mergeCell ref="B132:B134"/>
    <mergeCell ref="B135:B147"/>
    <mergeCell ref="B38:B44"/>
    <mergeCell ref="B45:B50"/>
    <mergeCell ref="B51:B95"/>
    <mergeCell ref="B96:B105"/>
    <mergeCell ref="B107:B131"/>
    <mergeCell ref="B7:E8"/>
    <mergeCell ref="B10:B12"/>
    <mergeCell ref="B13:B14"/>
    <mergeCell ref="B15:B32"/>
    <mergeCell ref="B33:B37"/>
    <mergeCell ref="B148:B174"/>
    <mergeCell ref="B175:B189"/>
    <mergeCell ref="B190:B195"/>
    <mergeCell ref="B323:B324"/>
    <mergeCell ref="B325:B330"/>
    <mergeCell ref="B196:B220"/>
    <mergeCell ref="B221:B257"/>
    <mergeCell ref="B258:B263"/>
    <mergeCell ref="B264:B269"/>
    <mergeCell ref="B331:C331"/>
    <mergeCell ref="B270:B271"/>
    <mergeCell ref="B272:B279"/>
    <mergeCell ref="B280:B283"/>
    <mergeCell ref="B284:B287"/>
    <mergeCell ref="B288:B322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D39"/>
  <sheetViews>
    <sheetView showGridLines="0" view="pageBreakPreview" topLeftCell="A2" zoomScaleNormal="100" zoomScaleSheetLayoutView="100" workbookViewId="0">
      <selection activeCell="D11" sqref="D11"/>
    </sheetView>
  </sheetViews>
  <sheetFormatPr baseColWidth="10" defaultColWidth="11.42578125" defaultRowHeight="15"/>
  <cols>
    <col min="1" max="1" width="9.28515625" style="17" customWidth="1"/>
    <col min="2" max="2" width="30.5703125" style="17" customWidth="1"/>
    <col min="3" max="3" width="17.7109375" style="18" customWidth="1"/>
    <col min="4" max="4" width="17.7109375" style="17" customWidth="1"/>
    <col min="5" max="5" width="9.28515625" style="17" customWidth="1"/>
    <col min="6" max="6" width="5.7109375" style="17" customWidth="1"/>
    <col min="7" max="16384" width="11.42578125" style="17"/>
  </cols>
  <sheetData>
    <row r="1" spans="1:4" s="29" customFormat="1" ht="15" customHeight="1">
      <c r="C1" s="35"/>
    </row>
    <row r="2" spans="1:4" s="29" customFormat="1" ht="15" customHeight="1">
      <c r="C2" s="35"/>
    </row>
    <row r="3" spans="1:4" s="29" customFormat="1" ht="15" customHeight="1">
      <c r="C3" s="35"/>
    </row>
    <row r="4" spans="1:4" s="29" customFormat="1" ht="30" customHeight="1">
      <c r="C4" s="35"/>
      <c r="D4" s="34"/>
    </row>
    <row r="5" spans="1:4" s="29" customFormat="1" ht="15" customHeight="1">
      <c r="C5" s="35"/>
      <c r="D5" s="34"/>
    </row>
    <row r="6" spans="1:4" s="29" customFormat="1" ht="15" customHeight="1">
      <c r="C6" s="35"/>
      <c r="D6" s="34"/>
    </row>
    <row r="7" spans="1:4" s="29" customFormat="1" ht="15" customHeight="1">
      <c r="B7" s="72" t="s">
        <v>249</v>
      </c>
      <c r="C7" s="72"/>
      <c r="D7" s="72"/>
    </row>
    <row r="8" spans="1:4" s="29" customFormat="1" ht="15" customHeight="1">
      <c r="B8" s="72"/>
      <c r="C8" s="72"/>
      <c r="D8" s="72"/>
    </row>
    <row r="9" spans="1:4" s="29" customFormat="1" ht="33" customHeight="1">
      <c r="B9" s="72"/>
      <c r="C9" s="72"/>
      <c r="D9" s="72"/>
    </row>
    <row r="10" spans="1:4" s="29" customFormat="1" ht="4.5" customHeight="1">
      <c r="B10" s="33"/>
      <c r="C10" s="33"/>
      <c r="D10" s="33"/>
    </row>
    <row r="11" spans="1:4" s="29" customFormat="1" ht="33" customHeight="1">
      <c r="B11" s="32" t="s">
        <v>248</v>
      </c>
      <c r="C11" s="31" t="s">
        <v>41</v>
      </c>
      <c r="D11" s="30" t="s">
        <v>40</v>
      </c>
    </row>
    <row r="12" spans="1:4">
      <c r="B12" s="27" t="s">
        <v>247</v>
      </c>
      <c r="C12" s="26">
        <v>15</v>
      </c>
      <c r="D12" s="25">
        <v>1.5592515592515593E-2</v>
      </c>
    </row>
    <row r="13" spans="1:4">
      <c r="B13" s="27" t="s">
        <v>246</v>
      </c>
      <c r="C13" s="26">
        <v>2</v>
      </c>
      <c r="D13" s="25">
        <v>2.0790020790020791E-3</v>
      </c>
    </row>
    <row r="14" spans="1:4">
      <c r="A14" s="28"/>
      <c r="B14" s="27" t="s">
        <v>245</v>
      </c>
      <c r="C14" s="26">
        <v>12</v>
      </c>
      <c r="D14" s="25">
        <v>1.2474012474012475E-2</v>
      </c>
    </row>
    <row r="15" spans="1:4">
      <c r="A15" s="28"/>
      <c r="B15" s="27" t="s">
        <v>244</v>
      </c>
      <c r="C15" s="26">
        <v>20</v>
      </c>
      <c r="D15" s="25">
        <v>2.0790020790020791E-2</v>
      </c>
    </row>
    <row r="16" spans="1:4">
      <c r="B16" s="27" t="s">
        <v>243</v>
      </c>
      <c r="C16" s="26">
        <v>19</v>
      </c>
      <c r="D16" s="25">
        <v>1.9750519750519752E-2</v>
      </c>
    </row>
    <row r="17" spans="2:4">
      <c r="B17" s="27" t="s">
        <v>242</v>
      </c>
      <c r="C17" s="26">
        <v>16</v>
      </c>
      <c r="D17" s="25">
        <v>1.6632016632016633E-2</v>
      </c>
    </row>
    <row r="18" spans="2:4">
      <c r="B18" s="27" t="s">
        <v>241</v>
      </c>
      <c r="C18" s="26">
        <v>87</v>
      </c>
      <c r="D18" s="25">
        <v>9.0436590436590442E-2</v>
      </c>
    </row>
    <row r="19" spans="2:4">
      <c r="B19" s="27" t="s">
        <v>240</v>
      </c>
      <c r="C19" s="26">
        <v>147</v>
      </c>
      <c r="D19" s="25">
        <v>0.15280665280665282</v>
      </c>
    </row>
    <row r="20" spans="2:4">
      <c r="B20" s="27" t="s">
        <v>239</v>
      </c>
      <c r="C20" s="26">
        <v>14</v>
      </c>
      <c r="D20" s="25">
        <v>1.4553014553014554E-2</v>
      </c>
    </row>
    <row r="21" spans="2:4">
      <c r="B21" s="27" t="s">
        <v>238</v>
      </c>
      <c r="C21" s="26">
        <v>27</v>
      </c>
      <c r="D21" s="25">
        <v>2.8066528066528068E-2</v>
      </c>
    </row>
    <row r="22" spans="2:4">
      <c r="B22" s="27" t="s">
        <v>237</v>
      </c>
      <c r="C22" s="26">
        <v>44</v>
      </c>
      <c r="D22" s="25">
        <v>4.5738045738045741E-2</v>
      </c>
    </row>
    <row r="23" spans="2:4">
      <c r="B23" s="27" t="s">
        <v>236</v>
      </c>
      <c r="C23" s="26">
        <v>331</v>
      </c>
      <c r="D23" s="25">
        <v>0.34407484407484407</v>
      </c>
    </row>
    <row r="24" spans="2:4">
      <c r="B24" s="27" t="s">
        <v>235</v>
      </c>
      <c r="C24" s="26">
        <v>7</v>
      </c>
      <c r="D24" s="25">
        <v>7.2765072765072769E-3</v>
      </c>
    </row>
    <row r="25" spans="2:4">
      <c r="B25" s="27" t="s">
        <v>234</v>
      </c>
      <c r="C25" s="26">
        <v>53</v>
      </c>
      <c r="D25" s="25">
        <v>5.5093555093555097E-2</v>
      </c>
    </row>
    <row r="26" spans="2:4">
      <c r="B26" s="27" t="s">
        <v>233</v>
      </c>
      <c r="C26" s="26">
        <v>132</v>
      </c>
      <c r="D26" s="25">
        <v>0.13721413721413722</v>
      </c>
    </row>
    <row r="27" spans="2:4">
      <c r="B27" s="27" t="s">
        <v>232</v>
      </c>
      <c r="C27" s="26">
        <v>3</v>
      </c>
      <c r="D27" s="25">
        <v>3.1185031185031187E-3</v>
      </c>
    </row>
    <row r="28" spans="2:4">
      <c r="B28" s="27" t="s">
        <v>231</v>
      </c>
      <c r="C28" s="26">
        <v>3</v>
      </c>
      <c r="D28" s="25">
        <v>3.1185031185031187E-3</v>
      </c>
    </row>
    <row r="29" spans="2:4">
      <c r="B29" s="27" t="s">
        <v>230</v>
      </c>
      <c r="C29" s="26">
        <v>22</v>
      </c>
      <c r="D29" s="25">
        <v>2.286902286902287E-2</v>
      </c>
    </row>
    <row r="30" spans="2:4">
      <c r="B30" s="27" t="s">
        <v>229</v>
      </c>
      <c r="C30" s="26">
        <v>6</v>
      </c>
      <c r="D30" s="25">
        <v>6.2370062370062374E-3</v>
      </c>
    </row>
    <row r="31" spans="2:4">
      <c r="B31" s="27" t="s">
        <v>228</v>
      </c>
      <c r="C31" s="26">
        <v>1</v>
      </c>
      <c r="D31" s="25">
        <v>1.0395010395010396E-3</v>
      </c>
    </row>
    <row r="32" spans="2:4">
      <c r="B32" s="27" t="s">
        <v>390</v>
      </c>
      <c r="C32" s="26">
        <v>1</v>
      </c>
      <c r="D32" s="25">
        <v>1.0395010395010396E-3</v>
      </c>
    </row>
    <row r="33" spans="2:4">
      <c r="B33" s="24" t="s">
        <v>15</v>
      </c>
      <c r="C33" s="23">
        <v>962</v>
      </c>
      <c r="D33" s="22">
        <v>1</v>
      </c>
    </row>
    <row r="35" spans="2:4">
      <c r="B35" s="19" t="s">
        <v>395</v>
      </c>
      <c r="C35"/>
      <c r="D35"/>
    </row>
    <row r="36" spans="2:4">
      <c r="B36" s="21" t="s">
        <v>14</v>
      </c>
      <c r="C36"/>
      <c r="D36"/>
    </row>
    <row r="37" spans="2:4">
      <c r="B37" s="20" t="s">
        <v>13</v>
      </c>
      <c r="C37"/>
      <c r="D37"/>
    </row>
    <row r="38" spans="2:4">
      <c r="B38" s="19" t="s">
        <v>12</v>
      </c>
      <c r="C38"/>
      <c r="D38"/>
    </row>
    <row r="39" spans="2:4">
      <c r="B39" s="19" t="s">
        <v>396</v>
      </c>
      <c r="C39"/>
      <c r="D39"/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80" orientation="portrait" r:id="rId1"/>
  <headerFooter>
    <oddFooter>&amp;C&amp;P de &amp;N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F225"/>
  <sheetViews>
    <sheetView topLeftCell="A202" zoomScaleNormal="100" zoomScaleSheetLayoutView="100" workbookViewId="0">
      <selection activeCell="E219" sqref="E219"/>
    </sheetView>
  </sheetViews>
  <sheetFormatPr baseColWidth="10" defaultColWidth="35" defaultRowHeight="15" customHeight="1"/>
  <cols>
    <col min="1" max="1" width="1" style="36" customWidth="1"/>
    <col min="2" max="2" width="22.85546875" style="37" customWidth="1"/>
    <col min="3" max="3" width="31.42578125" style="37" customWidth="1"/>
    <col min="4" max="4" width="14.28515625" style="37" customWidth="1"/>
    <col min="5" max="5" width="16.85546875" style="37" customWidth="1"/>
    <col min="6" max="16384" width="35" style="36"/>
  </cols>
  <sheetData>
    <row r="1" spans="1:5" s="55" customFormat="1" ht="12" customHeight="1">
      <c r="B1" s="59"/>
      <c r="C1" s="58"/>
      <c r="D1" s="58"/>
      <c r="E1" s="58"/>
    </row>
    <row r="2" spans="1:5" s="55" customFormat="1" ht="15" customHeight="1">
      <c r="C2" s="57"/>
    </row>
    <row r="3" spans="1:5" s="55" customFormat="1" ht="15" customHeight="1">
      <c r="C3" s="57"/>
    </row>
    <row r="4" spans="1:5" s="55" customFormat="1" ht="30" customHeight="1">
      <c r="C4" s="57"/>
      <c r="D4" s="56"/>
    </row>
    <row r="5" spans="1:5" s="55" customFormat="1" ht="15" customHeight="1">
      <c r="C5" s="57"/>
      <c r="D5" s="56"/>
    </row>
    <row r="6" spans="1:5" s="52" customFormat="1" ht="24" customHeight="1">
      <c r="B6" s="54"/>
      <c r="C6" s="48"/>
      <c r="D6" s="48"/>
      <c r="E6" s="48"/>
    </row>
    <row r="7" spans="1:5" s="52" customFormat="1" ht="26.25" customHeight="1">
      <c r="A7" s="53"/>
      <c r="B7" s="78"/>
      <c r="C7" s="78"/>
      <c r="D7" s="78"/>
      <c r="E7" s="78"/>
    </row>
    <row r="8" spans="1:5" s="52" customFormat="1" ht="33" customHeight="1">
      <c r="A8" s="53"/>
      <c r="B8" s="78"/>
      <c r="C8" s="78"/>
      <c r="D8" s="78"/>
      <c r="E8" s="78"/>
    </row>
    <row r="9" spans="1:5" s="29" customFormat="1" ht="40.5" customHeight="1">
      <c r="B9" s="49" t="s">
        <v>248</v>
      </c>
      <c r="C9" s="51" t="s">
        <v>42</v>
      </c>
      <c r="D9" s="50" t="s">
        <v>41</v>
      </c>
      <c r="E9" s="49" t="s">
        <v>40</v>
      </c>
    </row>
    <row r="10" spans="1:5" ht="15" customHeight="1">
      <c r="B10" s="75" t="s">
        <v>247</v>
      </c>
      <c r="C10" s="47" t="s">
        <v>19</v>
      </c>
      <c r="D10" s="46">
        <v>1</v>
      </c>
      <c r="E10" s="45">
        <v>1.0395010395010396E-3</v>
      </c>
    </row>
    <row r="11" spans="1:5" ht="15" customHeight="1">
      <c r="B11" s="77"/>
      <c r="C11" s="47" t="s">
        <v>30</v>
      </c>
      <c r="D11" s="46">
        <v>1</v>
      </c>
      <c r="E11" s="45">
        <v>1.0395010395010396E-3</v>
      </c>
    </row>
    <row r="12" spans="1:5" ht="15" customHeight="1">
      <c r="B12" s="77"/>
      <c r="C12" s="47" t="s">
        <v>39</v>
      </c>
      <c r="D12" s="46">
        <v>2</v>
      </c>
      <c r="E12" s="45">
        <v>2.0790020790020791E-3</v>
      </c>
    </row>
    <row r="13" spans="1:5" ht="15" customHeight="1">
      <c r="B13" s="77"/>
      <c r="C13" s="47" t="s">
        <v>33</v>
      </c>
      <c r="D13" s="46">
        <v>2</v>
      </c>
      <c r="E13" s="45">
        <v>2.0790020790020791E-3</v>
      </c>
    </row>
    <row r="14" spans="1:5" ht="15" customHeight="1">
      <c r="B14" s="77"/>
      <c r="C14" s="47" t="s">
        <v>32</v>
      </c>
      <c r="D14" s="46">
        <v>1</v>
      </c>
      <c r="E14" s="45">
        <v>1.0395010395010396E-3</v>
      </c>
    </row>
    <row r="15" spans="1:5" ht="15" customHeight="1">
      <c r="B15" s="77"/>
      <c r="C15" s="47" t="s">
        <v>37</v>
      </c>
      <c r="D15" s="46">
        <v>1</v>
      </c>
      <c r="E15" s="45">
        <v>1.0395010395010396E-3</v>
      </c>
    </row>
    <row r="16" spans="1:5" ht="15" customHeight="1">
      <c r="B16" s="77"/>
      <c r="C16" s="47" t="s">
        <v>38</v>
      </c>
      <c r="D16" s="46">
        <v>6</v>
      </c>
      <c r="E16" s="45">
        <v>6.2370062370062374E-3</v>
      </c>
    </row>
    <row r="17" spans="2:5" ht="15" customHeight="1">
      <c r="B17" s="77"/>
      <c r="C17" s="47" t="s">
        <v>36</v>
      </c>
      <c r="D17" s="46">
        <v>1</v>
      </c>
      <c r="E17" s="45">
        <v>1.0395010395010396E-3</v>
      </c>
    </row>
    <row r="18" spans="2:5" ht="15" customHeight="1">
      <c r="B18" s="76"/>
      <c r="C18" s="44" t="s">
        <v>15</v>
      </c>
      <c r="D18" s="43">
        <v>15</v>
      </c>
      <c r="E18" s="42">
        <v>1.5592515592515593E-2</v>
      </c>
    </row>
    <row r="19" spans="2:5" ht="15" customHeight="1">
      <c r="B19" s="75" t="s">
        <v>246</v>
      </c>
      <c r="C19" s="47" t="s">
        <v>35</v>
      </c>
      <c r="D19" s="46">
        <v>1</v>
      </c>
      <c r="E19" s="45">
        <v>1.0395010395010396E-3</v>
      </c>
    </row>
    <row r="20" spans="2:5" ht="15" customHeight="1">
      <c r="B20" s="77"/>
      <c r="C20" s="47" t="s">
        <v>28</v>
      </c>
      <c r="D20" s="46">
        <v>1</v>
      </c>
      <c r="E20" s="45">
        <v>1.0395010395010396E-3</v>
      </c>
    </row>
    <row r="21" spans="2:5" ht="15" customHeight="1">
      <c r="B21" s="76"/>
      <c r="C21" s="44" t="s">
        <v>15</v>
      </c>
      <c r="D21" s="43">
        <v>2</v>
      </c>
      <c r="E21" s="42">
        <v>2.0790020790020791E-3</v>
      </c>
    </row>
    <row r="22" spans="2:5" ht="15" customHeight="1">
      <c r="B22" s="75" t="s">
        <v>245</v>
      </c>
      <c r="C22" s="47" t="s">
        <v>30</v>
      </c>
      <c r="D22" s="46">
        <v>2</v>
      </c>
      <c r="E22" s="45">
        <v>2.0790020790020791E-3</v>
      </c>
    </row>
    <row r="23" spans="2:5" ht="15" customHeight="1">
      <c r="B23" s="77"/>
      <c r="C23" s="47" t="s">
        <v>34</v>
      </c>
      <c r="D23" s="46">
        <v>1</v>
      </c>
      <c r="E23" s="45">
        <v>1.0395010395010396E-3</v>
      </c>
    </row>
    <row r="24" spans="2:5" ht="15" customHeight="1">
      <c r="B24" s="77"/>
      <c r="C24" s="47" t="s">
        <v>39</v>
      </c>
      <c r="D24" s="46">
        <v>1</v>
      </c>
      <c r="E24" s="45">
        <v>1.0395010395010396E-3</v>
      </c>
    </row>
    <row r="25" spans="2:5" ht="15" customHeight="1">
      <c r="B25" s="77"/>
      <c r="C25" s="47" t="s">
        <v>33</v>
      </c>
      <c r="D25" s="46">
        <v>1</v>
      </c>
      <c r="E25" s="45">
        <v>1.0395010395010396E-3</v>
      </c>
    </row>
    <row r="26" spans="2:5" ht="15" customHeight="1">
      <c r="B26" s="77"/>
      <c r="C26" s="47" t="s">
        <v>35</v>
      </c>
      <c r="D26" s="46">
        <v>2</v>
      </c>
      <c r="E26" s="45">
        <v>2.0790020790020791E-3</v>
      </c>
    </row>
    <row r="27" spans="2:5" ht="15" customHeight="1">
      <c r="B27" s="77"/>
      <c r="C27" s="47" t="s">
        <v>37</v>
      </c>
      <c r="D27" s="46">
        <v>4</v>
      </c>
      <c r="E27" s="45">
        <v>4.1580041580041582E-3</v>
      </c>
    </row>
    <row r="28" spans="2:5" ht="15" customHeight="1">
      <c r="B28" s="77"/>
      <c r="C28" s="47" t="s">
        <v>31</v>
      </c>
      <c r="D28" s="46">
        <v>1</v>
      </c>
      <c r="E28" s="45">
        <v>1.0395010395010396E-3</v>
      </c>
    </row>
    <row r="29" spans="2:5" ht="15" customHeight="1">
      <c r="B29" s="76"/>
      <c r="C29" s="44" t="s">
        <v>15</v>
      </c>
      <c r="D29" s="43">
        <v>12</v>
      </c>
      <c r="E29" s="42">
        <v>1.2474012474012475E-2</v>
      </c>
    </row>
    <row r="30" spans="2:5" ht="15" customHeight="1">
      <c r="B30" s="75" t="s">
        <v>244</v>
      </c>
      <c r="C30" s="47" t="s">
        <v>30</v>
      </c>
      <c r="D30" s="46">
        <v>1</v>
      </c>
      <c r="E30" s="45">
        <v>1.0395010395010396E-3</v>
      </c>
    </row>
    <row r="31" spans="2:5" ht="15" customHeight="1">
      <c r="B31" s="77"/>
      <c r="C31" s="47" t="s">
        <v>26</v>
      </c>
      <c r="D31" s="46">
        <v>1</v>
      </c>
      <c r="E31" s="45">
        <v>1.0395010395010396E-3</v>
      </c>
    </row>
    <row r="32" spans="2:5" ht="15" customHeight="1">
      <c r="B32" s="77"/>
      <c r="C32" s="47" t="s">
        <v>34</v>
      </c>
      <c r="D32" s="46">
        <v>1</v>
      </c>
      <c r="E32" s="45">
        <v>1.0395010395010396E-3</v>
      </c>
    </row>
    <row r="33" spans="2:5" ht="15" customHeight="1">
      <c r="B33" s="77"/>
      <c r="C33" s="47" t="s">
        <v>39</v>
      </c>
      <c r="D33" s="46">
        <v>7</v>
      </c>
      <c r="E33" s="45">
        <v>7.2765072765072769E-3</v>
      </c>
    </row>
    <row r="34" spans="2:5" ht="15" customHeight="1">
      <c r="B34" s="77"/>
      <c r="C34" s="47" t="s">
        <v>35</v>
      </c>
      <c r="D34" s="46">
        <v>4</v>
      </c>
      <c r="E34" s="45">
        <v>4.1580041580041582E-3</v>
      </c>
    </row>
    <row r="35" spans="2:5" ht="15" customHeight="1">
      <c r="B35" s="77"/>
      <c r="C35" s="47" t="s">
        <v>32</v>
      </c>
      <c r="D35" s="46">
        <v>2</v>
      </c>
      <c r="E35" s="45">
        <v>2.0790020790020791E-3</v>
      </c>
    </row>
    <row r="36" spans="2:5" ht="15" customHeight="1">
      <c r="B36" s="77"/>
      <c r="C36" s="47" t="s">
        <v>37</v>
      </c>
      <c r="D36" s="46">
        <v>1</v>
      </c>
      <c r="E36" s="45">
        <v>1.0395010395010396E-3</v>
      </c>
    </row>
    <row r="37" spans="2:5" ht="15" customHeight="1">
      <c r="B37" s="77"/>
      <c r="C37" s="47" t="s">
        <v>38</v>
      </c>
      <c r="D37" s="46">
        <v>1</v>
      </c>
      <c r="E37" s="45">
        <v>1.0395010395010396E-3</v>
      </c>
    </row>
    <row r="38" spans="2:5" ht="15" customHeight="1">
      <c r="B38" s="77"/>
      <c r="C38" s="47" t="s">
        <v>36</v>
      </c>
      <c r="D38" s="46">
        <v>2</v>
      </c>
      <c r="E38" s="45">
        <v>2.0790020790020791E-3</v>
      </c>
    </row>
    <row r="39" spans="2:5" ht="15" customHeight="1">
      <c r="B39" s="76"/>
      <c r="C39" s="44" t="s">
        <v>15</v>
      </c>
      <c r="D39" s="43">
        <v>20</v>
      </c>
      <c r="E39" s="42">
        <v>2.0790020790020791E-2</v>
      </c>
    </row>
    <row r="40" spans="2:5" ht="15" customHeight="1">
      <c r="B40" s="75" t="s">
        <v>243</v>
      </c>
      <c r="C40" s="47" t="s">
        <v>30</v>
      </c>
      <c r="D40" s="46">
        <v>1</v>
      </c>
      <c r="E40" s="45">
        <v>1.0395010395010396E-3</v>
      </c>
    </row>
    <row r="41" spans="2:5" ht="15" customHeight="1">
      <c r="B41" s="77"/>
      <c r="C41" s="47" t="s">
        <v>39</v>
      </c>
      <c r="D41" s="46">
        <v>1</v>
      </c>
      <c r="E41" s="45">
        <v>1.0395010395010396E-3</v>
      </c>
    </row>
    <row r="42" spans="2:5" ht="15" customHeight="1">
      <c r="B42" s="77"/>
      <c r="C42" s="47" t="s">
        <v>33</v>
      </c>
      <c r="D42" s="46">
        <v>2</v>
      </c>
      <c r="E42" s="45">
        <v>2.0790020790020791E-3</v>
      </c>
    </row>
    <row r="43" spans="2:5" ht="15" customHeight="1">
      <c r="B43" s="77"/>
      <c r="C43" s="47" t="s">
        <v>37</v>
      </c>
      <c r="D43" s="46">
        <v>1</v>
      </c>
      <c r="E43" s="45">
        <v>1.0395010395010396E-3</v>
      </c>
    </row>
    <row r="44" spans="2:5" ht="15" customHeight="1">
      <c r="B44" s="77"/>
      <c r="C44" s="47" t="s">
        <v>29</v>
      </c>
      <c r="D44" s="46">
        <v>3</v>
      </c>
      <c r="E44" s="45">
        <v>3.1185031185031187E-3</v>
      </c>
    </row>
    <row r="45" spans="2:5" ht="15" customHeight="1">
      <c r="B45" s="77"/>
      <c r="C45" s="47" t="s">
        <v>38</v>
      </c>
      <c r="D45" s="46">
        <v>7</v>
      </c>
      <c r="E45" s="45">
        <v>7.2765072765072769E-3</v>
      </c>
    </row>
    <row r="46" spans="2:5" ht="15" customHeight="1">
      <c r="B46" s="77"/>
      <c r="C46" s="47" t="s">
        <v>21</v>
      </c>
      <c r="D46" s="46">
        <v>1</v>
      </c>
      <c r="E46" s="45">
        <v>1.0395010395010396E-3</v>
      </c>
    </row>
    <row r="47" spans="2:5" ht="15" customHeight="1">
      <c r="B47" s="77"/>
      <c r="C47" s="47" t="s">
        <v>20</v>
      </c>
      <c r="D47" s="46">
        <v>1</v>
      </c>
      <c r="E47" s="45">
        <v>1.0395010395010396E-3</v>
      </c>
    </row>
    <row r="48" spans="2:5" ht="15" customHeight="1">
      <c r="B48" s="77"/>
      <c r="C48" s="47" t="s">
        <v>17</v>
      </c>
      <c r="D48" s="46">
        <v>1</v>
      </c>
      <c r="E48" s="45">
        <v>1.0395010395010396E-3</v>
      </c>
    </row>
    <row r="49" spans="2:5" ht="15" customHeight="1">
      <c r="B49" s="77"/>
      <c r="C49" s="47" t="s">
        <v>36</v>
      </c>
      <c r="D49" s="46">
        <v>1</v>
      </c>
      <c r="E49" s="45">
        <v>1.0395010395010396E-3</v>
      </c>
    </row>
    <row r="50" spans="2:5" ht="15" customHeight="1">
      <c r="B50" s="76"/>
      <c r="C50" s="44" t="s">
        <v>15</v>
      </c>
      <c r="D50" s="43">
        <v>19</v>
      </c>
      <c r="E50" s="42">
        <v>1.9750519750519752E-2</v>
      </c>
    </row>
    <row r="51" spans="2:5" ht="15" customHeight="1">
      <c r="B51" s="75" t="s">
        <v>242</v>
      </c>
      <c r="C51" s="47" t="s">
        <v>30</v>
      </c>
      <c r="D51" s="46">
        <v>1</v>
      </c>
      <c r="E51" s="45">
        <v>1.0395010395010396E-3</v>
      </c>
    </row>
    <row r="52" spans="2:5" ht="15" customHeight="1">
      <c r="B52" s="77"/>
      <c r="C52" s="47" t="s">
        <v>39</v>
      </c>
      <c r="D52" s="46">
        <v>1</v>
      </c>
      <c r="E52" s="45">
        <v>1.0395010395010396E-3</v>
      </c>
    </row>
    <row r="53" spans="2:5" ht="15" customHeight="1">
      <c r="B53" s="77"/>
      <c r="C53" s="47" t="s">
        <v>35</v>
      </c>
      <c r="D53" s="46">
        <v>1</v>
      </c>
      <c r="E53" s="45">
        <v>1.0395010395010396E-3</v>
      </c>
    </row>
    <row r="54" spans="2:5" ht="15" customHeight="1">
      <c r="B54" s="77"/>
      <c r="C54" s="47" t="s">
        <v>37</v>
      </c>
      <c r="D54" s="46">
        <v>2</v>
      </c>
      <c r="E54" s="45">
        <v>2.0790020790020791E-3</v>
      </c>
    </row>
    <row r="55" spans="2:5" ht="15" customHeight="1">
      <c r="B55" s="77"/>
      <c r="C55" s="47" t="s">
        <v>31</v>
      </c>
      <c r="D55" s="46">
        <v>2</v>
      </c>
      <c r="E55" s="45">
        <v>2.0790020790020791E-3</v>
      </c>
    </row>
    <row r="56" spans="2:5" ht="15" customHeight="1">
      <c r="B56" s="77"/>
      <c r="C56" s="47" t="s">
        <v>38</v>
      </c>
      <c r="D56" s="46">
        <v>6</v>
      </c>
      <c r="E56" s="45">
        <v>6.2370062370062374E-3</v>
      </c>
    </row>
    <row r="57" spans="2:5" ht="15" customHeight="1">
      <c r="B57" s="77"/>
      <c r="C57" s="47" t="s">
        <v>28</v>
      </c>
      <c r="D57" s="46">
        <v>1</v>
      </c>
      <c r="E57" s="45">
        <v>1.0395010395010396E-3</v>
      </c>
    </row>
    <row r="58" spans="2:5" ht="15" customHeight="1">
      <c r="B58" s="77"/>
      <c r="C58" s="47" t="s">
        <v>20</v>
      </c>
      <c r="D58" s="46">
        <v>1</v>
      </c>
      <c r="E58" s="45">
        <v>1.0395010395010396E-3</v>
      </c>
    </row>
    <row r="59" spans="2:5" ht="15" customHeight="1">
      <c r="B59" s="77"/>
      <c r="C59" s="47" t="s">
        <v>36</v>
      </c>
      <c r="D59" s="46">
        <v>1</v>
      </c>
      <c r="E59" s="45">
        <v>1.0395010395010396E-3</v>
      </c>
    </row>
    <row r="60" spans="2:5" ht="15" customHeight="1">
      <c r="B60" s="76"/>
      <c r="C60" s="44" t="s">
        <v>15</v>
      </c>
      <c r="D60" s="43">
        <v>16</v>
      </c>
      <c r="E60" s="42">
        <v>1.6632016632016633E-2</v>
      </c>
    </row>
    <row r="61" spans="2:5" ht="15" customHeight="1">
      <c r="B61" s="75" t="s">
        <v>241</v>
      </c>
      <c r="C61" s="47" t="s">
        <v>30</v>
      </c>
      <c r="D61" s="46">
        <v>2</v>
      </c>
      <c r="E61" s="45">
        <v>2.0790020790020791E-3</v>
      </c>
    </row>
    <row r="62" spans="2:5" ht="15" customHeight="1">
      <c r="B62" s="77"/>
      <c r="C62" s="47" t="s">
        <v>39</v>
      </c>
      <c r="D62" s="46">
        <v>19</v>
      </c>
      <c r="E62" s="45">
        <v>1.9750519750519752E-2</v>
      </c>
    </row>
    <row r="63" spans="2:5" ht="15" customHeight="1">
      <c r="B63" s="77"/>
      <c r="C63" s="47" t="s">
        <v>33</v>
      </c>
      <c r="D63" s="46">
        <v>8</v>
      </c>
      <c r="E63" s="45">
        <v>8.3160083160083165E-3</v>
      </c>
    </row>
    <row r="64" spans="2:5" ht="15" customHeight="1">
      <c r="B64" s="77"/>
      <c r="C64" s="47" t="s">
        <v>35</v>
      </c>
      <c r="D64" s="46">
        <v>5</v>
      </c>
      <c r="E64" s="45">
        <v>5.1975051975051978E-3</v>
      </c>
    </row>
    <row r="65" spans="2:5" ht="15" customHeight="1">
      <c r="B65" s="77"/>
      <c r="C65" s="47" t="s">
        <v>32</v>
      </c>
      <c r="D65" s="46">
        <v>4</v>
      </c>
      <c r="E65" s="45">
        <v>4.1580041580041582E-3</v>
      </c>
    </row>
    <row r="66" spans="2:5" ht="15" customHeight="1">
      <c r="B66" s="77"/>
      <c r="C66" s="47" t="s">
        <v>37</v>
      </c>
      <c r="D66" s="46">
        <v>10</v>
      </c>
      <c r="E66" s="45">
        <v>1.0395010395010396E-2</v>
      </c>
    </row>
    <row r="67" spans="2:5" ht="15" customHeight="1">
      <c r="B67" s="77"/>
      <c r="C67" s="47" t="s">
        <v>31</v>
      </c>
      <c r="D67" s="46">
        <v>4</v>
      </c>
      <c r="E67" s="45">
        <v>4.1580041580041582E-3</v>
      </c>
    </row>
    <row r="68" spans="2:5" ht="15" customHeight="1">
      <c r="B68" s="77"/>
      <c r="C68" s="47" t="s">
        <v>22</v>
      </c>
      <c r="D68" s="46">
        <v>2</v>
      </c>
      <c r="E68" s="45">
        <v>2.0790020790020791E-3</v>
      </c>
    </row>
    <row r="69" spans="2:5" ht="15" customHeight="1">
      <c r="B69" s="77"/>
      <c r="C69" s="47" t="s">
        <v>29</v>
      </c>
      <c r="D69" s="46">
        <v>4</v>
      </c>
      <c r="E69" s="45">
        <v>4.1580041580041582E-3</v>
      </c>
    </row>
    <row r="70" spans="2:5" ht="15" customHeight="1">
      <c r="B70" s="77"/>
      <c r="C70" s="47" t="s">
        <v>38</v>
      </c>
      <c r="D70" s="46">
        <v>23</v>
      </c>
      <c r="E70" s="45">
        <v>2.390852390852391E-2</v>
      </c>
    </row>
    <row r="71" spans="2:5" ht="15" customHeight="1">
      <c r="B71" s="77"/>
      <c r="C71" s="47" t="s">
        <v>21</v>
      </c>
      <c r="D71" s="46">
        <v>1</v>
      </c>
      <c r="E71" s="45">
        <v>1.0395010395010396E-3</v>
      </c>
    </row>
    <row r="72" spans="2:5" ht="15" customHeight="1">
      <c r="B72" s="77"/>
      <c r="C72" s="47" t="s">
        <v>36</v>
      </c>
      <c r="D72" s="46">
        <v>4</v>
      </c>
      <c r="E72" s="45">
        <v>4.1580041580041582E-3</v>
      </c>
    </row>
    <row r="73" spans="2:5" ht="15" customHeight="1">
      <c r="B73" s="77"/>
      <c r="C73" s="47" t="s">
        <v>24</v>
      </c>
      <c r="D73" s="46">
        <v>1</v>
      </c>
      <c r="E73" s="45">
        <v>1.0395010395010396E-3</v>
      </c>
    </row>
    <row r="74" spans="2:5" ht="15" customHeight="1">
      <c r="B74" s="76"/>
      <c r="C74" s="44" t="s">
        <v>15</v>
      </c>
      <c r="D74" s="43">
        <v>87</v>
      </c>
      <c r="E74" s="42">
        <v>9.0436590436590442E-2</v>
      </c>
    </row>
    <row r="75" spans="2:5" ht="15" customHeight="1">
      <c r="B75" s="75" t="s">
        <v>240</v>
      </c>
      <c r="C75" s="47" t="s">
        <v>19</v>
      </c>
      <c r="D75" s="46">
        <v>1</v>
      </c>
      <c r="E75" s="45">
        <v>1.0395010395010396E-3</v>
      </c>
    </row>
    <row r="76" spans="2:5" ht="15" customHeight="1">
      <c r="B76" s="77"/>
      <c r="C76" s="47" t="s">
        <v>30</v>
      </c>
      <c r="D76" s="46">
        <v>2</v>
      </c>
      <c r="E76" s="45">
        <v>2.0790020790020791E-3</v>
      </c>
    </row>
    <row r="77" spans="2:5" ht="15" customHeight="1">
      <c r="B77" s="77"/>
      <c r="C77" s="47" t="s">
        <v>34</v>
      </c>
      <c r="D77" s="46">
        <v>3</v>
      </c>
      <c r="E77" s="45">
        <v>3.1185031185031187E-3</v>
      </c>
    </row>
    <row r="78" spans="2:5" ht="15" customHeight="1">
      <c r="B78" s="77"/>
      <c r="C78" s="47" t="s">
        <v>39</v>
      </c>
      <c r="D78" s="46">
        <v>25</v>
      </c>
      <c r="E78" s="45">
        <v>2.5987525987525989E-2</v>
      </c>
    </row>
    <row r="79" spans="2:5" ht="15" customHeight="1">
      <c r="B79" s="77"/>
      <c r="C79" s="47" t="s">
        <v>33</v>
      </c>
      <c r="D79" s="46">
        <v>12</v>
      </c>
      <c r="E79" s="45">
        <v>1.2474012474012475E-2</v>
      </c>
    </row>
    <row r="80" spans="2:5" ht="15" customHeight="1">
      <c r="B80" s="77"/>
      <c r="C80" s="47" t="s">
        <v>35</v>
      </c>
      <c r="D80" s="46">
        <v>16</v>
      </c>
      <c r="E80" s="45">
        <v>1.6632016632016633E-2</v>
      </c>
    </row>
    <row r="81" spans="2:5" ht="15" customHeight="1">
      <c r="B81" s="77"/>
      <c r="C81" s="47" t="s">
        <v>32</v>
      </c>
      <c r="D81" s="46">
        <v>10</v>
      </c>
      <c r="E81" s="45">
        <v>1.0395010395010396E-2</v>
      </c>
    </row>
    <row r="82" spans="2:5" ht="15" customHeight="1">
      <c r="B82" s="77"/>
      <c r="C82" s="47" t="s">
        <v>37</v>
      </c>
      <c r="D82" s="46">
        <v>8</v>
      </c>
      <c r="E82" s="45">
        <v>8.3160083160083165E-3</v>
      </c>
    </row>
    <row r="83" spans="2:5" ht="15" customHeight="1">
      <c r="B83" s="77"/>
      <c r="C83" s="47" t="s">
        <v>31</v>
      </c>
      <c r="D83" s="46">
        <v>5</v>
      </c>
      <c r="E83" s="45">
        <v>5.1975051975051978E-3</v>
      </c>
    </row>
    <row r="84" spans="2:5" ht="15" customHeight="1">
      <c r="B84" s="77"/>
      <c r="C84" s="47" t="s">
        <v>29</v>
      </c>
      <c r="D84" s="46">
        <v>6</v>
      </c>
      <c r="E84" s="45">
        <v>6.2370062370062374E-3</v>
      </c>
    </row>
    <row r="85" spans="2:5" ht="15" customHeight="1">
      <c r="B85" s="77"/>
      <c r="C85" s="47" t="s">
        <v>38</v>
      </c>
      <c r="D85" s="46">
        <v>41</v>
      </c>
      <c r="E85" s="45">
        <v>4.2619542619542622E-2</v>
      </c>
    </row>
    <row r="86" spans="2:5" ht="15" customHeight="1">
      <c r="B86" s="77"/>
      <c r="C86" s="47" t="s">
        <v>21</v>
      </c>
      <c r="D86" s="46">
        <v>1</v>
      </c>
      <c r="E86" s="45">
        <v>1.0395010395010396E-3</v>
      </c>
    </row>
    <row r="87" spans="2:5" ht="15" customHeight="1">
      <c r="B87" s="77"/>
      <c r="C87" s="47" t="s">
        <v>28</v>
      </c>
      <c r="D87" s="46">
        <v>3</v>
      </c>
      <c r="E87" s="45">
        <v>3.1185031185031187E-3</v>
      </c>
    </row>
    <row r="88" spans="2:5" ht="15" customHeight="1">
      <c r="B88" s="77"/>
      <c r="C88" s="47" t="s">
        <v>20</v>
      </c>
      <c r="D88" s="46">
        <v>2</v>
      </c>
      <c r="E88" s="45">
        <v>2.0790020790020791E-3</v>
      </c>
    </row>
    <row r="89" spans="2:5" ht="15" customHeight="1">
      <c r="B89" s="77"/>
      <c r="C89" s="47" t="s">
        <v>25</v>
      </c>
      <c r="D89" s="46">
        <v>2</v>
      </c>
      <c r="E89" s="45">
        <v>2.0790020790020791E-3</v>
      </c>
    </row>
    <row r="90" spans="2:5" ht="15" customHeight="1">
      <c r="B90" s="77"/>
      <c r="C90" s="47" t="s">
        <v>17</v>
      </c>
      <c r="D90" s="46">
        <v>1</v>
      </c>
      <c r="E90" s="45">
        <v>1.0395010395010396E-3</v>
      </c>
    </row>
    <row r="91" spans="2:5" ht="15" customHeight="1">
      <c r="B91" s="77"/>
      <c r="C91" s="47" t="s">
        <v>36</v>
      </c>
      <c r="D91" s="46">
        <v>8</v>
      </c>
      <c r="E91" s="45">
        <v>8.3160083160083165E-3</v>
      </c>
    </row>
    <row r="92" spans="2:5" ht="15" customHeight="1">
      <c r="B92" s="77"/>
      <c r="C92" s="47" t="s">
        <v>24</v>
      </c>
      <c r="D92" s="46">
        <v>1</v>
      </c>
      <c r="E92" s="45">
        <v>1.0395010395010396E-3</v>
      </c>
    </row>
    <row r="93" spans="2:5" ht="15" customHeight="1">
      <c r="B93" s="76"/>
      <c r="C93" s="44" t="s">
        <v>15</v>
      </c>
      <c r="D93" s="43">
        <v>147</v>
      </c>
      <c r="E93" s="42">
        <v>0.15280665280665282</v>
      </c>
    </row>
    <row r="94" spans="2:5" ht="15" customHeight="1">
      <c r="B94" s="75" t="s">
        <v>239</v>
      </c>
      <c r="C94" s="47" t="s">
        <v>18</v>
      </c>
      <c r="D94" s="46">
        <v>1</v>
      </c>
      <c r="E94" s="45">
        <v>1.0395010395010396E-3</v>
      </c>
    </row>
    <row r="95" spans="2:5" ht="15" customHeight="1">
      <c r="B95" s="77"/>
      <c r="C95" s="47" t="s">
        <v>30</v>
      </c>
      <c r="D95" s="46">
        <v>1</v>
      </c>
      <c r="E95" s="45">
        <v>1.0395010395010396E-3</v>
      </c>
    </row>
    <row r="96" spans="2:5" ht="15" customHeight="1">
      <c r="B96" s="77"/>
      <c r="C96" s="47" t="s">
        <v>39</v>
      </c>
      <c r="D96" s="46">
        <v>4</v>
      </c>
      <c r="E96" s="45">
        <v>4.1580041580041582E-3</v>
      </c>
    </row>
    <row r="97" spans="2:5" ht="15" customHeight="1">
      <c r="B97" s="77"/>
      <c r="C97" s="47" t="s">
        <v>37</v>
      </c>
      <c r="D97" s="46">
        <v>1</v>
      </c>
      <c r="E97" s="45">
        <v>1.0395010395010396E-3</v>
      </c>
    </row>
    <row r="98" spans="2:5" ht="15" customHeight="1">
      <c r="B98" s="77"/>
      <c r="C98" s="47" t="s">
        <v>38</v>
      </c>
      <c r="D98" s="46">
        <v>6</v>
      </c>
      <c r="E98" s="45">
        <v>6.2370062370062374E-3</v>
      </c>
    </row>
    <row r="99" spans="2:5" ht="15" customHeight="1">
      <c r="B99" s="77"/>
      <c r="C99" s="47" t="s">
        <v>36</v>
      </c>
      <c r="D99" s="46">
        <v>1</v>
      </c>
      <c r="E99" s="45">
        <v>1.0395010395010396E-3</v>
      </c>
    </row>
    <row r="100" spans="2:5" ht="15" customHeight="1">
      <c r="B100" s="76"/>
      <c r="C100" s="44" t="s">
        <v>15</v>
      </c>
      <c r="D100" s="43">
        <v>14</v>
      </c>
      <c r="E100" s="42">
        <v>1.4553014553014554E-2</v>
      </c>
    </row>
    <row r="101" spans="2:5" ht="15" customHeight="1">
      <c r="B101" s="75" t="s">
        <v>238</v>
      </c>
      <c r="C101" s="47" t="s">
        <v>19</v>
      </c>
      <c r="D101" s="46">
        <v>1</v>
      </c>
      <c r="E101" s="45">
        <v>1.0395010395010396E-3</v>
      </c>
    </row>
    <row r="102" spans="2:5" ht="15" customHeight="1">
      <c r="B102" s="77"/>
      <c r="C102" s="47" t="s">
        <v>34</v>
      </c>
      <c r="D102" s="46">
        <v>2</v>
      </c>
      <c r="E102" s="45">
        <v>2.0790020790020791E-3</v>
      </c>
    </row>
    <row r="103" spans="2:5" ht="15" customHeight="1">
      <c r="B103" s="77"/>
      <c r="C103" s="47" t="s">
        <v>39</v>
      </c>
      <c r="D103" s="46">
        <v>5</v>
      </c>
      <c r="E103" s="45">
        <v>5.1975051975051978E-3</v>
      </c>
    </row>
    <row r="104" spans="2:5" ht="15" customHeight="1">
      <c r="B104" s="77"/>
      <c r="C104" s="47" t="s">
        <v>33</v>
      </c>
      <c r="D104" s="46">
        <v>1</v>
      </c>
      <c r="E104" s="45">
        <v>1.0395010395010396E-3</v>
      </c>
    </row>
    <row r="105" spans="2:5" ht="15" customHeight="1">
      <c r="B105" s="77"/>
      <c r="C105" s="47" t="s">
        <v>35</v>
      </c>
      <c r="D105" s="46">
        <v>4</v>
      </c>
      <c r="E105" s="45">
        <v>4.1580041580041582E-3</v>
      </c>
    </row>
    <row r="106" spans="2:5" ht="15" customHeight="1">
      <c r="B106" s="77"/>
      <c r="C106" s="47" t="s">
        <v>37</v>
      </c>
      <c r="D106" s="46">
        <v>1</v>
      </c>
      <c r="E106" s="45">
        <v>1.0395010395010396E-3</v>
      </c>
    </row>
    <row r="107" spans="2:5" ht="15" customHeight="1">
      <c r="B107" s="77"/>
      <c r="C107" s="47" t="s">
        <v>31</v>
      </c>
      <c r="D107" s="46">
        <v>2</v>
      </c>
      <c r="E107" s="45">
        <v>2.0790020790020791E-3</v>
      </c>
    </row>
    <row r="108" spans="2:5" ht="15" customHeight="1">
      <c r="B108" s="77"/>
      <c r="C108" s="47" t="s">
        <v>29</v>
      </c>
      <c r="D108" s="46">
        <v>3</v>
      </c>
      <c r="E108" s="45">
        <v>3.1185031185031187E-3</v>
      </c>
    </row>
    <row r="109" spans="2:5" ht="15" customHeight="1">
      <c r="B109" s="77"/>
      <c r="C109" s="47" t="s">
        <v>38</v>
      </c>
      <c r="D109" s="46">
        <v>4</v>
      </c>
      <c r="E109" s="45">
        <v>4.1580041580041582E-3</v>
      </c>
    </row>
    <row r="110" spans="2:5" ht="15" customHeight="1">
      <c r="B110" s="77"/>
      <c r="C110" s="47" t="s">
        <v>28</v>
      </c>
      <c r="D110" s="46">
        <v>1</v>
      </c>
      <c r="E110" s="45">
        <v>1.0395010395010396E-3</v>
      </c>
    </row>
    <row r="111" spans="2:5" ht="15" customHeight="1">
      <c r="B111" s="77"/>
      <c r="C111" s="47" t="s">
        <v>20</v>
      </c>
      <c r="D111" s="46">
        <v>1</v>
      </c>
      <c r="E111" s="45">
        <v>1.0395010395010396E-3</v>
      </c>
    </row>
    <row r="112" spans="2:5" ht="15" customHeight="1">
      <c r="B112" s="77"/>
      <c r="C112" s="47" t="s">
        <v>36</v>
      </c>
      <c r="D112" s="46">
        <v>2</v>
      </c>
      <c r="E112" s="45">
        <v>2.0790020790020791E-3</v>
      </c>
    </row>
    <row r="113" spans="2:5" ht="15" customHeight="1">
      <c r="B113" s="76"/>
      <c r="C113" s="44" t="s">
        <v>15</v>
      </c>
      <c r="D113" s="43">
        <v>27</v>
      </c>
      <c r="E113" s="42">
        <v>2.8066528066528068E-2</v>
      </c>
    </row>
    <row r="114" spans="2:5" ht="15" customHeight="1">
      <c r="B114" s="75" t="s">
        <v>237</v>
      </c>
      <c r="C114" s="47" t="s">
        <v>30</v>
      </c>
      <c r="D114" s="46">
        <v>2</v>
      </c>
      <c r="E114" s="45">
        <v>2.0790020790020791E-3</v>
      </c>
    </row>
    <row r="115" spans="2:5" ht="15" customHeight="1">
      <c r="B115" s="77"/>
      <c r="C115" s="47" t="s">
        <v>26</v>
      </c>
      <c r="D115" s="46">
        <v>1</v>
      </c>
      <c r="E115" s="45">
        <v>1.0395010395010396E-3</v>
      </c>
    </row>
    <row r="116" spans="2:5" ht="15" customHeight="1">
      <c r="B116" s="77"/>
      <c r="C116" s="47" t="s">
        <v>34</v>
      </c>
      <c r="D116" s="46">
        <v>3</v>
      </c>
      <c r="E116" s="45">
        <v>3.1185031185031187E-3</v>
      </c>
    </row>
    <row r="117" spans="2:5" ht="15" customHeight="1">
      <c r="B117" s="77"/>
      <c r="C117" s="47" t="s">
        <v>23</v>
      </c>
      <c r="D117" s="46">
        <v>1</v>
      </c>
      <c r="E117" s="45">
        <v>1.0395010395010396E-3</v>
      </c>
    </row>
    <row r="118" spans="2:5" ht="15" customHeight="1">
      <c r="B118" s="77"/>
      <c r="C118" s="47" t="s">
        <v>39</v>
      </c>
      <c r="D118" s="46">
        <v>14</v>
      </c>
      <c r="E118" s="45">
        <v>1.4553014553014554E-2</v>
      </c>
    </row>
    <row r="119" spans="2:5" ht="15" customHeight="1">
      <c r="B119" s="77"/>
      <c r="C119" s="47" t="s">
        <v>33</v>
      </c>
      <c r="D119" s="46">
        <v>3</v>
      </c>
      <c r="E119" s="45">
        <v>3.1185031185031187E-3</v>
      </c>
    </row>
    <row r="120" spans="2:5" ht="15" customHeight="1">
      <c r="B120" s="77"/>
      <c r="C120" s="47" t="s">
        <v>35</v>
      </c>
      <c r="D120" s="46">
        <v>4</v>
      </c>
      <c r="E120" s="45">
        <v>4.1580041580041582E-3</v>
      </c>
    </row>
    <row r="121" spans="2:5" ht="15" customHeight="1">
      <c r="B121" s="77"/>
      <c r="C121" s="47" t="s">
        <v>32</v>
      </c>
      <c r="D121" s="46">
        <v>3</v>
      </c>
      <c r="E121" s="45">
        <v>3.1185031185031187E-3</v>
      </c>
    </row>
    <row r="122" spans="2:5" ht="15" customHeight="1">
      <c r="B122" s="77"/>
      <c r="C122" s="47" t="s">
        <v>37</v>
      </c>
      <c r="D122" s="46">
        <v>3</v>
      </c>
      <c r="E122" s="45">
        <v>3.1185031185031187E-3</v>
      </c>
    </row>
    <row r="123" spans="2:5" ht="15" customHeight="1">
      <c r="B123" s="77"/>
      <c r="C123" s="47" t="s">
        <v>38</v>
      </c>
      <c r="D123" s="46">
        <v>6</v>
      </c>
      <c r="E123" s="45">
        <v>6.2370062370062374E-3</v>
      </c>
    </row>
    <row r="124" spans="2:5" ht="15" customHeight="1">
      <c r="B124" s="77"/>
      <c r="C124" s="47" t="s">
        <v>17</v>
      </c>
      <c r="D124" s="46">
        <v>1</v>
      </c>
      <c r="E124" s="45">
        <v>1.0395010395010396E-3</v>
      </c>
    </row>
    <row r="125" spans="2:5" ht="15" customHeight="1">
      <c r="B125" s="77"/>
      <c r="C125" s="47" t="s">
        <v>36</v>
      </c>
      <c r="D125" s="46">
        <v>3</v>
      </c>
      <c r="E125" s="45">
        <v>3.1185031185031187E-3</v>
      </c>
    </row>
    <row r="126" spans="2:5" ht="15" customHeight="1">
      <c r="B126" s="76"/>
      <c r="C126" s="44" t="s">
        <v>15</v>
      </c>
      <c r="D126" s="43">
        <v>44</v>
      </c>
      <c r="E126" s="42">
        <v>4.5738045738045741E-2</v>
      </c>
    </row>
    <row r="127" spans="2:5" ht="15" customHeight="1">
      <c r="B127" s="75" t="s">
        <v>236</v>
      </c>
      <c r="C127" s="47" t="s">
        <v>19</v>
      </c>
      <c r="D127" s="46">
        <v>1</v>
      </c>
      <c r="E127" s="45">
        <v>1.0395010395010396E-3</v>
      </c>
    </row>
    <row r="128" spans="2:5" ht="15" customHeight="1">
      <c r="B128" s="77"/>
      <c r="C128" s="47" t="s">
        <v>30</v>
      </c>
      <c r="D128" s="46">
        <v>11</v>
      </c>
      <c r="E128" s="45">
        <v>1.1434511434511435E-2</v>
      </c>
    </row>
    <row r="129" spans="2:5" ht="15" customHeight="1">
      <c r="B129" s="77"/>
      <c r="C129" s="47" t="s">
        <v>34</v>
      </c>
      <c r="D129" s="46">
        <v>18</v>
      </c>
      <c r="E129" s="45">
        <v>1.8711018711018712E-2</v>
      </c>
    </row>
    <row r="130" spans="2:5" ht="15" customHeight="1">
      <c r="B130" s="77"/>
      <c r="C130" s="47" t="s">
        <v>23</v>
      </c>
      <c r="D130" s="46">
        <v>3</v>
      </c>
      <c r="E130" s="45">
        <v>3.1185031185031187E-3</v>
      </c>
    </row>
    <row r="131" spans="2:5" ht="15" customHeight="1">
      <c r="B131" s="77"/>
      <c r="C131" s="47" t="s">
        <v>39</v>
      </c>
      <c r="D131" s="46">
        <v>113</v>
      </c>
      <c r="E131" s="45">
        <v>0.11746361746361747</v>
      </c>
    </row>
    <row r="132" spans="2:5" ht="15" customHeight="1">
      <c r="B132" s="77"/>
      <c r="C132" s="47" t="s">
        <v>33</v>
      </c>
      <c r="D132" s="46">
        <v>14</v>
      </c>
      <c r="E132" s="45">
        <v>1.4553014553014554E-2</v>
      </c>
    </row>
    <row r="133" spans="2:5" ht="15" customHeight="1">
      <c r="B133" s="77"/>
      <c r="C133" s="47" t="s">
        <v>35</v>
      </c>
      <c r="D133" s="46">
        <v>25</v>
      </c>
      <c r="E133" s="45">
        <v>2.5987525987525989E-2</v>
      </c>
    </row>
    <row r="134" spans="2:5" ht="15" customHeight="1">
      <c r="B134" s="77"/>
      <c r="C134" s="47" t="s">
        <v>27</v>
      </c>
      <c r="D134" s="46">
        <v>2</v>
      </c>
      <c r="E134" s="45">
        <v>2.0790020790020791E-3</v>
      </c>
    </row>
    <row r="135" spans="2:5" ht="15" customHeight="1">
      <c r="B135" s="77"/>
      <c r="C135" s="47" t="s">
        <v>32</v>
      </c>
      <c r="D135" s="46">
        <v>12</v>
      </c>
      <c r="E135" s="45">
        <v>1.2474012474012475E-2</v>
      </c>
    </row>
    <row r="136" spans="2:5" ht="15" customHeight="1">
      <c r="B136" s="77"/>
      <c r="C136" s="47" t="s">
        <v>37</v>
      </c>
      <c r="D136" s="46">
        <v>13</v>
      </c>
      <c r="E136" s="45">
        <v>1.3513513513513514E-2</v>
      </c>
    </row>
    <row r="137" spans="2:5" ht="15" customHeight="1">
      <c r="B137" s="77"/>
      <c r="C137" s="47" t="s">
        <v>31</v>
      </c>
      <c r="D137" s="46">
        <v>10</v>
      </c>
      <c r="E137" s="45">
        <v>1.0395010395010396E-2</v>
      </c>
    </row>
    <row r="138" spans="2:5" ht="15" customHeight="1">
      <c r="B138" s="77"/>
      <c r="C138" s="47" t="s">
        <v>22</v>
      </c>
      <c r="D138" s="46">
        <v>1</v>
      </c>
      <c r="E138" s="45">
        <v>1.0395010395010396E-3</v>
      </c>
    </row>
    <row r="139" spans="2:5" ht="15" customHeight="1">
      <c r="B139" s="77"/>
      <c r="C139" s="47" t="s">
        <v>29</v>
      </c>
      <c r="D139" s="46">
        <v>9</v>
      </c>
      <c r="E139" s="45">
        <v>9.355509355509356E-3</v>
      </c>
    </row>
    <row r="140" spans="2:5" ht="15" customHeight="1">
      <c r="B140" s="77"/>
      <c r="C140" s="47" t="s">
        <v>38</v>
      </c>
      <c r="D140" s="46">
        <v>67</v>
      </c>
      <c r="E140" s="45">
        <v>6.964656964656965E-2</v>
      </c>
    </row>
    <row r="141" spans="2:5" ht="15" customHeight="1">
      <c r="B141" s="77"/>
      <c r="C141" s="47" t="s">
        <v>28</v>
      </c>
      <c r="D141" s="46">
        <v>6</v>
      </c>
      <c r="E141" s="45">
        <v>6.2370062370062374E-3</v>
      </c>
    </row>
    <row r="142" spans="2:5" ht="15" customHeight="1">
      <c r="B142" s="77"/>
      <c r="C142" s="47" t="s">
        <v>20</v>
      </c>
      <c r="D142" s="46">
        <v>2</v>
      </c>
      <c r="E142" s="45">
        <v>2.0790020790020791E-3</v>
      </c>
    </row>
    <row r="143" spans="2:5" ht="15" customHeight="1">
      <c r="B143" s="77"/>
      <c r="C143" s="47" t="s">
        <v>25</v>
      </c>
      <c r="D143" s="46">
        <v>1</v>
      </c>
      <c r="E143" s="45">
        <v>1.0395010395010396E-3</v>
      </c>
    </row>
    <row r="144" spans="2:5" ht="15" customHeight="1">
      <c r="B144" s="77"/>
      <c r="C144" s="47" t="s">
        <v>17</v>
      </c>
      <c r="D144" s="46">
        <v>2</v>
      </c>
      <c r="E144" s="45">
        <v>2.0790020790020791E-3</v>
      </c>
    </row>
    <row r="145" spans="2:5" ht="15" customHeight="1">
      <c r="B145" s="77"/>
      <c r="C145" s="47" t="s">
        <v>36</v>
      </c>
      <c r="D145" s="46">
        <v>17</v>
      </c>
      <c r="E145" s="45">
        <v>1.7671517671517672E-2</v>
      </c>
    </row>
    <row r="146" spans="2:5" ht="15" customHeight="1">
      <c r="B146" s="77"/>
      <c r="C146" s="47" t="s">
        <v>283</v>
      </c>
      <c r="D146" s="46">
        <v>1</v>
      </c>
      <c r="E146" s="45">
        <v>1.0395010395010396E-3</v>
      </c>
    </row>
    <row r="147" spans="2:5" ht="15" customHeight="1">
      <c r="B147" s="77"/>
      <c r="C147" s="47" t="s">
        <v>24</v>
      </c>
      <c r="D147" s="46">
        <v>3</v>
      </c>
      <c r="E147" s="45">
        <v>3.1185031185031187E-3</v>
      </c>
    </row>
    <row r="148" spans="2:5" ht="15" customHeight="1">
      <c r="B148" s="76"/>
      <c r="C148" s="44" t="s">
        <v>15</v>
      </c>
      <c r="D148" s="43">
        <v>331</v>
      </c>
      <c r="E148" s="42">
        <v>0.34407484407484407</v>
      </c>
    </row>
    <row r="149" spans="2:5" ht="15" customHeight="1">
      <c r="B149" s="75" t="s">
        <v>280</v>
      </c>
      <c r="C149" s="47" t="s">
        <v>39</v>
      </c>
      <c r="D149" s="46">
        <v>3</v>
      </c>
      <c r="E149" s="45">
        <v>3.1185031185031187E-3</v>
      </c>
    </row>
    <row r="150" spans="2:5" ht="15" customHeight="1">
      <c r="B150" s="77"/>
      <c r="C150" s="47" t="s">
        <v>31</v>
      </c>
      <c r="D150" s="46">
        <v>1</v>
      </c>
      <c r="E150" s="45">
        <v>1.0395010395010396E-3</v>
      </c>
    </row>
    <row r="151" spans="2:5" ht="15" customHeight="1">
      <c r="B151" s="77"/>
      <c r="C151" s="47" t="s">
        <v>22</v>
      </c>
      <c r="D151" s="46">
        <v>1</v>
      </c>
      <c r="E151" s="45">
        <v>1.0395010395010396E-3</v>
      </c>
    </row>
    <row r="152" spans="2:5" ht="15" customHeight="1">
      <c r="B152" s="77"/>
      <c r="C152" s="47" t="s">
        <v>38</v>
      </c>
      <c r="D152" s="46">
        <v>2</v>
      </c>
      <c r="E152" s="45">
        <v>2.0790020790020791E-3</v>
      </c>
    </row>
    <row r="153" spans="2:5" ht="15" customHeight="1">
      <c r="B153" s="76"/>
      <c r="C153" s="44" t="s">
        <v>15</v>
      </c>
      <c r="D153" s="43">
        <v>7</v>
      </c>
      <c r="E153" s="42">
        <v>7.2765072765072769E-3</v>
      </c>
    </row>
    <row r="154" spans="2:5" ht="15" customHeight="1">
      <c r="B154" s="75" t="s">
        <v>234</v>
      </c>
      <c r="C154" s="47" t="s">
        <v>19</v>
      </c>
      <c r="D154" s="46">
        <v>1</v>
      </c>
      <c r="E154" s="45">
        <v>1.0395010395010396E-3</v>
      </c>
    </row>
    <row r="155" spans="2:5" ht="15" customHeight="1">
      <c r="B155" s="77"/>
      <c r="C155" s="47" t="s">
        <v>30</v>
      </c>
      <c r="D155" s="46">
        <v>3</v>
      </c>
      <c r="E155" s="45">
        <v>3.1185031185031187E-3</v>
      </c>
    </row>
    <row r="156" spans="2:5" ht="15" customHeight="1">
      <c r="B156" s="77"/>
      <c r="C156" s="47" t="s">
        <v>26</v>
      </c>
      <c r="D156" s="46">
        <v>1</v>
      </c>
      <c r="E156" s="45">
        <v>1.0395010395010396E-3</v>
      </c>
    </row>
    <row r="157" spans="2:5" ht="15" customHeight="1">
      <c r="B157" s="77"/>
      <c r="C157" s="47" t="s">
        <v>34</v>
      </c>
      <c r="D157" s="46">
        <v>4</v>
      </c>
      <c r="E157" s="45">
        <v>4.1580041580041582E-3</v>
      </c>
    </row>
    <row r="158" spans="2:5" ht="15" customHeight="1">
      <c r="B158" s="77"/>
      <c r="C158" s="47" t="s">
        <v>23</v>
      </c>
      <c r="D158" s="46">
        <v>2</v>
      </c>
      <c r="E158" s="45">
        <v>2.0790020790020791E-3</v>
      </c>
    </row>
    <row r="159" spans="2:5" ht="15" customHeight="1">
      <c r="B159" s="77"/>
      <c r="C159" s="47" t="s">
        <v>39</v>
      </c>
      <c r="D159" s="46">
        <v>10</v>
      </c>
      <c r="E159" s="45">
        <v>1.0395010395010396E-2</v>
      </c>
    </row>
    <row r="160" spans="2:5" ht="15" customHeight="1">
      <c r="B160" s="77"/>
      <c r="C160" s="47" t="s">
        <v>33</v>
      </c>
      <c r="D160" s="46">
        <v>3</v>
      </c>
      <c r="E160" s="45">
        <v>3.1185031185031187E-3</v>
      </c>
    </row>
    <row r="161" spans="2:5" ht="15" customHeight="1">
      <c r="B161" s="77"/>
      <c r="C161" s="47" t="s">
        <v>35</v>
      </c>
      <c r="D161" s="46">
        <v>1</v>
      </c>
      <c r="E161" s="45">
        <v>1.0395010395010396E-3</v>
      </c>
    </row>
    <row r="162" spans="2:5" ht="15" customHeight="1">
      <c r="B162" s="77"/>
      <c r="C162" s="47" t="s">
        <v>37</v>
      </c>
      <c r="D162" s="46">
        <v>5</v>
      </c>
      <c r="E162" s="45">
        <v>5.1975051975051978E-3</v>
      </c>
    </row>
    <row r="163" spans="2:5" ht="15" customHeight="1">
      <c r="B163" s="77"/>
      <c r="C163" s="47" t="s">
        <v>31</v>
      </c>
      <c r="D163" s="46">
        <v>5</v>
      </c>
      <c r="E163" s="45">
        <v>5.1975051975051978E-3</v>
      </c>
    </row>
    <row r="164" spans="2:5" ht="15" customHeight="1">
      <c r="B164" s="77"/>
      <c r="C164" s="47" t="s">
        <v>22</v>
      </c>
      <c r="D164" s="46">
        <v>1</v>
      </c>
      <c r="E164" s="45">
        <v>1.0395010395010396E-3</v>
      </c>
    </row>
    <row r="165" spans="2:5" ht="15" customHeight="1">
      <c r="B165" s="77"/>
      <c r="C165" s="47" t="s">
        <v>29</v>
      </c>
      <c r="D165" s="46">
        <v>1</v>
      </c>
      <c r="E165" s="45">
        <v>1.0395010395010396E-3</v>
      </c>
    </row>
    <row r="166" spans="2:5" ht="15" customHeight="1">
      <c r="B166" s="77"/>
      <c r="C166" s="47" t="s">
        <v>38</v>
      </c>
      <c r="D166" s="46">
        <v>9</v>
      </c>
      <c r="E166" s="45">
        <v>9.355509355509356E-3</v>
      </c>
    </row>
    <row r="167" spans="2:5" ht="15" customHeight="1">
      <c r="B167" s="77"/>
      <c r="C167" s="47" t="s">
        <v>28</v>
      </c>
      <c r="D167" s="46">
        <v>1</v>
      </c>
      <c r="E167" s="45">
        <v>1.0395010395010396E-3</v>
      </c>
    </row>
    <row r="168" spans="2:5" ht="15" customHeight="1">
      <c r="B168" s="77"/>
      <c r="C168" s="47" t="s">
        <v>17</v>
      </c>
      <c r="D168" s="46">
        <v>1</v>
      </c>
      <c r="E168" s="45">
        <v>1.0395010395010396E-3</v>
      </c>
    </row>
    <row r="169" spans="2:5" ht="15" customHeight="1">
      <c r="B169" s="77"/>
      <c r="C169" s="47" t="s">
        <v>36</v>
      </c>
      <c r="D169" s="46">
        <v>5</v>
      </c>
      <c r="E169" s="45">
        <v>5.1975051975051978E-3</v>
      </c>
    </row>
    <row r="170" spans="2:5" ht="15" customHeight="1">
      <c r="B170" s="76"/>
      <c r="C170" s="44" t="s">
        <v>15</v>
      </c>
      <c r="D170" s="43">
        <v>53</v>
      </c>
      <c r="E170" s="42">
        <v>5.5093555093555097E-2</v>
      </c>
    </row>
    <row r="171" spans="2:5" ht="15" customHeight="1">
      <c r="B171" s="75" t="s">
        <v>233</v>
      </c>
      <c r="C171" s="47" t="s">
        <v>19</v>
      </c>
      <c r="D171" s="46">
        <v>1</v>
      </c>
      <c r="E171" s="45">
        <v>1.0395010395010396E-3</v>
      </c>
    </row>
    <row r="172" spans="2:5" ht="15" customHeight="1">
      <c r="B172" s="77"/>
      <c r="C172" s="47" t="s">
        <v>30</v>
      </c>
      <c r="D172" s="46">
        <v>6</v>
      </c>
      <c r="E172" s="45">
        <v>6.2370062370062374E-3</v>
      </c>
    </row>
    <row r="173" spans="2:5" ht="15" customHeight="1">
      <c r="B173" s="77"/>
      <c r="C173" s="47" t="s">
        <v>26</v>
      </c>
      <c r="D173" s="46">
        <v>2</v>
      </c>
      <c r="E173" s="45">
        <v>2.0790020790020791E-3</v>
      </c>
    </row>
    <row r="174" spans="2:5" ht="15" customHeight="1">
      <c r="B174" s="77"/>
      <c r="C174" s="47" t="s">
        <v>34</v>
      </c>
      <c r="D174" s="46">
        <v>14</v>
      </c>
      <c r="E174" s="45">
        <v>1.4553014553014554E-2</v>
      </c>
    </row>
    <row r="175" spans="2:5" ht="15" customHeight="1">
      <c r="B175" s="77"/>
      <c r="C175" s="47" t="s">
        <v>39</v>
      </c>
      <c r="D175" s="46">
        <v>31</v>
      </c>
      <c r="E175" s="45">
        <v>3.2224532224532226E-2</v>
      </c>
    </row>
    <row r="176" spans="2:5" ht="15" customHeight="1">
      <c r="B176" s="77"/>
      <c r="C176" s="47" t="s">
        <v>33</v>
      </c>
      <c r="D176" s="46">
        <v>5</v>
      </c>
      <c r="E176" s="45">
        <v>5.1975051975051978E-3</v>
      </c>
    </row>
    <row r="177" spans="2:5" ht="15" customHeight="1">
      <c r="B177" s="77"/>
      <c r="C177" s="47" t="s">
        <v>35</v>
      </c>
      <c r="D177" s="46">
        <v>7</v>
      </c>
      <c r="E177" s="45">
        <v>7.2765072765072769E-3</v>
      </c>
    </row>
    <row r="178" spans="2:5" ht="15" customHeight="1">
      <c r="B178" s="77"/>
      <c r="C178" s="47" t="s">
        <v>27</v>
      </c>
      <c r="D178" s="46">
        <v>1</v>
      </c>
      <c r="E178" s="45">
        <v>1.0395010395010396E-3</v>
      </c>
    </row>
    <row r="179" spans="2:5" ht="15" customHeight="1">
      <c r="B179" s="77"/>
      <c r="C179" s="47" t="s">
        <v>32</v>
      </c>
      <c r="D179" s="46">
        <v>4</v>
      </c>
      <c r="E179" s="45">
        <v>4.1580041580041582E-3</v>
      </c>
    </row>
    <row r="180" spans="2:5" ht="15" customHeight="1">
      <c r="B180" s="77"/>
      <c r="C180" s="47" t="s">
        <v>37</v>
      </c>
      <c r="D180" s="46">
        <v>11</v>
      </c>
      <c r="E180" s="45">
        <v>1.1434511434511435E-2</v>
      </c>
    </row>
    <row r="181" spans="2:5" ht="15" customHeight="1">
      <c r="B181" s="77"/>
      <c r="C181" s="47" t="s">
        <v>31</v>
      </c>
      <c r="D181" s="46">
        <v>6</v>
      </c>
      <c r="E181" s="45">
        <v>6.2370062370062374E-3</v>
      </c>
    </row>
    <row r="182" spans="2:5" ht="15" customHeight="1">
      <c r="B182" s="77"/>
      <c r="C182" s="47" t="s">
        <v>29</v>
      </c>
      <c r="D182" s="46">
        <v>4</v>
      </c>
      <c r="E182" s="45">
        <v>4.1580041580041582E-3</v>
      </c>
    </row>
    <row r="183" spans="2:5" ht="15" customHeight="1">
      <c r="B183" s="77"/>
      <c r="C183" s="47" t="s">
        <v>38</v>
      </c>
      <c r="D183" s="46">
        <v>18</v>
      </c>
      <c r="E183" s="45">
        <v>1.8711018711018712E-2</v>
      </c>
    </row>
    <row r="184" spans="2:5" ht="15" customHeight="1">
      <c r="B184" s="77"/>
      <c r="C184" s="47" t="s">
        <v>21</v>
      </c>
      <c r="D184" s="46">
        <v>1</v>
      </c>
      <c r="E184" s="45">
        <v>1.0395010395010396E-3</v>
      </c>
    </row>
    <row r="185" spans="2:5" ht="15" customHeight="1">
      <c r="B185" s="77"/>
      <c r="C185" s="47" t="s">
        <v>28</v>
      </c>
      <c r="D185" s="46">
        <v>3</v>
      </c>
      <c r="E185" s="45">
        <v>3.1185031185031187E-3</v>
      </c>
    </row>
    <row r="186" spans="2:5" ht="15" customHeight="1">
      <c r="B186" s="77"/>
      <c r="C186" s="47" t="s">
        <v>16</v>
      </c>
      <c r="D186" s="46">
        <v>1</v>
      </c>
      <c r="E186" s="45">
        <v>1.0395010395010396E-3</v>
      </c>
    </row>
    <row r="187" spans="2:5" ht="15" customHeight="1">
      <c r="B187" s="77"/>
      <c r="C187" s="47" t="s">
        <v>20</v>
      </c>
      <c r="D187" s="46">
        <v>1</v>
      </c>
      <c r="E187" s="45">
        <v>1.0395010395010396E-3</v>
      </c>
    </row>
    <row r="188" spans="2:5" ht="15" customHeight="1">
      <c r="B188" s="77"/>
      <c r="C188" s="47" t="s">
        <v>36</v>
      </c>
      <c r="D188" s="46">
        <v>16</v>
      </c>
      <c r="E188" s="45">
        <v>1.6632016632016633E-2</v>
      </c>
    </row>
    <row r="189" spans="2:5" ht="15" customHeight="1">
      <c r="B189" s="76"/>
      <c r="C189" s="44" t="s">
        <v>15</v>
      </c>
      <c r="D189" s="43">
        <v>132</v>
      </c>
      <c r="E189" s="42">
        <v>0.13721413721413722</v>
      </c>
    </row>
    <row r="190" spans="2:5" ht="15" customHeight="1">
      <c r="B190" s="75" t="s">
        <v>232</v>
      </c>
      <c r="C190" s="47" t="s">
        <v>29</v>
      </c>
      <c r="D190" s="46">
        <v>1</v>
      </c>
      <c r="E190" s="45">
        <v>1.0395010395010396E-3</v>
      </c>
    </row>
    <row r="191" spans="2:5" ht="15" customHeight="1">
      <c r="B191" s="77"/>
      <c r="C191" s="47" t="s">
        <v>36</v>
      </c>
      <c r="D191" s="46">
        <v>2</v>
      </c>
      <c r="E191" s="45">
        <v>2.0790020790020791E-3</v>
      </c>
    </row>
    <row r="192" spans="2:5" ht="15" customHeight="1">
      <c r="B192" s="76"/>
      <c r="C192" s="44" t="s">
        <v>15</v>
      </c>
      <c r="D192" s="43">
        <v>3</v>
      </c>
      <c r="E192" s="42">
        <v>3.1185031185031187E-3</v>
      </c>
    </row>
    <row r="193" spans="2:5" ht="15" customHeight="1">
      <c r="B193" s="75" t="s">
        <v>231</v>
      </c>
      <c r="C193" s="47" t="s">
        <v>34</v>
      </c>
      <c r="D193" s="46">
        <v>2</v>
      </c>
      <c r="E193" s="45">
        <v>2.0790020790020791E-3</v>
      </c>
    </row>
    <row r="194" spans="2:5" ht="15" customHeight="1">
      <c r="B194" s="77"/>
      <c r="C194" s="47" t="s">
        <v>39</v>
      </c>
      <c r="D194" s="46">
        <v>1</v>
      </c>
      <c r="E194" s="45">
        <v>1.0395010395010396E-3</v>
      </c>
    </row>
    <row r="195" spans="2:5" ht="15" customHeight="1">
      <c r="B195" s="76"/>
      <c r="C195" s="44" t="s">
        <v>15</v>
      </c>
      <c r="D195" s="43">
        <v>3</v>
      </c>
      <c r="E195" s="42">
        <v>3.1185031185031187E-3</v>
      </c>
    </row>
    <row r="196" spans="2:5" ht="15" customHeight="1">
      <c r="B196" s="75" t="s">
        <v>230</v>
      </c>
      <c r="C196" s="47" t="s">
        <v>34</v>
      </c>
      <c r="D196" s="46">
        <v>2</v>
      </c>
      <c r="E196" s="45">
        <v>2.0790020790020791E-3</v>
      </c>
    </row>
    <row r="197" spans="2:5" ht="15" customHeight="1">
      <c r="B197" s="77"/>
      <c r="C197" s="47" t="s">
        <v>39</v>
      </c>
      <c r="D197" s="46">
        <v>4</v>
      </c>
      <c r="E197" s="45">
        <v>4.1580041580041582E-3</v>
      </c>
    </row>
    <row r="198" spans="2:5" ht="15" customHeight="1">
      <c r="B198" s="77"/>
      <c r="C198" s="47" t="s">
        <v>33</v>
      </c>
      <c r="D198" s="46">
        <v>2</v>
      </c>
      <c r="E198" s="45">
        <v>2.0790020790020791E-3</v>
      </c>
    </row>
    <row r="199" spans="2:5" ht="15" customHeight="1">
      <c r="B199" s="77"/>
      <c r="C199" s="47" t="s">
        <v>35</v>
      </c>
      <c r="D199" s="46">
        <v>1</v>
      </c>
      <c r="E199" s="45">
        <v>1.0395010395010396E-3</v>
      </c>
    </row>
    <row r="200" spans="2:5" ht="15" customHeight="1">
      <c r="B200" s="77"/>
      <c r="C200" s="47" t="s">
        <v>32</v>
      </c>
      <c r="D200" s="46">
        <v>1</v>
      </c>
      <c r="E200" s="45">
        <v>1.0395010395010396E-3</v>
      </c>
    </row>
    <row r="201" spans="2:5" ht="15" customHeight="1">
      <c r="B201" s="77"/>
      <c r="C201" s="47" t="s">
        <v>37</v>
      </c>
      <c r="D201" s="46">
        <v>1</v>
      </c>
      <c r="E201" s="45">
        <v>1.0395010395010396E-3</v>
      </c>
    </row>
    <row r="202" spans="2:5" ht="15" customHeight="1">
      <c r="B202" s="77"/>
      <c r="C202" s="47" t="s">
        <v>31</v>
      </c>
      <c r="D202" s="46">
        <v>1</v>
      </c>
      <c r="E202" s="45">
        <v>1.0395010395010396E-3</v>
      </c>
    </row>
    <row r="203" spans="2:5" ht="15" customHeight="1">
      <c r="B203" s="77"/>
      <c r="C203" s="47" t="s">
        <v>29</v>
      </c>
      <c r="D203" s="46">
        <v>2</v>
      </c>
      <c r="E203" s="45">
        <v>2.0790020790020791E-3</v>
      </c>
    </row>
    <row r="204" spans="2:5" ht="15" customHeight="1">
      <c r="B204" s="77"/>
      <c r="C204" s="47" t="s">
        <v>38</v>
      </c>
      <c r="D204" s="46">
        <v>2</v>
      </c>
      <c r="E204" s="45">
        <v>2.0790020790020791E-3</v>
      </c>
    </row>
    <row r="205" spans="2:5" ht="15" customHeight="1">
      <c r="B205" s="77"/>
      <c r="C205" s="47" t="s">
        <v>21</v>
      </c>
      <c r="D205" s="46">
        <v>1</v>
      </c>
      <c r="E205" s="45">
        <v>1.0395010395010396E-3</v>
      </c>
    </row>
    <row r="206" spans="2:5" ht="15" customHeight="1">
      <c r="B206" s="77"/>
      <c r="C206" s="47" t="s">
        <v>36</v>
      </c>
      <c r="D206" s="46">
        <v>4</v>
      </c>
      <c r="E206" s="45">
        <v>4.1580041580041582E-3</v>
      </c>
    </row>
    <row r="207" spans="2:5" ht="15" customHeight="1">
      <c r="B207" s="77"/>
      <c r="C207" s="47" t="s">
        <v>24</v>
      </c>
      <c r="D207" s="46">
        <v>1</v>
      </c>
      <c r="E207" s="45">
        <v>1.0395010395010396E-3</v>
      </c>
    </row>
    <row r="208" spans="2:5" ht="15" customHeight="1">
      <c r="B208" s="76"/>
      <c r="C208" s="44" t="s">
        <v>15</v>
      </c>
      <c r="D208" s="43">
        <v>22</v>
      </c>
      <c r="E208" s="42">
        <v>2.286902286902287E-2</v>
      </c>
    </row>
    <row r="209" spans="2:6" ht="15" customHeight="1">
      <c r="B209" s="75" t="s">
        <v>279</v>
      </c>
      <c r="C209" s="47" t="s">
        <v>34</v>
      </c>
      <c r="D209" s="46">
        <v>1</v>
      </c>
      <c r="E209" s="45">
        <v>1.0395010395010396E-3</v>
      </c>
    </row>
    <row r="210" spans="2:6" ht="15" customHeight="1">
      <c r="B210" s="77"/>
      <c r="C210" s="47" t="s">
        <v>35</v>
      </c>
      <c r="D210" s="46">
        <v>1</v>
      </c>
      <c r="E210" s="45">
        <v>1.0395010395010396E-3</v>
      </c>
    </row>
    <row r="211" spans="2:6" ht="15" customHeight="1">
      <c r="B211" s="77"/>
      <c r="C211" s="47" t="s">
        <v>37</v>
      </c>
      <c r="D211" s="46">
        <v>2</v>
      </c>
      <c r="E211" s="45">
        <v>2.0790020790020791E-3</v>
      </c>
    </row>
    <row r="212" spans="2:6" ht="15" customHeight="1">
      <c r="B212" s="77"/>
      <c r="C212" s="47" t="s">
        <v>31</v>
      </c>
      <c r="D212" s="46">
        <v>1</v>
      </c>
      <c r="E212" s="45">
        <v>1.0395010395010396E-3</v>
      </c>
    </row>
    <row r="213" spans="2:6" ht="15" customHeight="1">
      <c r="B213" s="77"/>
      <c r="C213" s="47" t="s">
        <v>22</v>
      </c>
      <c r="D213" s="46">
        <v>1</v>
      </c>
      <c r="E213" s="45">
        <v>1.0395010395010396E-3</v>
      </c>
    </row>
    <row r="214" spans="2:6" ht="15" customHeight="1">
      <c r="B214" s="76"/>
      <c r="C214" s="44" t="s">
        <v>15</v>
      </c>
      <c r="D214" s="43">
        <v>6</v>
      </c>
      <c r="E214" s="42">
        <v>6.2370062370062374E-3</v>
      </c>
    </row>
    <row r="215" spans="2:6" ht="15" customHeight="1">
      <c r="B215" s="75" t="s">
        <v>278</v>
      </c>
      <c r="C215" s="47" t="s">
        <v>38</v>
      </c>
      <c r="D215" s="46">
        <v>1</v>
      </c>
      <c r="E215" s="45">
        <v>1.0395010395010396E-3</v>
      </c>
    </row>
    <row r="216" spans="2:6" ht="15" customHeight="1">
      <c r="B216" s="76"/>
      <c r="C216" s="44" t="s">
        <v>15</v>
      </c>
      <c r="D216" s="43">
        <v>1</v>
      </c>
      <c r="E216" s="42">
        <v>1.0395010395010396E-3</v>
      </c>
    </row>
    <row r="217" spans="2:6" ht="15" customHeight="1">
      <c r="B217" s="75" t="s">
        <v>390</v>
      </c>
      <c r="C217" s="47" t="s">
        <v>37</v>
      </c>
      <c r="D217" s="46">
        <v>1</v>
      </c>
      <c r="E217" s="45">
        <v>1.0395010395010396E-3</v>
      </c>
    </row>
    <row r="218" spans="2:6" ht="15" customHeight="1">
      <c r="B218" s="76"/>
      <c r="C218" s="44" t="s">
        <v>15</v>
      </c>
      <c r="D218" s="43">
        <v>1</v>
      </c>
      <c r="E218" s="42">
        <v>1.0395010395010396E-3</v>
      </c>
    </row>
    <row r="219" spans="2:6" ht="15" customHeight="1">
      <c r="B219" s="73" t="s">
        <v>15</v>
      </c>
      <c r="C219" s="74"/>
      <c r="D219" s="41">
        <v>962</v>
      </c>
      <c r="E219" s="40">
        <v>1</v>
      </c>
    </row>
    <row r="221" spans="2:6" ht="15" customHeight="1">
      <c r="B221" s="17"/>
      <c r="C221" s="19" t="s">
        <v>395</v>
      </c>
      <c r="D221"/>
      <c r="E221"/>
      <c r="F221" s="17"/>
    </row>
    <row r="222" spans="2:6" ht="15" customHeight="1">
      <c r="B222" s="17"/>
      <c r="C222" s="21" t="s">
        <v>14</v>
      </c>
      <c r="D222"/>
      <c r="E222"/>
      <c r="F222" s="17"/>
    </row>
    <row r="223" spans="2:6" ht="15" customHeight="1">
      <c r="B223" s="17"/>
      <c r="C223" s="20" t="s">
        <v>13</v>
      </c>
      <c r="D223"/>
      <c r="E223"/>
      <c r="F223" s="17"/>
    </row>
    <row r="224" spans="2:6" ht="15" customHeight="1">
      <c r="B224" s="17"/>
      <c r="C224" s="19" t="s">
        <v>12</v>
      </c>
      <c r="D224"/>
      <c r="E224"/>
      <c r="F224" s="17"/>
    </row>
    <row r="225" spans="2:6" ht="15" customHeight="1">
      <c r="B225" s="17"/>
      <c r="C225" s="19" t="s">
        <v>396</v>
      </c>
      <c r="D225"/>
      <c r="E225"/>
      <c r="F225" s="17"/>
    </row>
  </sheetData>
  <mergeCells count="23">
    <mergeCell ref="B217:B218"/>
    <mergeCell ref="B219:C219"/>
    <mergeCell ref="B7:E8"/>
    <mergeCell ref="B190:B192"/>
    <mergeCell ref="B193:B195"/>
    <mergeCell ref="B196:B208"/>
    <mergeCell ref="B209:B214"/>
    <mergeCell ref="B215:B216"/>
    <mergeCell ref="B114:B126"/>
    <mergeCell ref="B127:B148"/>
    <mergeCell ref="B149:B153"/>
    <mergeCell ref="B154:B170"/>
    <mergeCell ref="B171:B189"/>
    <mergeCell ref="B51:B60"/>
    <mergeCell ref="B61:B74"/>
    <mergeCell ref="B75:B93"/>
    <mergeCell ref="B94:B100"/>
    <mergeCell ref="B101:B113"/>
    <mergeCell ref="B10:B18"/>
    <mergeCell ref="B19:B21"/>
    <mergeCell ref="B22:B29"/>
    <mergeCell ref="B30:B39"/>
    <mergeCell ref="B40:B50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1:E20"/>
  <sheetViews>
    <sheetView showGridLines="0" zoomScaleNormal="100" zoomScaleSheetLayoutView="115" workbookViewId="0">
      <selection activeCell="E13" sqref="E13"/>
    </sheetView>
  </sheetViews>
  <sheetFormatPr baseColWidth="10" defaultColWidth="11.42578125" defaultRowHeight="15"/>
  <cols>
    <col min="1" max="1" width="9.28515625" style="17" customWidth="1"/>
    <col min="2" max="2" width="21.7109375" style="17" customWidth="1"/>
    <col min="3" max="3" width="17.7109375" style="18" customWidth="1"/>
    <col min="4" max="4" width="17.7109375" style="17" customWidth="1"/>
    <col min="5" max="5" width="9.28515625" style="17" customWidth="1"/>
    <col min="6" max="6" width="5.7109375" style="17" customWidth="1"/>
    <col min="7" max="16384" width="11.42578125" style="17"/>
  </cols>
  <sheetData>
    <row r="1" spans="1:5" s="29" customFormat="1" ht="15" customHeight="1">
      <c r="C1" s="35"/>
    </row>
    <row r="2" spans="1:5" s="29" customFormat="1" ht="15" customHeight="1">
      <c r="C2" s="35"/>
    </row>
    <row r="3" spans="1:5" s="29" customFormat="1" ht="15" customHeight="1">
      <c r="C3" s="35"/>
    </row>
    <row r="4" spans="1:5" s="29" customFormat="1" ht="30" customHeight="1">
      <c r="C4" s="35"/>
      <c r="D4" s="34"/>
    </row>
    <row r="5" spans="1:5" s="29" customFormat="1" ht="15" customHeight="1">
      <c r="C5" s="35"/>
      <c r="D5" s="34"/>
    </row>
    <row r="6" spans="1:5" s="29" customFormat="1" ht="15" customHeight="1">
      <c r="C6" s="35"/>
      <c r="D6" s="34"/>
    </row>
    <row r="7" spans="1:5" s="29" customFormat="1" ht="15" customHeight="1">
      <c r="B7" s="72" t="s">
        <v>391</v>
      </c>
      <c r="C7" s="72"/>
      <c r="D7" s="72"/>
    </row>
    <row r="8" spans="1:5" s="29" customFormat="1" ht="15" customHeight="1">
      <c r="B8" s="72"/>
      <c r="C8" s="72"/>
      <c r="D8" s="72"/>
    </row>
    <row r="9" spans="1:5" s="29" customFormat="1" ht="33" customHeight="1">
      <c r="B9" s="72"/>
      <c r="C9" s="72"/>
      <c r="D9" s="72"/>
    </row>
    <row r="10" spans="1:5" s="29" customFormat="1" ht="4.5" customHeight="1">
      <c r="B10" s="33"/>
      <c r="C10" s="33"/>
      <c r="D10" s="33"/>
    </row>
    <row r="11" spans="1:5" s="29" customFormat="1" ht="33" customHeight="1">
      <c r="B11" s="32" t="s">
        <v>253</v>
      </c>
      <c r="C11" s="31" t="s">
        <v>41</v>
      </c>
      <c r="D11" s="30" t="s">
        <v>40</v>
      </c>
    </row>
    <row r="12" spans="1:5">
      <c r="B12" s="27" t="s">
        <v>252</v>
      </c>
      <c r="C12" s="26">
        <v>580</v>
      </c>
      <c r="D12" s="25">
        <v>0.60291060291060294</v>
      </c>
    </row>
    <row r="13" spans="1:5">
      <c r="B13" s="27" t="s">
        <v>251</v>
      </c>
      <c r="C13" s="26">
        <v>382</v>
      </c>
      <c r="D13" s="25">
        <v>0.39708939708939711</v>
      </c>
    </row>
    <row r="14" spans="1:5">
      <c r="B14" s="24" t="s">
        <v>250</v>
      </c>
      <c r="C14" s="23">
        <v>962</v>
      </c>
      <c r="D14" s="22">
        <v>1</v>
      </c>
    </row>
    <row r="15" spans="1:5">
      <c r="A15" s="28"/>
      <c r="B15" s="28"/>
      <c r="C15" s="60"/>
      <c r="D15" s="28"/>
      <c r="E15" s="28"/>
    </row>
    <row r="16" spans="1:5">
      <c r="B16" s="19" t="s">
        <v>395</v>
      </c>
      <c r="C16"/>
      <c r="D16"/>
    </row>
    <row r="17" spans="2:4">
      <c r="B17" s="21" t="s">
        <v>14</v>
      </c>
      <c r="C17"/>
      <c r="D17"/>
    </row>
    <row r="18" spans="2:4">
      <c r="B18" s="20" t="s">
        <v>13</v>
      </c>
      <c r="C18"/>
      <c r="D18"/>
    </row>
    <row r="19" spans="2:4">
      <c r="B19" s="19" t="s">
        <v>12</v>
      </c>
      <c r="C19"/>
      <c r="D19"/>
    </row>
    <row r="20" spans="2:4">
      <c r="B20" s="19" t="s">
        <v>396</v>
      </c>
      <c r="C20"/>
      <c r="D20"/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orientation="portrait" r:id="rId1"/>
  <headerFooter>
    <oddFooter>&amp;C&amp;P de &amp;N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F381"/>
  <sheetViews>
    <sheetView zoomScale="90" zoomScaleNormal="90" zoomScaleSheetLayoutView="100" workbookViewId="0">
      <selection activeCell="D9" sqref="D9"/>
    </sheetView>
  </sheetViews>
  <sheetFormatPr baseColWidth="10" defaultColWidth="35" defaultRowHeight="15" customHeight="1"/>
  <cols>
    <col min="1" max="1" width="1" style="36" customWidth="1"/>
    <col min="2" max="2" width="22.85546875" style="37" customWidth="1"/>
    <col min="3" max="3" width="31.42578125" style="37" customWidth="1"/>
    <col min="4" max="4" width="14.28515625" style="37" customWidth="1"/>
    <col min="5" max="5" width="16.85546875" style="37" customWidth="1"/>
    <col min="6" max="16384" width="35" style="36"/>
  </cols>
  <sheetData>
    <row r="1" spans="1:5" s="55" customFormat="1" ht="12" customHeight="1">
      <c r="B1" s="59"/>
      <c r="C1" s="58"/>
      <c r="D1" s="58"/>
      <c r="E1" s="58"/>
    </row>
    <row r="2" spans="1:5" s="55" customFormat="1" ht="15" customHeight="1">
      <c r="C2" s="57"/>
    </row>
    <row r="3" spans="1:5" s="55" customFormat="1" ht="15" customHeight="1">
      <c r="C3" s="57"/>
    </row>
    <row r="4" spans="1:5" s="55" customFormat="1" ht="30" customHeight="1">
      <c r="C4" s="57"/>
      <c r="D4" s="56"/>
    </row>
    <row r="5" spans="1:5" s="55" customFormat="1" ht="15" customHeight="1">
      <c r="C5" s="57"/>
      <c r="D5" s="56"/>
    </row>
    <row r="6" spans="1:5" s="52" customFormat="1" ht="24" customHeight="1">
      <c r="B6" s="54"/>
      <c r="C6" s="48"/>
      <c r="D6" s="48"/>
      <c r="E6" s="48"/>
    </row>
    <row r="7" spans="1:5" s="52" customFormat="1" ht="26.25" customHeight="1">
      <c r="A7" s="53"/>
      <c r="B7" s="78"/>
      <c r="C7" s="78"/>
      <c r="D7" s="78"/>
      <c r="E7" s="78"/>
    </row>
    <row r="8" spans="1:5" s="52" customFormat="1" ht="33" customHeight="1">
      <c r="A8" s="53"/>
      <c r="B8" s="78"/>
      <c r="C8" s="78"/>
      <c r="D8" s="78"/>
      <c r="E8" s="78"/>
    </row>
    <row r="9" spans="1:5" s="29" customFormat="1" ht="40.5" customHeight="1">
      <c r="B9" s="49" t="s">
        <v>42</v>
      </c>
      <c r="C9" s="51" t="s">
        <v>253</v>
      </c>
      <c r="D9" s="50" t="s">
        <v>41</v>
      </c>
      <c r="E9" s="49" t="s">
        <v>40</v>
      </c>
    </row>
    <row r="10" spans="1:5" ht="15" customHeight="1">
      <c r="B10" s="75" t="s">
        <v>19</v>
      </c>
      <c r="C10" s="47" t="s">
        <v>255</v>
      </c>
      <c r="D10" s="46">
        <v>6</v>
      </c>
      <c r="E10" s="45">
        <v>6.2370062370062374E-3</v>
      </c>
    </row>
    <row r="11" spans="1:5" ht="15" customHeight="1">
      <c r="B11" s="76"/>
      <c r="C11" s="44" t="s">
        <v>15</v>
      </c>
      <c r="D11" s="43">
        <v>6</v>
      </c>
      <c r="E11" s="42">
        <v>6.2370062370062374E-3</v>
      </c>
    </row>
    <row r="12" spans="1:5" ht="15" customHeight="1">
      <c r="B12" s="75" t="s">
        <v>18</v>
      </c>
      <c r="C12" s="47" t="s">
        <v>255</v>
      </c>
      <c r="D12" s="46">
        <v>1</v>
      </c>
      <c r="E12" s="45">
        <v>1.0395010395010396E-3</v>
      </c>
    </row>
    <row r="13" spans="1:5" ht="15" customHeight="1">
      <c r="B13" s="76"/>
      <c r="C13" s="44" t="s">
        <v>15</v>
      </c>
      <c r="D13" s="43">
        <v>1</v>
      </c>
      <c r="E13" s="42">
        <v>1.0395010395010396E-3</v>
      </c>
    </row>
    <row r="14" spans="1:5" ht="15" customHeight="1">
      <c r="B14" s="75" t="s">
        <v>30</v>
      </c>
      <c r="C14" s="47" t="s">
        <v>255</v>
      </c>
      <c r="D14" s="46">
        <v>19</v>
      </c>
      <c r="E14" s="45">
        <v>1.9750519750519752E-2</v>
      </c>
    </row>
    <row r="15" spans="1:5" ht="15" customHeight="1">
      <c r="B15" s="77"/>
      <c r="C15" s="47" t="s">
        <v>254</v>
      </c>
      <c r="D15" s="46">
        <v>14</v>
      </c>
      <c r="E15" s="45">
        <v>1.4553014553014554E-2</v>
      </c>
    </row>
    <row r="16" spans="1:5" ht="15" customHeight="1">
      <c r="B16" s="76"/>
      <c r="C16" s="44" t="s">
        <v>15</v>
      </c>
      <c r="D16" s="43">
        <v>33</v>
      </c>
      <c r="E16" s="42">
        <v>3.4303534303534305E-2</v>
      </c>
    </row>
    <row r="17" spans="2:5" ht="15" customHeight="1">
      <c r="B17" s="75" t="s">
        <v>26</v>
      </c>
      <c r="C17" s="47" t="s">
        <v>255</v>
      </c>
      <c r="D17" s="46">
        <v>3</v>
      </c>
      <c r="E17" s="45">
        <v>3.1185031185031187E-3</v>
      </c>
    </row>
    <row r="18" spans="2:5" ht="15" customHeight="1">
      <c r="B18" s="77"/>
      <c r="C18" s="47" t="s">
        <v>254</v>
      </c>
      <c r="D18" s="46">
        <v>2</v>
      </c>
      <c r="E18" s="45">
        <v>2.0790020790020791E-3</v>
      </c>
    </row>
    <row r="19" spans="2:5" ht="15" customHeight="1">
      <c r="B19" s="76"/>
      <c r="C19" s="44" t="s">
        <v>15</v>
      </c>
      <c r="D19" s="43">
        <v>5</v>
      </c>
      <c r="E19" s="42">
        <v>5.1975051975051978E-3</v>
      </c>
    </row>
    <row r="20" spans="2:5" ht="15" customHeight="1">
      <c r="B20" s="75" t="s">
        <v>34</v>
      </c>
      <c r="C20" s="47" t="s">
        <v>255</v>
      </c>
      <c r="D20" s="46">
        <v>29</v>
      </c>
      <c r="E20" s="45">
        <v>3.0145530145530147E-2</v>
      </c>
    </row>
    <row r="21" spans="2:5" ht="15" customHeight="1">
      <c r="B21" s="77"/>
      <c r="C21" s="47" t="s">
        <v>254</v>
      </c>
      <c r="D21" s="46">
        <v>22</v>
      </c>
      <c r="E21" s="45">
        <v>2.286902286902287E-2</v>
      </c>
    </row>
    <row r="22" spans="2:5" ht="15" customHeight="1">
      <c r="B22" s="76"/>
      <c r="C22" s="44" t="s">
        <v>15</v>
      </c>
      <c r="D22" s="43">
        <v>51</v>
      </c>
      <c r="E22" s="42">
        <v>5.3014553014553017E-2</v>
      </c>
    </row>
    <row r="23" spans="2:5" ht="15" customHeight="1">
      <c r="B23" s="75" t="s">
        <v>23</v>
      </c>
      <c r="C23" s="47" t="s">
        <v>255</v>
      </c>
      <c r="D23" s="46">
        <v>4</v>
      </c>
      <c r="E23" s="45">
        <v>4.1580041580041582E-3</v>
      </c>
    </row>
    <row r="24" spans="2:5" ht="15" customHeight="1">
      <c r="B24" s="77"/>
      <c r="C24" s="47" t="s">
        <v>254</v>
      </c>
      <c r="D24" s="46">
        <v>2</v>
      </c>
      <c r="E24" s="45">
        <v>2.0790020790020791E-3</v>
      </c>
    </row>
    <row r="25" spans="2:5" ht="15" customHeight="1">
      <c r="B25" s="76"/>
      <c r="C25" s="44" t="s">
        <v>15</v>
      </c>
      <c r="D25" s="43">
        <v>6</v>
      </c>
      <c r="E25" s="42">
        <v>6.2370062370062374E-3</v>
      </c>
    </row>
    <row r="26" spans="2:5" ht="15" customHeight="1">
      <c r="B26" s="75" t="s">
        <v>39</v>
      </c>
      <c r="C26" s="47" t="s">
        <v>255</v>
      </c>
      <c r="D26" s="46">
        <v>157</v>
      </c>
      <c r="E26" s="45">
        <v>0.16320166320166321</v>
      </c>
    </row>
    <row r="27" spans="2:5" ht="15" customHeight="1">
      <c r="B27" s="77"/>
      <c r="C27" s="47" t="s">
        <v>254</v>
      </c>
      <c r="D27" s="46">
        <v>84</v>
      </c>
      <c r="E27" s="45">
        <v>8.7318087318087323E-2</v>
      </c>
    </row>
    <row r="28" spans="2:5" ht="15" customHeight="1">
      <c r="B28" s="76"/>
      <c r="C28" s="44" t="s">
        <v>15</v>
      </c>
      <c r="D28" s="43">
        <v>241</v>
      </c>
      <c r="E28" s="42">
        <v>0.25051975051975051</v>
      </c>
    </row>
    <row r="29" spans="2:5" ht="15" customHeight="1">
      <c r="B29" s="75" t="s">
        <v>33</v>
      </c>
      <c r="C29" s="47" t="s">
        <v>255</v>
      </c>
      <c r="D29" s="46">
        <v>32</v>
      </c>
      <c r="E29" s="45">
        <v>3.3264033264033266E-2</v>
      </c>
    </row>
    <row r="30" spans="2:5" ht="15" customHeight="1">
      <c r="B30" s="77"/>
      <c r="C30" s="47" t="s">
        <v>254</v>
      </c>
      <c r="D30" s="46">
        <v>21</v>
      </c>
      <c r="E30" s="45">
        <v>2.1829521829521831E-2</v>
      </c>
    </row>
    <row r="31" spans="2:5" ht="15" customHeight="1">
      <c r="B31" s="76"/>
      <c r="C31" s="44" t="s">
        <v>15</v>
      </c>
      <c r="D31" s="43">
        <v>53</v>
      </c>
      <c r="E31" s="42">
        <v>5.5093555093555097E-2</v>
      </c>
    </row>
    <row r="32" spans="2:5" ht="15" customHeight="1">
      <c r="B32" s="75" t="s">
        <v>35</v>
      </c>
      <c r="C32" s="47" t="s">
        <v>255</v>
      </c>
      <c r="D32" s="46">
        <v>38</v>
      </c>
      <c r="E32" s="45">
        <v>3.9501039501039503E-2</v>
      </c>
    </row>
    <row r="33" spans="2:5" ht="15" customHeight="1">
      <c r="B33" s="77"/>
      <c r="C33" s="47" t="s">
        <v>254</v>
      </c>
      <c r="D33" s="46">
        <v>34</v>
      </c>
      <c r="E33" s="45">
        <v>3.5343035343035345E-2</v>
      </c>
    </row>
    <row r="34" spans="2:5" ht="15" customHeight="1">
      <c r="B34" s="76"/>
      <c r="C34" s="44" t="s">
        <v>15</v>
      </c>
      <c r="D34" s="43">
        <v>72</v>
      </c>
      <c r="E34" s="42">
        <v>7.4844074844074848E-2</v>
      </c>
    </row>
    <row r="35" spans="2:5" ht="15" customHeight="1">
      <c r="B35" s="75" t="s">
        <v>27</v>
      </c>
      <c r="C35" s="47" t="s">
        <v>255</v>
      </c>
      <c r="D35" s="46">
        <v>2</v>
      </c>
      <c r="E35" s="45">
        <v>2.0790020790020791E-3</v>
      </c>
    </row>
    <row r="36" spans="2:5" ht="15" customHeight="1">
      <c r="B36" s="77"/>
      <c r="C36" s="47" t="s">
        <v>254</v>
      </c>
      <c r="D36" s="46">
        <v>1</v>
      </c>
      <c r="E36" s="45">
        <v>1.0395010395010396E-3</v>
      </c>
    </row>
    <row r="37" spans="2:5" ht="15" customHeight="1">
      <c r="B37" s="76"/>
      <c r="C37" s="44" t="s">
        <v>15</v>
      </c>
      <c r="D37" s="43">
        <v>3</v>
      </c>
      <c r="E37" s="42">
        <v>3.1185031185031187E-3</v>
      </c>
    </row>
    <row r="38" spans="2:5" ht="15" customHeight="1">
      <c r="B38" s="75" t="s">
        <v>32</v>
      </c>
      <c r="C38" s="47" t="s">
        <v>255</v>
      </c>
      <c r="D38" s="46">
        <v>25</v>
      </c>
      <c r="E38" s="45">
        <v>2.5987525987525989E-2</v>
      </c>
    </row>
    <row r="39" spans="2:5" ht="15" customHeight="1">
      <c r="B39" s="77"/>
      <c r="C39" s="47" t="s">
        <v>254</v>
      </c>
      <c r="D39" s="46">
        <v>12</v>
      </c>
      <c r="E39" s="45">
        <v>1.2474012474012475E-2</v>
      </c>
    </row>
    <row r="40" spans="2:5" ht="15" customHeight="1">
      <c r="B40" s="76"/>
      <c r="C40" s="44" t="s">
        <v>15</v>
      </c>
      <c r="D40" s="43">
        <v>37</v>
      </c>
      <c r="E40" s="42">
        <v>3.8461538461538464E-2</v>
      </c>
    </row>
    <row r="41" spans="2:5" ht="15" customHeight="1">
      <c r="B41" s="75" t="s">
        <v>37</v>
      </c>
      <c r="C41" s="47" t="s">
        <v>255</v>
      </c>
      <c r="D41" s="46">
        <v>31</v>
      </c>
      <c r="E41" s="45">
        <v>3.2224532224532226E-2</v>
      </c>
    </row>
    <row r="42" spans="2:5" ht="15" customHeight="1">
      <c r="B42" s="77"/>
      <c r="C42" s="47" t="s">
        <v>254</v>
      </c>
      <c r="D42" s="46">
        <v>34</v>
      </c>
      <c r="E42" s="45">
        <v>3.5343035343035345E-2</v>
      </c>
    </row>
    <row r="43" spans="2:5" ht="15" customHeight="1">
      <c r="B43" s="76"/>
      <c r="C43" s="44" t="s">
        <v>15</v>
      </c>
      <c r="D43" s="43">
        <v>65</v>
      </c>
      <c r="E43" s="42">
        <v>6.7567567567567571E-2</v>
      </c>
    </row>
    <row r="44" spans="2:5" ht="15" customHeight="1">
      <c r="B44" s="75" t="s">
        <v>31</v>
      </c>
      <c r="C44" s="47" t="s">
        <v>255</v>
      </c>
      <c r="D44" s="46">
        <v>23</v>
      </c>
      <c r="E44" s="45">
        <v>2.390852390852391E-2</v>
      </c>
    </row>
    <row r="45" spans="2:5" ht="15" customHeight="1">
      <c r="B45" s="77"/>
      <c r="C45" s="47" t="s">
        <v>254</v>
      </c>
      <c r="D45" s="46">
        <v>15</v>
      </c>
      <c r="E45" s="45">
        <v>1.5592515592515593E-2</v>
      </c>
    </row>
    <row r="46" spans="2:5" ht="15" customHeight="1">
      <c r="B46" s="76"/>
      <c r="C46" s="44" t="s">
        <v>15</v>
      </c>
      <c r="D46" s="43">
        <v>38</v>
      </c>
      <c r="E46" s="42">
        <v>3.9501039501039503E-2</v>
      </c>
    </row>
    <row r="47" spans="2:5" ht="15" customHeight="1">
      <c r="B47" s="75" t="s">
        <v>22</v>
      </c>
      <c r="C47" s="47" t="s">
        <v>255</v>
      </c>
      <c r="D47" s="46">
        <v>5</v>
      </c>
      <c r="E47" s="45">
        <v>5.1975051975051978E-3</v>
      </c>
    </row>
    <row r="48" spans="2:5" ht="15" customHeight="1">
      <c r="B48" s="77"/>
      <c r="C48" s="47" t="s">
        <v>254</v>
      </c>
      <c r="D48" s="46">
        <v>1</v>
      </c>
      <c r="E48" s="45">
        <v>1.0395010395010396E-3</v>
      </c>
    </row>
    <row r="49" spans="2:5" ht="15" customHeight="1">
      <c r="B49" s="76"/>
      <c r="C49" s="44" t="s">
        <v>15</v>
      </c>
      <c r="D49" s="43">
        <v>6</v>
      </c>
      <c r="E49" s="42">
        <v>6.2370062370062374E-3</v>
      </c>
    </row>
    <row r="50" spans="2:5" ht="15" customHeight="1">
      <c r="B50" s="75" t="s">
        <v>29</v>
      </c>
      <c r="C50" s="47" t="s">
        <v>255</v>
      </c>
      <c r="D50" s="46">
        <v>25</v>
      </c>
      <c r="E50" s="45">
        <v>2.5987525987525989E-2</v>
      </c>
    </row>
    <row r="51" spans="2:5" ht="15" customHeight="1">
      <c r="B51" s="77"/>
      <c r="C51" s="47" t="s">
        <v>254</v>
      </c>
      <c r="D51" s="46">
        <v>8</v>
      </c>
      <c r="E51" s="45">
        <v>8.3160083160083165E-3</v>
      </c>
    </row>
    <row r="52" spans="2:5" ht="15" customHeight="1">
      <c r="B52" s="76"/>
      <c r="C52" s="44" t="s">
        <v>15</v>
      </c>
      <c r="D52" s="43">
        <v>33</v>
      </c>
      <c r="E52" s="42">
        <v>3.4303534303534305E-2</v>
      </c>
    </row>
    <row r="53" spans="2:5" ht="15" customHeight="1">
      <c r="B53" s="75" t="s">
        <v>38</v>
      </c>
      <c r="C53" s="47" t="s">
        <v>255</v>
      </c>
      <c r="D53" s="46">
        <v>119</v>
      </c>
      <c r="E53" s="45">
        <v>0.12370062370062371</v>
      </c>
    </row>
    <row r="54" spans="2:5" ht="15" customHeight="1">
      <c r="B54" s="77"/>
      <c r="C54" s="47" t="s">
        <v>254</v>
      </c>
      <c r="D54" s="46">
        <v>80</v>
      </c>
      <c r="E54" s="45">
        <v>8.3160083160083165E-2</v>
      </c>
    </row>
    <row r="55" spans="2:5" ht="15" customHeight="1">
      <c r="B55" s="76"/>
      <c r="C55" s="44" t="s">
        <v>15</v>
      </c>
      <c r="D55" s="43">
        <v>199</v>
      </c>
      <c r="E55" s="42">
        <v>0.20686070686070687</v>
      </c>
    </row>
    <row r="56" spans="2:5" ht="15" customHeight="1">
      <c r="B56" s="75" t="s">
        <v>21</v>
      </c>
      <c r="C56" s="47" t="s">
        <v>255</v>
      </c>
      <c r="D56" s="46">
        <v>3</v>
      </c>
      <c r="E56" s="45">
        <v>3.1185031185031187E-3</v>
      </c>
    </row>
    <row r="57" spans="2:5" ht="15" customHeight="1">
      <c r="B57" s="77"/>
      <c r="C57" s="47" t="s">
        <v>254</v>
      </c>
      <c r="D57" s="46">
        <v>2</v>
      </c>
      <c r="E57" s="45">
        <v>2.0790020790020791E-3</v>
      </c>
    </row>
    <row r="58" spans="2:5" ht="15" customHeight="1">
      <c r="B58" s="76"/>
      <c r="C58" s="44" t="s">
        <v>15</v>
      </c>
      <c r="D58" s="43">
        <v>5</v>
      </c>
      <c r="E58" s="42">
        <v>5.1975051975051978E-3</v>
      </c>
    </row>
    <row r="59" spans="2:5" ht="15" customHeight="1">
      <c r="B59" s="75" t="s">
        <v>28</v>
      </c>
      <c r="C59" s="47" t="s">
        <v>255</v>
      </c>
      <c r="D59" s="46">
        <v>11</v>
      </c>
      <c r="E59" s="45">
        <v>1.1434511434511435E-2</v>
      </c>
    </row>
    <row r="60" spans="2:5" ht="15" customHeight="1">
      <c r="B60" s="77"/>
      <c r="C60" s="47" t="s">
        <v>254</v>
      </c>
      <c r="D60" s="46">
        <v>5</v>
      </c>
      <c r="E60" s="45">
        <v>5.1975051975051978E-3</v>
      </c>
    </row>
    <row r="61" spans="2:5" ht="15" customHeight="1">
      <c r="B61" s="76"/>
      <c r="C61" s="44" t="s">
        <v>15</v>
      </c>
      <c r="D61" s="43">
        <v>16</v>
      </c>
      <c r="E61" s="42">
        <v>1.6632016632016633E-2</v>
      </c>
    </row>
    <row r="62" spans="2:5" ht="15" customHeight="1">
      <c r="B62" s="75" t="s">
        <v>16</v>
      </c>
      <c r="C62" s="47" t="s">
        <v>254</v>
      </c>
      <c r="D62" s="46">
        <v>1</v>
      </c>
      <c r="E62" s="45">
        <v>1.0395010395010396E-3</v>
      </c>
    </row>
    <row r="63" spans="2:5" ht="15" customHeight="1">
      <c r="B63" s="76"/>
      <c r="C63" s="44" t="s">
        <v>15</v>
      </c>
      <c r="D63" s="43">
        <v>1</v>
      </c>
      <c r="E63" s="42">
        <v>1.0395010395010396E-3</v>
      </c>
    </row>
    <row r="64" spans="2:5" ht="15" customHeight="1">
      <c r="B64" s="75" t="s">
        <v>20</v>
      </c>
      <c r="C64" s="47" t="s">
        <v>255</v>
      </c>
      <c r="D64" s="46">
        <v>4</v>
      </c>
      <c r="E64" s="45">
        <v>4.1580041580041582E-3</v>
      </c>
    </row>
    <row r="65" spans="2:5" ht="15" customHeight="1">
      <c r="B65" s="77"/>
      <c r="C65" s="47" t="s">
        <v>254</v>
      </c>
      <c r="D65" s="46">
        <v>4</v>
      </c>
      <c r="E65" s="45">
        <v>4.1580041580041582E-3</v>
      </c>
    </row>
    <row r="66" spans="2:5" ht="15" customHeight="1">
      <c r="B66" s="76"/>
      <c r="C66" s="44" t="s">
        <v>15</v>
      </c>
      <c r="D66" s="43">
        <v>8</v>
      </c>
      <c r="E66" s="42">
        <v>8.3160083160083165E-3</v>
      </c>
    </row>
    <row r="67" spans="2:5" ht="15" customHeight="1">
      <c r="B67" s="75" t="s">
        <v>25</v>
      </c>
      <c r="C67" s="47" t="s">
        <v>255</v>
      </c>
      <c r="D67" s="46">
        <v>2</v>
      </c>
      <c r="E67" s="45">
        <v>2.0790020790020791E-3</v>
      </c>
    </row>
    <row r="68" spans="2:5" ht="15" customHeight="1">
      <c r="B68" s="77"/>
      <c r="C68" s="47" t="s">
        <v>254</v>
      </c>
      <c r="D68" s="46">
        <v>1</v>
      </c>
      <c r="E68" s="45">
        <v>1.0395010395010396E-3</v>
      </c>
    </row>
    <row r="69" spans="2:5" ht="15" customHeight="1">
      <c r="B69" s="76"/>
      <c r="C69" s="44" t="s">
        <v>15</v>
      </c>
      <c r="D69" s="43">
        <v>3</v>
      </c>
      <c r="E69" s="42">
        <v>3.1185031185031187E-3</v>
      </c>
    </row>
    <row r="70" spans="2:5" ht="15" customHeight="1">
      <c r="B70" s="75" t="s">
        <v>17</v>
      </c>
      <c r="C70" s="47" t="s">
        <v>255</v>
      </c>
      <c r="D70" s="46">
        <v>3</v>
      </c>
      <c r="E70" s="45">
        <v>3.1185031185031187E-3</v>
      </c>
    </row>
    <row r="71" spans="2:5" ht="15" customHeight="1">
      <c r="B71" s="77"/>
      <c r="C71" s="47" t="s">
        <v>254</v>
      </c>
      <c r="D71" s="46">
        <v>3</v>
      </c>
      <c r="E71" s="45">
        <v>3.1185031185031187E-3</v>
      </c>
    </row>
    <row r="72" spans="2:5" ht="15" customHeight="1">
      <c r="B72" s="76"/>
      <c r="C72" s="44" t="s">
        <v>15</v>
      </c>
      <c r="D72" s="43">
        <v>6</v>
      </c>
      <c r="E72" s="42">
        <v>6.2370062370062374E-3</v>
      </c>
    </row>
    <row r="73" spans="2:5" ht="15" customHeight="1">
      <c r="B73" s="75" t="s">
        <v>36</v>
      </c>
      <c r="C73" s="47" t="s">
        <v>255</v>
      </c>
      <c r="D73" s="46">
        <v>36</v>
      </c>
      <c r="E73" s="45">
        <v>3.7422037422037424E-2</v>
      </c>
    </row>
    <row r="74" spans="2:5" ht="15" customHeight="1">
      <c r="B74" s="77"/>
      <c r="C74" s="47" t="s">
        <v>254</v>
      </c>
      <c r="D74" s="46">
        <v>31</v>
      </c>
      <c r="E74" s="45">
        <v>3.2224532224532226E-2</v>
      </c>
    </row>
    <row r="75" spans="2:5" ht="15" customHeight="1">
      <c r="B75" s="76"/>
      <c r="C75" s="44" t="s">
        <v>15</v>
      </c>
      <c r="D75" s="43">
        <v>67</v>
      </c>
      <c r="E75" s="42">
        <v>6.964656964656965E-2</v>
      </c>
    </row>
    <row r="76" spans="2:5" ht="15" customHeight="1">
      <c r="B76" s="75" t="s">
        <v>283</v>
      </c>
      <c r="C76" s="47" t="s">
        <v>255</v>
      </c>
      <c r="D76" s="46">
        <v>1</v>
      </c>
      <c r="E76" s="45">
        <v>1.0395010395010396E-3</v>
      </c>
    </row>
    <row r="77" spans="2:5" ht="15" customHeight="1">
      <c r="B77" s="76"/>
      <c r="C77" s="44" t="s">
        <v>15</v>
      </c>
      <c r="D77" s="43">
        <v>1</v>
      </c>
      <c r="E77" s="42">
        <v>1.0395010395010396E-3</v>
      </c>
    </row>
    <row r="78" spans="2:5" ht="15" customHeight="1">
      <c r="B78" s="75" t="s">
        <v>24</v>
      </c>
      <c r="C78" s="47" t="s">
        <v>255</v>
      </c>
      <c r="D78" s="46">
        <v>1</v>
      </c>
      <c r="E78" s="45">
        <v>1.0395010395010396E-3</v>
      </c>
    </row>
    <row r="79" spans="2:5" ht="15" customHeight="1">
      <c r="B79" s="77"/>
      <c r="C79" s="47" t="s">
        <v>254</v>
      </c>
      <c r="D79" s="46">
        <v>5</v>
      </c>
      <c r="E79" s="45">
        <v>5.1975051975051978E-3</v>
      </c>
    </row>
    <row r="80" spans="2:5" ht="15" customHeight="1">
      <c r="B80" s="76"/>
      <c r="C80" s="44" t="s">
        <v>15</v>
      </c>
      <c r="D80" s="43">
        <v>6</v>
      </c>
      <c r="E80" s="42">
        <v>6.2370062370062374E-3</v>
      </c>
    </row>
    <row r="81" spans="2:6" ht="15" customHeight="1">
      <c r="B81" s="73" t="s">
        <v>15</v>
      </c>
      <c r="C81" s="74"/>
      <c r="D81" s="41">
        <f>SUMIF(C10:C80,"TOTAL",D10:D80)</f>
        <v>962</v>
      </c>
      <c r="E81" s="40">
        <v>1</v>
      </c>
    </row>
    <row r="83" spans="2:6" ht="15" customHeight="1">
      <c r="B83" s="17"/>
      <c r="C83" s="19" t="s">
        <v>395</v>
      </c>
      <c r="D83"/>
      <c r="E83"/>
      <c r="F83" s="17"/>
    </row>
    <row r="84" spans="2:6" ht="15" customHeight="1">
      <c r="B84" s="17"/>
      <c r="C84" s="21" t="s">
        <v>14</v>
      </c>
      <c r="D84"/>
      <c r="E84"/>
      <c r="F84" s="17"/>
    </row>
    <row r="85" spans="2:6" ht="15" customHeight="1">
      <c r="B85" s="17"/>
      <c r="C85" s="20" t="s">
        <v>13</v>
      </c>
      <c r="D85"/>
      <c r="E85"/>
      <c r="F85" s="17"/>
    </row>
    <row r="86" spans="2:6" ht="15" customHeight="1">
      <c r="B86" s="17"/>
      <c r="C86" s="19" t="s">
        <v>12</v>
      </c>
      <c r="D86"/>
      <c r="E86"/>
      <c r="F86" s="17"/>
    </row>
    <row r="87" spans="2:6" ht="15" customHeight="1">
      <c r="B87" s="17"/>
      <c r="C87" s="19" t="s">
        <v>396</v>
      </c>
      <c r="D87"/>
      <c r="E87"/>
      <c r="F87" s="17"/>
    </row>
    <row r="377" spans="2:2" s="37" customFormat="1" ht="15" customHeight="1">
      <c r="B377" s="38"/>
    </row>
    <row r="378" spans="2:2" s="37" customFormat="1" ht="15" customHeight="1">
      <c r="B378" s="39"/>
    </row>
    <row r="379" spans="2:2" s="37" customFormat="1" ht="15" customHeight="1">
      <c r="B379" s="39"/>
    </row>
    <row r="380" spans="2:2" s="37" customFormat="1" ht="15" customHeight="1">
      <c r="B380" s="38"/>
    </row>
    <row r="381" spans="2:2" s="37" customFormat="1" ht="15" customHeight="1">
      <c r="B381" s="38"/>
    </row>
  </sheetData>
  <mergeCells count="27">
    <mergeCell ref="B47:B49"/>
    <mergeCell ref="B50:B52"/>
    <mergeCell ref="B53:B55"/>
    <mergeCell ref="B56:B58"/>
    <mergeCell ref="B59:B61"/>
    <mergeCell ref="B62:B63"/>
    <mergeCell ref="B64:B66"/>
    <mergeCell ref="B67:B69"/>
    <mergeCell ref="B70:B72"/>
    <mergeCell ref="B81:C81"/>
    <mergeCell ref="B73:B75"/>
    <mergeCell ref="B76:B77"/>
    <mergeCell ref="B78:B80"/>
    <mergeCell ref="B35:B37"/>
    <mergeCell ref="B38:B40"/>
    <mergeCell ref="B41:B43"/>
    <mergeCell ref="B44:B46"/>
    <mergeCell ref="B7:E8"/>
    <mergeCell ref="B10:B11"/>
    <mergeCell ref="B12:B13"/>
    <mergeCell ref="B14:B16"/>
    <mergeCell ref="B17:B19"/>
    <mergeCell ref="B20:B22"/>
    <mergeCell ref="B23:B25"/>
    <mergeCell ref="B26:B28"/>
    <mergeCell ref="B29:B31"/>
    <mergeCell ref="B32:B34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F463"/>
  <sheetViews>
    <sheetView zoomScaleNormal="100" zoomScaleSheetLayoutView="100" workbookViewId="0">
      <selection activeCell="A17" sqref="A17"/>
    </sheetView>
  </sheetViews>
  <sheetFormatPr baseColWidth="10" defaultColWidth="35" defaultRowHeight="15" customHeight="1"/>
  <cols>
    <col min="1" max="1" width="1" style="36" customWidth="1"/>
    <col min="2" max="2" width="22.85546875" style="37" customWidth="1"/>
    <col min="3" max="3" width="31.42578125" style="37" customWidth="1"/>
    <col min="4" max="4" width="14.28515625" style="37" customWidth="1"/>
    <col min="5" max="5" width="16.85546875" style="37" customWidth="1"/>
    <col min="6" max="16384" width="35" style="36"/>
  </cols>
  <sheetData>
    <row r="1" spans="1:5" s="55" customFormat="1" ht="12" customHeight="1">
      <c r="B1" s="59"/>
      <c r="C1" s="58"/>
      <c r="D1" s="58"/>
      <c r="E1" s="58"/>
    </row>
    <row r="2" spans="1:5" s="55" customFormat="1" ht="15" customHeight="1">
      <c r="C2" s="57"/>
    </row>
    <row r="3" spans="1:5" s="55" customFormat="1" ht="15" customHeight="1">
      <c r="C3" s="57"/>
    </row>
    <row r="4" spans="1:5" s="55" customFormat="1" ht="30" customHeight="1">
      <c r="C4" s="57"/>
      <c r="D4" s="56"/>
    </row>
    <row r="5" spans="1:5" s="55" customFormat="1" ht="15" customHeight="1">
      <c r="C5" s="57"/>
      <c r="D5" s="56"/>
    </row>
    <row r="6" spans="1:5" s="52" customFormat="1" ht="24" customHeight="1">
      <c r="B6" s="54"/>
      <c r="C6" s="48"/>
      <c r="D6" s="48"/>
      <c r="E6" s="48"/>
    </row>
    <row r="7" spans="1:5" s="52" customFormat="1" ht="26.25" customHeight="1">
      <c r="A7" s="53"/>
      <c r="B7" s="78"/>
      <c r="C7" s="78"/>
      <c r="D7" s="78"/>
      <c r="E7" s="78"/>
    </row>
    <row r="8" spans="1:5" s="52" customFormat="1" ht="33" customHeight="1">
      <c r="A8" s="53"/>
      <c r="B8" s="78"/>
      <c r="C8" s="78"/>
      <c r="D8" s="78"/>
      <c r="E8" s="78"/>
    </row>
    <row r="9" spans="1:5" s="29" customFormat="1" ht="40.5" customHeight="1">
      <c r="B9" s="49" t="s">
        <v>253</v>
      </c>
      <c r="C9" s="51" t="s">
        <v>263</v>
      </c>
      <c r="D9" s="50" t="s">
        <v>41</v>
      </c>
      <c r="E9" s="49" t="s">
        <v>40</v>
      </c>
    </row>
    <row r="10" spans="1:5" ht="15" customHeight="1">
      <c r="B10" s="75" t="s">
        <v>255</v>
      </c>
      <c r="C10" s="47" t="s">
        <v>261</v>
      </c>
      <c r="D10" s="46">
        <v>4</v>
      </c>
      <c r="E10" s="45">
        <v>4.1580041580041582E-3</v>
      </c>
    </row>
    <row r="11" spans="1:5" ht="15" customHeight="1">
      <c r="B11" s="77"/>
      <c r="C11" s="47" t="s">
        <v>260</v>
      </c>
      <c r="D11" s="46">
        <v>86</v>
      </c>
      <c r="E11" s="45">
        <v>8.9397089397089402E-2</v>
      </c>
    </row>
    <row r="12" spans="1:5" ht="15" customHeight="1">
      <c r="B12" s="77"/>
      <c r="C12" s="47" t="s">
        <v>259</v>
      </c>
      <c r="D12" s="46">
        <v>256</v>
      </c>
      <c r="E12" s="45">
        <v>0.26611226611226613</v>
      </c>
    </row>
    <row r="13" spans="1:5" ht="15" customHeight="1">
      <c r="B13" s="77"/>
      <c r="C13" s="47" t="s">
        <v>258</v>
      </c>
      <c r="D13" s="46">
        <v>174</v>
      </c>
      <c r="E13" s="45">
        <v>0.18087318087318088</v>
      </c>
    </row>
    <row r="14" spans="1:5" ht="15" customHeight="1">
      <c r="B14" s="77"/>
      <c r="C14" s="47" t="s">
        <v>257</v>
      </c>
      <c r="D14" s="46">
        <v>56</v>
      </c>
      <c r="E14" s="45">
        <v>5.8212058212058215E-2</v>
      </c>
    </row>
    <row r="15" spans="1:5" ht="15" customHeight="1">
      <c r="B15" s="77"/>
      <c r="C15" s="47" t="s">
        <v>256</v>
      </c>
      <c r="D15" s="46">
        <v>3</v>
      </c>
      <c r="E15" s="45">
        <v>3.1185031185031187E-3</v>
      </c>
    </row>
    <row r="16" spans="1:5" ht="15" customHeight="1">
      <c r="B16" s="76"/>
      <c r="C16" s="47" t="s">
        <v>262</v>
      </c>
      <c r="D16" s="46">
        <v>1</v>
      </c>
      <c r="E16" s="45">
        <v>1.0395010395010396E-3</v>
      </c>
    </row>
    <row r="17" spans="2:6" ht="15" customHeight="1">
      <c r="B17" s="75" t="s">
        <v>254</v>
      </c>
      <c r="C17" s="47" t="s">
        <v>261</v>
      </c>
      <c r="D17" s="46">
        <v>5</v>
      </c>
      <c r="E17" s="45">
        <v>5.1975051975051978E-3</v>
      </c>
    </row>
    <row r="18" spans="2:6" ht="15" customHeight="1">
      <c r="B18" s="77"/>
      <c r="C18" s="47" t="s">
        <v>260</v>
      </c>
      <c r="D18" s="46">
        <v>47</v>
      </c>
      <c r="E18" s="45">
        <v>4.8856548856548859E-2</v>
      </c>
    </row>
    <row r="19" spans="2:6" ht="15" customHeight="1">
      <c r="B19" s="77"/>
      <c r="C19" s="47" t="s">
        <v>259</v>
      </c>
      <c r="D19" s="46">
        <v>159</v>
      </c>
      <c r="E19" s="45">
        <v>0.16528066528066529</v>
      </c>
    </row>
    <row r="20" spans="2:6" ht="15" customHeight="1">
      <c r="B20" s="77"/>
      <c r="C20" s="47" t="s">
        <v>258</v>
      </c>
      <c r="D20" s="46">
        <v>124</v>
      </c>
      <c r="E20" s="45">
        <v>0.12889812889812891</v>
      </c>
    </row>
    <row r="21" spans="2:6" ht="15" customHeight="1">
      <c r="B21" s="77"/>
      <c r="C21" s="47" t="s">
        <v>257</v>
      </c>
      <c r="D21" s="46">
        <v>46</v>
      </c>
      <c r="E21" s="45">
        <v>4.781704781704782E-2</v>
      </c>
    </row>
    <row r="22" spans="2:6" ht="15" customHeight="1">
      <c r="B22" s="76"/>
      <c r="C22" s="47" t="s">
        <v>262</v>
      </c>
      <c r="D22" s="46">
        <v>1</v>
      </c>
      <c r="E22" s="45">
        <v>1.0395010395010396E-3</v>
      </c>
    </row>
    <row r="23" spans="2:6" ht="15" customHeight="1">
      <c r="B23" s="73" t="s">
        <v>15</v>
      </c>
      <c r="C23" s="74"/>
      <c r="D23" s="41">
        <v>962</v>
      </c>
      <c r="E23" s="40">
        <v>1</v>
      </c>
    </row>
    <row r="25" spans="2:6" ht="15" customHeight="1">
      <c r="B25" s="17"/>
      <c r="C25" s="19" t="s">
        <v>395</v>
      </c>
      <c r="D25"/>
      <c r="E25"/>
      <c r="F25" s="17"/>
    </row>
    <row r="26" spans="2:6" ht="15" customHeight="1">
      <c r="B26" s="17"/>
      <c r="C26" s="21" t="s">
        <v>14</v>
      </c>
      <c r="D26"/>
      <c r="E26"/>
      <c r="F26" s="17"/>
    </row>
    <row r="27" spans="2:6" ht="15" customHeight="1">
      <c r="B27" s="17"/>
      <c r="C27" s="20" t="s">
        <v>13</v>
      </c>
      <c r="D27"/>
      <c r="E27"/>
      <c r="F27" s="17"/>
    </row>
    <row r="28" spans="2:6" ht="15" customHeight="1">
      <c r="B28" s="17"/>
      <c r="C28" s="19" t="s">
        <v>12</v>
      </c>
      <c r="D28"/>
      <c r="E28"/>
      <c r="F28" s="17"/>
    </row>
    <row r="29" spans="2:6" ht="15" customHeight="1">
      <c r="B29" s="17"/>
      <c r="C29" s="19" t="s">
        <v>396</v>
      </c>
      <c r="D29"/>
      <c r="E29"/>
      <c r="F29" s="17"/>
    </row>
    <row r="459" spans="2:2" s="37" customFormat="1" ht="15" customHeight="1">
      <c r="B459" s="38"/>
    </row>
    <row r="460" spans="2:2" s="37" customFormat="1" ht="15" customHeight="1">
      <c r="B460" s="39"/>
    </row>
    <row r="461" spans="2:2" s="37" customFormat="1" ht="15" customHeight="1">
      <c r="B461" s="39"/>
    </row>
    <row r="462" spans="2:2" s="37" customFormat="1" ht="15" customHeight="1">
      <c r="B462" s="38"/>
    </row>
    <row r="463" spans="2:2" s="37" customFormat="1" ht="15" customHeight="1">
      <c r="B463" s="38"/>
    </row>
  </sheetData>
  <mergeCells count="4">
    <mergeCell ref="B23:C23"/>
    <mergeCell ref="B7:E8"/>
    <mergeCell ref="B10:B16"/>
    <mergeCell ref="B17:B22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  <pageSetUpPr fitToPage="1"/>
  </sheetPr>
  <dimension ref="A1:E32"/>
  <sheetViews>
    <sheetView showGridLines="0" tabSelected="1" zoomScaleNormal="100" zoomScaleSheetLayoutView="115" workbookViewId="0">
      <selection activeCell="C1" sqref="C1"/>
    </sheetView>
  </sheetViews>
  <sheetFormatPr baseColWidth="10" defaultColWidth="11.42578125" defaultRowHeight="15"/>
  <cols>
    <col min="1" max="1" width="9.28515625" style="17" customWidth="1"/>
    <col min="2" max="2" width="21.7109375" style="17" customWidth="1"/>
    <col min="3" max="3" width="17.7109375" style="18" customWidth="1"/>
    <col min="4" max="4" width="17.7109375" style="17" customWidth="1"/>
    <col min="5" max="5" width="9.28515625" style="17" customWidth="1"/>
    <col min="6" max="6" width="5.7109375" style="17" customWidth="1"/>
    <col min="7" max="16384" width="11.42578125" style="17"/>
  </cols>
  <sheetData>
    <row r="1" spans="1:5" s="29" customFormat="1" ht="15" customHeight="1">
      <c r="C1" s="35"/>
    </row>
    <row r="2" spans="1:5" s="29" customFormat="1" ht="15" customHeight="1">
      <c r="C2" s="35"/>
    </row>
    <row r="3" spans="1:5" s="29" customFormat="1" ht="15" customHeight="1">
      <c r="C3" s="35"/>
    </row>
    <row r="4" spans="1:5" s="29" customFormat="1" ht="30" customHeight="1">
      <c r="C4" s="35"/>
      <c r="D4" s="34"/>
    </row>
    <row r="5" spans="1:5" s="29" customFormat="1" ht="15" customHeight="1">
      <c r="C5" s="35"/>
      <c r="D5" s="34"/>
    </row>
    <row r="6" spans="1:5" s="29" customFormat="1" ht="15" customHeight="1">
      <c r="C6" s="35"/>
      <c r="D6" s="34"/>
    </row>
    <row r="7" spans="1:5" s="29" customFormat="1" ht="15" customHeight="1">
      <c r="B7" s="72" t="s">
        <v>393</v>
      </c>
      <c r="C7" s="72"/>
      <c r="D7" s="72"/>
    </row>
    <row r="8" spans="1:5" s="29" customFormat="1" ht="15" customHeight="1">
      <c r="B8" s="72"/>
      <c r="C8" s="72"/>
      <c r="D8" s="72"/>
    </row>
    <row r="9" spans="1:5" s="29" customFormat="1" ht="33" customHeight="1">
      <c r="B9" s="72"/>
      <c r="C9" s="72"/>
      <c r="D9" s="72"/>
    </row>
    <row r="10" spans="1:5" s="29" customFormat="1" ht="4.5" customHeight="1">
      <c r="B10" s="33"/>
      <c r="C10" s="33"/>
      <c r="D10" s="33"/>
    </row>
    <row r="11" spans="1:5" s="29" customFormat="1" ht="33" customHeight="1">
      <c r="B11" s="32" t="s">
        <v>277</v>
      </c>
      <c r="C11" s="31" t="s">
        <v>41</v>
      </c>
      <c r="D11" s="30" t="s">
        <v>40</v>
      </c>
    </row>
    <row r="12" spans="1:5">
      <c r="B12" s="27" t="s">
        <v>276</v>
      </c>
      <c r="C12" s="26">
        <v>642</v>
      </c>
      <c r="D12" s="25">
        <v>0.66735966735966734</v>
      </c>
    </row>
    <row r="13" spans="1:5">
      <c r="B13" s="27" t="s">
        <v>275</v>
      </c>
      <c r="C13" s="26">
        <v>213</v>
      </c>
      <c r="D13" s="25">
        <v>0.22141372141372143</v>
      </c>
    </row>
    <row r="14" spans="1:5">
      <c r="A14" s="28"/>
      <c r="B14" s="27" t="s">
        <v>274</v>
      </c>
      <c r="C14" s="26">
        <v>24</v>
      </c>
      <c r="D14" s="25">
        <v>2.4948024948024949E-2</v>
      </c>
      <c r="E14" s="28"/>
    </row>
    <row r="15" spans="1:5">
      <c r="A15" s="28"/>
      <c r="B15" s="27" t="s">
        <v>272</v>
      </c>
      <c r="C15" s="26">
        <v>21</v>
      </c>
      <c r="D15" s="25">
        <v>2.1829521829521831E-2</v>
      </c>
      <c r="E15" s="28"/>
    </row>
    <row r="16" spans="1:5">
      <c r="B16" s="27" t="s">
        <v>273</v>
      </c>
      <c r="C16" s="26">
        <v>18</v>
      </c>
      <c r="D16" s="25">
        <v>1.8711018711018712E-2</v>
      </c>
    </row>
    <row r="17" spans="2:4">
      <c r="B17" s="27" t="s">
        <v>271</v>
      </c>
      <c r="C17" s="26">
        <v>14</v>
      </c>
      <c r="D17" s="25">
        <v>1.4553014553014554E-2</v>
      </c>
    </row>
    <row r="18" spans="2:4">
      <c r="B18" s="27" t="s">
        <v>270</v>
      </c>
      <c r="C18" s="26">
        <v>12</v>
      </c>
      <c r="D18" s="25">
        <v>1.2474012474012475E-2</v>
      </c>
    </row>
    <row r="19" spans="2:4">
      <c r="B19" s="27" t="s">
        <v>268</v>
      </c>
      <c r="C19" s="26">
        <v>6</v>
      </c>
      <c r="D19" s="25">
        <v>6.2370062370062374E-3</v>
      </c>
    </row>
    <row r="20" spans="2:4">
      <c r="B20" s="27" t="s">
        <v>267</v>
      </c>
      <c r="C20" s="26">
        <v>4</v>
      </c>
      <c r="D20" s="25">
        <v>4.1580041580041582E-3</v>
      </c>
    </row>
    <row r="21" spans="2:4">
      <c r="B21" s="27" t="s">
        <v>269</v>
      </c>
      <c r="C21" s="26">
        <v>4</v>
      </c>
      <c r="D21" s="25">
        <v>4.1580041580041582E-3</v>
      </c>
    </row>
    <row r="22" spans="2:4">
      <c r="B22" s="27" t="s">
        <v>266</v>
      </c>
      <c r="C22" s="26">
        <v>1</v>
      </c>
      <c r="D22" s="25">
        <v>1.0395010395010396E-3</v>
      </c>
    </row>
    <row r="23" spans="2:4">
      <c r="B23" s="27" t="s">
        <v>392</v>
      </c>
      <c r="C23" s="26">
        <v>1</v>
      </c>
      <c r="D23" s="25">
        <v>1.0395010395010396E-3</v>
      </c>
    </row>
    <row r="24" spans="2:4">
      <c r="B24" s="27" t="s">
        <v>264</v>
      </c>
      <c r="C24" s="26">
        <v>1</v>
      </c>
      <c r="D24" s="25">
        <v>1.0395010395010396E-3</v>
      </c>
    </row>
    <row r="25" spans="2:4">
      <c r="B25" s="27" t="s">
        <v>265</v>
      </c>
      <c r="C25" s="26">
        <v>1</v>
      </c>
      <c r="D25" s="25">
        <v>1.0395010395010396E-3</v>
      </c>
    </row>
    <row r="26" spans="2:4">
      <c r="B26" s="24" t="s">
        <v>15</v>
      </c>
      <c r="C26" s="23">
        <v>962</v>
      </c>
      <c r="D26" s="22">
        <v>1</v>
      </c>
    </row>
    <row r="28" spans="2:4">
      <c r="B28" s="19" t="s">
        <v>395</v>
      </c>
      <c r="C28"/>
      <c r="D28"/>
    </row>
    <row r="29" spans="2:4">
      <c r="B29" s="21" t="s">
        <v>14</v>
      </c>
      <c r="C29"/>
      <c r="D29"/>
    </row>
    <row r="30" spans="2:4">
      <c r="B30" s="20" t="s">
        <v>13</v>
      </c>
      <c r="C30"/>
      <c r="D30"/>
    </row>
    <row r="31" spans="2:4">
      <c r="B31" s="19" t="s">
        <v>12</v>
      </c>
      <c r="C31"/>
      <c r="D31"/>
    </row>
    <row r="32" spans="2:4">
      <c r="B32" s="19" t="s">
        <v>396</v>
      </c>
      <c r="C32"/>
      <c r="D32"/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88" orientation="portrait" r:id="rId1"/>
  <headerFooter>
    <oddFooter>&amp;C&amp;P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12</vt:i4>
      </vt:variant>
    </vt:vector>
  </HeadingPairs>
  <TitlesOfParts>
    <vt:vector size="21" baseType="lpstr">
      <vt:lpstr>Índice</vt:lpstr>
      <vt:lpstr>Delaware_Edomexgral</vt:lpstr>
      <vt:lpstr>Delaware_EDOMEX</vt:lpstr>
      <vt:lpstr>Delaware_Educagral</vt:lpstr>
      <vt:lpstr>Delaware_Eduedo</vt:lpstr>
      <vt:lpstr>Delaware_gengral</vt:lpstr>
      <vt:lpstr>Delaware_edomexgen</vt:lpstr>
      <vt:lpstr>Delaware_edadgen</vt:lpstr>
      <vt:lpstr>Delaware_ocupgral</vt:lpstr>
      <vt:lpstr>Delaware_edadgen!Área_de_impresión</vt:lpstr>
      <vt:lpstr>Delaware_EDOMEX!Área_de_impresión</vt:lpstr>
      <vt:lpstr>Delaware_edomexgen!Área_de_impresión</vt:lpstr>
      <vt:lpstr>Delaware_Eduedo!Área_de_impresión</vt:lpstr>
      <vt:lpstr>Delaware_edadgen!Títulos_a_imprimir</vt:lpstr>
      <vt:lpstr>Delaware_EDOMEX!Títulos_a_imprimir</vt:lpstr>
      <vt:lpstr>Delaware_edomexgen!Títulos_a_imprimir</vt:lpstr>
      <vt:lpstr>Delaware_Edomexgral!Títulos_a_imprimir</vt:lpstr>
      <vt:lpstr>Delaware_Educagral!Títulos_a_imprimir</vt:lpstr>
      <vt:lpstr>Delaware_Eduedo!Títulos_a_imprimir</vt:lpstr>
      <vt:lpstr>Delaware_gengral!Títulos_a_imprimir</vt:lpstr>
      <vt:lpstr>Delaware_ocupgral!Títulos_a_imprimir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Lidia</dc:creator>
  <cp:lastModifiedBy>123</cp:lastModifiedBy>
  <dcterms:created xsi:type="dcterms:W3CDTF">2020-06-18T19:27:49Z</dcterms:created>
  <dcterms:modified xsi:type="dcterms:W3CDTF">2023-09-14T17:45:20Z</dcterms:modified>
</cp:coreProperties>
</file>