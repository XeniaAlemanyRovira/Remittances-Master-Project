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4000" windowHeight="9735" tabRatio="817"/>
  </bookViews>
  <sheets>
    <sheet name="Índice" sheetId="1" r:id="rId1"/>
    <sheet name="Wyoming_Edomexgral" sheetId="2" r:id="rId2"/>
    <sheet name="Wyoming_EDOMEX" sheetId="11" r:id="rId3"/>
    <sheet name="Wyoming_Educagral" sheetId="4" r:id="rId4"/>
    <sheet name="Wyoming_Eduedo" sheetId="10" r:id="rId5"/>
    <sheet name="Wyoming_gengral" sheetId="6" r:id="rId6"/>
    <sheet name="Wyoming_edomexgen" sheetId="7" r:id="rId7"/>
    <sheet name="Wyoming_edadgen" sheetId="8" r:id="rId8"/>
    <sheet name="Wyoming_ocupgral" sheetId="9" r:id="rId9"/>
  </sheets>
  <definedNames>
    <definedName name="_xlnm._FilterDatabase" localSheetId="7" hidden="1">Wyoming_edadgen!$B$9:$E$9</definedName>
    <definedName name="_xlnm._FilterDatabase" localSheetId="2" hidden="1">Wyoming_EDOMEX!$B$9:$E$9</definedName>
    <definedName name="_xlnm._FilterDatabase" localSheetId="6" hidden="1">Wyoming_edomexgen!$B$9:$E$9</definedName>
    <definedName name="_xlnm._FilterDatabase" localSheetId="1" hidden="1">Wyoming_Edomexgral!$B$11:$D$11</definedName>
    <definedName name="_xlnm._FilterDatabase" localSheetId="3" hidden="1">Wyoming_Educagral!$B$11:$D$11</definedName>
    <definedName name="_xlnm._FilterDatabase" localSheetId="4" hidden="1">Wyoming_Eduedo!$B$9:$E$9</definedName>
    <definedName name="_xlnm._FilterDatabase" localSheetId="5" hidden="1">Wyoming_gengral!$B$11:$D$11</definedName>
    <definedName name="_xlnm._FilterDatabase" localSheetId="8" hidden="1">Wyoming_ocupgral!$B$11:$D$11</definedName>
    <definedName name="_xlnm.Print_Area" localSheetId="0">Índice!$A$1:$D$21</definedName>
    <definedName name="_xlnm.Print_Area" localSheetId="7">Wyoming_edadgen!$A$1:$E$9</definedName>
    <definedName name="_xlnm.Print_Area" localSheetId="2">Wyoming_EDOMEX!$A$1:$E$9</definedName>
    <definedName name="_xlnm.Print_Area" localSheetId="6">Wyoming_edomexgen!$A$1:$E$9</definedName>
    <definedName name="_xlnm.Print_Area" localSheetId="4">Wyoming_Eduedo!$A$1:$E$9</definedName>
    <definedName name="_xlnm.Print_Titles" localSheetId="7">Wyoming_edadgen!$1:$9</definedName>
    <definedName name="_xlnm.Print_Titles" localSheetId="2">Wyoming_EDOMEX!$1:$9</definedName>
    <definedName name="_xlnm.Print_Titles" localSheetId="6">Wyoming_edomexgen!$1:$9</definedName>
    <definedName name="_xlnm.Print_Titles" localSheetId="1">Wyoming_Edomexgral!$1:$11</definedName>
    <definedName name="_xlnm.Print_Titles" localSheetId="3">Wyoming_Educagral!$1:$11</definedName>
    <definedName name="_xlnm.Print_Titles" localSheetId="4">Wyoming_Eduedo!$1:$9</definedName>
    <definedName name="_xlnm.Print_Titles" localSheetId="5">Wyoming_gengral!$1:$11</definedName>
    <definedName name="_xlnm.Print_Titles" localSheetId="8">Wyoming_ocupgral!$1:$11</definedName>
  </definedNames>
  <calcPr calcId="152511"/>
</workbook>
</file>

<file path=xl/calcChain.xml><?xml version="1.0" encoding="utf-8"?>
<calcChain xmlns="http://schemas.openxmlformats.org/spreadsheetml/2006/main">
  <c r="D96" i="7" l="1"/>
  <c r="D288" i="11" l="1"/>
</calcChain>
</file>

<file path=xl/sharedStrings.xml><?xml version="1.0" encoding="utf-8"?>
<sst xmlns="http://schemas.openxmlformats.org/spreadsheetml/2006/main" count="831" uniqueCount="344">
  <si>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</si>
  <si>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</si>
  <si>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</si>
  <si>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</si>
  <si>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</si>
  <si>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</si>
  <si>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</si>
  <si>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</si>
  <si>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</si>
  <si>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</si>
  <si>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</si>
  <si>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</si>
  <si>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</si>
  <si>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</si>
  <si>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</si>
  <si>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</si>
  <si>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Tabasco</t>
  </si>
  <si>
    <t>Nuevo León</t>
  </si>
  <si>
    <t>Morelos</t>
  </si>
  <si>
    <t>Tamaulipas</t>
  </si>
  <si>
    <t>Querétaro</t>
  </si>
  <si>
    <t>Colima</t>
  </si>
  <si>
    <t>Baja California</t>
  </si>
  <si>
    <t>Coahuila</t>
  </si>
  <si>
    <t>Hidalgo</t>
  </si>
  <si>
    <t>Aguascalientes</t>
  </si>
  <si>
    <t>Nayarit</t>
  </si>
  <si>
    <t>Chiapas</t>
  </si>
  <si>
    <t>Veracruz</t>
  </si>
  <si>
    <t>Guanajuato</t>
  </si>
  <si>
    <t>Sonora</t>
  </si>
  <si>
    <t>Estado de México</t>
  </si>
  <si>
    <t>San Luis Potosí</t>
  </si>
  <si>
    <t>Sinaloa</t>
  </si>
  <si>
    <t>Guerrero</t>
  </si>
  <si>
    <t>Oaxaca</t>
  </si>
  <si>
    <t>Durango</t>
  </si>
  <si>
    <t>Puebla</t>
  </si>
  <si>
    <t>Zacatecas</t>
  </si>
  <si>
    <t>Ciudad de México</t>
  </si>
  <si>
    <t>Michoacán</t>
  </si>
  <si>
    <t>Jalisco</t>
  </si>
  <si>
    <t>Tlaxcala</t>
  </si>
  <si>
    <t>Chihuahua</t>
  </si>
  <si>
    <t>Porcentaje de Matrículas</t>
  </si>
  <si>
    <t>Número de Matrículas</t>
  </si>
  <si>
    <t>Estado de Origen</t>
  </si>
  <si>
    <t>Villa de Cos</t>
  </si>
  <si>
    <t>Valparaíso</t>
  </si>
  <si>
    <t>Tlaltenango de Sánchez Román</t>
  </si>
  <si>
    <t>Guadalupe</t>
  </si>
  <si>
    <t>Fresnillo</t>
  </si>
  <si>
    <t>Benito Juárez</t>
  </si>
  <si>
    <t>Xaltocan</t>
  </si>
  <si>
    <t>Tlaxco</t>
  </si>
  <si>
    <t>Muñoz de Domingo Arenas</t>
  </si>
  <si>
    <t>Hueyotlipan</t>
  </si>
  <si>
    <t>Cuaxomulco</t>
  </si>
  <si>
    <t>Chiautempan</t>
  </si>
  <si>
    <t>Calpulalpan</t>
  </si>
  <si>
    <t>Apizaco</t>
  </si>
  <si>
    <t>Huimanguillo</t>
  </si>
  <si>
    <t>Sahuaripa</t>
  </si>
  <si>
    <t>Hermosillo</t>
  </si>
  <si>
    <t>Guaymas</t>
  </si>
  <si>
    <t>Culiacán</t>
  </si>
  <si>
    <t>Ahome</t>
  </si>
  <si>
    <t>Charcas</t>
  </si>
  <si>
    <t>San Juan del Río</t>
  </si>
  <si>
    <t>Amealco de Bonfil</t>
  </si>
  <si>
    <t>Tlapacoya</t>
  </si>
  <si>
    <t>Esperanza</t>
  </si>
  <si>
    <t>Monterrey</t>
  </si>
  <si>
    <t>Santa María del Oro</t>
  </si>
  <si>
    <t>Zamora</t>
  </si>
  <si>
    <t>Zacapu</t>
  </si>
  <si>
    <t>Queréndaro</t>
  </si>
  <si>
    <t>Morelia</t>
  </si>
  <si>
    <t>La Piedad</t>
  </si>
  <si>
    <t>Aguililla</t>
  </si>
  <si>
    <t>Unión de Tula</t>
  </si>
  <si>
    <t>San Pedro Tlaquepaque</t>
  </si>
  <si>
    <t>Tala</t>
  </si>
  <si>
    <t>San Juan de los Lagos</t>
  </si>
  <si>
    <t>Lagos de Moreno</t>
  </si>
  <si>
    <t>Guadalajara</t>
  </si>
  <si>
    <t>Ayutla</t>
  </si>
  <si>
    <t>Arandas</t>
  </si>
  <si>
    <t>Juan R. Escudero</t>
  </si>
  <si>
    <t>Acapulco de Juárez</t>
  </si>
  <si>
    <t>Yuriria</t>
  </si>
  <si>
    <t>Abasolo</t>
  </si>
  <si>
    <t>Toluca</t>
  </si>
  <si>
    <t>Tlalnepantla de Baz</t>
  </si>
  <si>
    <t>Nezahualcóyotl</t>
  </si>
  <si>
    <t>Ecatepec de Morelos</t>
  </si>
  <si>
    <t>San Bernardo</t>
  </si>
  <si>
    <t>Miguel Hidalgo</t>
  </si>
  <si>
    <t>Iztapalapa</t>
  </si>
  <si>
    <t>Iztacalco</t>
  </si>
  <si>
    <t>Gustavo A. Madero</t>
  </si>
  <si>
    <t>Cuauhtémoc</t>
  </si>
  <si>
    <t>Azcapotzalco</t>
  </si>
  <si>
    <t>Viesca</t>
  </si>
  <si>
    <t>Torreón</t>
  </si>
  <si>
    <t>Rosario</t>
  </si>
  <si>
    <t>Nuevo Casas Grandes</t>
  </si>
  <si>
    <t>Namiquipa</t>
  </si>
  <si>
    <t>Madera</t>
  </si>
  <si>
    <t>Juárez</t>
  </si>
  <si>
    <t>Ignacio Zaragoza</t>
  </si>
  <si>
    <t>Hidalgo del Parral</t>
  </si>
  <si>
    <t>Delicias</t>
  </si>
  <si>
    <t>Camargo</t>
  </si>
  <si>
    <t>Aldama</t>
  </si>
  <si>
    <t>Tijuana</t>
  </si>
  <si>
    <t>Municipio Origen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</si>
  <si>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</si>
  <si>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</si>
  <si>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</si>
  <si>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</si>
  <si>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</si>
  <si>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</si>
  <si>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</si>
  <si>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</si>
  <si>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</si>
  <si>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</si>
  <si>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</si>
  <si>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</si>
  <si>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</si>
  <si>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</si>
  <si>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</si>
  <si>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</si>
  <si>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Sin Estudios</t>
  </si>
  <si>
    <t>Nivel de Estudios</t>
  </si>
  <si>
    <t>MATRÍCULAS CONSULARES EXPEDIDAS EN EL ESTADO DE WYOMING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</si>
  <si>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</si>
  <si>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</si>
  <si>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</si>
  <si>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</si>
  <si>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</si>
  <si>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</si>
  <si>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</si>
  <si>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</si>
  <si>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</si>
  <si>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</si>
  <si>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</si>
  <si>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</si>
  <si>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</si>
  <si>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Mesero(a)</t>
  </si>
  <si>
    <t>Pintor(a)</t>
  </si>
  <si>
    <t>Jardinero(a)</t>
  </si>
  <si>
    <t>Albañil</t>
  </si>
  <si>
    <t>Otro</t>
  </si>
  <si>
    <t>Campesino(a)</t>
  </si>
  <si>
    <t>Cocinero(a)</t>
  </si>
  <si>
    <t>Obrero(a)</t>
  </si>
  <si>
    <t>Estudiante</t>
  </si>
  <si>
    <t>Hogar</t>
  </si>
  <si>
    <t>Empleado(a)</t>
  </si>
  <si>
    <t>Ocupación</t>
  </si>
  <si>
    <t>Yucatán</t>
  </si>
  <si>
    <t>Campeche</t>
  </si>
  <si>
    <t>Pabellón de Arteaga</t>
  </si>
  <si>
    <t>Rincón de Romos</t>
  </si>
  <si>
    <t>Bachíniva</t>
  </si>
  <si>
    <t>Bocoyna</t>
  </si>
  <si>
    <t>Meoqui</t>
  </si>
  <si>
    <t>Tecomán</t>
  </si>
  <si>
    <t>Tlalpan</t>
  </si>
  <si>
    <t>El Oro</t>
  </si>
  <si>
    <t>San Felipe del Progreso</t>
  </si>
  <si>
    <t>Irapuato</t>
  </si>
  <si>
    <t>León</t>
  </si>
  <si>
    <t>Pénjamo</t>
  </si>
  <si>
    <t>Pacula</t>
  </si>
  <si>
    <t>Tizapán el Alto</t>
  </si>
  <si>
    <t>Zapopan</t>
  </si>
  <si>
    <t>Ixtlán</t>
  </si>
  <si>
    <t>Tepic</t>
  </si>
  <si>
    <t>Tlacotepec de Benito Juárez</t>
  </si>
  <si>
    <t>Yehualtepec</t>
  </si>
  <si>
    <t>Rioverde</t>
  </si>
  <si>
    <t>Badiraguato</t>
  </si>
  <si>
    <t>Bacerac</t>
  </si>
  <si>
    <t>Cajeme</t>
  </si>
  <si>
    <t>Orizaba</t>
  </si>
  <si>
    <t>Genaro Codina</t>
  </si>
  <si>
    <t>2° Año de profesional</t>
  </si>
  <si>
    <t>3° Año de profesional</t>
  </si>
  <si>
    <t>Capacitación técnica</t>
  </si>
  <si>
    <t>Profesional titulado</t>
  </si>
  <si>
    <t>MATRÍCULAS CONSULARES DE ALTA SEGURIDAD EXPEDIDAS EN EL ESTADO DE WYOMING EN EE.UU. POR ESTADO DE LA REPÚBLICA MEXICANA DURANTE EL 2021</t>
  </si>
  <si>
    <t>Tamaño de la muestra: 701,861</t>
  </si>
  <si>
    <t>Mayo de 2022</t>
  </si>
  <si>
    <t>Tepezalá</t>
  </si>
  <si>
    <t>Carmen</t>
  </si>
  <si>
    <t>Acapetahua</t>
  </si>
  <si>
    <t>Allende</t>
  </si>
  <si>
    <t>Buenaventura</t>
  </si>
  <si>
    <t>Coronado</t>
  </si>
  <si>
    <t>El Tule</t>
  </si>
  <si>
    <t>Guadalupe y Calvo</t>
  </si>
  <si>
    <t>Manuel Benavides</t>
  </si>
  <si>
    <t>Satevó</t>
  </si>
  <si>
    <t>Saucillo</t>
  </si>
  <si>
    <t>Múzquiz</t>
  </si>
  <si>
    <t>Saltillo</t>
  </si>
  <si>
    <t>San Buenaventura</t>
  </si>
  <si>
    <t>Álvaro Obregón</t>
  </si>
  <si>
    <t>Milpa Alta</t>
  </si>
  <si>
    <t>Tláhuac</t>
  </si>
  <si>
    <t>Venustiano Carranza</t>
  </si>
  <si>
    <t>General Simón Bolívar</t>
  </si>
  <si>
    <t>Lerdo</t>
  </si>
  <si>
    <t>Mezquital</t>
  </si>
  <si>
    <t>Ocampo</t>
  </si>
  <si>
    <t>Vicente Guerrero</t>
  </si>
  <si>
    <t>Acolman</t>
  </si>
  <si>
    <t>Atizapán de Zaragoza</t>
  </si>
  <si>
    <t>Chiautla</t>
  </si>
  <si>
    <t>Chicoloapan</t>
  </si>
  <si>
    <t>Chiconcuac</t>
  </si>
  <si>
    <t>Chimalhuacán</t>
  </si>
  <si>
    <t>Cuautitlán Izcalli</t>
  </si>
  <si>
    <t>Naucalpan de Juárez</t>
  </si>
  <si>
    <t>San Simón de Guerrero</t>
  </si>
  <si>
    <t>Tecámac</t>
  </si>
  <si>
    <t>Texcoco</t>
  </si>
  <si>
    <t>Villa Victoria</t>
  </si>
  <si>
    <t>Celaya</t>
  </si>
  <si>
    <t>San Francisco del Rincón</t>
  </si>
  <si>
    <t>Uriangato</t>
  </si>
  <si>
    <t>Valle de Santiago</t>
  </si>
  <si>
    <t>Arcelia</t>
  </si>
  <si>
    <t>Azoyú</t>
  </si>
  <si>
    <t>Chilapa de Álvarez</t>
  </si>
  <si>
    <t>Chilpancingo de los Bravo</t>
  </si>
  <si>
    <t>Ometepec</t>
  </si>
  <si>
    <t>Quechultenango</t>
  </si>
  <si>
    <t>Tlacoachistlahuaca</t>
  </si>
  <si>
    <t>Tlapehuala</t>
  </si>
  <si>
    <t>Xalpatláhuac</t>
  </si>
  <si>
    <t>Apan</t>
  </si>
  <si>
    <t>Metepec</t>
  </si>
  <si>
    <t>Tulancingo de Bravo</t>
  </si>
  <si>
    <t>Acatic</t>
  </si>
  <si>
    <t>Ayotlán</t>
  </si>
  <si>
    <t>Cabo Corrientes</t>
  </si>
  <si>
    <t>Chimaltitán</t>
  </si>
  <si>
    <t>Cuautitlán de García Barragán</t>
  </si>
  <si>
    <t>Encarnación de Díaz</t>
  </si>
  <si>
    <t>Etzatlán</t>
  </si>
  <si>
    <t>La Huerta</t>
  </si>
  <si>
    <t>Magdalena</t>
  </si>
  <si>
    <t>Ocotlán</t>
  </si>
  <si>
    <t>Pihuamo</t>
  </si>
  <si>
    <t>San Cristóbal de la Barranca</t>
  </si>
  <si>
    <t>San Diego de Alejandría</t>
  </si>
  <si>
    <t>Teocaltiche</t>
  </si>
  <si>
    <t>Tlajomulco de Zúñiga</t>
  </si>
  <si>
    <t>Villa Corona</t>
  </si>
  <si>
    <t>Villa Hidalgo</t>
  </si>
  <si>
    <t>Villa Purificación</t>
  </si>
  <si>
    <t>Zapotlán el Grande</t>
  </si>
  <si>
    <t>Apatzingán</t>
  </si>
  <si>
    <t>Carácuaro</t>
  </si>
  <si>
    <t>Irimbo</t>
  </si>
  <si>
    <t>Jiménez</t>
  </si>
  <si>
    <t>Nocupétaro</t>
  </si>
  <si>
    <t>Parácuaro</t>
  </si>
  <si>
    <t>Peribán</t>
  </si>
  <si>
    <t>Tangancícuaro</t>
  </si>
  <si>
    <t>Tepalcatepec</t>
  </si>
  <si>
    <t>Turicato</t>
  </si>
  <si>
    <t>Tuxpan</t>
  </si>
  <si>
    <t>Uruapan</t>
  </si>
  <si>
    <t>Mazatepec</t>
  </si>
  <si>
    <t>Miacatlán</t>
  </si>
  <si>
    <t>Tetela del Volcán</t>
  </si>
  <si>
    <t>Amatlán de Cañas</t>
  </si>
  <si>
    <t>Huajicori</t>
  </si>
  <si>
    <t>Ixtlán del Río</t>
  </si>
  <si>
    <t>Ruíz</t>
  </si>
  <si>
    <t>Coicoyán de las Flores</t>
  </si>
  <si>
    <t>Oaxaca de Juárez</t>
  </si>
  <si>
    <t>Putla Villa de Guerrero</t>
  </si>
  <si>
    <t>San Juan Bautista Tuxtepec</t>
  </si>
  <si>
    <t>Santiago Amoltepec</t>
  </si>
  <si>
    <t>Santiago Yosondúa</t>
  </si>
  <si>
    <t>Santo Domingo Tepuxtepec</t>
  </si>
  <si>
    <t>Ajalpan</t>
  </si>
  <si>
    <t>Chignahuapan</t>
  </si>
  <si>
    <t>Ixtacamaxtitlán</t>
  </si>
  <si>
    <t>Los Reyes de Juárez</t>
  </si>
  <si>
    <t>San Miguel Xoxtla</t>
  </si>
  <si>
    <t>Tolimán</t>
  </si>
  <si>
    <t>Salinas</t>
  </si>
  <si>
    <t>Tierra Nueva</t>
  </si>
  <si>
    <t>Guasave</t>
  </si>
  <si>
    <t>Agua Prieta</t>
  </si>
  <si>
    <t>Empalme</t>
  </si>
  <si>
    <t>Nacozari de García</t>
  </si>
  <si>
    <t>Nogales</t>
  </si>
  <si>
    <t>San Luis Río Colorado</t>
  </si>
  <si>
    <t>Centla</t>
  </si>
  <si>
    <t>Centro</t>
  </si>
  <si>
    <t>Tampico</t>
  </si>
  <si>
    <t>Atlangatepec</t>
  </si>
  <si>
    <t>Panotla</t>
  </si>
  <si>
    <t>Tepetitla de Lardizábal</t>
  </si>
  <si>
    <t>Terrenate</t>
  </si>
  <si>
    <t>Yauhquemehcan</t>
  </si>
  <si>
    <t>Zacatelco</t>
  </si>
  <si>
    <t>Comapa</t>
  </si>
  <si>
    <t>Cosamaloapan de Carpio</t>
  </si>
  <si>
    <t>Martínez de la Torre</t>
  </si>
  <si>
    <t>Omealca</t>
  </si>
  <si>
    <t>Pánuco</t>
  </si>
  <si>
    <t>Soteapan</t>
  </si>
  <si>
    <t>Tempoal</t>
  </si>
  <si>
    <t>Xalapa</t>
  </si>
  <si>
    <t>Mérida</t>
  </si>
  <si>
    <t>Atolinga</t>
  </si>
  <si>
    <t>Calera</t>
  </si>
  <si>
    <t>Chalchihuites</t>
  </si>
  <si>
    <t>Jalpa</t>
  </si>
  <si>
    <t>Jerez</t>
  </si>
  <si>
    <t>Moyahua de Estrada</t>
  </si>
  <si>
    <t>Noria de Ángeles</t>
  </si>
  <si>
    <t>Pinos</t>
  </si>
  <si>
    <t>Río Grande</t>
  </si>
  <si>
    <t>Sombrerete</t>
  </si>
  <si>
    <t>Teúl de González Ortega</t>
  </si>
  <si>
    <t>Villanueva</t>
  </si>
  <si>
    <t>1° Primaria</t>
  </si>
  <si>
    <t>Menores de edad</t>
  </si>
  <si>
    <t>Menores De Edad</t>
  </si>
  <si>
    <t>MATRÍCULAS CONSULARES DE ALTA SEGURIDAD EXPEDIDAS EN EE.UU A MEXICANOS EN EL ESTADO DE WYOMING, POR GÉNERO 2021</t>
  </si>
  <si>
    <t>Hasta 10 Años</t>
  </si>
  <si>
    <t>MATRÍCULAS CONSULARES DE ALTA SEGURIDAD EXPEDIDAS EN EE.UU A MEXICANOS EN EL ESTADO DE  WYOMING, POR PERFIL OCUPACIONAL 2021</t>
  </si>
  <si>
    <t>Cajero(a)</t>
  </si>
  <si>
    <t>Carnicero</t>
  </si>
  <si>
    <t>Matrículas consulares expedidas a mexicanos  en el estado de Wyoming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</si>
</sst>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21" fillId="0" borderId="0"/>
  </cellStyleXfs>
  <cellXfs count="79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12" fillId="3" borderId="0" xfId="0" applyNumberFormat="1" applyFont="1" applyFill="1"/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horizontal="justify" vertical="center"/>
    </xf>
    <xf numFmtId="0" fontId="18" fillId="0" borderId="0" xfId="0" applyFont="1" applyAlignment="1">
      <alignment vertical="top"/>
    </xf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476196</xdr:colOff>
      <xdr:row>1</xdr:row>
      <xdr:rowOff>190829</xdr:rowOff>
    </xdr:from>
    <xdr:to>
      <xdr:col>3</xdr:col>
      <xdr:colOff>988293</xdr:colOff>
      <xdr:row>2</xdr:row>
      <xdr:rowOff>181305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00421" y="724229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590550</xdr:colOff>
      <xdr:row>8</xdr:row>
      <xdr:rowOff>66675</xdr:rowOff>
    </xdr:from>
    <xdr:to>
      <xdr:col>6</xdr:col>
      <xdr:colOff>102522</xdr:colOff>
      <xdr:row>8</xdr:row>
      <xdr:rowOff>257176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811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WYOMING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190501</xdr:rowOff>
    </xdr:from>
    <xdr:to>
      <xdr:col>4</xdr:col>
      <xdr:colOff>1085850</xdr:colOff>
      <xdr:row>7</xdr:row>
      <xdr:rowOff>361951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7037" y="1933576"/>
          <a:ext cx="527488" cy="1714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619125</xdr:colOff>
      <xdr:row>8</xdr:row>
      <xdr:rowOff>171450</xdr:rowOff>
    </xdr:from>
    <xdr:to>
      <xdr:col>3</xdr:col>
      <xdr:colOff>1131222</xdr:colOff>
      <xdr:row>8</xdr:row>
      <xdr:rowOff>361951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57700" y="18859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WYOMING,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164224</xdr:rowOff>
    </xdr:from>
    <xdr:to>
      <xdr:col>4</xdr:col>
      <xdr:colOff>1031045</xdr:colOff>
      <xdr:row>7</xdr:row>
      <xdr:rowOff>354725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9050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8</xdr:row>
      <xdr:rowOff>142875</xdr:rowOff>
    </xdr:from>
    <xdr:to>
      <xdr:col>4</xdr:col>
      <xdr:colOff>493047</xdr:colOff>
      <xdr:row>8</xdr:row>
      <xdr:rowOff>333376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8573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WYOMING,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151086</xdr:rowOff>
    </xdr:from>
    <xdr:to>
      <xdr:col>4</xdr:col>
      <xdr:colOff>991631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WYOMING,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446689</xdr:colOff>
      <xdr:row>7</xdr:row>
      <xdr:rowOff>105103</xdr:rowOff>
    </xdr:from>
    <xdr:to>
      <xdr:col>4</xdr:col>
      <xdr:colOff>958786</xdr:colOff>
      <xdr:row>7</xdr:row>
      <xdr:rowOff>295604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84379" y="184587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343</v>
      </c>
      <c r="B1" s="67"/>
      <c r="C1" s="67"/>
      <c r="D1" s="68"/>
    </row>
    <row r="2" spans="1:4" ht="18.75">
      <c r="A2" s="16"/>
      <c r="B2" s="15"/>
      <c r="C2" s="15"/>
      <c r="D2" s="14"/>
    </row>
    <row r="3" spans="1:4">
      <c r="A3" s="69" t="s">
        <v>11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13"/>
      <c r="B5" s="12"/>
      <c r="C5" s="12"/>
      <c r="D5" s="11"/>
    </row>
    <row r="6" spans="1:4" ht="18.75">
      <c r="A6" s="65" t="s">
        <v>10</v>
      </c>
      <c r="B6" s="63"/>
      <c r="C6" s="63"/>
      <c r="D6" s="64"/>
    </row>
    <row r="7" spans="1:4" ht="18.75">
      <c r="A7" s="10"/>
      <c r="B7" s="9"/>
      <c r="C7" s="9"/>
      <c r="D7" s="8"/>
    </row>
    <row r="8" spans="1:4" ht="18.75">
      <c r="A8" s="7" t="s">
        <v>9</v>
      </c>
      <c r="B8" s="6"/>
      <c r="C8" s="6"/>
      <c r="D8" s="5"/>
    </row>
    <row r="9" spans="1:4" ht="18.75">
      <c r="A9" s="7"/>
      <c r="B9" s="63" t="s">
        <v>8</v>
      </c>
      <c r="C9" s="63"/>
      <c r="D9" s="64"/>
    </row>
    <row r="10" spans="1:4" ht="18.75">
      <c r="A10" s="7" t="s">
        <v>7</v>
      </c>
      <c r="B10" s="6"/>
      <c r="C10" s="6"/>
      <c r="D10" s="5"/>
    </row>
    <row r="11" spans="1:4" ht="18.75">
      <c r="A11" s="7"/>
      <c r="B11" s="63" t="s">
        <v>6</v>
      </c>
      <c r="C11" s="63"/>
      <c r="D11" s="64"/>
    </row>
    <row r="12" spans="1:4" ht="18.75">
      <c r="A12" s="7"/>
      <c r="B12" s="63" t="s">
        <v>5</v>
      </c>
      <c r="C12" s="63"/>
      <c r="D12" s="64"/>
    </row>
    <row r="13" spans="1:4" ht="18.75">
      <c r="A13" s="7"/>
      <c r="B13" s="6"/>
      <c r="C13" s="6"/>
      <c r="D13" s="5"/>
    </row>
    <row r="14" spans="1:4" ht="18.75">
      <c r="A14" s="7" t="s">
        <v>4</v>
      </c>
      <c r="B14" s="6"/>
      <c r="C14" s="6"/>
      <c r="D14" s="5"/>
    </row>
    <row r="15" spans="1:4" ht="18.75">
      <c r="A15" s="7"/>
      <c r="B15" s="63" t="s">
        <v>3</v>
      </c>
      <c r="C15" s="63"/>
      <c r="D15" s="64"/>
    </row>
    <row r="16" spans="1:4" ht="18.75">
      <c r="A16" s="7"/>
      <c r="B16" s="63" t="s">
        <v>2</v>
      </c>
      <c r="C16" s="63"/>
      <c r="D16" s="64"/>
    </row>
    <row r="17" spans="1:4" ht="18.75">
      <c r="A17" s="7"/>
      <c r="B17" s="6"/>
      <c r="C17" s="6"/>
      <c r="D17" s="5"/>
    </row>
    <row r="18" spans="1:4" ht="18.75">
      <c r="A18" s="65" t="s">
        <v>1</v>
      </c>
      <c r="B18" s="63"/>
      <c r="C18" s="63"/>
      <c r="D18" s="64"/>
    </row>
    <row r="19" spans="1:4" ht="18.75">
      <c r="A19" s="7"/>
      <c r="B19" s="6"/>
      <c r="C19" s="6"/>
      <c r="D19" s="5"/>
    </row>
    <row r="20" spans="1:4" ht="18.75">
      <c r="A20" s="65" t="s">
        <v>0</v>
      </c>
      <c r="B20" s="63"/>
      <c r="C20" s="63"/>
      <c r="D20" s="64"/>
    </row>
    <row r="21" spans="1:4" ht="19.5" thickBot="1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Wyoming_Edomexgral!A1" display="1. Por Estados de la República Mexicana"/>
    <hyperlink ref="B9" location="'New Jersey_EDOMEX'!A1" display="2.1 Por estado de la República Mexicana y municipio de origen"/>
    <hyperlink ref="B11:D11" location="Wyoming_Educagral!A1" display="3.1 Educación general"/>
    <hyperlink ref="B12:D12" location="Wyoming_Eduedo!A1" display="3.2 Por Estado de la República Mexicana"/>
    <hyperlink ref="B15:D15" location="Wyoming_gengral!A1" display="4.1 Género General"/>
    <hyperlink ref="B16:D16" location="Wyoming_gengral!A1" display="4.2 Por Estados de la República Mexicana"/>
    <hyperlink ref="A18:D18" location="Wyoming_edadgen!A1" display="5. Por estructura de Edad"/>
    <hyperlink ref="A20:D20" location="Wyoming_ocupgral!A1" display="6. Por Ocupación"/>
    <hyperlink ref="B9:D9" location="Wyoming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8"/>
  <sheetViews>
    <sheetView showGridLines="0" topLeftCell="A19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192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46</v>
      </c>
      <c r="C11" s="31" t="s">
        <v>45</v>
      </c>
      <c r="D11" s="30" t="s">
        <v>44</v>
      </c>
    </row>
    <row r="12" spans="1:5">
      <c r="B12" s="27" t="s">
        <v>42</v>
      </c>
      <c r="C12" s="26">
        <v>152</v>
      </c>
      <c r="D12" s="25">
        <v>0.22125181950509462</v>
      </c>
    </row>
    <row r="13" spans="1:5">
      <c r="B13" s="27" t="s">
        <v>43</v>
      </c>
      <c r="C13" s="26">
        <v>94</v>
      </c>
      <c r="D13" s="25">
        <v>0.13682678311499272</v>
      </c>
    </row>
    <row r="14" spans="1:5">
      <c r="A14" s="28"/>
      <c r="B14" s="27" t="s">
        <v>41</v>
      </c>
      <c r="C14" s="26">
        <v>60</v>
      </c>
      <c r="D14" s="25">
        <v>8.7336244541484712E-2</v>
      </c>
      <c r="E14" s="28"/>
    </row>
    <row r="15" spans="1:5">
      <c r="A15" s="28"/>
      <c r="B15" s="27" t="s">
        <v>39</v>
      </c>
      <c r="C15" s="26">
        <v>51</v>
      </c>
      <c r="D15" s="25">
        <v>7.4235807860262015E-2</v>
      </c>
      <c r="E15" s="28"/>
    </row>
    <row r="16" spans="1:5">
      <c r="B16" s="27" t="s">
        <v>40</v>
      </c>
      <c r="C16" s="26">
        <v>44</v>
      </c>
      <c r="D16" s="25">
        <v>6.4046579330422126E-2</v>
      </c>
    </row>
    <row r="17" spans="2:4">
      <c r="B17" s="27" t="s">
        <v>38</v>
      </c>
      <c r="C17" s="26">
        <v>42</v>
      </c>
      <c r="D17" s="25">
        <v>6.1135371179039298E-2</v>
      </c>
    </row>
    <row r="18" spans="2:4">
      <c r="B18" s="27" t="s">
        <v>31</v>
      </c>
      <c r="C18" s="26">
        <v>28</v>
      </c>
      <c r="D18" s="25">
        <v>4.0756914119359534E-2</v>
      </c>
    </row>
    <row r="19" spans="2:4">
      <c r="B19" s="27" t="s">
        <v>36</v>
      </c>
      <c r="C19" s="26">
        <v>26</v>
      </c>
      <c r="D19" s="25">
        <v>3.7845705967976713E-2</v>
      </c>
    </row>
    <row r="20" spans="2:4">
      <c r="B20" s="27" t="s">
        <v>37</v>
      </c>
      <c r="C20" s="26">
        <v>25</v>
      </c>
      <c r="D20" s="25">
        <v>3.6390101892285295E-2</v>
      </c>
    </row>
    <row r="21" spans="2:4">
      <c r="B21" s="27" t="s">
        <v>29</v>
      </c>
      <c r="C21" s="26">
        <v>23</v>
      </c>
      <c r="D21" s="25">
        <v>3.3478893740902474E-2</v>
      </c>
    </row>
    <row r="22" spans="2:4">
      <c r="B22" s="27" t="s">
        <v>34</v>
      </c>
      <c r="C22" s="26">
        <v>20</v>
      </c>
      <c r="D22" s="25">
        <v>2.9112081513828238E-2</v>
      </c>
    </row>
    <row r="23" spans="2:4">
      <c r="B23" s="27" t="s">
        <v>25</v>
      </c>
      <c r="C23" s="26">
        <v>13</v>
      </c>
      <c r="D23" s="25">
        <v>1.8922852983988356E-2</v>
      </c>
    </row>
    <row r="24" spans="2:4">
      <c r="B24" s="27" t="s">
        <v>30</v>
      </c>
      <c r="C24" s="26">
        <v>13</v>
      </c>
      <c r="D24" s="25">
        <v>1.8922852983988356E-2</v>
      </c>
    </row>
    <row r="25" spans="2:4">
      <c r="B25" s="27" t="s">
        <v>35</v>
      </c>
      <c r="C25" s="26">
        <v>12</v>
      </c>
      <c r="D25" s="25">
        <v>1.7467248908296942E-2</v>
      </c>
    </row>
    <row r="26" spans="2:4">
      <c r="B26" s="27" t="s">
        <v>26</v>
      </c>
      <c r="C26" s="26">
        <v>11</v>
      </c>
      <c r="D26" s="25">
        <v>1.6011644832605532E-2</v>
      </c>
    </row>
    <row r="27" spans="2:4">
      <c r="B27" s="27" t="s">
        <v>28</v>
      </c>
      <c r="C27" s="26">
        <v>10</v>
      </c>
      <c r="D27" s="25">
        <v>1.4556040756914119E-2</v>
      </c>
    </row>
    <row r="28" spans="2:4">
      <c r="B28" s="27" t="s">
        <v>23</v>
      </c>
      <c r="C28" s="26">
        <v>9</v>
      </c>
      <c r="D28" s="25">
        <v>1.3100436681222707E-2</v>
      </c>
    </row>
    <row r="29" spans="2:4">
      <c r="B29" s="27" t="s">
        <v>22</v>
      </c>
      <c r="C29" s="26">
        <v>8</v>
      </c>
      <c r="D29" s="25">
        <v>1.1644832605531296E-2</v>
      </c>
    </row>
    <row r="30" spans="2:4">
      <c r="B30" s="27" t="s">
        <v>33</v>
      </c>
      <c r="C30" s="26">
        <v>8</v>
      </c>
      <c r="D30" s="25">
        <v>1.1644832605531296E-2</v>
      </c>
    </row>
    <row r="31" spans="2:4">
      <c r="B31" s="27" t="s">
        <v>32</v>
      </c>
      <c r="C31" s="26">
        <v>6</v>
      </c>
      <c r="D31" s="25">
        <v>8.7336244541484712E-3</v>
      </c>
    </row>
    <row r="32" spans="2:4">
      <c r="B32" s="27" t="s">
        <v>21</v>
      </c>
      <c r="C32" s="26">
        <v>5</v>
      </c>
      <c r="D32" s="25">
        <v>7.2780203784570596E-3</v>
      </c>
    </row>
    <row r="33" spans="2:4">
      <c r="B33" s="27" t="s">
        <v>24</v>
      </c>
      <c r="C33" s="26">
        <v>5</v>
      </c>
      <c r="D33" s="25">
        <v>7.2780203784570596E-3</v>
      </c>
    </row>
    <row r="34" spans="2:4">
      <c r="B34" s="27" t="s">
        <v>17</v>
      </c>
      <c r="C34" s="26">
        <v>5</v>
      </c>
      <c r="D34" s="25">
        <v>7.2780203784570596E-3</v>
      </c>
    </row>
    <row r="35" spans="2:4">
      <c r="B35" s="27" t="s">
        <v>20</v>
      </c>
      <c r="C35" s="26">
        <v>4</v>
      </c>
      <c r="D35" s="25">
        <v>5.822416302765648E-3</v>
      </c>
    </row>
    <row r="36" spans="2:4">
      <c r="B36" s="27" t="s">
        <v>16</v>
      </c>
      <c r="C36" s="26">
        <v>4</v>
      </c>
      <c r="D36" s="25">
        <v>5.822416302765648E-3</v>
      </c>
    </row>
    <row r="37" spans="2:4">
      <c r="B37" s="27" t="s">
        <v>18</v>
      </c>
      <c r="C37" s="26">
        <v>3</v>
      </c>
      <c r="D37" s="25">
        <v>4.3668122270742356E-3</v>
      </c>
    </row>
    <row r="38" spans="2:4">
      <c r="B38" s="27" t="s">
        <v>27</v>
      </c>
      <c r="C38" s="26">
        <v>2</v>
      </c>
      <c r="D38" s="25">
        <v>2.911208151382824E-3</v>
      </c>
    </row>
    <row r="39" spans="2:4">
      <c r="B39" s="27" t="s">
        <v>161</v>
      </c>
      <c r="C39" s="26">
        <v>2</v>
      </c>
      <c r="D39" s="25">
        <v>2.911208151382824E-3</v>
      </c>
    </row>
    <row r="40" spans="2:4">
      <c r="B40" s="27" t="s">
        <v>162</v>
      </c>
      <c r="C40" s="26">
        <v>1</v>
      </c>
      <c r="D40" s="25">
        <v>1.455604075691412E-3</v>
      </c>
    </row>
    <row r="41" spans="2:4">
      <c r="B41" s="27" t="s">
        <v>19</v>
      </c>
      <c r="C41" s="26">
        <v>1</v>
      </c>
      <c r="D41" s="25">
        <v>1.455604075691412E-3</v>
      </c>
    </row>
    <row r="42" spans="2:4">
      <c r="B42" s="24" t="s">
        <v>15</v>
      </c>
      <c r="C42" s="23">
        <v>687</v>
      </c>
      <c r="D42" s="22">
        <v>1</v>
      </c>
    </row>
    <row r="44" spans="2:4">
      <c r="B44" s="19" t="s">
        <v>193</v>
      </c>
    </row>
    <row r="45" spans="2:4">
      <c r="B45" s="21" t="s">
        <v>14</v>
      </c>
    </row>
    <row r="46" spans="2:4">
      <c r="B46" s="20" t="s">
        <v>13</v>
      </c>
    </row>
    <row r="47" spans="2:4">
      <c r="B47" s="19" t="s">
        <v>12</v>
      </c>
    </row>
    <row r="48" spans="2:4">
      <c r="B48" s="19" t="s">
        <v>194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294"/>
  <sheetViews>
    <sheetView showGridLines="0" topLeftCell="A264" zoomScaleNormal="100" zoomScaleSheetLayoutView="100" workbookViewId="0">
      <selection activeCell="B10" sqref="B10:B1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46</v>
      </c>
      <c r="C9" s="49" t="s">
        <v>116</v>
      </c>
      <c r="D9" s="48" t="s">
        <v>45</v>
      </c>
      <c r="E9" s="47" t="s">
        <v>44</v>
      </c>
    </row>
    <row r="10" spans="1:5" ht="15" customHeight="1">
      <c r="B10" s="73" t="s">
        <v>25</v>
      </c>
      <c r="C10" s="45" t="s">
        <v>25</v>
      </c>
      <c r="D10" s="44">
        <v>6</v>
      </c>
      <c r="E10" s="43">
        <v>8.7336244541484712E-3</v>
      </c>
    </row>
    <row r="11" spans="1:5" ht="15" customHeight="1">
      <c r="B11" s="74"/>
      <c r="C11" s="45" t="s">
        <v>163</v>
      </c>
      <c r="D11" s="44">
        <v>3</v>
      </c>
      <c r="E11" s="43">
        <v>4.3668122270742356E-3</v>
      </c>
    </row>
    <row r="12" spans="1:5" ht="15" customHeight="1">
      <c r="B12" s="74"/>
      <c r="C12" s="45" t="s">
        <v>164</v>
      </c>
      <c r="D12" s="44">
        <v>3</v>
      </c>
      <c r="E12" s="43">
        <v>4.3668122270742356E-3</v>
      </c>
    </row>
    <row r="13" spans="1:5" ht="15" customHeight="1">
      <c r="B13" s="74"/>
      <c r="C13" s="45" t="s">
        <v>195</v>
      </c>
      <c r="D13" s="44">
        <v>1</v>
      </c>
      <c r="E13" s="43">
        <v>1.455604075691412E-3</v>
      </c>
    </row>
    <row r="14" spans="1:5" ht="15" customHeight="1">
      <c r="B14" s="75"/>
      <c r="C14" s="42" t="s">
        <v>15</v>
      </c>
      <c r="D14" s="41">
        <v>13</v>
      </c>
      <c r="E14" s="40">
        <v>1.8922852983988356E-2</v>
      </c>
    </row>
    <row r="15" spans="1:5" ht="15" customHeight="1">
      <c r="B15" s="73" t="s">
        <v>22</v>
      </c>
      <c r="C15" s="45" t="s">
        <v>115</v>
      </c>
      <c r="D15" s="44">
        <v>8</v>
      </c>
      <c r="E15" s="43">
        <v>1.1644832605531296E-2</v>
      </c>
    </row>
    <row r="16" spans="1:5" ht="15" customHeight="1">
      <c r="B16" s="75"/>
      <c r="C16" s="42" t="s">
        <v>15</v>
      </c>
      <c r="D16" s="41">
        <v>8</v>
      </c>
      <c r="E16" s="40">
        <v>1.1644832605531296E-2</v>
      </c>
    </row>
    <row r="17" spans="2:5" ht="15" customHeight="1">
      <c r="B17" s="73" t="s">
        <v>162</v>
      </c>
      <c r="C17" s="45" t="s">
        <v>196</v>
      </c>
      <c r="D17" s="44">
        <v>1</v>
      </c>
      <c r="E17" s="43">
        <v>1.455604075691412E-3</v>
      </c>
    </row>
    <row r="18" spans="2:5" ht="15" customHeight="1">
      <c r="B18" s="75"/>
      <c r="C18" s="42" t="s">
        <v>15</v>
      </c>
      <c r="D18" s="41">
        <v>1</v>
      </c>
      <c r="E18" s="40">
        <v>1.455604075691412E-3</v>
      </c>
    </row>
    <row r="19" spans="2:5" ht="15" customHeight="1">
      <c r="B19" s="73" t="s">
        <v>27</v>
      </c>
      <c r="C19" s="45" t="s">
        <v>197</v>
      </c>
      <c r="D19" s="44">
        <v>2</v>
      </c>
      <c r="E19" s="43">
        <v>2.911208151382824E-3</v>
      </c>
    </row>
    <row r="20" spans="2:5" ht="15" customHeight="1">
      <c r="B20" s="75"/>
      <c r="C20" s="42" t="s">
        <v>15</v>
      </c>
      <c r="D20" s="41">
        <v>2</v>
      </c>
      <c r="E20" s="40">
        <v>2.911208151382824E-3</v>
      </c>
    </row>
    <row r="21" spans="2:5" ht="15" customHeight="1">
      <c r="B21" s="73" t="s">
        <v>43</v>
      </c>
      <c r="C21" s="45" t="s">
        <v>114</v>
      </c>
      <c r="D21" s="44">
        <v>2</v>
      </c>
      <c r="E21" s="43">
        <v>2.911208151382824E-3</v>
      </c>
    </row>
    <row r="22" spans="2:5" ht="15" customHeight="1">
      <c r="B22" s="74"/>
      <c r="C22" s="45" t="s">
        <v>198</v>
      </c>
      <c r="D22" s="44">
        <v>2</v>
      </c>
      <c r="E22" s="43">
        <v>2.911208151382824E-3</v>
      </c>
    </row>
    <row r="23" spans="2:5" ht="15" customHeight="1">
      <c r="B23" s="74"/>
      <c r="C23" s="45" t="s">
        <v>165</v>
      </c>
      <c r="D23" s="44">
        <v>1</v>
      </c>
      <c r="E23" s="43">
        <v>1.455604075691412E-3</v>
      </c>
    </row>
    <row r="24" spans="2:5" ht="15" customHeight="1">
      <c r="B24" s="74"/>
      <c r="C24" s="45" t="s">
        <v>166</v>
      </c>
      <c r="D24" s="44">
        <v>2</v>
      </c>
      <c r="E24" s="43">
        <v>2.911208151382824E-3</v>
      </c>
    </row>
    <row r="25" spans="2:5" ht="15" customHeight="1">
      <c r="B25" s="74"/>
      <c r="C25" s="45" t="s">
        <v>199</v>
      </c>
      <c r="D25" s="44">
        <v>3</v>
      </c>
      <c r="E25" s="43">
        <v>4.3668122270742356E-3</v>
      </c>
    </row>
    <row r="26" spans="2:5" ht="15" customHeight="1">
      <c r="B26" s="74"/>
      <c r="C26" s="45" t="s">
        <v>113</v>
      </c>
      <c r="D26" s="44">
        <v>3</v>
      </c>
      <c r="E26" s="43">
        <v>4.3668122270742356E-3</v>
      </c>
    </row>
    <row r="27" spans="2:5" ht="15" customHeight="1">
      <c r="B27" s="74"/>
      <c r="C27" s="45" t="s">
        <v>43</v>
      </c>
      <c r="D27" s="44">
        <v>25</v>
      </c>
      <c r="E27" s="43">
        <v>3.6390101892285295E-2</v>
      </c>
    </row>
    <row r="28" spans="2:5" ht="15" customHeight="1">
      <c r="B28" s="74"/>
      <c r="C28" s="45" t="s">
        <v>200</v>
      </c>
      <c r="D28" s="44">
        <v>2</v>
      </c>
      <c r="E28" s="43">
        <v>2.911208151382824E-3</v>
      </c>
    </row>
    <row r="29" spans="2:5" ht="15" customHeight="1">
      <c r="B29" s="74"/>
      <c r="C29" s="45" t="s">
        <v>101</v>
      </c>
      <c r="D29" s="44">
        <v>8</v>
      </c>
      <c r="E29" s="43">
        <v>1.1644832605531296E-2</v>
      </c>
    </row>
    <row r="30" spans="2:5" ht="15" customHeight="1">
      <c r="B30" s="74"/>
      <c r="C30" s="45" t="s">
        <v>112</v>
      </c>
      <c r="D30" s="44">
        <v>12</v>
      </c>
      <c r="E30" s="43">
        <v>1.7467248908296942E-2</v>
      </c>
    </row>
    <row r="31" spans="2:5" ht="15" customHeight="1">
      <c r="B31" s="74"/>
      <c r="C31" s="45" t="s">
        <v>201</v>
      </c>
      <c r="D31" s="44">
        <v>1</v>
      </c>
      <c r="E31" s="43">
        <v>1.455604075691412E-3</v>
      </c>
    </row>
    <row r="32" spans="2:5" ht="15" customHeight="1">
      <c r="B32" s="74"/>
      <c r="C32" s="45" t="s">
        <v>50</v>
      </c>
      <c r="D32" s="44">
        <v>1</v>
      </c>
      <c r="E32" s="43">
        <v>1.455604075691412E-3</v>
      </c>
    </row>
    <row r="33" spans="2:5" ht="15" customHeight="1">
      <c r="B33" s="74"/>
      <c r="C33" s="45" t="s">
        <v>202</v>
      </c>
      <c r="D33" s="44">
        <v>1</v>
      </c>
      <c r="E33" s="43">
        <v>1.455604075691412E-3</v>
      </c>
    </row>
    <row r="34" spans="2:5" ht="15" customHeight="1">
      <c r="B34" s="74"/>
      <c r="C34" s="45" t="s">
        <v>34</v>
      </c>
      <c r="D34" s="44">
        <v>1</v>
      </c>
      <c r="E34" s="43">
        <v>1.455604075691412E-3</v>
      </c>
    </row>
    <row r="35" spans="2:5" ht="15" customHeight="1">
      <c r="B35" s="74"/>
      <c r="C35" s="45" t="s">
        <v>111</v>
      </c>
      <c r="D35" s="44">
        <v>9</v>
      </c>
      <c r="E35" s="43">
        <v>1.3100436681222707E-2</v>
      </c>
    </row>
    <row r="36" spans="2:5" ht="15" customHeight="1">
      <c r="B36" s="74"/>
      <c r="C36" s="45" t="s">
        <v>110</v>
      </c>
      <c r="D36" s="44">
        <v>1</v>
      </c>
      <c r="E36" s="43">
        <v>1.455604075691412E-3</v>
      </c>
    </row>
    <row r="37" spans="2:5" ht="15" customHeight="1">
      <c r="B37" s="74"/>
      <c r="C37" s="45" t="s">
        <v>109</v>
      </c>
      <c r="D37" s="44">
        <v>2</v>
      </c>
      <c r="E37" s="43">
        <v>2.911208151382824E-3</v>
      </c>
    </row>
    <row r="38" spans="2:5" ht="15" customHeight="1">
      <c r="B38" s="74"/>
      <c r="C38" s="45" t="s">
        <v>108</v>
      </c>
      <c r="D38" s="44">
        <v>6</v>
      </c>
      <c r="E38" s="43">
        <v>8.7336244541484712E-3</v>
      </c>
    </row>
    <row r="39" spans="2:5" ht="15" customHeight="1">
      <c r="B39" s="74"/>
      <c r="C39" s="45" t="s">
        <v>203</v>
      </c>
      <c r="D39" s="44">
        <v>1</v>
      </c>
      <c r="E39" s="43">
        <v>1.455604075691412E-3</v>
      </c>
    </row>
    <row r="40" spans="2:5" ht="15" customHeight="1">
      <c r="B40" s="74"/>
      <c r="C40" s="45" t="s">
        <v>167</v>
      </c>
      <c r="D40" s="44">
        <v>1</v>
      </c>
      <c r="E40" s="43">
        <v>1.455604075691412E-3</v>
      </c>
    </row>
    <row r="41" spans="2:5" ht="15" customHeight="1">
      <c r="B41" s="74"/>
      <c r="C41" s="45" t="s">
        <v>18</v>
      </c>
      <c r="D41" s="44">
        <v>1</v>
      </c>
      <c r="E41" s="43">
        <v>1.455604075691412E-3</v>
      </c>
    </row>
    <row r="42" spans="2:5" ht="15" customHeight="1">
      <c r="B42" s="74"/>
      <c r="C42" s="45" t="s">
        <v>107</v>
      </c>
      <c r="D42" s="44">
        <v>3</v>
      </c>
      <c r="E42" s="43">
        <v>4.3668122270742356E-3</v>
      </c>
    </row>
    <row r="43" spans="2:5" ht="15" customHeight="1">
      <c r="B43" s="74"/>
      <c r="C43" s="45" t="s">
        <v>106</v>
      </c>
      <c r="D43" s="44">
        <v>2</v>
      </c>
      <c r="E43" s="43">
        <v>2.911208151382824E-3</v>
      </c>
    </row>
    <row r="44" spans="2:5" ht="15" customHeight="1">
      <c r="B44" s="74"/>
      <c r="C44" s="45" t="s">
        <v>105</v>
      </c>
      <c r="D44" s="44">
        <v>1</v>
      </c>
      <c r="E44" s="43">
        <v>1.455604075691412E-3</v>
      </c>
    </row>
    <row r="45" spans="2:5" ht="15" customHeight="1">
      <c r="B45" s="74"/>
      <c r="C45" s="45" t="s">
        <v>204</v>
      </c>
      <c r="D45" s="44">
        <v>1</v>
      </c>
      <c r="E45" s="43">
        <v>1.455604075691412E-3</v>
      </c>
    </row>
    <row r="46" spans="2:5" ht="15" customHeight="1">
      <c r="B46" s="74"/>
      <c r="C46" s="45" t="s">
        <v>205</v>
      </c>
      <c r="D46" s="44">
        <v>2</v>
      </c>
      <c r="E46" s="43">
        <v>2.911208151382824E-3</v>
      </c>
    </row>
    <row r="47" spans="2:5" ht="15" customHeight="1">
      <c r="B47" s="75"/>
      <c r="C47" s="42" t="s">
        <v>15</v>
      </c>
      <c r="D47" s="41">
        <v>94</v>
      </c>
      <c r="E47" s="40">
        <v>0.13682678311499272</v>
      </c>
    </row>
    <row r="48" spans="2:5" ht="15" customHeight="1">
      <c r="B48" s="73" t="s">
        <v>23</v>
      </c>
      <c r="C48" s="45" t="s">
        <v>198</v>
      </c>
      <c r="D48" s="44">
        <v>1</v>
      </c>
      <c r="E48" s="43">
        <v>1.455604075691412E-3</v>
      </c>
    </row>
    <row r="49" spans="2:5" ht="15" customHeight="1">
      <c r="B49" s="74"/>
      <c r="C49" s="45" t="s">
        <v>206</v>
      </c>
      <c r="D49" s="44">
        <v>1</v>
      </c>
      <c r="E49" s="43">
        <v>1.455604075691412E-3</v>
      </c>
    </row>
    <row r="50" spans="2:5" ht="15" customHeight="1">
      <c r="B50" s="74"/>
      <c r="C50" s="45" t="s">
        <v>207</v>
      </c>
      <c r="D50" s="44">
        <v>1</v>
      </c>
      <c r="E50" s="43">
        <v>1.455604075691412E-3</v>
      </c>
    </row>
    <row r="51" spans="2:5" ht="15" customHeight="1">
      <c r="B51" s="74"/>
      <c r="C51" s="45" t="s">
        <v>208</v>
      </c>
      <c r="D51" s="44">
        <v>1</v>
      </c>
      <c r="E51" s="43">
        <v>1.455604075691412E-3</v>
      </c>
    </row>
    <row r="52" spans="2:5" ht="15" customHeight="1">
      <c r="B52" s="74"/>
      <c r="C52" s="45" t="s">
        <v>104</v>
      </c>
      <c r="D52" s="44">
        <v>4</v>
      </c>
      <c r="E52" s="43">
        <v>5.822416302765648E-3</v>
      </c>
    </row>
    <row r="53" spans="2:5" ht="15" customHeight="1">
      <c r="B53" s="74"/>
      <c r="C53" s="45" t="s">
        <v>103</v>
      </c>
      <c r="D53" s="44">
        <v>1</v>
      </c>
      <c r="E53" s="43">
        <v>1.455604075691412E-3</v>
      </c>
    </row>
    <row r="54" spans="2:5" ht="15" customHeight="1">
      <c r="B54" s="75"/>
      <c r="C54" s="42" t="s">
        <v>15</v>
      </c>
      <c r="D54" s="41">
        <v>9</v>
      </c>
      <c r="E54" s="40">
        <v>1.3100436681222707E-2</v>
      </c>
    </row>
    <row r="55" spans="2:5" ht="15" customHeight="1">
      <c r="B55" s="73" t="s">
        <v>21</v>
      </c>
      <c r="C55" s="45" t="s">
        <v>21</v>
      </c>
      <c r="D55" s="44">
        <v>3</v>
      </c>
      <c r="E55" s="43">
        <v>4.3668122270742356E-3</v>
      </c>
    </row>
    <row r="56" spans="2:5" ht="15" customHeight="1">
      <c r="B56" s="74"/>
      <c r="C56" s="45" t="s">
        <v>168</v>
      </c>
      <c r="D56" s="44">
        <v>2</v>
      </c>
      <c r="E56" s="43">
        <v>2.911208151382824E-3</v>
      </c>
    </row>
    <row r="57" spans="2:5" ht="15" customHeight="1">
      <c r="B57" s="75"/>
      <c r="C57" s="42" t="s">
        <v>15</v>
      </c>
      <c r="D57" s="41">
        <v>5</v>
      </c>
      <c r="E57" s="40">
        <v>7.2780203784570596E-3</v>
      </c>
    </row>
    <row r="58" spans="2:5" ht="15" customHeight="1">
      <c r="B58" s="73" t="s">
        <v>39</v>
      </c>
      <c r="C58" s="45" t="s">
        <v>209</v>
      </c>
      <c r="D58" s="44">
        <v>7</v>
      </c>
      <c r="E58" s="43">
        <v>1.0189228529839884E-2</v>
      </c>
    </row>
    <row r="59" spans="2:5" ht="15" customHeight="1">
      <c r="B59" s="74"/>
      <c r="C59" s="45" t="s">
        <v>102</v>
      </c>
      <c r="D59" s="44">
        <v>1</v>
      </c>
      <c r="E59" s="43">
        <v>1.455604075691412E-3</v>
      </c>
    </row>
    <row r="60" spans="2:5" ht="15" customHeight="1">
      <c r="B60" s="74"/>
      <c r="C60" s="45" t="s">
        <v>52</v>
      </c>
      <c r="D60" s="44">
        <v>3</v>
      </c>
      <c r="E60" s="43">
        <v>4.3668122270742356E-3</v>
      </c>
    </row>
    <row r="61" spans="2:5" ht="15" customHeight="1">
      <c r="B61" s="74"/>
      <c r="C61" s="45" t="s">
        <v>101</v>
      </c>
      <c r="D61" s="44">
        <v>6</v>
      </c>
      <c r="E61" s="43">
        <v>8.7336244541484712E-3</v>
      </c>
    </row>
    <row r="62" spans="2:5" ht="15" customHeight="1">
      <c r="B62" s="74"/>
      <c r="C62" s="45" t="s">
        <v>100</v>
      </c>
      <c r="D62" s="44">
        <v>8</v>
      </c>
      <c r="E62" s="43">
        <v>1.1644832605531296E-2</v>
      </c>
    </row>
    <row r="63" spans="2:5" ht="15" customHeight="1">
      <c r="B63" s="74"/>
      <c r="C63" s="45" t="s">
        <v>99</v>
      </c>
      <c r="D63" s="44">
        <v>8</v>
      </c>
      <c r="E63" s="43">
        <v>1.1644832605531296E-2</v>
      </c>
    </row>
    <row r="64" spans="2:5" ht="15" customHeight="1">
      <c r="B64" s="74"/>
      <c r="C64" s="45" t="s">
        <v>98</v>
      </c>
      <c r="D64" s="44">
        <v>11</v>
      </c>
      <c r="E64" s="43">
        <v>1.6011644832605532E-2</v>
      </c>
    </row>
    <row r="65" spans="2:5" ht="15" customHeight="1">
      <c r="B65" s="74"/>
      <c r="C65" s="45" t="s">
        <v>97</v>
      </c>
      <c r="D65" s="44">
        <v>1</v>
      </c>
      <c r="E65" s="43">
        <v>1.455604075691412E-3</v>
      </c>
    </row>
    <row r="66" spans="2:5" ht="15" customHeight="1">
      <c r="B66" s="74"/>
      <c r="C66" s="45" t="s">
        <v>210</v>
      </c>
      <c r="D66" s="44">
        <v>1</v>
      </c>
      <c r="E66" s="43">
        <v>1.455604075691412E-3</v>
      </c>
    </row>
    <row r="67" spans="2:5" ht="15" customHeight="1">
      <c r="B67" s="74"/>
      <c r="C67" s="45" t="s">
        <v>211</v>
      </c>
      <c r="D67" s="44">
        <v>2</v>
      </c>
      <c r="E67" s="43">
        <v>2.911208151382824E-3</v>
      </c>
    </row>
    <row r="68" spans="2:5" ht="15" customHeight="1">
      <c r="B68" s="74"/>
      <c r="C68" s="45" t="s">
        <v>169</v>
      </c>
      <c r="D68" s="44">
        <v>2</v>
      </c>
      <c r="E68" s="43">
        <v>2.911208151382824E-3</v>
      </c>
    </row>
    <row r="69" spans="2:5" ht="15" customHeight="1">
      <c r="B69" s="74"/>
      <c r="C69" s="45" t="s">
        <v>212</v>
      </c>
      <c r="D69" s="44">
        <v>1</v>
      </c>
      <c r="E69" s="43">
        <v>1.455604075691412E-3</v>
      </c>
    </row>
    <row r="70" spans="2:5" ht="15" customHeight="1">
      <c r="B70" s="75"/>
      <c r="C70" s="42" t="s">
        <v>15</v>
      </c>
      <c r="D70" s="41">
        <v>51</v>
      </c>
      <c r="E70" s="40">
        <v>7.4235807860262015E-2</v>
      </c>
    </row>
    <row r="71" spans="2:5" ht="15" customHeight="1">
      <c r="B71" s="73" t="s">
        <v>36</v>
      </c>
      <c r="C71" s="45" t="s">
        <v>36</v>
      </c>
      <c r="D71" s="44">
        <v>12</v>
      </c>
      <c r="E71" s="43">
        <v>1.7467248908296942E-2</v>
      </c>
    </row>
    <row r="72" spans="2:5" ht="15" customHeight="1">
      <c r="B72" s="74"/>
      <c r="C72" s="45" t="s">
        <v>170</v>
      </c>
      <c r="D72" s="44">
        <v>1</v>
      </c>
      <c r="E72" s="43">
        <v>1.455604075691412E-3</v>
      </c>
    </row>
    <row r="73" spans="2:5" ht="15" customHeight="1">
      <c r="B73" s="74"/>
      <c r="C73" s="45" t="s">
        <v>213</v>
      </c>
      <c r="D73" s="44">
        <v>2</v>
      </c>
      <c r="E73" s="43">
        <v>2.911208151382824E-3</v>
      </c>
    </row>
    <row r="74" spans="2:5" ht="15" customHeight="1">
      <c r="B74" s="74"/>
      <c r="C74" s="45" t="s">
        <v>214</v>
      </c>
      <c r="D74" s="44">
        <v>1</v>
      </c>
      <c r="E74" s="43">
        <v>1.455604075691412E-3</v>
      </c>
    </row>
    <row r="75" spans="2:5" ht="15" customHeight="1">
      <c r="B75" s="74"/>
      <c r="C75" s="45" t="s">
        <v>215</v>
      </c>
      <c r="D75" s="44">
        <v>1</v>
      </c>
      <c r="E75" s="43">
        <v>1.455604075691412E-3</v>
      </c>
    </row>
    <row r="76" spans="2:5" ht="15" customHeight="1">
      <c r="B76" s="74"/>
      <c r="C76" s="45" t="s">
        <v>216</v>
      </c>
      <c r="D76" s="44">
        <v>4</v>
      </c>
      <c r="E76" s="43">
        <v>5.822416302765648E-3</v>
      </c>
    </row>
    <row r="77" spans="2:5" ht="15" customHeight="1">
      <c r="B77" s="74"/>
      <c r="C77" s="45" t="s">
        <v>96</v>
      </c>
      <c r="D77" s="44">
        <v>2</v>
      </c>
      <c r="E77" s="43">
        <v>2.911208151382824E-3</v>
      </c>
    </row>
    <row r="78" spans="2:5" ht="15" customHeight="1">
      <c r="B78" s="74"/>
      <c r="C78" s="45" t="s">
        <v>217</v>
      </c>
      <c r="D78" s="44">
        <v>3</v>
      </c>
      <c r="E78" s="43">
        <v>4.3668122270742356E-3</v>
      </c>
    </row>
    <row r="79" spans="2:5" ht="15" customHeight="1">
      <c r="B79" s="75"/>
      <c r="C79" s="42" t="s">
        <v>15</v>
      </c>
      <c r="D79" s="41">
        <v>26</v>
      </c>
      <c r="E79" s="40">
        <v>3.7845705967976713E-2</v>
      </c>
    </row>
    <row r="80" spans="2:5" ht="15" customHeight="1">
      <c r="B80" s="73" t="s">
        <v>31</v>
      </c>
      <c r="C80" s="45" t="s">
        <v>218</v>
      </c>
      <c r="D80" s="44">
        <v>1</v>
      </c>
      <c r="E80" s="43">
        <v>1.455604075691412E-3</v>
      </c>
    </row>
    <row r="81" spans="2:5" ht="15" customHeight="1">
      <c r="B81" s="74"/>
      <c r="C81" s="45" t="s">
        <v>219</v>
      </c>
      <c r="D81" s="44">
        <v>1</v>
      </c>
      <c r="E81" s="43">
        <v>1.455604075691412E-3</v>
      </c>
    </row>
    <row r="82" spans="2:5" ht="15" customHeight="1">
      <c r="B82" s="74"/>
      <c r="C82" s="45" t="s">
        <v>220</v>
      </c>
      <c r="D82" s="44">
        <v>1</v>
      </c>
      <c r="E82" s="43">
        <v>1.455604075691412E-3</v>
      </c>
    </row>
    <row r="83" spans="2:5" ht="15" customHeight="1">
      <c r="B83" s="74"/>
      <c r="C83" s="45" t="s">
        <v>221</v>
      </c>
      <c r="D83" s="44">
        <v>1</v>
      </c>
      <c r="E83" s="43">
        <v>1.455604075691412E-3</v>
      </c>
    </row>
    <row r="84" spans="2:5" ht="15" customHeight="1">
      <c r="B84" s="74"/>
      <c r="C84" s="45" t="s">
        <v>222</v>
      </c>
      <c r="D84" s="44">
        <v>1</v>
      </c>
      <c r="E84" s="43">
        <v>1.455604075691412E-3</v>
      </c>
    </row>
    <row r="85" spans="2:5" ht="15" customHeight="1">
      <c r="B85" s="74"/>
      <c r="C85" s="45" t="s">
        <v>223</v>
      </c>
      <c r="D85" s="44">
        <v>1</v>
      </c>
      <c r="E85" s="43">
        <v>1.455604075691412E-3</v>
      </c>
    </row>
    <row r="86" spans="2:5" ht="15" customHeight="1">
      <c r="B86" s="74"/>
      <c r="C86" s="45" t="s">
        <v>224</v>
      </c>
      <c r="D86" s="44">
        <v>1</v>
      </c>
      <c r="E86" s="43">
        <v>1.455604075691412E-3</v>
      </c>
    </row>
    <row r="87" spans="2:5" ht="15" customHeight="1">
      <c r="B87" s="74"/>
      <c r="C87" s="45" t="s">
        <v>95</v>
      </c>
      <c r="D87" s="44">
        <v>5</v>
      </c>
      <c r="E87" s="43">
        <v>7.2780203784570596E-3</v>
      </c>
    </row>
    <row r="88" spans="2:5" ht="15" customHeight="1">
      <c r="B88" s="74"/>
      <c r="C88" s="45" t="s">
        <v>225</v>
      </c>
      <c r="D88" s="44">
        <v>1</v>
      </c>
      <c r="E88" s="43">
        <v>1.455604075691412E-3</v>
      </c>
    </row>
    <row r="89" spans="2:5" ht="15" customHeight="1">
      <c r="B89" s="74"/>
      <c r="C89" s="45" t="s">
        <v>94</v>
      </c>
      <c r="D89" s="44">
        <v>2</v>
      </c>
      <c r="E89" s="43">
        <v>2.911208151382824E-3</v>
      </c>
    </row>
    <row r="90" spans="2:5" ht="15" customHeight="1">
      <c r="B90" s="74"/>
      <c r="C90" s="45" t="s">
        <v>171</v>
      </c>
      <c r="D90" s="44">
        <v>1</v>
      </c>
      <c r="E90" s="43">
        <v>1.455604075691412E-3</v>
      </c>
    </row>
    <row r="91" spans="2:5" ht="15" customHeight="1">
      <c r="B91" s="74"/>
      <c r="C91" s="45" t="s">
        <v>226</v>
      </c>
      <c r="D91" s="44">
        <v>1</v>
      </c>
      <c r="E91" s="43">
        <v>1.455604075691412E-3</v>
      </c>
    </row>
    <row r="92" spans="2:5" ht="15" customHeight="1">
      <c r="B92" s="74"/>
      <c r="C92" s="45" t="s">
        <v>227</v>
      </c>
      <c r="D92" s="44">
        <v>1</v>
      </c>
      <c r="E92" s="43">
        <v>1.455604075691412E-3</v>
      </c>
    </row>
    <row r="93" spans="2:5" ht="15" customHeight="1">
      <c r="B93" s="74"/>
      <c r="C93" s="45" t="s">
        <v>228</v>
      </c>
      <c r="D93" s="44">
        <v>3</v>
      </c>
      <c r="E93" s="43">
        <v>4.3668122270742356E-3</v>
      </c>
    </row>
    <row r="94" spans="2:5" ht="15" customHeight="1">
      <c r="B94" s="74"/>
      <c r="C94" s="45" t="s">
        <v>93</v>
      </c>
      <c r="D94" s="44">
        <v>3</v>
      </c>
      <c r="E94" s="43">
        <v>4.3668122270742356E-3</v>
      </c>
    </row>
    <row r="95" spans="2:5" ht="15" customHeight="1">
      <c r="B95" s="74"/>
      <c r="C95" s="45" t="s">
        <v>92</v>
      </c>
      <c r="D95" s="44">
        <v>2</v>
      </c>
      <c r="E95" s="43">
        <v>2.911208151382824E-3</v>
      </c>
    </row>
    <row r="96" spans="2:5" ht="15" customHeight="1">
      <c r="B96" s="74"/>
      <c r="C96" s="45" t="s">
        <v>229</v>
      </c>
      <c r="D96" s="44">
        <v>2</v>
      </c>
      <c r="E96" s="43">
        <v>2.911208151382824E-3</v>
      </c>
    </row>
    <row r="97" spans="2:5" ht="15" customHeight="1">
      <c r="B97" s="75"/>
      <c r="C97" s="42" t="s">
        <v>15</v>
      </c>
      <c r="D97" s="41">
        <v>28</v>
      </c>
      <c r="E97" s="40">
        <v>4.0756914119359534E-2</v>
      </c>
    </row>
    <row r="98" spans="2:5" ht="15" customHeight="1">
      <c r="B98" s="73" t="s">
        <v>29</v>
      </c>
      <c r="C98" s="45" t="s">
        <v>91</v>
      </c>
      <c r="D98" s="44">
        <v>4</v>
      </c>
      <c r="E98" s="43">
        <v>5.822416302765648E-3</v>
      </c>
    </row>
    <row r="99" spans="2:5" ht="15" customHeight="1">
      <c r="B99" s="74"/>
      <c r="C99" s="45" t="s">
        <v>230</v>
      </c>
      <c r="D99" s="44">
        <v>2</v>
      </c>
      <c r="E99" s="43">
        <v>2.911208151382824E-3</v>
      </c>
    </row>
    <row r="100" spans="2:5" ht="15" customHeight="1">
      <c r="B100" s="74"/>
      <c r="C100" s="45" t="s">
        <v>172</v>
      </c>
      <c r="D100" s="44">
        <v>3</v>
      </c>
      <c r="E100" s="43">
        <v>4.3668122270742356E-3</v>
      </c>
    </row>
    <row r="101" spans="2:5" ht="15" customHeight="1">
      <c r="B101" s="74"/>
      <c r="C101" s="45" t="s">
        <v>173</v>
      </c>
      <c r="D101" s="44">
        <v>6</v>
      </c>
      <c r="E101" s="43">
        <v>8.7336244541484712E-3</v>
      </c>
    </row>
    <row r="102" spans="2:5" ht="15" customHeight="1">
      <c r="B102" s="74"/>
      <c r="C102" s="45" t="s">
        <v>174</v>
      </c>
      <c r="D102" s="44">
        <v>1</v>
      </c>
      <c r="E102" s="43">
        <v>1.455604075691412E-3</v>
      </c>
    </row>
    <row r="103" spans="2:5" ht="15" customHeight="1">
      <c r="B103" s="74"/>
      <c r="C103" s="45" t="s">
        <v>231</v>
      </c>
      <c r="D103" s="44">
        <v>1</v>
      </c>
      <c r="E103" s="43">
        <v>1.455604075691412E-3</v>
      </c>
    </row>
    <row r="104" spans="2:5" ht="15" customHeight="1">
      <c r="B104" s="74"/>
      <c r="C104" s="45" t="s">
        <v>232</v>
      </c>
      <c r="D104" s="44">
        <v>3</v>
      </c>
      <c r="E104" s="43">
        <v>4.3668122270742356E-3</v>
      </c>
    </row>
    <row r="105" spans="2:5" ht="15" customHeight="1">
      <c r="B105" s="74"/>
      <c r="C105" s="45" t="s">
        <v>233</v>
      </c>
      <c r="D105" s="44">
        <v>2</v>
      </c>
      <c r="E105" s="43">
        <v>2.911208151382824E-3</v>
      </c>
    </row>
    <row r="106" spans="2:5" ht="15" customHeight="1">
      <c r="B106" s="74"/>
      <c r="C106" s="45" t="s">
        <v>90</v>
      </c>
      <c r="D106" s="44">
        <v>1</v>
      </c>
      <c r="E106" s="43">
        <v>1.455604075691412E-3</v>
      </c>
    </row>
    <row r="107" spans="2:5" ht="15" customHeight="1">
      <c r="B107" s="75"/>
      <c r="C107" s="42" t="s">
        <v>15</v>
      </c>
      <c r="D107" s="41">
        <v>23</v>
      </c>
      <c r="E107" s="40">
        <v>3.3478893740902474E-2</v>
      </c>
    </row>
    <row r="108" spans="2:5" ht="15" customHeight="1">
      <c r="B108" s="73" t="s">
        <v>34</v>
      </c>
      <c r="C108" s="45" t="s">
        <v>89</v>
      </c>
      <c r="D108" s="44">
        <v>3</v>
      </c>
      <c r="E108" s="43">
        <v>4.3668122270742356E-3</v>
      </c>
    </row>
    <row r="109" spans="2:5" ht="15" customHeight="1">
      <c r="B109" s="74"/>
      <c r="C109" s="45" t="s">
        <v>234</v>
      </c>
      <c r="D109" s="44">
        <v>1</v>
      </c>
      <c r="E109" s="43">
        <v>1.455604075691412E-3</v>
      </c>
    </row>
    <row r="110" spans="2:5" ht="15" customHeight="1">
      <c r="B110" s="74"/>
      <c r="C110" s="45" t="s">
        <v>235</v>
      </c>
      <c r="D110" s="44">
        <v>1</v>
      </c>
      <c r="E110" s="43">
        <v>1.455604075691412E-3</v>
      </c>
    </row>
    <row r="111" spans="2:5" ht="15" customHeight="1">
      <c r="B111" s="74"/>
      <c r="C111" s="45" t="s">
        <v>236</v>
      </c>
      <c r="D111" s="44">
        <v>1</v>
      </c>
      <c r="E111" s="43">
        <v>1.455604075691412E-3</v>
      </c>
    </row>
    <row r="112" spans="2:5" ht="15" customHeight="1">
      <c r="B112" s="74"/>
      <c r="C112" s="45" t="s">
        <v>237</v>
      </c>
      <c r="D112" s="44">
        <v>1</v>
      </c>
      <c r="E112" s="43">
        <v>1.455604075691412E-3</v>
      </c>
    </row>
    <row r="113" spans="2:5" ht="15" customHeight="1">
      <c r="B113" s="74"/>
      <c r="C113" s="45" t="s">
        <v>88</v>
      </c>
      <c r="D113" s="44">
        <v>6</v>
      </c>
      <c r="E113" s="43">
        <v>8.7336244541484712E-3</v>
      </c>
    </row>
    <row r="114" spans="2:5" ht="15" customHeight="1">
      <c r="B114" s="74"/>
      <c r="C114" s="45" t="s">
        <v>238</v>
      </c>
      <c r="D114" s="44">
        <v>2</v>
      </c>
      <c r="E114" s="43">
        <v>2.911208151382824E-3</v>
      </c>
    </row>
    <row r="115" spans="2:5" ht="15" customHeight="1">
      <c r="B115" s="74"/>
      <c r="C115" s="45" t="s">
        <v>239</v>
      </c>
      <c r="D115" s="44">
        <v>2</v>
      </c>
      <c r="E115" s="43">
        <v>2.911208151382824E-3</v>
      </c>
    </row>
    <row r="116" spans="2:5" ht="15" customHeight="1">
      <c r="B116" s="74"/>
      <c r="C116" s="45" t="s">
        <v>240</v>
      </c>
      <c r="D116" s="44">
        <v>1</v>
      </c>
      <c r="E116" s="43">
        <v>1.455604075691412E-3</v>
      </c>
    </row>
    <row r="117" spans="2:5" ht="15" customHeight="1">
      <c r="B117" s="74"/>
      <c r="C117" s="45" t="s">
        <v>241</v>
      </c>
      <c r="D117" s="44">
        <v>1</v>
      </c>
      <c r="E117" s="43">
        <v>1.455604075691412E-3</v>
      </c>
    </row>
    <row r="118" spans="2:5" ht="15" customHeight="1">
      <c r="B118" s="74"/>
      <c r="C118" s="45" t="s">
        <v>242</v>
      </c>
      <c r="D118" s="44">
        <v>1</v>
      </c>
      <c r="E118" s="43">
        <v>1.455604075691412E-3</v>
      </c>
    </row>
    <row r="119" spans="2:5" ht="15" customHeight="1">
      <c r="B119" s="75"/>
      <c r="C119" s="42" t="s">
        <v>15</v>
      </c>
      <c r="D119" s="41">
        <v>20</v>
      </c>
      <c r="E119" s="40">
        <v>2.9112081513828238E-2</v>
      </c>
    </row>
    <row r="120" spans="2:5" ht="15" customHeight="1">
      <c r="B120" s="73" t="s">
        <v>24</v>
      </c>
      <c r="C120" s="45" t="s">
        <v>243</v>
      </c>
      <c r="D120" s="44">
        <v>2</v>
      </c>
      <c r="E120" s="43">
        <v>2.911208151382824E-3</v>
      </c>
    </row>
    <row r="121" spans="2:5" ht="15" customHeight="1">
      <c r="B121" s="74"/>
      <c r="C121" s="45" t="s">
        <v>244</v>
      </c>
      <c r="D121" s="44">
        <v>1</v>
      </c>
      <c r="E121" s="43">
        <v>1.455604075691412E-3</v>
      </c>
    </row>
    <row r="122" spans="2:5" ht="15" customHeight="1">
      <c r="B122" s="74"/>
      <c r="C122" s="45" t="s">
        <v>175</v>
      </c>
      <c r="D122" s="44">
        <v>1</v>
      </c>
      <c r="E122" s="43">
        <v>1.455604075691412E-3</v>
      </c>
    </row>
    <row r="123" spans="2:5" ht="15" customHeight="1">
      <c r="B123" s="74"/>
      <c r="C123" s="45" t="s">
        <v>245</v>
      </c>
      <c r="D123" s="44">
        <v>1</v>
      </c>
      <c r="E123" s="43">
        <v>1.455604075691412E-3</v>
      </c>
    </row>
    <row r="124" spans="2:5" ht="15" customHeight="1">
      <c r="B124" s="75"/>
      <c r="C124" s="42" t="s">
        <v>15</v>
      </c>
      <c r="D124" s="41">
        <v>5</v>
      </c>
      <c r="E124" s="40">
        <v>7.2780203784570596E-3</v>
      </c>
    </row>
    <row r="125" spans="2:5" ht="15" customHeight="1">
      <c r="B125" s="73" t="s">
        <v>41</v>
      </c>
      <c r="C125" s="45" t="s">
        <v>246</v>
      </c>
      <c r="D125" s="44">
        <v>2</v>
      </c>
      <c r="E125" s="43">
        <v>2.911208151382824E-3</v>
      </c>
    </row>
    <row r="126" spans="2:5" ht="15" customHeight="1">
      <c r="B126" s="74"/>
      <c r="C126" s="45" t="s">
        <v>87</v>
      </c>
      <c r="D126" s="44">
        <v>1</v>
      </c>
      <c r="E126" s="43">
        <v>1.455604075691412E-3</v>
      </c>
    </row>
    <row r="127" spans="2:5" ht="15" customHeight="1">
      <c r="B127" s="74"/>
      <c r="C127" s="45" t="s">
        <v>247</v>
      </c>
      <c r="D127" s="44">
        <v>2</v>
      </c>
      <c r="E127" s="43">
        <v>2.911208151382824E-3</v>
      </c>
    </row>
    <row r="128" spans="2:5" ht="15" customHeight="1">
      <c r="B128" s="74"/>
      <c r="C128" s="45" t="s">
        <v>86</v>
      </c>
      <c r="D128" s="44">
        <v>4</v>
      </c>
      <c r="E128" s="43">
        <v>5.822416302765648E-3</v>
      </c>
    </row>
    <row r="129" spans="2:5" ht="15" customHeight="1">
      <c r="B129" s="74"/>
      <c r="C129" s="45" t="s">
        <v>248</v>
      </c>
      <c r="D129" s="44">
        <v>1</v>
      </c>
      <c r="E129" s="43">
        <v>1.455604075691412E-3</v>
      </c>
    </row>
    <row r="130" spans="2:5" ht="15" customHeight="1">
      <c r="B130" s="74"/>
      <c r="C130" s="45" t="s">
        <v>249</v>
      </c>
      <c r="D130" s="44">
        <v>1</v>
      </c>
      <c r="E130" s="43">
        <v>1.455604075691412E-3</v>
      </c>
    </row>
    <row r="131" spans="2:5" ht="15" customHeight="1">
      <c r="B131" s="74"/>
      <c r="C131" s="45" t="s">
        <v>250</v>
      </c>
      <c r="D131" s="44">
        <v>1</v>
      </c>
      <c r="E131" s="43">
        <v>1.455604075691412E-3</v>
      </c>
    </row>
    <row r="132" spans="2:5" ht="15" customHeight="1">
      <c r="B132" s="74"/>
      <c r="C132" s="45" t="s">
        <v>251</v>
      </c>
      <c r="D132" s="44">
        <v>2</v>
      </c>
      <c r="E132" s="43">
        <v>2.911208151382824E-3</v>
      </c>
    </row>
    <row r="133" spans="2:5" ht="15" customHeight="1">
      <c r="B133" s="74"/>
      <c r="C133" s="45" t="s">
        <v>252</v>
      </c>
      <c r="D133" s="44">
        <v>1</v>
      </c>
      <c r="E133" s="43">
        <v>1.455604075691412E-3</v>
      </c>
    </row>
    <row r="134" spans="2:5" ht="15" customHeight="1">
      <c r="B134" s="74"/>
      <c r="C134" s="45" t="s">
        <v>85</v>
      </c>
      <c r="D134" s="44">
        <v>16</v>
      </c>
      <c r="E134" s="43">
        <v>2.3289665211062592E-2</v>
      </c>
    </row>
    <row r="135" spans="2:5" ht="15" customHeight="1">
      <c r="B135" s="74"/>
      <c r="C135" s="45" t="s">
        <v>253</v>
      </c>
      <c r="D135" s="44">
        <v>1</v>
      </c>
      <c r="E135" s="43">
        <v>1.455604075691412E-3</v>
      </c>
    </row>
    <row r="136" spans="2:5" ht="15" customHeight="1">
      <c r="B136" s="74"/>
      <c r="C136" s="45" t="s">
        <v>84</v>
      </c>
      <c r="D136" s="44">
        <v>3</v>
      </c>
      <c r="E136" s="43">
        <v>4.3668122270742356E-3</v>
      </c>
    </row>
    <row r="137" spans="2:5" ht="15" customHeight="1">
      <c r="B137" s="74"/>
      <c r="C137" s="45" t="s">
        <v>254</v>
      </c>
      <c r="D137" s="44">
        <v>1</v>
      </c>
      <c r="E137" s="43">
        <v>1.455604075691412E-3</v>
      </c>
    </row>
    <row r="138" spans="2:5" ht="15" customHeight="1">
      <c r="B138" s="74"/>
      <c r="C138" s="45" t="s">
        <v>255</v>
      </c>
      <c r="D138" s="44">
        <v>2</v>
      </c>
      <c r="E138" s="43">
        <v>2.911208151382824E-3</v>
      </c>
    </row>
    <row r="139" spans="2:5" ht="15" customHeight="1">
      <c r="B139" s="74"/>
      <c r="C139" s="45" t="s">
        <v>256</v>
      </c>
      <c r="D139" s="44">
        <v>1</v>
      </c>
      <c r="E139" s="43">
        <v>1.455604075691412E-3</v>
      </c>
    </row>
    <row r="140" spans="2:5" ht="15" customHeight="1">
      <c r="B140" s="74"/>
      <c r="C140" s="45" t="s">
        <v>257</v>
      </c>
      <c r="D140" s="44">
        <v>1</v>
      </c>
      <c r="E140" s="43">
        <v>1.455604075691412E-3</v>
      </c>
    </row>
    <row r="141" spans="2:5" ht="15" customHeight="1">
      <c r="B141" s="74"/>
      <c r="C141" s="45" t="s">
        <v>258</v>
      </c>
      <c r="D141" s="44">
        <v>1</v>
      </c>
      <c r="E141" s="43">
        <v>1.455604075691412E-3</v>
      </c>
    </row>
    <row r="142" spans="2:5" ht="15" customHeight="1">
      <c r="B142" s="74"/>
      <c r="C142" s="45" t="s">
        <v>83</v>
      </c>
      <c r="D142" s="44">
        <v>1</v>
      </c>
      <c r="E142" s="43">
        <v>1.455604075691412E-3</v>
      </c>
    </row>
    <row r="143" spans="2:5" ht="15" customHeight="1">
      <c r="B143" s="74"/>
      <c r="C143" s="45" t="s">
        <v>82</v>
      </c>
      <c r="D143" s="44">
        <v>1</v>
      </c>
      <c r="E143" s="43">
        <v>1.455604075691412E-3</v>
      </c>
    </row>
    <row r="144" spans="2:5" ht="15" customHeight="1">
      <c r="B144" s="74"/>
      <c r="C144" s="45" t="s">
        <v>259</v>
      </c>
      <c r="D144" s="44">
        <v>2</v>
      </c>
      <c r="E144" s="43">
        <v>2.911208151382824E-3</v>
      </c>
    </row>
    <row r="145" spans="2:5" ht="15" customHeight="1">
      <c r="B145" s="74"/>
      <c r="C145" s="45" t="s">
        <v>176</v>
      </c>
      <c r="D145" s="44">
        <v>1</v>
      </c>
      <c r="E145" s="43">
        <v>1.455604075691412E-3</v>
      </c>
    </row>
    <row r="146" spans="2:5" ht="15" customHeight="1">
      <c r="B146" s="74"/>
      <c r="C146" s="45" t="s">
        <v>260</v>
      </c>
      <c r="D146" s="44">
        <v>1</v>
      </c>
      <c r="E146" s="43">
        <v>1.455604075691412E-3</v>
      </c>
    </row>
    <row r="147" spans="2:5" ht="15" customHeight="1">
      <c r="B147" s="74"/>
      <c r="C147" s="45" t="s">
        <v>81</v>
      </c>
      <c r="D147" s="44">
        <v>1</v>
      </c>
      <c r="E147" s="43">
        <v>1.455604075691412E-3</v>
      </c>
    </row>
    <row r="148" spans="2:5" ht="15" customHeight="1">
      <c r="B148" s="74"/>
      <c r="C148" s="45" t="s">
        <v>80</v>
      </c>
      <c r="D148" s="44">
        <v>3</v>
      </c>
      <c r="E148" s="43">
        <v>4.3668122270742356E-3</v>
      </c>
    </row>
    <row r="149" spans="2:5" ht="15" customHeight="1">
      <c r="B149" s="74"/>
      <c r="C149" s="45" t="s">
        <v>261</v>
      </c>
      <c r="D149" s="44">
        <v>1</v>
      </c>
      <c r="E149" s="43">
        <v>1.455604075691412E-3</v>
      </c>
    </row>
    <row r="150" spans="2:5" ht="15" customHeight="1">
      <c r="B150" s="74"/>
      <c r="C150" s="45" t="s">
        <v>262</v>
      </c>
      <c r="D150" s="44">
        <v>1</v>
      </c>
      <c r="E150" s="43">
        <v>1.455604075691412E-3</v>
      </c>
    </row>
    <row r="151" spans="2:5" ht="15" customHeight="1">
      <c r="B151" s="74"/>
      <c r="C151" s="45" t="s">
        <v>263</v>
      </c>
      <c r="D151" s="44">
        <v>3</v>
      </c>
      <c r="E151" s="43">
        <v>4.3668122270742356E-3</v>
      </c>
    </row>
    <row r="152" spans="2:5" ht="15" customHeight="1">
      <c r="B152" s="74"/>
      <c r="C152" s="45" t="s">
        <v>177</v>
      </c>
      <c r="D152" s="44">
        <v>1</v>
      </c>
      <c r="E152" s="43">
        <v>1.455604075691412E-3</v>
      </c>
    </row>
    <row r="153" spans="2:5" ht="15" customHeight="1">
      <c r="B153" s="74"/>
      <c r="C153" s="45" t="s">
        <v>264</v>
      </c>
      <c r="D153" s="44">
        <v>3</v>
      </c>
      <c r="E153" s="43">
        <v>4.3668122270742356E-3</v>
      </c>
    </row>
    <row r="154" spans="2:5" ht="15" customHeight="1">
      <c r="B154" s="75"/>
      <c r="C154" s="42" t="s">
        <v>15</v>
      </c>
      <c r="D154" s="41">
        <v>60</v>
      </c>
      <c r="E154" s="40">
        <v>8.7336244541484712E-2</v>
      </c>
    </row>
    <row r="155" spans="2:5" ht="15" customHeight="1">
      <c r="B155" s="73" t="s">
        <v>40</v>
      </c>
      <c r="C155" s="45" t="s">
        <v>79</v>
      </c>
      <c r="D155" s="44">
        <v>2</v>
      </c>
      <c r="E155" s="43">
        <v>2.911208151382824E-3</v>
      </c>
    </row>
    <row r="156" spans="2:5" ht="15" customHeight="1">
      <c r="B156" s="74"/>
      <c r="C156" s="45" t="s">
        <v>209</v>
      </c>
      <c r="D156" s="44">
        <v>1</v>
      </c>
      <c r="E156" s="43">
        <v>1.455604075691412E-3</v>
      </c>
    </row>
    <row r="157" spans="2:5" ht="15" customHeight="1">
      <c r="B157" s="74"/>
      <c r="C157" s="45" t="s">
        <v>265</v>
      </c>
      <c r="D157" s="44">
        <v>2</v>
      </c>
      <c r="E157" s="43">
        <v>2.911208151382824E-3</v>
      </c>
    </row>
    <row r="158" spans="2:5" ht="15" customHeight="1">
      <c r="B158" s="74"/>
      <c r="C158" s="45" t="s">
        <v>266</v>
      </c>
      <c r="D158" s="44">
        <v>1</v>
      </c>
      <c r="E158" s="43">
        <v>1.455604075691412E-3</v>
      </c>
    </row>
    <row r="159" spans="2:5" ht="15" customHeight="1">
      <c r="B159" s="74"/>
      <c r="C159" s="45" t="s">
        <v>267</v>
      </c>
      <c r="D159" s="44">
        <v>1</v>
      </c>
      <c r="E159" s="43">
        <v>1.455604075691412E-3</v>
      </c>
    </row>
    <row r="160" spans="2:5" ht="15" customHeight="1">
      <c r="B160" s="74"/>
      <c r="C160" s="45" t="s">
        <v>178</v>
      </c>
      <c r="D160" s="44">
        <v>1</v>
      </c>
      <c r="E160" s="43">
        <v>1.455604075691412E-3</v>
      </c>
    </row>
    <row r="161" spans="2:5" ht="15" customHeight="1">
      <c r="B161" s="74"/>
      <c r="C161" s="45" t="s">
        <v>268</v>
      </c>
      <c r="D161" s="44">
        <v>1</v>
      </c>
      <c r="E161" s="43">
        <v>1.455604075691412E-3</v>
      </c>
    </row>
    <row r="162" spans="2:5" ht="15" customHeight="1">
      <c r="B162" s="74"/>
      <c r="C162" s="45" t="s">
        <v>78</v>
      </c>
      <c r="D162" s="44">
        <v>3</v>
      </c>
      <c r="E162" s="43">
        <v>4.3668122270742356E-3</v>
      </c>
    </row>
    <row r="163" spans="2:5" ht="15" customHeight="1">
      <c r="B163" s="74"/>
      <c r="C163" s="45" t="s">
        <v>77</v>
      </c>
      <c r="D163" s="44">
        <v>2</v>
      </c>
      <c r="E163" s="43">
        <v>2.911208151382824E-3</v>
      </c>
    </row>
    <row r="164" spans="2:5" ht="15" customHeight="1">
      <c r="B164" s="74"/>
      <c r="C164" s="45" t="s">
        <v>269</v>
      </c>
      <c r="D164" s="44">
        <v>1</v>
      </c>
      <c r="E164" s="43">
        <v>1.455604075691412E-3</v>
      </c>
    </row>
    <row r="165" spans="2:5" ht="15" customHeight="1">
      <c r="B165" s="74"/>
      <c r="C165" s="45" t="s">
        <v>270</v>
      </c>
      <c r="D165" s="44">
        <v>1</v>
      </c>
      <c r="E165" s="43">
        <v>1.455604075691412E-3</v>
      </c>
    </row>
    <row r="166" spans="2:5" ht="15" customHeight="1">
      <c r="B166" s="74"/>
      <c r="C166" s="45" t="s">
        <v>271</v>
      </c>
      <c r="D166" s="44">
        <v>1</v>
      </c>
      <c r="E166" s="43">
        <v>1.455604075691412E-3</v>
      </c>
    </row>
    <row r="167" spans="2:5" ht="15" customHeight="1">
      <c r="B167" s="74"/>
      <c r="C167" s="45" t="s">
        <v>76</v>
      </c>
      <c r="D167" s="44">
        <v>3</v>
      </c>
      <c r="E167" s="43">
        <v>4.3668122270742356E-3</v>
      </c>
    </row>
    <row r="168" spans="2:5" ht="15" customHeight="1">
      <c r="B168" s="74"/>
      <c r="C168" s="45" t="s">
        <v>272</v>
      </c>
      <c r="D168" s="44">
        <v>2</v>
      </c>
      <c r="E168" s="43">
        <v>2.911208151382824E-3</v>
      </c>
    </row>
    <row r="169" spans="2:5" ht="15" customHeight="1">
      <c r="B169" s="74"/>
      <c r="C169" s="45" t="s">
        <v>273</v>
      </c>
      <c r="D169" s="44">
        <v>2</v>
      </c>
      <c r="E169" s="43">
        <v>2.911208151382824E-3</v>
      </c>
    </row>
    <row r="170" spans="2:5" ht="15" customHeight="1">
      <c r="B170" s="74"/>
      <c r="C170" s="45" t="s">
        <v>274</v>
      </c>
      <c r="D170" s="44">
        <v>1</v>
      </c>
      <c r="E170" s="43">
        <v>1.455604075691412E-3</v>
      </c>
    </row>
    <row r="171" spans="2:5" ht="15" customHeight="1">
      <c r="B171" s="74"/>
      <c r="C171" s="45" t="s">
        <v>275</v>
      </c>
      <c r="D171" s="44">
        <v>2</v>
      </c>
      <c r="E171" s="43">
        <v>2.911208151382824E-3</v>
      </c>
    </row>
    <row r="172" spans="2:5" ht="15" customHeight="1">
      <c r="B172" s="74"/>
      <c r="C172" s="45" t="s">
        <v>276</v>
      </c>
      <c r="D172" s="44">
        <v>3</v>
      </c>
      <c r="E172" s="43">
        <v>4.3668122270742356E-3</v>
      </c>
    </row>
    <row r="173" spans="2:5" ht="15" customHeight="1">
      <c r="B173" s="74"/>
      <c r="C173" s="45" t="s">
        <v>75</v>
      </c>
      <c r="D173" s="44">
        <v>3</v>
      </c>
      <c r="E173" s="43">
        <v>4.3668122270742356E-3</v>
      </c>
    </row>
    <row r="174" spans="2:5" ht="15" customHeight="1">
      <c r="B174" s="74"/>
      <c r="C174" s="45" t="s">
        <v>74</v>
      </c>
      <c r="D174" s="44">
        <v>11</v>
      </c>
      <c r="E174" s="43">
        <v>1.6011644832605532E-2</v>
      </c>
    </row>
    <row r="175" spans="2:5" ht="15" customHeight="1">
      <c r="B175" s="75"/>
      <c r="C175" s="42" t="s">
        <v>15</v>
      </c>
      <c r="D175" s="41">
        <v>44</v>
      </c>
      <c r="E175" s="40">
        <v>6.4046579330422126E-2</v>
      </c>
    </row>
    <row r="176" spans="2:5" ht="15" customHeight="1">
      <c r="B176" s="73" t="s">
        <v>18</v>
      </c>
      <c r="C176" s="45" t="s">
        <v>277</v>
      </c>
      <c r="D176" s="44">
        <v>1</v>
      </c>
      <c r="E176" s="43">
        <v>1.455604075691412E-3</v>
      </c>
    </row>
    <row r="177" spans="2:5" ht="15" customHeight="1">
      <c r="B177" s="74"/>
      <c r="C177" s="45" t="s">
        <v>278</v>
      </c>
      <c r="D177" s="44">
        <v>1</v>
      </c>
      <c r="E177" s="43">
        <v>1.455604075691412E-3</v>
      </c>
    </row>
    <row r="178" spans="2:5" ht="15" customHeight="1">
      <c r="B178" s="74"/>
      <c r="C178" s="45" t="s">
        <v>279</v>
      </c>
      <c r="D178" s="44">
        <v>1</v>
      </c>
      <c r="E178" s="43">
        <v>1.455604075691412E-3</v>
      </c>
    </row>
    <row r="179" spans="2:5" ht="15" customHeight="1">
      <c r="B179" s="75"/>
      <c r="C179" s="42" t="s">
        <v>15</v>
      </c>
      <c r="D179" s="41">
        <v>3</v>
      </c>
      <c r="E179" s="40">
        <v>4.3668122270742356E-3</v>
      </c>
    </row>
    <row r="180" spans="2:5" ht="15" customHeight="1">
      <c r="B180" s="73" t="s">
        <v>26</v>
      </c>
      <c r="C180" s="45" t="s">
        <v>280</v>
      </c>
      <c r="D180" s="44">
        <v>1</v>
      </c>
      <c r="E180" s="43">
        <v>1.455604075691412E-3</v>
      </c>
    </row>
    <row r="181" spans="2:5" ht="15" customHeight="1">
      <c r="B181" s="74"/>
      <c r="C181" s="45" t="s">
        <v>281</v>
      </c>
      <c r="D181" s="44">
        <v>1</v>
      </c>
      <c r="E181" s="43">
        <v>1.455604075691412E-3</v>
      </c>
    </row>
    <row r="182" spans="2:5" ht="15" customHeight="1">
      <c r="B182" s="74"/>
      <c r="C182" s="45" t="s">
        <v>282</v>
      </c>
      <c r="D182" s="44">
        <v>1</v>
      </c>
      <c r="E182" s="43">
        <v>1.455604075691412E-3</v>
      </c>
    </row>
    <row r="183" spans="2:5" ht="15" customHeight="1">
      <c r="B183" s="74"/>
      <c r="C183" s="45" t="s">
        <v>283</v>
      </c>
      <c r="D183" s="44">
        <v>1</v>
      </c>
      <c r="E183" s="43">
        <v>1.455604075691412E-3</v>
      </c>
    </row>
    <row r="184" spans="2:5" ht="15" customHeight="1">
      <c r="B184" s="74"/>
      <c r="C184" s="45" t="s">
        <v>73</v>
      </c>
      <c r="D184" s="44">
        <v>3</v>
      </c>
      <c r="E184" s="43">
        <v>4.3668122270742356E-3</v>
      </c>
    </row>
    <row r="185" spans="2:5" ht="15" customHeight="1">
      <c r="B185" s="74"/>
      <c r="C185" s="45" t="s">
        <v>179</v>
      </c>
      <c r="D185" s="44">
        <v>4</v>
      </c>
      <c r="E185" s="43">
        <v>5.822416302765648E-3</v>
      </c>
    </row>
    <row r="186" spans="2:5" ht="15" customHeight="1">
      <c r="B186" s="75"/>
      <c r="C186" s="42" t="s">
        <v>15</v>
      </c>
      <c r="D186" s="41">
        <v>11</v>
      </c>
      <c r="E186" s="40">
        <v>1.6011644832605532E-2</v>
      </c>
    </row>
    <row r="187" spans="2:5" ht="15" customHeight="1">
      <c r="B187" s="73" t="s">
        <v>17</v>
      </c>
      <c r="C187" s="45" t="s">
        <v>72</v>
      </c>
      <c r="D187" s="44">
        <v>5</v>
      </c>
      <c r="E187" s="43">
        <v>7.2780203784570596E-3</v>
      </c>
    </row>
    <row r="188" spans="2:5" ht="15" customHeight="1">
      <c r="B188" s="75"/>
      <c r="C188" s="42" t="s">
        <v>15</v>
      </c>
      <c r="D188" s="41">
        <v>5</v>
      </c>
      <c r="E188" s="40">
        <v>7.2780203784570596E-3</v>
      </c>
    </row>
    <row r="189" spans="2:5" ht="15" customHeight="1">
      <c r="B189" s="73" t="s">
        <v>35</v>
      </c>
      <c r="C189" s="45" t="s">
        <v>284</v>
      </c>
      <c r="D189" s="44">
        <v>2</v>
      </c>
      <c r="E189" s="43">
        <v>2.911208151382824E-3</v>
      </c>
    </row>
    <row r="190" spans="2:5" ht="15" customHeight="1">
      <c r="B190" s="74"/>
      <c r="C190" s="45" t="s">
        <v>285</v>
      </c>
      <c r="D190" s="44">
        <v>3</v>
      </c>
      <c r="E190" s="43">
        <v>4.3668122270742356E-3</v>
      </c>
    </row>
    <row r="191" spans="2:5" ht="15" customHeight="1">
      <c r="B191" s="74"/>
      <c r="C191" s="45" t="s">
        <v>286</v>
      </c>
      <c r="D191" s="44">
        <v>1</v>
      </c>
      <c r="E191" s="43">
        <v>1.455604075691412E-3</v>
      </c>
    </row>
    <row r="192" spans="2:5" ht="15" customHeight="1">
      <c r="B192" s="74"/>
      <c r="C192" s="45" t="s">
        <v>287</v>
      </c>
      <c r="D192" s="44">
        <v>1</v>
      </c>
      <c r="E192" s="43">
        <v>1.455604075691412E-3</v>
      </c>
    </row>
    <row r="193" spans="1:5" ht="15" customHeight="1">
      <c r="B193" s="74"/>
      <c r="C193" s="45" t="s">
        <v>288</v>
      </c>
      <c r="D193" s="44">
        <v>2</v>
      </c>
      <c r="E193" s="43">
        <v>2.911208151382824E-3</v>
      </c>
    </row>
    <row r="194" spans="1:5" ht="15" customHeight="1">
      <c r="B194" s="74"/>
      <c r="C194" s="45" t="s">
        <v>289</v>
      </c>
      <c r="D194" s="44">
        <v>2</v>
      </c>
      <c r="E194" s="43">
        <v>2.911208151382824E-3</v>
      </c>
    </row>
    <row r="195" spans="1:5" ht="15" customHeight="1">
      <c r="B195" s="74"/>
      <c r="C195" s="45" t="s">
        <v>290</v>
      </c>
      <c r="D195" s="44">
        <v>1</v>
      </c>
      <c r="E195" s="43">
        <v>1.455604075691412E-3</v>
      </c>
    </row>
    <row r="196" spans="1:5" ht="15" customHeight="1">
      <c r="B196" s="75"/>
      <c r="C196" s="42" t="s">
        <v>15</v>
      </c>
      <c r="D196" s="41">
        <v>12</v>
      </c>
      <c r="E196" s="40">
        <v>1.7467248908296942E-2</v>
      </c>
    </row>
    <row r="197" spans="1:5" s="37" customFormat="1" ht="15" customHeight="1">
      <c r="A197" s="36"/>
      <c r="B197" s="73" t="s">
        <v>37</v>
      </c>
      <c r="C197" s="45" t="s">
        <v>291</v>
      </c>
      <c r="D197" s="44">
        <v>1</v>
      </c>
      <c r="E197" s="43">
        <v>1.455604075691412E-3</v>
      </c>
    </row>
    <row r="198" spans="1:5" s="37" customFormat="1" ht="15" customHeight="1">
      <c r="A198" s="36"/>
      <c r="B198" s="74"/>
      <c r="C198" s="45" t="s">
        <v>292</v>
      </c>
      <c r="D198" s="44">
        <v>1</v>
      </c>
      <c r="E198" s="43">
        <v>1.455604075691412E-3</v>
      </c>
    </row>
    <row r="199" spans="1:5" s="37" customFormat="1" ht="15" customHeight="1">
      <c r="A199" s="36"/>
      <c r="B199" s="74"/>
      <c r="C199" s="45" t="s">
        <v>71</v>
      </c>
      <c r="D199" s="44">
        <v>1</v>
      </c>
      <c r="E199" s="43">
        <v>1.455604075691412E-3</v>
      </c>
    </row>
    <row r="200" spans="1:5" s="37" customFormat="1" ht="15" customHeight="1">
      <c r="A200" s="36"/>
      <c r="B200" s="74"/>
      <c r="C200" s="45" t="s">
        <v>293</v>
      </c>
      <c r="D200" s="44">
        <v>1</v>
      </c>
      <c r="E200" s="43">
        <v>1.455604075691412E-3</v>
      </c>
    </row>
    <row r="201" spans="1:5" s="37" customFormat="1" ht="15" customHeight="1">
      <c r="A201" s="36"/>
      <c r="B201" s="74"/>
      <c r="C201" s="45" t="s">
        <v>294</v>
      </c>
      <c r="D201" s="44">
        <v>1</v>
      </c>
      <c r="E201" s="43">
        <v>1.455604075691412E-3</v>
      </c>
    </row>
    <row r="202" spans="1:5" ht="15" customHeight="1">
      <c r="B202" s="74"/>
      <c r="C202" s="45" t="s">
        <v>37</v>
      </c>
      <c r="D202" s="44">
        <v>4</v>
      </c>
      <c r="E202" s="43">
        <v>5.822416302765648E-3</v>
      </c>
    </row>
    <row r="203" spans="1:5" ht="15" customHeight="1">
      <c r="B203" s="74"/>
      <c r="C203" s="45" t="s">
        <v>295</v>
      </c>
      <c r="D203" s="44">
        <v>1</v>
      </c>
      <c r="E203" s="43">
        <v>1.455604075691412E-3</v>
      </c>
    </row>
    <row r="204" spans="1:5" ht="15" customHeight="1">
      <c r="B204" s="74"/>
      <c r="C204" s="45" t="s">
        <v>180</v>
      </c>
      <c r="D204" s="44">
        <v>2</v>
      </c>
      <c r="E204" s="43">
        <v>2.911208151382824E-3</v>
      </c>
    </row>
    <row r="205" spans="1:5" ht="15" customHeight="1">
      <c r="B205" s="74"/>
      <c r="C205" s="45" t="s">
        <v>70</v>
      </c>
      <c r="D205" s="44">
        <v>7</v>
      </c>
      <c r="E205" s="43">
        <v>1.0189228529839884E-2</v>
      </c>
    </row>
    <row r="206" spans="1:5" ht="15" customHeight="1">
      <c r="B206" s="74"/>
      <c r="C206" s="45" t="s">
        <v>217</v>
      </c>
      <c r="D206" s="44">
        <v>5</v>
      </c>
      <c r="E206" s="43">
        <v>7.2780203784570596E-3</v>
      </c>
    </row>
    <row r="207" spans="1:5" ht="15" customHeight="1">
      <c r="B207" s="74"/>
      <c r="C207" s="45" t="s">
        <v>181</v>
      </c>
      <c r="D207" s="44">
        <v>1</v>
      </c>
      <c r="E207" s="43">
        <v>1.455604075691412E-3</v>
      </c>
    </row>
    <row r="208" spans="1:5" ht="15" customHeight="1">
      <c r="B208" s="75"/>
      <c r="C208" s="42" t="s">
        <v>15</v>
      </c>
      <c r="D208" s="41">
        <v>25</v>
      </c>
      <c r="E208" s="40">
        <v>3.6390101892285295E-2</v>
      </c>
    </row>
    <row r="209" spans="2:5" ht="15" customHeight="1">
      <c r="B209" s="73" t="s">
        <v>20</v>
      </c>
      <c r="C209" s="45" t="s">
        <v>69</v>
      </c>
      <c r="D209" s="44">
        <v>1</v>
      </c>
      <c r="E209" s="43">
        <v>1.455604075691412E-3</v>
      </c>
    </row>
    <row r="210" spans="2:5" ht="15" customHeight="1">
      <c r="B210" s="74"/>
      <c r="C210" s="45" t="s">
        <v>68</v>
      </c>
      <c r="D210" s="44">
        <v>2</v>
      </c>
      <c r="E210" s="43">
        <v>2.911208151382824E-3</v>
      </c>
    </row>
    <row r="211" spans="2:5" ht="15" customHeight="1">
      <c r="B211" s="74"/>
      <c r="C211" s="45" t="s">
        <v>296</v>
      </c>
      <c r="D211" s="44">
        <v>1</v>
      </c>
      <c r="E211" s="43">
        <v>1.455604075691412E-3</v>
      </c>
    </row>
    <row r="212" spans="2:5" ht="15" customHeight="1">
      <c r="B212" s="75"/>
      <c r="C212" s="42" t="s">
        <v>15</v>
      </c>
      <c r="D212" s="41">
        <v>4</v>
      </c>
      <c r="E212" s="40">
        <v>5.822416302765648E-3</v>
      </c>
    </row>
    <row r="213" spans="2:5" ht="15" customHeight="1">
      <c r="B213" s="73" t="s">
        <v>32</v>
      </c>
      <c r="C213" s="45" t="s">
        <v>67</v>
      </c>
      <c r="D213" s="44">
        <v>1</v>
      </c>
      <c r="E213" s="43">
        <v>1.455604075691412E-3</v>
      </c>
    </row>
    <row r="214" spans="2:5" ht="15" customHeight="1">
      <c r="B214" s="74"/>
      <c r="C214" s="45" t="s">
        <v>182</v>
      </c>
      <c r="D214" s="44">
        <v>1</v>
      </c>
      <c r="E214" s="43">
        <v>1.455604075691412E-3</v>
      </c>
    </row>
    <row r="215" spans="2:5" ht="15" customHeight="1">
      <c r="B215" s="74"/>
      <c r="C215" s="45" t="s">
        <v>297</v>
      </c>
      <c r="D215" s="44">
        <v>2</v>
      </c>
      <c r="E215" s="43">
        <v>2.911208151382824E-3</v>
      </c>
    </row>
    <row r="216" spans="2:5" ht="15" customHeight="1">
      <c r="B216" s="74"/>
      <c r="C216" s="45" t="s">
        <v>32</v>
      </c>
      <c r="D216" s="44">
        <v>1</v>
      </c>
      <c r="E216" s="43">
        <v>1.455604075691412E-3</v>
      </c>
    </row>
    <row r="217" spans="2:5" ht="15" customHeight="1">
      <c r="B217" s="74"/>
      <c r="C217" s="45" t="s">
        <v>298</v>
      </c>
      <c r="D217" s="44">
        <v>1</v>
      </c>
      <c r="E217" s="43">
        <v>1.455604075691412E-3</v>
      </c>
    </row>
    <row r="218" spans="2:5" ht="15" customHeight="1">
      <c r="B218" s="75"/>
      <c r="C218" s="42" t="s">
        <v>15</v>
      </c>
      <c r="D218" s="41">
        <v>6</v>
      </c>
      <c r="E218" s="40">
        <v>8.7336244541484712E-3</v>
      </c>
    </row>
    <row r="219" spans="2:5" ht="15" customHeight="1">
      <c r="B219" s="73" t="s">
        <v>33</v>
      </c>
      <c r="C219" s="45" t="s">
        <v>66</v>
      </c>
      <c r="D219" s="44">
        <v>2</v>
      </c>
      <c r="E219" s="43">
        <v>2.911208151382824E-3</v>
      </c>
    </row>
    <row r="220" spans="2:5" ht="15" customHeight="1">
      <c r="B220" s="74"/>
      <c r="C220" s="45" t="s">
        <v>183</v>
      </c>
      <c r="D220" s="44">
        <v>3</v>
      </c>
      <c r="E220" s="43">
        <v>4.3668122270742356E-3</v>
      </c>
    </row>
    <row r="221" spans="2:5" ht="15" customHeight="1">
      <c r="B221" s="74"/>
      <c r="C221" s="45" t="s">
        <v>65</v>
      </c>
      <c r="D221" s="44">
        <v>2</v>
      </c>
      <c r="E221" s="43">
        <v>2.911208151382824E-3</v>
      </c>
    </row>
    <row r="222" spans="2:5" ht="15" customHeight="1">
      <c r="B222" s="74"/>
      <c r="C222" s="45" t="s">
        <v>299</v>
      </c>
      <c r="D222" s="44">
        <v>1</v>
      </c>
      <c r="E222" s="43">
        <v>1.455604075691412E-3</v>
      </c>
    </row>
    <row r="223" spans="2:5" ht="15" customHeight="1">
      <c r="B223" s="75"/>
      <c r="C223" s="42" t="s">
        <v>15</v>
      </c>
      <c r="D223" s="41">
        <v>8</v>
      </c>
      <c r="E223" s="40">
        <v>1.1644832605531296E-2</v>
      </c>
    </row>
    <row r="224" spans="2:5" ht="15" customHeight="1">
      <c r="B224" s="73" t="s">
        <v>30</v>
      </c>
      <c r="C224" s="45" t="s">
        <v>300</v>
      </c>
      <c r="D224" s="44">
        <v>2</v>
      </c>
      <c r="E224" s="43">
        <v>2.911208151382824E-3</v>
      </c>
    </row>
    <row r="225" spans="2:5" ht="15" customHeight="1">
      <c r="B225" s="74"/>
      <c r="C225" s="45" t="s">
        <v>184</v>
      </c>
      <c r="D225" s="44">
        <v>1</v>
      </c>
      <c r="E225" s="43">
        <v>1.455604075691412E-3</v>
      </c>
    </row>
    <row r="226" spans="2:5" ht="15" customHeight="1">
      <c r="B226" s="74"/>
      <c r="C226" s="45" t="s">
        <v>185</v>
      </c>
      <c r="D226" s="44">
        <v>1</v>
      </c>
      <c r="E226" s="43">
        <v>1.455604075691412E-3</v>
      </c>
    </row>
    <row r="227" spans="2:5" ht="15" customHeight="1">
      <c r="B227" s="74"/>
      <c r="C227" s="45" t="s">
        <v>301</v>
      </c>
      <c r="D227" s="44">
        <v>1</v>
      </c>
      <c r="E227" s="43">
        <v>1.455604075691412E-3</v>
      </c>
    </row>
    <row r="228" spans="2:5" ht="15" customHeight="1">
      <c r="B228" s="74"/>
      <c r="C228" s="45" t="s">
        <v>64</v>
      </c>
      <c r="D228" s="44">
        <v>2</v>
      </c>
      <c r="E228" s="43">
        <v>2.911208151382824E-3</v>
      </c>
    </row>
    <row r="229" spans="2:5" ht="15" customHeight="1">
      <c r="B229" s="74"/>
      <c r="C229" s="45" t="s">
        <v>63</v>
      </c>
      <c r="D229" s="44">
        <v>1</v>
      </c>
      <c r="E229" s="43">
        <v>1.455604075691412E-3</v>
      </c>
    </row>
    <row r="230" spans="2:5" ht="15" customHeight="1">
      <c r="B230" s="74"/>
      <c r="C230" s="45" t="s">
        <v>302</v>
      </c>
      <c r="D230" s="44">
        <v>1</v>
      </c>
      <c r="E230" s="43">
        <v>1.455604075691412E-3</v>
      </c>
    </row>
    <row r="231" spans="2:5" ht="15" customHeight="1">
      <c r="B231" s="74"/>
      <c r="C231" s="45" t="s">
        <v>303</v>
      </c>
      <c r="D231" s="44">
        <v>1</v>
      </c>
      <c r="E231" s="43">
        <v>1.455604075691412E-3</v>
      </c>
    </row>
    <row r="232" spans="2:5" ht="15" customHeight="1">
      <c r="B232" s="74"/>
      <c r="C232" s="45" t="s">
        <v>62</v>
      </c>
      <c r="D232" s="44">
        <v>2</v>
      </c>
      <c r="E232" s="43">
        <v>2.911208151382824E-3</v>
      </c>
    </row>
    <row r="233" spans="2:5" ht="15" customHeight="1">
      <c r="B233" s="74"/>
      <c r="C233" s="45" t="s">
        <v>304</v>
      </c>
      <c r="D233" s="44">
        <v>1</v>
      </c>
      <c r="E233" s="43">
        <v>1.455604075691412E-3</v>
      </c>
    </row>
    <row r="234" spans="2:5" ht="15" customHeight="1">
      <c r="B234" s="75"/>
      <c r="C234" s="42" t="s">
        <v>15</v>
      </c>
      <c r="D234" s="41">
        <v>13</v>
      </c>
      <c r="E234" s="40">
        <v>1.8922852983988356E-2</v>
      </c>
    </row>
    <row r="235" spans="2:5" ht="15" customHeight="1">
      <c r="B235" s="73" t="s">
        <v>16</v>
      </c>
      <c r="C235" s="45" t="s">
        <v>305</v>
      </c>
      <c r="D235" s="44">
        <v>1</v>
      </c>
      <c r="E235" s="43">
        <v>1.455604075691412E-3</v>
      </c>
    </row>
    <row r="236" spans="2:5" ht="15" customHeight="1">
      <c r="B236" s="74"/>
      <c r="C236" s="45" t="s">
        <v>306</v>
      </c>
      <c r="D236" s="44">
        <v>1</v>
      </c>
      <c r="E236" s="43">
        <v>1.455604075691412E-3</v>
      </c>
    </row>
    <row r="237" spans="2:5" ht="15" customHeight="1">
      <c r="B237" s="74"/>
      <c r="C237" s="45" t="s">
        <v>61</v>
      </c>
      <c r="D237" s="44">
        <v>2</v>
      </c>
      <c r="E237" s="43">
        <v>2.911208151382824E-3</v>
      </c>
    </row>
    <row r="238" spans="2:5" ht="15" customHeight="1">
      <c r="B238" s="75"/>
      <c r="C238" s="42" t="s">
        <v>15</v>
      </c>
      <c r="D238" s="41">
        <v>4</v>
      </c>
      <c r="E238" s="40">
        <v>5.822416302765648E-3</v>
      </c>
    </row>
    <row r="239" spans="2:5" ht="15" customHeight="1">
      <c r="B239" s="73" t="s">
        <v>19</v>
      </c>
      <c r="C239" s="45" t="s">
        <v>307</v>
      </c>
      <c r="D239" s="44">
        <v>1</v>
      </c>
      <c r="E239" s="43">
        <v>1.455604075691412E-3</v>
      </c>
    </row>
    <row r="240" spans="2:5" ht="15" customHeight="1">
      <c r="B240" s="75"/>
      <c r="C240" s="42" t="s">
        <v>15</v>
      </c>
      <c r="D240" s="41">
        <v>1</v>
      </c>
      <c r="E240" s="40">
        <v>1.455604075691412E-3</v>
      </c>
    </row>
    <row r="241" spans="2:6" ht="15" customHeight="1">
      <c r="B241" s="73" t="s">
        <v>42</v>
      </c>
      <c r="C241" s="45" t="s">
        <v>60</v>
      </c>
      <c r="D241" s="44">
        <v>28</v>
      </c>
      <c r="E241" s="43">
        <v>4.0756914119359534E-2</v>
      </c>
    </row>
    <row r="242" spans="2:6" ht="15" customHeight="1">
      <c r="B242" s="74"/>
      <c r="C242" s="45" t="s">
        <v>308</v>
      </c>
      <c r="D242" s="44">
        <v>1</v>
      </c>
      <c r="E242" s="43">
        <v>1.455604075691412E-3</v>
      </c>
    </row>
    <row r="243" spans="2:6" ht="15" customHeight="1">
      <c r="B243" s="74"/>
      <c r="C243" s="45" t="s">
        <v>59</v>
      </c>
      <c r="D243" s="44">
        <v>8</v>
      </c>
      <c r="E243" s="43">
        <v>1.1644832605531296E-2</v>
      </c>
    </row>
    <row r="244" spans="2:6" ht="15" customHeight="1">
      <c r="B244" s="74"/>
      <c r="C244" s="45" t="s">
        <v>58</v>
      </c>
      <c r="D244" s="44">
        <v>8</v>
      </c>
      <c r="E244" s="43">
        <v>1.1644832605531296E-2</v>
      </c>
    </row>
    <row r="245" spans="2:6" ht="15" customHeight="1">
      <c r="B245" s="74"/>
      <c r="C245" s="45" t="s">
        <v>57</v>
      </c>
      <c r="D245" s="44">
        <v>1</v>
      </c>
      <c r="E245" s="43">
        <v>1.455604075691412E-3</v>
      </c>
    </row>
    <row r="246" spans="2:6" ht="15" customHeight="1">
      <c r="B246" s="74"/>
      <c r="C246" s="45" t="s">
        <v>56</v>
      </c>
      <c r="D246" s="44">
        <v>71</v>
      </c>
      <c r="E246" s="43">
        <v>0.10334788937409024</v>
      </c>
    </row>
    <row r="247" spans="2:6" ht="15" customHeight="1">
      <c r="B247" s="74"/>
      <c r="C247" s="45" t="s">
        <v>55</v>
      </c>
      <c r="D247" s="44">
        <v>1</v>
      </c>
      <c r="E247" s="43">
        <v>1.455604075691412E-3</v>
      </c>
    </row>
    <row r="248" spans="2:6" ht="15" customHeight="1">
      <c r="B248" s="74"/>
      <c r="C248" s="45" t="s">
        <v>309</v>
      </c>
      <c r="D248" s="44">
        <v>1</v>
      </c>
      <c r="E248" s="43">
        <v>1.455604075691412E-3</v>
      </c>
    </row>
    <row r="249" spans="2:6" ht="15" customHeight="1">
      <c r="B249" s="74"/>
      <c r="C249" s="45" t="s">
        <v>310</v>
      </c>
      <c r="D249" s="44">
        <v>1</v>
      </c>
      <c r="E249" s="43">
        <v>1.455604075691412E-3</v>
      </c>
    </row>
    <row r="250" spans="2:6" ht="15" customHeight="1">
      <c r="B250" s="74"/>
      <c r="C250" s="45" t="s">
        <v>311</v>
      </c>
      <c r="D250" s="44">
        <v>1</v>
      </c>
      <c r="E250" s="43">
        <v>1.455604075691412E-3</v>
      </c>
      <c r="F250" s="17"/>
    </row>
    <row r="251" spans="2:6" ht="15" customHeight="1">
      <c r="B251" s="74"/>
      <c r="C251" s="45" t="s">
        <v>42</v>
      </c>
      <c r="D251" s="44">
        <v>11</v>
      </c>
      <c r="E251" s="43">
        <v>1.6011644832605532E-2</v>
      </c>
      <c r="F251" s="17"/>
    </row>
    <row r="252" spans="2:6" ht="15" customHeight="1">
      <c r="B252" s="74"/>
      <c r="C252" s="45" t="s">
        <v>54</v>
      </c>
      <c r="D252" s="44">
        <v>7</v>
      </c>
      <c r="E252" s="43">
        <v>1.0189228529839884E-2</v>
      </c>
      <c r="F252" s="17"/>
    </row>
    <row r="253" spans="2:6" ht="15" customHeight="1">
      <c r="B253" s="74"/>
      <c r="C253" s="45" t="s">
        <v>53</v>
      </c>
      <c r="D253" s="44">
        <v>11</v>
      </c>
      <c r="E253" s="43">
        <v>1.6011644832605532E-2</v>
      </c>
      <c r="F253" s="17"/>
    </row>
    <row r="254" spans="2:6" ht="15" customHeight="1">
      <c r="B254" s="74"/>
      <c r="C254" s="45" t="s">
        <v>312</v>
      </c>
      <c r="D254" s="44">
        <v>1</v>
      </c>
      <c r="E254" s="43">
        <v>1.455604075691412E-3</v>
      </c>
      <c r="F254" s="17"/>
    </row>
    <row r="255" spans="2:6" ht="15" customHeight="1">
      <c r="B255" s="74"/>
      <c r="C255" s="45" t="s">
        <v>313</v>
      </c>
      <c r="D255" s="44">
        <v>1</v>
      </c>
      <c r="E255" s="43">
        <v>1.455604075691412E-3</v>
      </c>
    </row>
    <row r="256" spans="2:6" ht="15" customHeight="1">
      <c r="B256" s="75"/>
      <c r="C256" s="42" t="s">
        <v>15</v>
      </c>
      <c r="D256" s="41">
        <v>152</v>
      </c>
      <c r="E256" s="40">
        <v>0.22125181950509462</v>
      </c>
    </row>
    <row r="257" spans="2:5" ht="15" customHeight="1">
      <c r="B257" s="73" t="s">
        <v>28</v>
      </c>
      <c r="C257" s="45" t="s">
        <v>314</v>
      </c>
      <c r="D257" s="44">
        <v>1</v>
      </c>
      <c r="E257" s="43">
        <v>1.455604075691412E-3</v>
      </c>
    </row>
    <row r="258" spans="2:5" ht="15" customHeight="1">
      <c r="B258" s="74"/>
      <c r="C258" s="45" t="s">
        <v>315</v>
      </c>
      <c r="D258" s="44">
        <v>1</v>
      </c>
      <c r="E258" s="43">
        <v>1.455604075691412E-3</v>
      </c>
    </row>
    <row r="259" spans="2:5" ht="15" customHeight="1">
      <c r="B259" s="74"/>
      <c r="C259" s="45" t="s">
        <v>316</v>
      </c>
      <c r="D259" s="44">
        <v>1</v>
      </c>
      <c r="E259" s="43">
        <v>1.455604075691412E-3</v>
      </c>
    </row>
    <row r="260" spans="2:5" ht="15" customHeight="1">
      <c r="B260" s="74"/>
      <c r="C260" s="45" t="s">
        <v>317</v>
      </c>
      <c r="D260" s="44">
        <v>2</v>
      </c>
      <c r="E260" s="43">
        <v>2.911208151382824E-3</v>
      </c>
    </row>
    <row r="261" spans="2:5" ht="15" customHeight="1">
      <c r="B261" s="74"/>
      <c r="C261" s="45" t="s">
        <v>186</v>
      </c>
      <c r="D261" s="44">
        <v>1</v>
      </c>
      <c r="E261" s="43">
        <v>1.455604075691412E-3</v>
      </c>
    </row>
    <row r="262" spans="2:5" ht="15" customHeight="1">
      <c r="B262" s="74"/>
      <c r="C262" s="45" t="s">
        <v>318</v>
      </c>
      <c r="D262" s="44">
        <v>1</v>
      </c>
      <c r="E262" s="43">
        <v>1.455604075691412E-3</v>
      </c>
    </row>
    <row r="263" spans="2:5" ht="15" customHeight="1">
      <c r="B263" s="74"/>
      <c r="C263" s="45" t="s">
        <v>319</v>
      </c>
      <c r="D263" s="44">
        <v>1</v>
      </c>
      <c r="E263" s="43">
        <v>1.455604075691412E-3</v>
      </c>
    </row>
    <row r="264" spans="2:5" ht="15" customHeight="1">
      <c r="B264" s="74"/>
      <c r="C264" s="45" t="s">
        <v>320</v>
      </c>
      <c r="D264" s="44">
        <v>1</v>
      </c>
      <c r="E264" s="43">
        <v>1.455604075691412E-3</v>
      </c>
    </row>
    <row r="265" spans="2:5" ht="15" customHeight="1">
      <c r="B265" s="74"/>
      <c r="C265" s="45" t="s">
        <v>321</v>
      </c>
      <c r="D265" s="44">
        <v>1</v>
      </c>
      <c r="E265" s="43">
        <v>1.455604075691412E-3</v>
      </c>
    </row>
    <row r="266" spans="2:5" ht="15" customHeight="1">
      <c r="B266" s="75"/>
      <c r="C266" s="42" t="s">
        <v>15</v>
      </c>
      <c r="D266" s="41">
        <v>10</v>
      </c>
      <c r="E266" s="40">
        <v>1.4556040756914119E-2</v>
      </c>
    </row>
    <row r="267" spans="2:5" ht="15" customHeight="1">
      <c r="B267" s="73" t="s">
        <v>161</v>
      </c>
      <c r="C267" s="45" t="s">
        <v>322</v>
      </c>
      <c r="D267" s="44">
        <v>2</v>
      </c>
      <c r="E267" s="43">
        <v>2.911208151382824E-3</v>
      </c>
    </row>
    <row r="268" spans="2:5" ht="15" customHeight="1">
      <c r="B268" s="75"/>
      <c r="C268" s="42" t="s">
        <v>15</v>
      </c>
      <c r="D268" s="41">
        <v>2</v>
      </c>
      <c r="E268" s="40">
        <v>2.911208151382824E-3</v>
      </c>
    </row>
    <row r="269" spans="2:5" ht="15" customHeight="1">
      <c r="B269" s="73" t="s">
        <v>38</v>
      </c>
      <c r="C269" s="45" t="s">
        <v>323</v>
      </c>
      <c r="D269" s="44">
        <v>3</v>
      </c>
      <c r="E269" s="43">
        <v>4.3668122270742356E-3</v>
      </c>
    </row>
    <row r="270" spans="2:5" ht="15" customHeight="1">
      <c r="B270" s="74"/>
      <c r="C270" s="45" t="s">
        <v>324</v>
      </c>
      <c r="D270" s="44">
        <v>2</v>
      </c>
      <c r="E270" s="43">
        <v>2.911208151382824E-3</v>
      </c>
    </row>
    <row r="271" spans="2:5" ht="15" customHeight="1">
      <c r="B271" s="74"/>
      <c r="C271" s="45" t="s">
        <v>325</v>
      </c>
      <c r="D271" s="44">
        <v>1</v>
      </c>
      <c r="E271" s="43">
        <v>1.455604075691412E-3</v>
      </c>
    </row>
    <row r="272" spans="2:5" ht="15" customHeight="1">
      <c r="B272" s="74"/>
      <c r="C272" s="45" t="s">
        <v>51</v>
      </c>
      <c r="D272" s="44">
        <v>7</v>
      </c>
      <c r="E272" s="43">
        <v>1.0189228529839884E-2</v>
      </c>
    </row>
    <row r="273" spans="2:5" ht="15" customHeight="1">
      <c r="B273" s="74"/>
      <c r="C273" s="45" t="s">
        <v>187</v>
      </c>
      <c r="D273" s="44">
        <v>2</v>
      </c>
      <c r="E273" s="43">
        <v>2.911208151382824E-3</v>
      </c>
    </row>
    <row r="274" spans="2:5" ht="15" customHeight="1">
      <c r="B274" s="74"/>
      <c r="C274" s="45" t="s">
        <v>326</v>
      </c>
      <c r="D274" s="44">
        <v>1</v>
      </c>
      <c r="E274" s="43">
        <v>1.455604075691412E-3</v>
      </c>
    </row>
    <row r="275" spans="2:5" ht="15" customHeight="1">
      <c r="B275" s="74"/>
      <c r="C275" s="45" t="s">
        <v>327</v>
      </c>
      <c r="D275" s="44">
        <v>1</v>
      </c>
      <c r="E275" s="43">
        <v>1.455604075691412E-3</v>
      </c>
    </row>
    <row r="276" spans="2:5" ht="15" customHeight="1">
      <c r="B276" s="74"/>
      <c r="C276" s="45" t="s">
        <v>328</v>
      </c>
      <c r="D276" s="44">
        <v>1</v>
      </c>
      <c r="E276" s="43">
        <v>1.455604075691412E-3</v>
      </c>
    </row>
    <row r="277" spans="2:5" ht="15" customHeight="1">
      <c r="B277" s="74"/>
      <c r="C277" s="45" t="s">
        <v>329</v>
      </c>
      <c r="D277" s="44">
        <v>2</v>
      </c>
      <c r="E277" s="43">
        <v>2.911208151382824E-3</v>
      </c>
    </row>
    <row r="278" spans="2:5" ht="15" customHeight="1">
      <c r="B278" s="74"/>
      <c r="C278" s="45" t="s">
        <v>330</v>
      </c>
      <c r="D278" s="44">
        <v>1</v>
      </c>
      <c r="E278" s="43">
        <v>1.455604075691412E-3</v>
      </c>
    </row>
    <row r="279" spans="2:5" ht="15" customHeight="1">
      <c r="B279" s="74"/>
      <c r="C279" s="45" t="s">
        <v>331</v>
      </c>
      <c r="D279" s="44">
        <v>2</v>
      </c>
      <c r="E279" s="43">
        <v>2.911208151382824E-3</v>
      </c>
    </row>
    <row r="280" spans="2:5" ht="15" customHeight="1">
      <c r="B280" s="74"/>
      <c r="C280" s="45" t="s">
        <v>332</v>
      </c>
      <c r="D280" s="44">
        <v>1</v>
      </c>
      <c r="E280" s="43">
        <v>1.455604075691412E-3</v>
      </c>
    </row>
    <row r="281" spans="2:5" ht="15" customHeight="1">
      <c r="B281" s="74"/>
      <c r="C281" s="45" t="s">
        <v>333</v>
      </c>
      <c r="D281" s="44">
        <v>1</v>
      </c>
      <c r="E281" s="43">
        <v>1.455604075691412E-3</v>
      </c>
    </row>
    <row r="282" spans="2:5" ht="15" customHeight="1">
      <c r="B282" s="74"/>
      <c r="C282" s="45" t="s">
        <v>49</v>
      </c>
      <c r="D282" s="44">
        <v>8</v>
      </c>
      <c r="E282" s="43">
        <v>1.1644832605531296E-2</v>
      </c>
    </row>
    <row r="283" spans="2:5" ht="15" customHeight="1">
      <c r="B283" s="74"/>
      <c r="C283" s="45" t="s">
        <v>48</v>
      </c>
      <c r="D283" s="44">
        <v>1</v>
      </c>
      <c r="E283" s="43">
        <v>1.455604075691412E-3</v>
      </c>
    </row>
    <row r="284" spans="2:5" ht="15" customHeight="1">
      <c r="B284" s="74"/>
      <c r="C284" s="45" t="s">
        <v>47</v>
      </c>
      <c r="D284" s="44">
        <v>1</v>
      </c>
      <c r="E284" s="43">
        <v>1.455604075691412E-3</v>
      </c>
    </row>
    <row r="285" spans="2:5" ht="15" customHeight="1">
      <c r="B285" s="74"/>
      <c r="C285" s="45" t="s">
        <v>334</v>
      </c>
      <c r="D285" s="44">
        <v>2</v>
      </c>
      <c r="E285" s="43">
        <v>2.911208151382824E-3</v>
      </c>
    </row>
    <row r="286" spans="2:5" ht="15" customHeight="1">
      <c r="B286" s="74"/>
      <c r="C286" s="45" t="s">
        <v>38</v>
      </c>
      <c r="D286" s="44">
        <v>5</v>
      </c>
      <c r="E286" s="43">
        <v>7.2780203784570596E-3</v>
      </c>
    </row>
    <row r="287" spans="2:5" ht="15" customHeight="1">
      <c r="B287" s="75"/>
      <c r="C287" s="42" t="s">
        <v>15</v>
      </c>
      <c r="D287" s="41">
        <v>42</v>
      </c>
      <c r="E287" s="40">
        <v>6.1135371179039298E-2</v>
      </c>
    </row>
    <row r="288" spans="2:5" ht="15" customHeight="1">
      <c r="B288" s="77" t="s">
        <v>15</v>
      </c>
      <c r="C288" s="78"/>
      <c r="D288" s="59">
        <f>SUMIF(C$10:C287,"Total",D$10:D287)</f>
        <v>687</v>
      </c>
      <c r="E288" s="60">
        <v>1</v>
      </c>
    </row>
    <row r="290" spans="2:2" ht="15" customHeight="1">
      <c r="B290" s="19" t="s">
        <v>193</v>
      </c>
    </row>
    <row r="291" spans="2:2" ht="15" customHeight="1">
      <c r="B291" s="21" t="s">
        <v>14</v>
      </c>
    </row>
    <row r="292" spans="2:2" ht="15" customHeight="1">
      <c r="B292" s="20" t="s">
        <v>13</v>
      </c>
    </row>
    <row r="293" spans="2:2" ht="15" customHeight="1">
      <c r="B293" s="19" t="s">
        <v>12</v>
      </c>
    </row>
    <row r="294" spans="2:2" ht="15" customHeight="1">
      <c r="B294" s="19" t="s">
        <v>194</v>
      </c>
    </row>
  </sheetData>
  <mergeCells count="32">
    <mergeCell ref="B257:B266"/>
    <mergeCell ref="B267:B268"/>
    <mergeCell ref="B269:B287"/>
    <mergeCell ref="B288:C288"/>
    <mergeCell ref="B187:B188"/>
    <mergeCell ref="B189:B196"/>
    <mergeCell ref="B197:B208"/>
    <mergeCell ref="B209:B212"/>
    <mergeCell ref="B213:B218"/>
    <mergeCell ref="B235:B238"/>
    <mergeCell ref="B239:B240"/>
    <mergeCell ref="B241:B256"/>
    <mergeCell ref="B7:E8"/>
    <mergeCell ref="B19:B20"/>
    <mergeCell ref="B55:B57"/>
    <mergeCell ref="B58:B70"/>
    <mergeCell ref="B71:B79"/>
    <mergeCell ref="B10:B14"/>
    <mergeCell ref="B15:B16"/>
    <mergeCell ref="B17:B18"/>
    <mergeCell ref="B21:B47"/>
    <mergeCell ref="B48:B54"/>
    <mergeCell ref="B80:B97"/>
    <mergeCell ref="B98:B107"/>
    <mergeCell ref="B108:B119"/>
    <mergeCell ref="B120:B124"/>
    <mergeCell ref="B125:B154"/>
    <mergeCell ref="B155:B175"/>
    <mergeCell ref="B176:B179"/>
    <mergeCell ref="B180:B186"/>
    <mergeCell ref="B219:B223"/>
    <mergeCell ref="B224:B23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9"/>
  <sheetViews>
    <sheetView showGridLines="0" topLeftCell="A19" zoomScaleNormal="100" zoomScaleSheetLayoutView="115" workbookViewId="0">
      <selection activeCell="C12" sqref="C12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2" t="s">
        <v>135</v>
      </c>
      <c r="C7" s="72"/>
      <c r="D7" s="72"/>
    </row>
    <row r="8" spans="1:4" s="29" customFormat="1" ht="15" customHeight="1">
      <c r="B8" s="72"/>
      <c r="C8" s="72"/>
      <c r="D8" s="72"/>
    </row>
    <row r="9" spans="1:4" s="29" customFormat="1" ht="33" customHeight="1">
      <c r="B9" s="72"/>
      <c r="C9" s="72"/>
      <c r="D9" s="7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134</v>
      </c>
      <c r="C11" s="31" t="s">
        <v>45</v>
      </c>
      <c r="D11" s="30" t="s">
        <v>44</v>
      </c>
    </row>
    <row r="12" spans="1:4">
      <c r="B12" s="27" t="s">
        <v>133</v>
      </c>
      <c r="C12" s="26">
        <v>6</v>
      </c>
      <c r="D12" s="25">
        <v>8.7336244541484712E-3</v>
      </c>
    </row>
    <row r="13" spans="1:4">
      <c r="B13" s="27" t="s">
        <v>335</v>
      </c>
      <c r="C13" s="26">
        <v>2</v>
      </c>
      <c r="D13" s="25">
        <v>2.911208151382824E-3</v>
      </c>
    </row>
    <row r="14" spans="1:4">
      <c r="A14" s="28"/>
      <c r="B14" s="27" t="s">
        <v>132</v>
      </c>
      <c r="C14" s="26">
        <v>5</v>
      </c>
      <c r="D14" s="25">
        <v>7.2780203784570596E-3</v>
      </c>
    </row>
    <row r="15" spans="1:4">
      <c r="A15" s="28"/>
      <c r="B15" s="27" t="s">
        <v>131</v>
      </c>
      <c r="C15" s="26">
        <v>1</v>
      </c>
      <c r="D15" s="25">
        <v>1.455604075691412E-3</v>
      </c>
    </row>
    <row r="16" spans="1:4">
      <c r="B16" s="27" t="s">
        <v>130</v>
      </c>
      <c r="C16" s="26">
        <v>4</v>
      </c>
      <c r="D16" s="25">
        <v>5.822416302765648E-3</v>
      </c>
    </row>
    <row r="17" spans="2:4">
      <c r="B17" s="27" t="s">
        <v>129</v>
      </c>
      <c r="C17" s="26">
        <v>8</v>
      </c>
      <c r="D17" s="25">
        <v>1.1644832605531296E-2</v>
      </c>
    </row>
    <row r="18" spans="2:4">
      <c r="B18" s="27" t="s">
        <v>128</v>
      </c>
      <c r="C18" s="26">
        <v>46</v>
      </c>
      <c r="D18" s="25">
        <v>6.6957787481804948E-2</v>
      </c>
    </row>
    <row r="19" spans="2:4">
      <c r="B19" s="27" t="s">
        <v>127</v>
      </c>
      <c r="C19" s="26">
        <v>87</v>
      </c>
      <c r="D19" s="25">
        <v>0.12663755458515283</v>
      </c>
    </row>
    <row r="20" spans="2:4">
      <c r="B20" s="27" t="s">
        <v>126</v>
      </c>
      <c r="C20" s="26">
        <v>10</v>
      </c>
      <c r="D20" s="25">
        <v>1.4556040756914119E-2</v>
      </c>
    </row>
    <row r="21" spans="2:4">
      <c r="B21" s="27" t="s">
        <v>125</v>
      </c>
      <c r="C21" s="26">
        <v>14</v>
      </c>
      <c r="D21" s="25">
        <v>2.0378457059679767E-2</v>
      </c>
    </row>
    <row r="22" spans="2:4">
      <c r="B22" s="27" t="s">
        <v>124</v>
      </c>
      <c r="C22" s="26">
        <v>35</v>
      </c>
      <c r="D22" s="25">
        <v>5.0946142649199416E-2</v>
      </c>
    </row>
    <row r="23" spans="2:4">
      <c r="B23" s="27" t="s">
        <v>123</v>
      </c>
      <c r="C23" s="26">
        <v>210</v>
      </c>
      <c r="D23" s="25">
        <v>0.3056768558951965</v>
      </c>
    </row>
    <row r="24" spans="2:4">
      <c r="B24" s="27" t="s">
        <v>122</v>
      </c>
      <c r="C24" s="26">
        <v>11</v>
      </c>
      <c r="D24" s="25">
        <v>1.6011644832605532E-2</v>
      </c>
    </row>
    <row r="25" spans="2:4">
      <c r="B25" s="27" t="s">
        <v>121</v>
      </c>
      <c r="C25" s="26">
        <v>47</v>
      </c>
      <c r="D25" s="25">
        <v>6.8413391557496359E-2</v>
      </c>
    </row>
    <row r="26" spans="2:4">
      <c r="B26" s="27" t="s">
        <v>120</v>
      </c>
      <c r="C26" s="26">
        <v>157</v>
      </c>
      <c r="D26" s="25">
        <v>0.22852983988355166</v>
      </c>
    </row>
    <row r="27" spans="2:4">
      <c r="B27" s="27" t="s">
        <v>119</v>
      </c>
      <c r="C27" s="26">
        <v>6</v>
      </c>
      <c r="D27" s="25">
        <v>8.7336244541484712E-3</v>
      </c>
    </row>
    <row r="28" spans="2:4">
      <c r="B28" s="27" t="s">
        <v>188</v>
      </c>
      <c r="C28" s="26">
        <v>1</v>
      </c>
      <c r="D28" s="25">
        <v>1.455604075691412E-3</v>
      </c>
    </row>
    <row r="29" spans="2:4">
      <c r="B29" s="27" t="s">
        <v>189</v>
      </c>
      <c r="C29" s="26">
        <v>1</v>
      </c>
      <c r="D29" s="25">
        <v>1.455604075691412E-3</v>
      </c>
    </row>
    <row r="30" spans="2:4">
      <c r="B30" s="27" t="s">
        <v>118</v>
      </c>
      <c r="C30" s="26">
        <v>12</v>
      </c>
      <c r="D30" s="25">
        <v>1.7467248908296942E-2</v>
      </c>
    </row>
    <row r="31" spans="2:4">
      <c r="B31" s="27" t="s">
        <v>117</v>
      </c>
      <c r="C31" s="26">
        <v>22</v>
      </c>
      <c r="D31" s="25">
        <v>3.2023289665211063E-2</v>
      </c>
    </row>
    <row r="32" spans="2:4">
      <c r="B32" s="27" t="s">
        <v>336</v>
      </c>
      <c r="C32" s="26">
        <v>2</v>
      </c>
      <c r="D32" s="25">
        <v>2.911208151382824E-3</v>
      </c>
    </row>
    <row r="33" spans="2:4">
      <c r="B33" s="24" t="s">
        <v>15</v>
      </c>
      <c r="C33" s="23">
        <v>687</v>
      </c>
      <c r="D33" s="22">
        <v>1</v>
      </c>
    </row>
    <row r="35" spans="2:4">
      <c r="B35" s="19" t="s">
        <v>193</v>
      </c>
    </row>
    <row r="36" spans="2:4">
      <c r="B36" s="21" t="s">
        <v>14</v>
      </c>
    </row>
    <row r="37" spans="2:4">
      <c r="B37" s="20" t="s">
        <v>13</v>
      </c>
    </row>
    <row r="38" spans="2:4">
      <c r="B38" s="19" t="s">
        <v>12</v>
      </c>
    </row>
    <row r="39" spans="2:4">
      <c r="B39" s="19" t="s">
        <v>194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227"/>
  <sheetViews>
    <sheetView showGridLines="0" topLeftCell="A197" zoomScaleNormal="100" zoomScaleSheetLayoutView="100" workbookViewId="0">
      <selection activeCell="C11" sqref="C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134</v>
      </c>
      <c r="C9" s="49" t="s">
        <v>46</v>
      </c>
      <c r="D9" s="48" t="s">
        <v>45</v>
      </c>
      <c r="E9" s="47" t="s">
        <v>44</v>
      </c>
    </row>
    <row r="10" spans="1:5" ht="15" customHeight="1">
      <c r="B10" s="73" t="s">
        <v>133</v>
      </c>
      <c r="C10" s="45" t="s">
        <v>39</v>
      </c>
      <c r="D10" s="44">
        <v>1</v>
      </c>
      <c r="E10" s="43">
        <v>1.455604075691412E-3</v>
      </c>
    </row>
    <row r="11" spans="1:5" ht="15" customHeight="1">
      <c r="B11" s="74"/>
      <c r="C11" s="45" t="s">
        <v>36</v>
      </c>
      <c r="D11" s="44">
        <v>1</v>
      </c>
      <c r="E11" s="43">
        <v>1.455604075691412E-3</v>
      </c>
    </row>
    <row r="12" spans="1:5" ht="15" customHeight="1">
      <c r="B12" s="74"/>
      <c r="C12" s="45" t="s">
        <v>29</v>
      </c>
      <c r="D12" s="44">
        <v>1</v>
      </c>
      <c r="E12" s="43">
        <v>1.455604075691412E-3</v>
      </c>
    </row>
    <row r="13" spans="1:5" ht="15" customHeight="1">
      <c r="B13" s="74"/>
      <c r="C13" s="45" t="s">
        <v>41</v>
      </c>
      <c r="D13" s="44">
        <v>1</v>
      </c>
      <c r="E13" s="43">
        <v>1.455604075691412E-3</v>
      </c>
    </row>
    <row r="14" spans="1:5" ht="15" customHeight="1">
      <c r="B14" s="74"/>
      <c r="C14" s="45" t="s">
        <v>40</v>
      </c>
      <c r="D14" s="44">
        <v>1</v>
      </c>
      <c r="E14" s="43">
        <v>1.455604075691412E-3</v>
      </c>
    </row>
    <row r="15" spans="1:5" ht="15" customHeight="1">
      <c r="B15" s="74"/>
      <c r="C15" s="45" t="s">
        <v>38</v>
      </c>
      <c r="D15" s="44">
        <v>1</v>
      </c>
      <c r="E15" s="43">
        <v>1.455604075691412E-3</v>
      </c>
    </row>
    <row r="16" spans="1:5" ht="15" customHeight="1">
      <c r="B16" s="75"/>
      <c r="C16" s="42" t="s">
        <v>15</v>
      </c>
      <c r="D16" s="41">
        <v>6</v>
      </c>
      <c r="E16" s="40">
        <v>8.7336244541484712E-3</v>
      </c>
    </row>
    <row r="17" spans="2:5" ht="15" customHeight="1">
      <c r="B17" s="73" t="s">
        <v>335</v>
      </c>
      <c r="C17" s="45" t="s">
        <v>40</v>
      </c>
      <c r="D17" s="44">
        <v>2</v>
      </c>
      <c r="E17" s="43">
        <v>2.911208151382824E-3</v>
      </c>
    </row>
    <row r="18" spans="2:5" ht="15" customHeight="1">
      <c r="B18" s="75"/>
      <c r="C18" s="42" t="s">
        <v>15</v>
      </c>
      <c r="D18" s="41">
        <v>2</v>
      </c>
      <c r="E18" s="40">
        <v>2.911208151382824E-3</v>
      </c>
    </row>
    <row r="19" spans="2:5" ht="15" customHeight="1">
      <c r="B19" s="73" t="s">
        <v>132</v>
      </c>
      <c r="C19" s="45" t="s">
        <v>36</v>
      </c>
      <c r="D19" s="44">
        <v>1</v>
      </c>
      <c r="E19" s="43">
        <v>1.455604075691412E-3</v>
      </c>
    </row>
    <row r="20" spans="2:5" ht="15" customHeight="1">
      <c r="B20" s="74"/>
      <c r="C20" s="45" t="s">
        <v>34</v>
      </c>
      <c r="D20" s="44">
        <v>2</v>
      </c>
      <c r="E20" s="43">
        <v>2.911208151382824E-3</v>
      </c>
    </row>
    <row r="21" spans="2:5" ht="15" customHeight="1">
      <c r="B21" s="74"/>
      <c r="C21" s="45" t="s">
        <v>40</v>
      </c>
      <c r="D21" s="44">
        <v>2</v>
      </c>
      <c r="E21" s="43">
        <v>2.911208151382824E-3</v>
      </c>
    </row>
    <row r="22" spans="2:5" ht="15" customHeight="1">
      <c r="B22" s="75"/>
      <c r="C22" s="42" t="s">
        <v>15</v>
      </c>
      <c r="D22" s="41">
        <v>5</v>
      </c>
      <c r="E22" s="40">
        <v>7.2780203784570596E-3</v>
      </c>
    </row>
    <row r="23" spans="2:5" ht="15" customHeight="1">
      <c r="B23" s="73" t="s">
        <v>131</v>
      </c>
      <c r="C23" s="45" t="s">
        <v>41</v>
      </c>
      <c r="D23" s="44">
        <v>1</v>
      </c>
      <c r="E23" s="43">
        <v>1.455604075691412E-3</v>
      </c>
    </row>
    <row r="24" spans="2:5" ht="15" customHeight="1">
      <c r="B24" s="75"/>
      <c r="C24" s="42" t="s">
        <v>15</v>
      </c>
      <c r="D24" s="41">
        <v>1</v>
      </c>
      <c r="E24" s="40">
        <v>1.455604075691412E-3</v>
      </c>
    </row>
    <row r="25" spans="2:5" ht="15" customHeight="1">
      <c r="B25" s="73" t="s">
        <v>130</v>
      </c>
      <c r="C25" s="45" t="s">
        <v>43</v>
      </c>
      <c r="D25" s="44">
        <v>1</v>
      </c>
      <c r="E25" s="43">
        <v>1.455604075691412E-3</v>
      </c>
    </row>
    <row r="26" spans="2:5" ht="15" customHeight="1">
      <c r="B26" s="74"/>
      <c r="C26" s="45" t="s">
        <v>20</v>
      </c>
      <c r="D26" s="44">
        <v>1</v>
      </c>
      <c r="E26" s="43">
        <v>1.455604075691412E-3</v>
      </c>
    </row>
    <row r="27" spans="2:5" ht="15" customHeight="1">
      <c r="B27" s="74"/>
      <c r="C27" s="45" t="s">
        <v>38</v>
      </c>
      <c r="D27" s="44">
        <v>2</v>
      </c>
      <c r="E27" s="43">
        <v>2.911208151382824E-3</v>
      </c>
    </row>
    <row r="28" spans="2:5" ht="15" customHeight="1">
      <c r="B28" s="75"/>
      <c r="C28" s="42" t="s">
        <v>15</v>
      </c>
      <c r="D28" s="41">
        <v>4</v>
      </c>
      <c r="E28" s="40">
        <v>5.822416302765648E-3</v>
      </c>
    </row>
    <row r="29" spans="2:5" ht="15" customHeight="1">
      <c r="B29" s="73" t="s">
        <v>129</v>
      </c>
      <c r="C29" s="45" t="s">
        <v>43</v>
      </c>
      <c r="D29" s="44">
        <v>2</v>
      </c>
      <c r="E29" s="43">
        <v>2.911208151382824E-3</v>
      </c>
    </row>
    <row r="30" spans="2:5" ht="15" customHeight="1">
      <c r="B30" s="74"/>
      <c r="C30" s="45" t="s">
        <v>39</v>
      </c>
      <c r="D30" s="44">
        <v>1</v>
      </c>
      <c r="E30" s="43">
        <v>1.455604075691412E-3</v>
      </c>
    </row>
    <row r="31" spans="2:5" ht="15" customHeight="1">
      <c r="B31" s="74"/>
      <c r="C31" s="45" t="s">
        <v>36</v>
      </c>
      <c r="D31" s="44">
        <v>1</v>
      </c>
      <c r="E31" s="43">
        <v>1.455604075691412E-3</v>
      </c>
    </row>
    <row r="32" spans="2:5" ht="15" customHeight="1">
      <c r="B32" s="74"/>
      <c r="C32" s="45" t="s">
        <v>41</v>
      </c>
      <c r="D32" s="44">
        <v>3</v>
      </c>
      <c r="E32" s="43">
        <v>4.3668122270742356E-3</v>
      </c>
    </row>
    <row r="33" spans="2:5" ht="15" customHeight="1">
      <c r="B33" s="74"/>
      <c r="C33" s="45" t="s">
        <v>40</v>
      </c>
      <c r="D33" s="44">
        <v>1</v>
      </c>
      <c r="E33" s="43">
        <v>1.455604075691412E-3</v>
      </c>
    </row>
    <row r="34" spans="2:5" ht="15" customHeight="1">
      <c r="B34" s="75"/>
      <c r="C34" s="42" t="s">
        <v>15</v>
      </c>
      <c r="D34" s="41">
        <v>8</v>
      </c>
      <c r="E34" s="40">
        <v>1.1644832605531296E-2</v>
      </c>
    </row>
    <row r="35" spans="2:5" ht="15" customHeight="1">
      <c r="B35" s="73" t="s">
        <v>128</v>
      </c>
      <c r="C35" s="45" t="s">
        <v>25</v>
      </c>
      <c r="D35" s="44">
        <v>1</v>
      </c>
      <c r="E35" s="43">
        <v>1.455604075691412E-3</v>
      </c>
    </row>
    <row r="36" spans="2:5" ht="15" customHeight="1">
      <c r="B36" s="74"/>
      <c r="C36" s="45" t="s">
        <v>22</v>
      </c>
      <c r="D36" s="44">
        <v>1</v>
      </c>
      <c r="E36" s="43">
        <v>1.455604075691412E-3</v>
      </c>
    </row>
    <row r="37" spans="2:5" ht="15" customHeight="1">
      <c r="B37" s="74"/>
      <c r="C37" s="45" t="s">
        <v>43</v>
      </c>
      <c r="D37" s="44">
        <v>5</v>
      </c>
      <c r="E37" s="43">
        <v>7.2780203784570596E-3</v>
      </c>
    </row>
    <row r="38" spans="2:5" ht="15" customHeight="1">
      <c r="B38" s="74"/>
      <c r="C38" s="45" t="s">
        <v>23</v>
      </c>
      <c r="D38" s="44">
        <v>1</v>
      </c>
      <c r="E38" s="43">
        <v>1.455604075691412E-3</v>
      </c>
    </row>
    <row r="39" spans="2:5" ht="15" customHeight="1">
      <c r="B39" s="74"/>
      <c r="C39" s="45" t="s">
        <v>21</v>
      </c>
      <c r="D39" s="44">
        <v>1</v>
      </c>
      <c r="E39" s="43">
        <v>1.455604075691412E-3</v>
      </c>
    </row>
    <row r="40" spans="2:5" ht="15" customHeight="1">
      <c r="B40" s="74"/>
      <c r="C40" s="45" t="s">
        <v>31</v>
      </c>
      <c r="D40" s="44">
        <v>1</v>
      </c>
      <c r="E40" s="43">
        <v>1.455604075691412E-3</v>
      </c>
    </row>
    <row r="41" spans="2:5" ht="15" customHeight="1">
      <c r="B41" s="74"/>
      <c r="C41" s="45" t="s">
        <v>29</v>
      </c>
      <c r="D41" s="44">
        <v>1</v>
      </c>
      <c r="E41" s="43">
        <v>1.455604075691412E-3</v>
      </c>
    </row>
    <row r="42" spans="2:5" ht="15" customHeight="1">
      <c r="B42" s="74"/>
      <c r="C42" s="45" t="s">
        <v>34</v>
      </c>
      <c r="D42" s="44">
        <v>1</v>
      </c>
      <c r="E42" s="43">
        <v>1.455604075691412E-3</v>
      </c>
    </row>
    <row r="43" spans="2:5" ht="15" customHeight="1">
      <c r="B43" s="74"/>
      <c r="C43" s="45" t="s">
        <v>24</v>
      </c>
      <c r="D43" s="44">
        <v>1</v>
      </c>
      <c r="E43" s="43">
        <v>1.455604075691412E-3</v>
      </c>
    </row>
    <row r="44" spans="2:5" ht="15" customHeight="1">
      <c r="B44" s="74"/>
      <c r="C44" s="45" t="s">
        <v>41</v>
      </c>
      <c r="D44" s="44">
        <v>12</v>
      </c>
      <c r="E44" s="43">
        <v>1.7467248908296942E-2</v>
      </c>
    </row>
    <row r="45" spans="2:5" ht="15" customHeight="1">
      <c r="B45" s="74"/>
      <c r="C45" s="45" t="s">
        <v>40</v>
      </c>
      <c r="D45" s="44">
        <v>5</v>
      </c>
      <c r="E45" s="43">
        <v>7.2780203784570596E-3</v>
      </c>
    </row>
    <row r="46" spans="2:5" ht="15" customHeight="1">
      <c r="B46" s="74"/>
      <c r="C46" s="45" t="s">
        <v>26</v>
      </c>
      <c r="D46" s="44">
        <v>1</v>
      </c>
      <c r="E46" s="43">
        <v>1.455604075691412E-3</v>
      </c>
    </row>
    <row r="47" spans="2:5" ht="15" customHeight="1">
      <c r="B47" s="74"/>
      <c r="C47" s="45" t="s">
        <v>35</v>
      </c>
      <c r="D47" s="44">
        <v>1</v>
      </c>
      <c r="E47" s="43">
        <v>1.455604075691412E-3</v>
      </c>
    </row>
    <row r="48" spans="2:5" ht="15" customHeight="1">
      <c r="B48" s="74"/>
      <c r="C48" s="45" t="s">
        <v>37</v>
      </c>
      <c r="D48" s="44">
        <v>4</v>
      </c>
      <c r="E48" s="43">
        <v>5.822416302765648E-3</v>
      </c>
    </row>
    <row r="49" spans="2:5" ht="15" customHeight="1">
      <c r="B49" s="74"/>
      <c r="C49" s="45" t="s">
        <v>32</v>
      </c>
      <c r="D49" s="44">
        <v>1</v>
      </c>
      <c r="E49" s="43">
        <v>1.455604075691412E-3</v>
      </c>
    </row>
    <row r="50" spans="2:5" ht="15" customHeight="1">
      <c r="B50" s="74"/>
      <c r="C50" s="45" t="s">
        <v>42</v>
      </c>
      <c r="D50" s="44">
        <v>5</v>
      </c>
      <c r="E50" s="43">
        <v>7.2780203784570596E-3</v>
      </c>
    </row>
    <row r="51" spans="2:5" ht="15" customHeight="1">
      <c r="B51" s="74"/>
      <c r="C51" s="45" t="s">
        <v>38</v>
      </c>
      <c r="D51" s="44">
        <v>4</v>
      </c>
      <c r="E51" s="43">
        <v>5.822416302765648E-3</v>
      </c>
    </row>
    <row r="52" spans="2:5" ht="15" customHeight="1">
      <c r="B52" s="75"/>
      <c r="C52" s="42" t="s">
        <v>15</v>
      </c>
      <c r="D52" s="41">
        <v>46</v>
      </c>
      <c r="E52" s="40">
        <v>6.6957787481804948E-2</v>
      </c>
    </row>
    <row r="53" spans="2:5" ht="15" customHeight="1">
      <c r="B53" s="73" t="s">
        <v>127</v>
      </c>
      <c r="C53" s="45" t="s">
        <v>162</v>
      </c>
      <c r="D53" s="44">
        <v>1</v>
      </c>
      <c r="E53" s="43">
        <v>1.455604075691412E-3</v>
      </c>
    </row>
    <row r="54" spans="2:5" ht="15" customHeight="1">
      <c r="B54" s="74"/>
      <c r="C54" s="45" t="s">
        <v>43</v>
      </c>
      <c r="D54" s="44">
        <v>15</v>
      </c>
      <c r="E54" s="43">
        <v>2.1834061135371178E-2</v>
      </c>
    </row>
    <row r="55" spans="2:5" ht="15" customHeight="1">
      <c r="B55" s="74"/>
      <c r="C55" s="45" t="s">
        <v>21</v>
      </c>
      <c r="D55" s="44">
        <v>1</v>
      </c>
      <c r="E55" s="43">
        <v>1.455604075691412E-3</v>
      </c>
    </row>
    <row r="56" spans="2:5" ht="15" customHeight="1">
      <c r="B56" s="74"/>
      <c r="C56" s="45" t="s">
        <v>39</v>
      </c>
      <c r="D56" s="44">
        <v>3</v>
      </c>
      <c r="E56" s="43">
        <v>4.3668122270742356E-3</v>
      </c>
    </row>
    <row r="57" spans="2:5" ht="15" customHeight="1">
      <c r="B57" s="74"/>
      <c r="C57" s="45" t="s">
        <v>36</v>
      </c>
      <c r="D57" s="44">
        <v>2</v>
      </c>
      <c r="E57" s="43">
        <v>2.911208151382824E-3</v>
      </c>
    </row>
    <row r="58" spans="2:5" ht="15" customHeight="1">
      <c r="B58" s="74"/>
      <c r="C58" s="45" t="s">
        <v>31</v>
      </c>
      <c r="D58" s="44">
        <v>1</v>
      </c>
      <c r="E58" s="43">
        <v>1.455604075691412E-3</v>
      </c>
    </row>
    <row r="59" spans="2:5" ht="15" customHeight="1">
      <c r="B59" s="74"/>
      <c r="C59" s="45" t="s">
        <v>29</v>
      </c>
      <c r="D59" s="44">
        <v>5</v>
      </c>
      <c r="E59" s="43">
        <v>7.2780203784570596E-3</v>
      </c>
    </row>
    <row r="60" spans="2:5" ht="15" customHeight="1">
      <c r="B60" s="74"/>
      <c r="C60" s="45" t="s">
        <v>41</v>
      </c>
      <c r="D60" s="44">
        <v>5</v>
      </c>
      <c r="E60" s="43">
        <v>7.2780203784570596E-3</v>
      </c>
    </row>
    <row r="61" spans="2:5" ht="15" customHeight="1">
      <c r="B61" s="74"/>
      <c r="C61" s="45" t="s">
        <v>40</v>
      </c>
      <c r="D61" s="44">
        <v>12</v>
      </c>
      <c r="E61" s="43">
        <v>1.7467248908296942E-2</v>
      </c>
    </row>
    <row r="62" spans="2:5" ht="15" customHeight="1">
      <c r="B62" s="74"/>
      <c r="C62" s="45" t="s">
        <v>18</v>
      </c>
      <c r="D62" s="44">
        <v>1</v>
      </c>
      <c r="E62" s="43">
        <v>1.455604075691412E-3</v>
      </c>
    </row>
    <row r="63" spans="2:5" ht="15" customHeight="1">
      <c r="B63" s="74"/>
      <c r="C63" s="45" t="s">
        <v>26</v>
      </c>
      <c r="D63" s="44">
        <v>2</v>
      </c>
      <c r="E63" s="43">
        <v>2.911208151382824E-3</v>
      </c>
    </row>
    <row r="64" spans="2:5" ht="15" customHeight="1">
      <c r="B64" s="74"/>
      <c r="C64" s="45" t="s">
        <v>37</v>
      </c>
      <c r="D64" s="44">
        <v>5</v>
      </c>
      <c r="E64" s="43">
        <v>7.2780203784570596E-3</v>
      </c>
    </row>
    <row r="65" spans="2:5" ht="15" customHeight="1">
      <c r="B65" s="74"/>
      <c r="C65" s="45" t="s">
        <v>32</v>
      </c>
      <c r="D65" s="44">
        <v>1</v>
      </c>
      <c r="E65" s="43">
        <v>1.455604075691412E-3</v>
      </c>
    </row>
    <row r="66" spans="2:5" ht="15" customHeight="1">
      <c r="B66" s="74"/>
      <c r="C66" s="45" t="s">
        <v>33</v>
      </c>
      <c r="D66" s="44">
        <v>1</v>
      </c>
      <c r="E66" s="43">
        <v>1.455604075691412E-3</v>
      </c>
    </row>
    <row r="67" spans="2:5" ht="15" customHeight="1">
      <c r="B67" s="74"/>
      <c r="C67" s="45" t="s">
        <v>42</v>
      </c>
      <c r="D67" s="44">
        <v>20</v>
      </c>
      <c r="E67" s="43">
        <v>2.9112081513828238E-2</v>
      </c>
    </row>
    <row r="68" spans="2:5" ht="15" customHeight="1">
      <c r="B68" s="74"/>
      <c r="C68" s="45" t="s">
        <v>28</v>
      </c>
      <c r="D68" s="44">
        <v>2</v>
      </c>
      <c r="E68" s="43">
        <v>2.911208151382824E-3</v>
      </c>
    </row>
    <row r="69" spans="2:5" ht="15" customHeight="1">
      <c r="B69" s="74"/>
      <c r="C69" s="45" t="s">
        <v>161</v>
      </c>
      <c r="D69" s="44">
        <v>1</v>
      </c>
      <c r="E69" s="43">
        <v>1.455604075691412E-3</v>
      </c>
    </row>
    <row r="70" spans="2:5" ht="15" customHeight="1">
      <c r="B70" s="74"/>
      <c r="C70" s="45" t="s">
        <v>38</v>
      </c>
      <c r="D70" s="44">
        <v>9</v>
      </c>
      <c r="E70" s="43">
        <v>1.3100436681222707E-2</v>
      </c>
    </row>
    <row r="71" spans="2:5" ht="15" customHeight="1">
      <c r="B71" s="75"/>
      <c r="C71" s="42" t="s">
        <v>15</v>
      </c>
      <c r="D71" s="41">
        <v>87</v>
      </c>
      <c r="E71" s="40">
        <v>0.12663755458515283</v>
      </c>
    </row>
    <row r="72" spans="2:5" ht="15" customHeight="1">
      <c r="B72" s="73" t="s">
        <v>126</v>
      </c>
      <c r="C72" s="45" t="s">
        <v>43</v>
      </c>
      <c r="D72" s="44">
        <v>1</v>
      </c>
      <c r="E72" s="43">
        <v>1.455604075691412E-3</v>
      </c>
    </row>
    <row r="73" spans="2:5" ht="15" customHeight="1">
      <c r="B73" s="74"/>
      <c r="C73" s="45" t="s">
        <v>23</v>
      </c>
      <c r="D73" s="44">
        <v>1</v>
      </c>
      <c r="E73" s="43">
        <v>1.455604075691412E-3</v>
      </c>
    </row>
    <row r="74" spans="2:5" ht="15" customHeight="1">
      <c r="B74" s="74"/>
      <c r="C74" s="45" t="s">
        <v>39</v>
      </c>
      <c r="D74" s="44">
        <v>1</v>
      </c>
      <c r="E74" s="43">
        <v>1.455604075691412E-3</v>
      </c>
    </row>
    <row r="75" spans="2:5" ht="15" customHeight="1">
      <c r="B75" s="74"/>
      <c r="C75" s="45" t="s">
        <v>31</v>
      </c>
      <c r="D75" s="44">
        <v>2</v>
      </c>
      <c r="E75" s="43">
        <v>2.911208151382824E-3</v>
      </c>
    </row>
    <row r="76" spans="2:5" ht="15" customHeight="1">
      <c r="B76" s="74"/>
      <c r="C76" s="45" t="s">
        <v>34</v>
      </c>
      <c r="D76" s="44">
        <v>1</v>
      </c>
      <c r="E76" s="43">
        <v>1.455604075691412E-3</v>
      </c>
    </row>
    <row r="77" spans="2:5" ht="15" customHeight="1">
      <c r="B77" s="74"/>
      <c r="C77" s="45" t="s">
        <v>41</v>
      </c>
      <c r="D77" s="44">
        <v>1</v>
      </c>
      <c r="E77" s="43">
        <v>1.455604075691412E-3</v>
      </c>
    </row>
    <row r="78" spans="2:5" ht="15" customHeight="1">
      <c r="B78" s="74"/>
      <c r="C78" s="45" t="s">
        <v>37</v>
      </c>
      <c r="D78" s="44">
        <v>1</v>
      </c>
      <c r="E78" s="43">
        <v>1.455604075691412E-3</v>
      </c>
    </row>
    <row r="79" spans="2:5" ht="15" customHeight="1">
      <c r="B79" s="74"/>
      <c r="C79" s="45" t="s">
        <v>42</v>
      </c>
      <c r="D79" s="44">
        <v>2</v>
      </c>
      <c r="E79" s="43">
        <v>2.911208151382824E-3</v>
      </c>
    </row>
    <row r="80" spans="2:5" ht="15" customHeight="1">
      <c r="B80" s="75"/>
      <c r="C80" s="42" t="s">
        <v>15</v>
      </c>
      <c r="D80" s="41">
        <v>10</v>
      </c>
      <c r="E80" s="40">
        <v>1.4556040756914119E-2</v>
      </c>
    </row>
    <row r="81" spans="2:5" ht="15" customHeight="1">
      <c r="B81" s="73" t="s">
        <v>125</v>
      </c>
      <c r="C81" s="45" t="s">
        <v>43</v>
      </c>
      <c r="D81" s="44">
        <v>2</v>
      </c>
      <c r="E81" s="43">
        <v>2.911208151382824E-3</v>
      </c>
    </row>
    <row r="82" spans="2:5" ht="15" customHeight="1">
      <c r="B82" s="74"/>
      <c r="C82" s="45" t="s">
        <v>39</v>
      </c>
      <c r="D82" s="44">
        <v>1</v>
      </c>
      <c r="E82" s="43">
        <v>1.455604075691412E-3</v>
      </c>
    </row>
    <row r="83" spans="2:5" ht="15" customHeight="1">
      <c r="B83" s="74"/>
      <c r="C83" s="45" t="s">
        <v>36</v>
      </c>
      <c r="D83" s="44">
        <v>1</v>
      </c>
      <c r="E83" s="43">
        <v>1.455604075691412E-3</v>
      </c>
    </row>
    <row r="84" spans="2:5" ht="15" customHeight="1">
      <c r="B84" s="74"/>
      <c r="C84" s="45" t="s">
        <v>29</v>
      </c>
      <c r="D84" s="44">
        <v>1</v>
      </c>
      <c r="E84" s="43">
        <v>1.455604075691412E-3</v>
      </c>
    </row>
    <row r="85" spans="2:5" ht="15" customHeight="1">
      <c r="B85" s="74"/>
      <c r="C85" s="45" t="s">
        <v>41</v>
      </c>
      <c r="D85" s="44">
        <v>2</v>
      </c>
      <c r="E85" s="43">
        <v>2.911208151382824E-3</v>
      </c>
    </row>
    <row r="86" spans="2:5" ht="15" customHeight="1">
      <c r="B86" s="74"/>
      <c r="C86" s="45" t="s">
        <v>40</v>
      </c>
      <c r="D86" s="44">
        <v>2</v>
      </c>
      <c r="E86" s="43">
        <v>2.911208151382824E-3</v>
      </c>
    </row>
    <row r="87" spans="2:5" ht="15" customHeight="1">
      <c r="B87" s="74"/>
      <c r="C87" s="45" t="s">
        <v>33</v>
      </c>
      <c r="D87" s="44">
        <v>1</v>
      </c>
      <c r="E87" s="43">
        <v>1.455604075691412E-3</v>
      </c>
    </row>
    <row r="88" spans="2:5" ht="15" customHeight="1">
      <c r="B88" s="74"/>
      <c r="C88" s="45" t="s">
        <v>30</v>
      </c>
      <c r="D88" s="44">
        <v>1</v>
      </c>
      <c r="E88" s="43">
        <v>1.455604075691412E-3</v>
      </c>
    </row>
    <row r="89" spans="2:5" ht="15" customHeight="1">
      <c r="B89" s="74"/>
      <c r="C89" s="45" t="s">
        <v>42</v>
      </c>
      <c r="D89" s="44">
        <v>2</v>
      </c>
      <c r="E89" s="43">
        <v>2.911208151382824E-3</v>
      </c>
    </row>
    <row r="90" spans="2:5" ht="15" customHeight="1">
      <c r="B90" s="74"/>
      <c r="C90" s="45" t="s">
        <v>38</v>
      </c>
      <c r="D90" s="44">
        <v>1</v>
      </c>
      <c r="E90" s="43">
        <v>1.455604075691412E-3</v>
      </c>
    </row>
    <row r="91" spans="2:5" ht="15" customHeight="1">
      <c r="B91" s="75"/>
      <c r="C91" s="42" t="s">
        <v>15</v>
      </c>
      <c r="D91" s="41">
        <v>14</v>
      </c>
      <c r="E91" s="40">
        <v>2.0378457059679767E-2</v>
      </c>
    </row>
    <row r="92" spans="2:5" ht="15" customHeight="1">
      <c r="B92" s="73" t="s">
        <v>124</v>
      </c>
      <c r="C92" s="45" t="s">
        <v>25</v>
      </c>
      <c r="D92" s="44">
        <v>1</v>
      </c>
      <c r="E92" s="43">
        <v>1.455604075691412E-3</v>
      </c>
    </row>
    <row r="93" spans="2:5" ht="15" customHeight="1">
      <c r="B93" s="74"/>
      <c r="C93" s="45" t="s">
        <v>43</v>
      </c>
      <c r="D93" s="44">
        <v>5</v>
      </c>
      <c r="E93" s="43">
        <v>7.2780203784570596E-3</v>
      </c>
    </row>
    <row r="94" spans="2:5" ht="15" customHeight="1">
      <c r="B94" s="74"/>
      <c r="C94" s="45" t="s">
        <v>39</v>
      </c>
      <c r="D94" s="44">
        <v>5</v>
      </c>
      <c r="E94" s="43">
        <v>7.2780203784570596E-3</v>
      </c>
    </row>
    <row r="95" spans="2:5" ht="15" customHeight="1">
      <c r="B95" s="74"/>
      <c r="C95" s="45" t="s">
        <v>36</v>
      </c>
      <c r="D95" s="44">
        <v>2</v>
      </c>
      <c r="E95" s="43">
        <v>2.911208151382824E-3</v>
      </c>
    </row>
    <row r="96" spans="2:5" ht="15" customHeight="1">
      <c r="B96" s="74"/>
      <c r="C96" s="45" t="s">
        <v>31</v>
      </c>
      <c r="D96" s="44">
        <v>3</v>
      </c>
      <c r="E96" s="43">
        <v>4.3668122270742356E-3</v>
      </c>
    </row>
    <row r="97" spans="2:5" ht="15" customHeight="1">
      <c r="B97" s="74"/>
      <c r="C97" s="45" t="s">
        <v>29</v>
      </c>
      <c r="D97" s="44">
        <v>1</v>
      </c>
      <c r="E97" s="43">
        <v>1.455604075691412E-3</v>
      </c>
    </row>
    <row r="98" spans="2:5" ht="15" customHeight="1">
      <c r="B98" s="74"/>
      <c r="C98" s="45" t="s">
        <v>34</v>
      </c>
      <c r="D98" s="44">
        <v>1</v>
      </c>
      <c r="E98" s="43">
        <v>1.455604075691412E-3</v>
      </c>
    </row>
    <row r="99" spans="2:5" ht="15" customHeight="1">
      <c r="B99" s="74"/>
      <c r="C99" s="45" t="s">
        <v>41</v>
      </c>
      <c r="D99" s="44">
        <v>2</v>
      </c>
      <c r="E99" s="43">
        <v>2.911208151382824E-3</v>
      </c>
    </row>
    <row r="100" spans="2:5" ht="15" customHeight="1">
      <c r="B100" s="74"/>
      <c r="C100" s="45" t="s">
        <v>17</v>
      </c>
      <c r="D100" s="44">
        <v>1</v>
      </c>
      <c r="E100" s="43">
        <v>1.455604075691412E-3</v>
      </c>
    </row>
    <row r="101" spans="2:5" ht="15" customHeight="1">
      <c r="B101" s="74"/>
      <c r="C101" s="45" t="s">
        <v>35</v>
      </c>
      <c r="D101" s="44">
        <v>2</v>
      </c>
      <c r="E101" s="43">
        <v>2.911208151382824E-3</v>
      </c>
    </row>
    <row r="102" spans="2:5" ht="15" customHeight="1">
      <c r="B102" s="74"/>
      <c r="C102" s="45" t="s">
        <v>37</v>
      </c>
      <c r="D102" s="44">
        <v>1</v>
      </c>
      <c r="E102" s="43">
        <v>1.455604075691412E-3</v>
      </c>
    </row>
    <row r="103" spans="2:5" ht="15" customHeight="1">
      <c r="B103" s="74"/>
      <c r="C103" s="45" t="s">
        <v>20</v>
      </c>
      <c r="D103" s="44">
        <v>1</v>
      </c>
      <c r="E103" s="43">
        <v>1.455604075691412E-3</v>
      </c>
    </row>
    <row r="104" spans="2:5" ht="15" customHeight="1">
      <c r="B104" s="74"/>
      <c r="C104" s="45" t="s">
        <v>33</v>
      </c>
      <c r="D104" s="44">
        <v>1</v>
      </c>
      <c r="E104" s="43">
        <v>1.455604075691412E-3</v>
      </c>
    </row>
    <row r="105" spans="2:5" ht="15" customHeight="1">
      <c r="B105" s="74"/>
      <c r="C105" s="45" t="s">
        <v>16</v>
      </c>
      <c r="D105" s="44">
        <v>1</v>
      </c>
      <c r="E105" s="43">
        <v>1.455604075691412E-3</v>
      </c>
    </row>
    <row r="106" spans="2:5" ht="15" customHeight="1">
      <c r="B106" s="74"/>
      <c r="C106" s="45" t="s">
        <v>42</v>
      </c>
      <c r="D106" s="44">
        <v>7</v>
      </c>
      <c r="E106" s="43">
        <v>1.0189228529839884E-2</v>
      </c>
    </row>
    <row r="107" spans="2:5" ht="15" customHeight="1">
      <c r="B107" s="74"/>
      <c r="C107" s="45" t="s">
        <v>38</v>
      </c>
      <c r="D107" s="44">
        <v>1</v>
      </c>
      <c r="E107" s="43">
        <v>1.455604075691412E-3</v>
      </c>
    </row>
    <row r="108" spans="2:5" ht="15" customHeight="1">
      <c r="B108" s="75"/>
      <c r="C108" s="42" t="s">
        <v>15</v>
      </c>
      <c r="D108" s="41">
        <v>35</v>
      </c>
      <c r="E108" s="40">
        <v>5.0946142649199416E-2</v>
      </c>
    </row>
    <row r="109" spans="2:5" ht="15" customHeight="1">
      <c r="B109" s="73" t="s">
        <v>123</v>
      </c>
      <c r="C109" s="45" t="s">
        <v>25</v>
      </c>
      <c r="D109" s="44">
        <v>7</v>
      </c>
      <c r="E109" s="43">
        <v>1.0189228529839884E-2</v>
      </c>
    </row>
    <row r="110" spans="2:5" ht="15" customHeight="1">
      <c r="B110" s="74"/>
      <c r="C110" s="45" t="s">
        <v>43</v>
      </c>
      <c r="D110" s="44">
        <v>22</v>
      </c>
      <c r="E110" s="43">
        <v>3.2023289665211063E-2</v>
      </c>
    </row>
    <row r="111" spans="2:5" ht="15" customHeight="1">
      <c r="B111" s="74"/>
      <c r="C111" s="45" t="s">
        <v>23</v>
      </c>
      <c r="D111" s="44">
        <v>2</v>
      </c>
      <c r="E111" s="43">
        <v>2.911208151382824E-3</v>
      </c>
    </row>
    <row r="112" spans="2:5" ht="15" customHeight="1">
      <c r="B112" s="74"/>
      <c r="C112" s="45" t="s">
        <v>39</v>
      </c>
      <c r="D112" s="44">
        <v>19</v>
      </c>
      <c r="E112" s="43">
        <v>2.7656477438136828E-2</v>
      </c>
    </row>
    <row r="113" spans="2:5" ht="15" customHeight="1">
      <c r="B113" s="74"/>
      <c r="C113" s="45" t="s">
        <v>36</v>
      </c>
      <c r="D113" s="44">
        <v>6</v>
      </c>
      <c r="E113" s="43">
        <v>8.7336244541484712E-3</v>
      </c>
    </row>
    <row r="114" spans="2:5" ht="15" customHeight="1">
      <c r="B114" s="74"/>
      <c r="C114" s="45" t="s">
        <v>31</v>
      </c>
      <c r="D114" s="44">
        <v>8</v>
      </c>
      <c r="E114" s="43">
        <v>1.1644832605531296E-2</v>
      </c>
    </row>
    <row r="115" spans="2:5" ht="15" customHeight="1">
      <c r="B115" s="74"/>
      <c r="C115" s="45" t="s">
        <v>29</v>
      </c>
      <c r="D115" s="44">
        <v>8</v>
      </c>
      <c r="E115" s="43">
        <v>1.1644832605531296E-2</v>
      </c>
    </row>
    <row r="116" spans="2:5" ht="15" customHeight="1">
      <c r="B116" s="74"/>
      <c r="C116" s="45" t="s">
        <v>34</v>
      </c>
      <c r="D116" s="44">
        <v>9</v>
      </c>
      <c r="E116" s="43">
        <v>1.3100436681222707E-2</v>
      </c>
    </row>
    <row r="117" spans="2:5" ht="15" customHeight="1">
      <c r="B117" s="74"/>
      <c r="C117" s="45" t="s">
        <v>24</v>
      </c>
      <c r="D117" s="44">
        <v>1</v>
      </c>
      <c r="E117" s="43">
        <v>1.455604075691412E-3</v>
      </c>
    </row>
    <row r="118" spans="2:5" ht="15" customHeight="1">
      <c r="B118" s="74"/>
      <c r="C118" s="45" t="s">
        <v>41</v>
      </c>
      <c r="D118" s="44">
        <v>20</v>
      </c>
      <c r="E118" s="43">
        <v>2.9112081513828238E-2</v>
      </c>
    </row>
    <row r="119" spans="2:5" ht="15" customHeight="1">
      <c r="B119" s="74"/>
      <c r="C119" s="45" t="s">
        <v>40</v>
      </c>
      <c r="D119" s="44">
        <v>7</v>
      </c>
      <c r="E119" s="43">
        <v>1.0189228529839884E-2</v>
      </c>
    </row>
    <row r="120" spans="2:5" ht="15" customHeight="1">
      <c r="B120" s="74"/>
      <c r="C120" s="45" t="s">
        <v>26</v>
      </c>
      <c r="D120" s="44">
        <v>2</v>
      </c>
      <c r="E120" s="43">
        <v>2.911208151382824E-3</v>
      </c>
    </row>
    <row r="121" spans="2:5" ht="15" customHeight="1">
      <c r="B121" s="74"/>
      <c r="C121" s="45" t="s">
        <v>17</v>
      </c>
      <c r="D121" s="44">
        <v>1</v>
      </c>
      <c r="E121" s="43">
        <v>1.455604075691412E-3</v>
      </c>
    </row>
    <row r="122" spans="2:5" ht="15" customHeight="1">
      <c r="B122" s="74"/>
      <c r="C122" s="45" t="s">
        <v>35</v>
      </c>
      <c r="D122" s="44">
        <v>4</v>
      </c>
      <c r="E122" s="43">
        <v>5.822416302765648E-3</v>
      </c>
    </row>
    <row r="123" spans="2:5" ht="15" customHeight="1">
      <c r="B123" s="74"/>
      <c r="C123" s="45" t="s">
        <v>37</v>
      </c>
      <c r="D123" s="44">
        <v>4</v>
      </c>
      <c r="E123" s="43">
        <v>5.822416302765648E-3</v>
      </c>
    </row>
    <row r="124" spans="2:5" ht="15" customHeight="1">
      <c r="B124" s="74"/>
      <c r="C124" s="45" t="s">
        <v>20</v>
      </c>
      <c r="D124" s="44">
        <v>1</v>
      </c>
      <c r="E124" s="43">
        <v>1.455604075691412E-3</v>
      </c>
    </row>
    <row r="125" spans="2:5" ht="15" customHeight="1">
      <c r="B125" s="74"/>
      <c r="C125" s="45" t="s">
        <v>32</v>
      </c>
      <c r="D125" s="44">
        <v>2</v>
      </c>
      <c r="E125" s="43">
        <v>2.911208151382824E-3</v>
      </c>
    </row>
    <row r="126" spans="2:5" ht="15" customHeight="1">
      <c r="B126" s="74"/>
      <c r="C126" s="45" t="s">
        <v>33</v>
      </c>
      <c r="D126" s="44">
        <v>3</v>
      </c>
      <c r="E126" s="43">
        <v>4.3668122270742356E-3</v>
      </c>
    </row>
    <row r="127" spans="2:5" ht="15" customHeight="1">
      <c r="B127" s="74"/>
      <c r="C127" s="45" t="s">
        <v>30</v>
      </c>
      <c r="D127" s="44">
        <v>3</v>
      </c>
      <c r="E127" s="43">
        <v>4.3668122270742356E-3</v>
      </c>
    </row>
    <row r="128" spans="2:5" ht="15" customHeight="1">
      <c r="B128" s="74"/>
      <c r="C128" s="45" t="s">
        <v>16</v>
      </c>
      <c r="D128" s="44">
        <v>1</v>
      </c>
      <c r="E128" s="43">
        <v>1.455604075691412E-3</v>
      </c>
    </row>
    <row r="129" spans="2:5" ht="15" customHeight="1">
      <c r="B129" s="74"/>
      <c r="C129" s="45" t="s">
        <v>19</v>
      </c>
      <c r="D129" s="44">
        <v>1</v>
      </c>
      <c r="E129" s="43">
        <v>1.455604075691412E-3</v>
      </c>
    </row>
    <row r="130" spans="2:5" ht="15" customHeight="1">
      <c r="B130" s="74"/>
      <c r="C130" s="45" t="s">
        <v>42</v>
      </c>
      <c r="D130" s="44">
        <v>62</v>
      </c>
      <c r="E130" s="43">
        <v>9.0247452692867547E-2</v>
      </c>
    </row>
    <row r="131" spans="2:5" ht="15" customHeight="1">
      <c r="B131" s="74"/>
      <c r="C131" s="45" t="s">
        <v>28</v>
      </c>
      <c r="D131" s="44">
        <v>4</v>
      </c>
      <c r="E131" s="43">
        <v>5.822416302765648E-3</v>
      </c>
    </row>
    <row r="132" spans="2:5" ht="15" customHeight="1">
      <c r="B132" s="74"/>
      <c r="C132" s="45" t="s">
        <v>38</v>
      </c>
      <c r="D132" s="44">
        <v>13</v>
      </c>
      <c r="E132" s="43">
        <v>1.8922852983988356E-2</v>
      </c>
    </row>
    <row r="133" spans="2:5" ht="15" customHeight="1">
      <c r="B133" s="75"/>
      <c r="C133" s="42" t="s">
        <v>15</v>
      </c>
      <c r="D133" s="41">
        <v>210</v>
      </c>
      <c r="E133" s="40">
        <v>0.3056768558951965</v>
      </c>
    </row>
    <row r="134" spans="2:5" ht="15" customHeight="1">
      <c r="B134" s="73" t="s">
        <v>190</v>
      </c>
      <c r="C134" s="45" t="s">
        <v>43</v>
      </c>
      <c r="D134" s="44">
        <v>4</v>
      </c>
      <c r="E134" s="43">
        <v>5.822416302765648E-3</v>
      </c>
    </row>
    <row r="135" spans="2:5" ht="15" customHeight="1">
      <c r="B135" s="74"/>
      <c r="C135" s="45" t="s">
        <v>23</v>
      </c>
      <c r="D135" s="44">
        <v>1</v>
      </c>
      <c r="E135" s="43">
        <v>1.455604075691412E-3</v>
      </c>
    </row>
    <row r="136" spans="2:5" ht="15" customHeight="1">
      <c r="B136" s="74"/>
      <c r="C136" s="45" t="s">
        <v>36</v>
      </c>
      <c r="D136" s="44">
        <v>1</v>
      </c>
      <c r="E136" s="43">
        <v>1.455604075691412E-3</v>
      </c>
    </row>
    <row r="137" spans="2:5" ht="15" customHeight="1">
      <c r="B137" s="74"/>
      <c r="C137" s="45" t="s">
        <v>41</v>
      </c>
      <c r="D137" s="44">
        <v>1</v>
      </c>
      <c r="E137" s="43">
        <v>1.455604075691412E-3</v>
      </c>
    </row>
    <row r="138" spans="2:5" ht="15" customHeight="1">
      <c r="B138" s="74"/>
      <c r="C138" s="45" t="s">
        <v>40</v>
      </c>
      <c r="D138" s="44">
        <v>1</v>
      </c>
      <c r="E138" s="43">
        <v>1.455604075691412E-3</v>
      </c>
    </row>
    <row r="139" spans="2:5" ht="15" customHeight="1">
      <c r="B139" s="74"/>
      <c r="C139" s="45" t="s">
        <v>42</v>
      </c>
      <c r="D139" s="44">
        <v>3</v>
      </c>
      <c r="E139" s="43">
        <v>4.3668122270742356E-3</v>
      </c>
    </row>
    <row r="140" spans="2:5" ht="15" customHeight="1">
      <c r="B140" s="75"/>
      <c r="C140" s="42" t="s">
        <v>15</v>
      </c>
      <c r="D140" s="41">
        <v>11</v>
      </c>
      <c r="E140" s="40">
        <v>1.6011644832605532E-2</v>
      </c>
    </row>
    <row r="141" spans="2:5" ht="15" customHeight="1">
      <c r="B141" s="73" t="s">
        <v>121</v>
      </c>
      <c r="C141" s="45" t="s">
        <v>43</v>
      </c>
      <c r="D141" s="44">
        <v>10</v>
      </c>
      <c r="E141" s="43">
        <v>1.4556040756914119E-2</v>
      </c>
    </row>
    <row r="142" spans="2:5" ht="15" customHeight="1">
      <c r="B142" s="74"/>
      <c r="C142" s="45" t="s">
        <v>39</v>
      </c>
      <c r="D142" s="44">
        <v>2</v>
      </c>
      <c r="E142" s="43">
        <v>2.911208151382824E-3</v>
      </c>
    </row>
    <row r="143" spans="2:5" ht="15" customHeight="1">
      <c r="B143" s="74"/>
      <c r="C143" s="45" t="s">
        <v>36</v>
      </c>
      <c r="D143" s="44">
        <v>4</v>
      </c>
      <c r="E143" s="43">
        <v>5.822416302765648E-3</v>
      </c>
    </row>
    <row r="144" spans="2:5" ht="15" customHeight="1">
      <c r="B144" s="74"/>
      <c r="C144" s="45" t="s">
        <v>31</v>
      </c>
      <c r="D144" s="44">
        <v>2</v>
      </c>
      <c r="E144" s="43">
        <v>2.911208151382824E-3</v>
      </c>
    </row>
    <row r="145" spans="2:5" ht="15" customHeight="1">
      <c r="B145" s="74"/>
      <c r="C145" s="45" t="s">
        <v>29</v>
      </c>
      <c r="D145" s="44">
        <v>1</v>
      </c>
      <c r="E145" s="43">
        <v>1.455604075691412E-3</v>
      </c>
    </row>
    <row r="146" spans="2:5" ht="15" customHeight="1">
      <c r="B146" s="74"/>
      <c r="C146" s="45" t="s">
        <v>24</v>
      </c>
      <c r="D146" s="44">
        <v>2</v>
      </c>
      <c r="E146" s="43">
        <v>2.911208151382824E-3</v>
      </c>
    </row>
    <row r="147" spans="2:5" ht="15" customHeight="1">
      <c r="B147" s="74"/>
      <c r="C147" s="45" t="s">
        <v>41</v>
      </c>
      <c r="D147" s="44">
        <v>3</v>
      </c>
      <c r="E147" s="43">
        <v>4.3668122270742356E-3</v>
      </c>
    </row>
    <row r="148" spans="2:5" ht="15" customHeight="1">
      <c r="B148" s="74"/>
      <c r="C148" s="45" t="s">
        <v>40</v>
      </c>
      <c r="D148" s="44">
        <v>2</v>
      </c>
      <c r="E148" s="43">
        <v>2.911208151382824E-3</v>
      </c>
    </row>
    <row r="149" spans="2:5" ht="15" customHeight="1">
      <c r="B149" s="74"/>
      <c r="C149" s="45" t="s">
        <v>26</v>
      </c>
      <c r="D149" s="44">
        <v>1</v>
      </c>
      <c r="E149" s="43">
        <v>1.455604075691412E-3</v>
      </c>
    </row>
    <row r="150" spans="2:5" ht="15" customHeight="1">
      <c r="B150" s="74"/>
      <c r="C150" s="45" t="s">
        <v>17</v>
      </c>
      <c r="D150" s="44">
        <v>2</v>
      </c>
      <c r="E150" s="43">
        <v>2.911208151382824E-3</v>
      </c>
    </row>
    <row r="151" spans="2:5" ht="15" customHeight="1">
      <c r="B151" s="74"/>
      <c r="C151" s="45" t="s">
        <v>35</v>
      </c>
      <c r="D151" s="44">
        <v>1</v>
      </c>
      <c r="E151" s="43">
        <v>1.455604075691412E-3</v>
      </c>
    </row>
    <row r="152" spans="2:5" ht="15" customHeight="1">
      <c r="B152" s="74"/>
      <c r="C152" s="45" t="s">
        <v>37</v>
      </c>
      <c r="D152" s="44">
        <v>1</v>
      </c>
      <c r="E152" s="43">
        <v>1.455604075691412E-3</v>
      </c>
    </row>
    <row r="153" spans="2:5" ht="15" customHeight="1">
      <c r="B153" s="74"/>
      <c r="C153" s="45" t="s">
        <v>32</v>
      </c>
      <c r="D153" s="44">
        <v>1</v>
      </c>
      <c r="E153" s="43">
        <v>1.455604075691412E-3</v>
      </c>
    </row>
    <row r="154" spans="2:5" ht="15" customHeight="1">
      <c r="B154" s="74"/>
      <c r="C154" s="45" t="s">
        <v>33</v>
      </c>
      <c r="D154" s="44">
        <v>1</v>
      </c>
      <c r="E154" s="43">
        <v>1.455604075691412E-3</v>
      </c>
    </row>
    <row r="155" spans="2:5" ht="15" customHeight="1">
      <c r="B155" s="74"/>
      <c r="C155" s="45" t="s">
        <v>30</v>
      </c>
      <c r="D155" s="44">
        <v>2</v>
      </c>
      <c r="E155" s="43">
        <v>2.911208151382824E-3</v>
      </c>
    </row>
    <row r="156" spans="2:5" ht="15" customHeight="1">
      <c r="B156" s="74"/>
      <c r="C156" s="45" t="s">
        <v>42</v>
      </c>
      <c r="D156" s="44">
        <v>7</v>
      </c>
      <c r="E156" s="43">
        <v>1.0189228529839884E-2</v>
      </c>
    </row>
    <row r="157" spans="2:5" ht="15" customHeight="1">
      <c r="B157" s="74"/>
      <c r="C157" s="45" t="s">
        <v>28</v>
      </c>
      <c r="D157" s="44">
        <v>1</v>
      </c>
      <c r="E157" s="43">
        <v>1.455604075691412E-3</v>
      </c>
    </row>
    <row r="158" spans="2:5" ht="15" customHeight="1">
      <c r="B158" s="74"/>
      <c r="C158" s="45" t="s">
        <v>38</v>
      </c>
      <c r="D158" s="44">
        <v>4</v>
      </c>
      <c r="E158" s="43">
        <v>5.822416302765648E-3</v>
      </c>
    </row>
    <row r="159" spans="2:5" ht="15" customHeight="1">
      <c r="B159" s="75"/>
      <c r="C159" s="42" t="s">
        <v>15</v>
      </c>
      <c r="D159" s="41">
        <v>47</v>
      </c>
      <c r="E159" s="40">
        <v>6.8413391557496359E-2</v>
      </c>
    </row>
    <row r="160" spans="2:5" ht="15" customHeight="1">
      <c r="B160" s="73" t="s">
        <v>120</v>
      </c>
      <c r="C160" s="45" t="s">
        <v>25</v>
      </c>
      <c r="D160" s="44">
        <v>2</v>
      </c>
      <c r="E160" s="43">
        <v>2.911208151382824E-3</v>
      </c>
    </row>
    <row r="161" spans="2:5" ht="15" customHeight="1">
      <c r="B161" s="74"/>
      <c r="C161" s="45" t="s">
        <v>22</v>
      </c>
      <c r="D161" s="44">
        <v>5</v>
      </c>
      <c r="E161" s="43">
        <v>7.2780203784570596E-3</v>
      </c>
    </row>
    <row r="162" spans="2:5" ht="15" customHeight="1">
      <c r="B162" s="74"/>
      <c r="C162" s="45" t="s">
        <v>27</v>
      </c>
      <c r="D162" s="44">
        <v>2</v>
      </c>
      <c r="E162" s="43">
        <v>2.911208151382824E-3</v>
      </c>
    </row>
    <row r="163" spans="2:5" ht="15" customHeight="1">
      <c r="B163" s="74"/>
      <c r="C163" s="45" t="s">
        <v>43</v>
      </c>
      <c r="D163" s="44">
        <v>23</v>
      </c>
      <c r="E163" s="43">
        <v>3.3478893740902474E-2</v>
      </c>
    </row>
    <row r="164" spans="2:5" ht="15" customHeight="1">
      <c r="B164" s="74"/>
      <c r="C164" s="45" t="s">
        <v>23</v>
      </c>
      <c r="D164" s="44">
        <v>3</v>
      </c>
      <c r="E164" s="43">
        <v>4.3668122270742356E-3</v>
      </c>
    </row>
    <row r="165" spans="2:5" ht="15" customHeight="1">
      <c r="B165" s="74"/>
      <c r="C165" s="45" t="s">
        <v>21</v>
      </c>
      <c r="D165" s="44">
        <v>3</v>
      </c>
      <c r="E165" s="43">
        <v>4.3668122270742356E-3</v>
      </c>
    </row>
    <row r="166" spans="2:5" ht="15" customHeight="1">
      <c r="B166" s="74"/>
      <c r="C166" s="45" t="s">
        <v>39</v>
      </c>
      <c r="D166" s="44">
        <v>11</v>
      </c>
      <c r="E166" s="43">
        <v>1.6011644832605532E-2</v>
      </c>
    </row>
    <row r="167" spans="2:5" ht="15" customHeight="1">
      <c r="B167" s="74"/>
      <c r="C167" s="45" t="s">
        <v>36</v>
      </c>
      <c r="D167" s="44">
        <v>7</v>
      </c>
      <c r="E167" s="43">
        <v>1.0189228529839884E-2</v>
      </c>
    </row>
    <row r="168" spans="2:5" ht="15" customHeight="1">
      <c r="B168" s="74"/>
      <c r="C168" s="45" t="s">
        <v>31</v>
      </c>
      <c r="D168" s="44">
        <v>8</v>
      </c>
      <c r="E168" s="43">
        <v>1.1644832605531296E-2</v>
      </c>
    </row>
    <row r="169" spans="2:5" ht="15" customHeight="1">
      <c r="B169" s="74"/>
      <c r="C169" s="45" t="s">
        <v>29</v>
      </c>
      <c r="D169" s="44">
        <v>2</v>
      </c>
      <c r="E169" s="43">
        <v>2.911208151382824E-3</v>
      </c>
    </row>
    <row r="170" spans="2:5" ht="15" customHeight="1">
      <c r="B170" s="74"/>
      <c r="C170" s="45" t="s">
        <v>34</v>
      </c>
      <c r="D170" s="44">
        <v>5</v>
      </c>
      <c r="E170" s="43">
        <v>7.2780203784570596E-3</v>
      </c>
    </row>
    <row r="171" spans="2:5" ht="15" customHeight="1">
      <c r="B171" s="74"/>
      <c r="C171" s="45" t="s">
        <v>24</v>
      </c>
      <c r="D171" s="44">
        <v>1</v>
      </c>
      <c r="E171" s="43">
        <v>1.455604075691412E-3</v>
      </c>
    </row>
    <row r="172" spans="2:5" ht="15" customHeight="1">
      <c r="B172" s="74"/>
      <c r="C172" s="45" t="s">
        <v>41</v>
      </c>
      <c r="D172" s="44">
        <v>7</v>
      </c>
      <c r="E172" s="43">
        <v>1.0189228529839884E-2</v>
      </c>
    </row>
    <row r="173" spans="2:5" ht="15" customHeight="1">
      <c r="B173" s="74"/>
      <c r="C173" s="45" t="s">
        <v>40</v>
      </c>
      <c r="D173" s="44">
        <v>8</v>
      </c>
      <c r="E173" s="43">
        <v>1.1644832605531296E-2</v>
      </c>
    </row>
    <row r="174" spans="2:5" ht="15" customHeight="1">
      <c r="B174" s="74"/>
      <c r="C174" s="45" t="s">
        <v>18</v>
      </c>
      <c r="D174" s="44">
        <v>2</v>
      </c>
      <c r="E174" s="43">
        <v>2.911208151382824E-3</v>
      </c>
    </row>
    <row r="175" spans="2:5" ht="15" customHeight="1">
      <c r="B175" s="74"/>
      <c r="C175" s="45" t="s">
        <v>26</v>
      </c>
      <c r="D175" s="44">
        <v>3</v>
      </c>
      <c r="E175" s="43">
        <v>4.3668122270742356E-3</v>
      </c>
    </row>
    <row r="176" spans="2:5" ht="15" customHeight="1">
      <c r="B176" s="74"/>
      <c r="C176" s="45" t="s">
        <v>17</v>
      </c>
      <c r="D176" s="44">
        <v>1</v>
      </c>
      <c r="E176" s="43">
        <v>1.455604075691412E-3</v>
      </c>
    </row>
    <row r="177" spans="2:6" ht="15" customHeight="1">
      <c r="B177" s="74"/>
      <c r="C177" s="45" t="s">
        <v>35</v>
      </c>
      <c r="D177" s="44">
        <v>3</v>
      </c>
      <c r="E177" s="43">
        <v>4.3668122270742356E-3</v>
      </c>
    </row>
    <row r="178" spans="2:6" ht="15" customHeight="1">
      <c r="B178" s="74"/>
      <c r="C178" s="45" t="s">
        <v>37</v>
      </c>
      <c r="D178" s="44">
        <v>6</v>
      </c>
      <c r="E178" s="43">
        <v>8.7336244541484712E-3</v>
      </c>
    </row>
    <row r="179" spans="2:6" ht="15" customHeight="1">
      <c r="B179" s="74"/>
      <c r="C179" s="45" t="s">
        <v>20</v>
      </c>
      <c r="D179" s="44">
        <v>1</v>
      </c>
      <c r="E179" s="43">
        <v>1.455604075691412E-3</v>
      </c>
    </row>
    <row r="180" spans="2:6" ht="15" customHeight="1">
      <c r="B180" s="74"/>
      <c r="C180" s="45" t="s">
        <v>32</v>
      </c>
      <c r="D180" s="44">
        <v>1</v>
      </c>
      <c r="E180" s="43">
        <v>1.455604075691412E-3</v>
      </c>
    </row>
    <row r="181" spans="2:6" ht="15" customHeight="1">
      <c r="B181" s="74"/>
      <c r="C181" s="45" t="s">
        <v>33</v>
      </c>
      <c r="D181" s="44">
        <v>1</v>
      </c>
      <c r="E181" s="43">
        <v>1.455604075691412E-3</v>
      </c>
    </row>
    <row r="182" spans="2:6" ht="15" customHeight="1">
      <c r="B182" s="74"/>
      <c r="C182" s="45" t="s">
        <v>30</v>
      </c>
      <c r="D182" s="44">
        <v>4</v>
      </c>
      <c r="E182" s="43">
        <v>5.822416302765648E-3</v>
      </c>
    </row>
    <row r="183" spans="2:6" ht="15" customHeight="1">
      <c r="B183" s="74"/>
      <c r="C183" s="45" t="s">
        <v>16</v>
      </c>
      <c r="D183" s="44">
        <v>1</v>
      </c>
      <c r="E183" s="43">
        <v>1.455604075691412E-3</v>
      </c>
    </row>
    <row r="184" spans="2:6" ht="15" customHeight="1">
      <c r="B184" s="74"/>
      <c r="C184" s="45" t="s">
        <v>42</v>
      </c>
      <c r="D184" s="44">
        <v>38</v>
      </c>
      <c r="E184" s="43">
        <v>5.5312954876273655E-2</v>
      </c>
    </row>
    <row r="185" spans="2:6" ht="15" customHeight="1">
      <c r="B185" s="74"/>
      <c r="C185" s="45" t="s">
        <v>28</v>
      </c>
      <c r="D185" s="44">
        <v>1</v>
      </c>
      <c r="E185" s="43">
        <v>1.455604075691412E-3</v>
      </c>
    </row>
    <row r="186" spans="2:6" ht="15" customHeight="1">
      <c r="B186" s="74"/>
      <c r="C186" s="45" t="s">
        <v>161</v>
      </c>
      <c r="D186" s="44">
        <v>1</v>
      </c>
      <c r="E186" s="43">
        <v>1.455604075691412E-3</v>
      </c>
    </row>
    <row r="187" spans="2:6" ht="15" customHeight="1">
      <c r="B187" s="74"/>
      <c r="C187" s="45" t="s">
        <v>38</v>
      </c>
      <c r="D187" s="44">
        <v>7</v>
      </c>
      <c r="E187" s="43">
        <v>1.0189228529839884E-2</v>
      </c>
    </row>
    <row r="188" spans="2:6" ht="15" customHeight="1">
      <c r="B188" s="75"/>
      <c r="C188" s="42" t="s">
        <v>15</v>
      </c>
      <c r="D188" s="41">
        <v>157</v>
      </c>
      <c r="E188" s="40">
        <v>0.22852983988355166</v>
      </c>
      <c r="F188" s="17"/>
    </row>
    <row r="189" spans="2:6" ht="15" customHeight="1">
      <c r="B189" s="73" t="s">
        <v>119</v>
      </c>
      <c r="C189" s="45" t="s">
        <v>39</v>
      </c>
      <c r="D189" s="44">
        <v>2</v>
      </c>
      <c r="E189" s="43">
        <v>2.911208151382824E-3</v>
      </c>
      <c r="F189" s="17"/>
    </row>
    <row r="190" spans="2:6" ht="15" customHeight="1">
      <c r="B190" s="74"/>
      <c r="C190" s="45" t="s">
        <v>29</v>
      </c>
      <c r="D190" s="44">
        <v>1</v>
      </c>
      <c r="E190" s="43">
        <v>1.455604075691412E-3</v>
      </c>
      <c r="F190" s="17"/>
    </row>
    <row r="191" spans="2:6" ht="15" customHeight="1">
      <c r="B191" s="74"/>
      <c r="C191" s="45" t="s">
        <v>26</v>
      </c>
      <c r="D191" s="44">
        <v>1</v>
      </c>
      <c r="E191" s="43">
        <v>1.455604075691412E-3</v>
      </c>
      <c r="F191" s="17"/>
    </row>
    <row r="192" spans="2:6" ht="15" customHeight="1">
      <c r="B192" s="74"/>
      <c r="C192" s="45" t="s">
        <v>30</v>
      </c>
      <c r="D192" s="44">
        <v>1</v>
      </c>
      <c r="E192" s="43">
        <v>1.455604075691412E-3</v>
      </c>
      <c r="F192" s="17"/>
    </row>
    <row r="193" spans="2:5" ht="15" customHeight="1">
      <c r="B193" s="74"/>
      <c r="C193" s="45" t="s">
        <v>16</v>
      </c>
      <c r="D193" s="44">
        <v>1</v>
      </c>
      <c r="E193" s="43">
        <v>1.455604075691412E-3</v>
      </c>
    </row>
    <row r="194" spans="2:5" ht="15" customHeight="1">
      <c r="B194" s="75"/>
      <c r="C194" s="42" t="s">
        <v>15</v>
      </c>
      <c r="D194" s="41">
        <v>6</v>
      </c>
      <c r="E194" s="40">
        <v>8.7336244541484712E-3</v>
      </c>
    </row>
    <row r="195" spans="2:5" ht="15" customHeight="1">
      <c r="B195" s="73" t="s">
        <v>188</v>
      </c>
      <c r="C195" s="45" t="s">
        <v>31</v>
      </c>
      <c r="D195" s="44">
        <v>1</v>
      </c>
      <c r="E195" s="43">
        <v>1.455604075691412E-3</v>
      </c>
    </row>
    <row r="196" spans="2:5" ht="15" customHeight="1">
      <c r="B196" s="75"/>
      <c r="C196" s="42" t="s">
        <v>15</v>
      </c>
      <c r="D196" s="41">
        <v>1</v>
      </c>
      <c r="E196" s="40">
        <v>1.455604075691412E-3</v>
      </c>
    </row>
    <row r="197" spans="2:5" ht="15" customHeight="1">
      <c r="B197" s="73" t="s">
        <v>189</v>
      </c>
      <c r="C197" s="45" t="s">
        <v>42</v>
      </c>
      <c r="D197" s="44">
        <v>1</v>
      </c>
      <c r="E197" s="43">
        <v>1.455604075691412E-3</v>
      </c>
    </row>
    <row r="198" spans="2:5" ht="15" customHeight="1">
      <c r="B198" s="75"/>
      <c r="C198" s="42" t="s">
        <v>15</v>
      </c>
      <c r="D198" s="41">
        <v>1</v>
      </c>
      <c r="E198" s="40">
        <v>1.455604075691412E-3</v>
      </c>
    </row>
    <row r="199" spans="2:5" ht="15" customHeight="1">
      <c r="B199" s="73" t="s">
        <v>118</v>
      </c>
      <c r="C199" s="45" t="s">
        <v>23</v>
      </c>
      <c r="D199" s="44">
        <v>1</v>
      </c>
      <c r="E199" s="43">
        <v>1.455604075691412E-3</v>
      </c>
    </row>
    <row r="200" spans="2:5" ht="15" customHeight="1">
      <c r="B200" s="74"/>
      <c r="C200" s="45" t="s">
        <v>39</v>
      </c>
      <c r="D200" s="44">
        <v>1</v>
      </c>
      <c r="E200" s="43">
        <v>1.455604075691412E-3</v>
      </c>
    </row>
    <row r="201" spans="2:5" ht="15" customHeight="1">
      <c r="B201" s="74"/>
      <c r="C201" s="45" t="s">
        <v>31</v>
      </c>
      <c r="D201" s="44">
        <v>2</v>
      </c>
      <c r="E201" s="43">
        <v>2.911208151382824E-3</v>
      </c>
    </row>
    <row r="202" spans="2:5" ht="15" customHeight="1">
      <c r="B202" s="74"/>
      <c r="C202" s="45" t="s">
        <v>29</v>
      </c>
      <c r="D202" s="44">
        <v>1</v>
      </c>
      <c r="E202" s="43">
        <v>1.455604075691412E-3</v>
      </c>
    </row>
    <row r="203" spans="2:5" ht="15" customHeight="1">
      <c r="B203" s="74"/>
      <c r="C203" s="45" t="s">
        <v>34</v>
      </c>
      <c r="D203" s="44">
        <v>1</v>
      </c>
      <c r="E203" s="43">
        <v>1.455604075691412E-3</v>
      </c>
    </row>
    <row r="204" spans="2:5" ht="15" customHeight="1">
      <c r="B204" s="74"/>
      <c r="C204" s="45" t="s">
        <v>41</v>
      </c>
      <c r="D204" s="44">
        <v>2</v>
      </c>
      <c r="E204" s="43">
        <v>2.911208151382824E-3</v>
      </c>
    </row>
    <row r="205" spans="2:5" ht="15" customHeight="1">
      <c r="B205" s="74"/>
      <c r="C205" s="45" t="s">
        <v>26</v>
      </c>
      <c r="D205" s="44">
        <v>1</v>
      </c>
      <c r="E205" s="43">
        <v>1.455604075691412E-3</v>
      </c>
    </row>
    <row r="206" spans="2:5" ht="15" customHeight="1">
      <c r="B206" s="74"/>
      <c r="C206" s="45" t="s">
        <v>35</v>
      </c>
      <c r="D206" s="44">
        <v>1</v>
      </c>
      <c r="E206" s="43">
        <v>1.455604075691412E-3</v>
      </c>
    </row>
    <row r="207" spans="2:5" ht="15" customHeight="1">
      <c r="B207" s="74"/>
      <c r="C207" s="45" t="s">
        <v>42</v>
      </c>
      <c r="D207" s="44">
        <v>2</v>
      </c>
      <c r="E207" s="43">
        <v>2.911208151382824E-3</v>
      </c>
    </row>
    <row r="208" spans="2:5" ht="15" customHeight="1">
      <c r="B208" s="75"/>
      <c r="C208" s="42" t="s">
        <v>15</v>
      </c>
      <c r="D208" s="41">
        <v>12</v>
      </c>
      <c r="E208" s="40">
        <v>1.7467248908296942E-2</v>
      </c>
    </row>
    <row r="209" spans="2:5" ht="15" customHeight="1">
      <c r="B209" s="73" t="s">
        <v>191</v>
      </c>
      <c r="C209" s="45" t="s">
        <v>22</v>
      </c>
      <c r="D209" s="44">
        <v>2</v>
      </c>
      <c r="E209" s="43">
        <v>2.911208151382824E-3</v>
      </c>
    </row>
    <row r="210" spans="2:5" ht="15" customHeight="1">
      <c r="B210" s="74"/>
      <c r="C210" s="45" t="s">
        <v>43</v>
      </c>
      <c r="D210" s="44">
        <v>4</v>
      </c>
      <c r="E210" s="43">
        <v>5.822416302765648E-3</v>
      </c>
    </row>
    <row r="211" spans="2:5" ht="15" customHeight="1">
      <c r="B211" s="74"/>
      <c r="C211" s="45" t="s">
        <v>39</v>
      </c>
      <c r="D211" s="44">
        <v>4</v>
      </c>
      <c r="E211" s="43">
        <v>5.822416302765648E-3</v>
      </c>
    </row>
    <row r="212" spans="2:5" ht="15" customHeight="1">
      <c r="B212" s="74"/>
      <c r="C212" s="45" t="s">
        <v>29</v>
      </c>
      <c r="D212" s="44">
        <v>1</v>
      </c>
      <c r="E212" s="43">
        <v>1.455604075691412E-3</v>
      </c>
    </row>
    <row r="213" spans="2:5" ht="15" customHeight="1">
      <c r="B213" s="74"/>
      <c r="C213" s="45" t="s">
        <v>40</v>
      </c>
      <c r="D213" s="44">
        <v>1</v>
      </c>
      <c r="E213" s="43">
        <v>1.455604075691412E-3</v>
      </c>
    </row>
    <row r="214" spans="2:5" ht="15" customHeight="1">
      <c r="B214" s="74"/>
      <c r="C214" s="45" t="s">
        <v>37</v>
      </c>
      <c r="D214" s="44">
        <v>3</v>
      </c>
      <c r="E214" s="43">
        <v>4.3668122270742356E-3</v>
      </c>
    </row>
    <row r="215" spans="2:5" ht="15" customHeight="1">
      <c r="B215" s="74"/>
      <c r="C215" s="45" t="s">
        <v>30</v>
      </c>
      <c r="D215" s="44">
        <v>2</v>
      </c>
      <c r="E215" s="43">
        <v>2.911208151382824E-3</v>
      </c>
    </row>
    <row r="216" spans="2:5" ht="15" customHeight="1">
      <c r="B216" s="74"/>
      <c r="C216" s="45" t="s">
        <v>42</v>
      </c>
      <c r="D216" s="44">
        <v>3</v>
      </c>
      <c r="E216" s="43">
        <v>4.3668122270742356E-3</v>
      </c>
    </row>
    <row r="217" spans="2:5" ht="15" customHeight="1">
      <c r="B217" s="74"/>
      <c r="C217" s="45" t="s">
        <v>28</v>
      </c>
      <c r="D217" s="44">
        <v>2</v>
      </c>
      <c r="E217" s="43">
        <v>2.911208151382824E-3</v>
      </c>
    </row>
    <row r="218" spans="2:5" ht="15" customHeight="1">
      <c r="B218" s="75"/>
      <c r="C218" s="42" t="s">
        <v>15</v>
      </c>
      <c r="D218" s="41">
        <v>22</v>
      </c>
      <c r="E218" s="40">
        <v>3.2023289665211063E-2</v>
      </c>
    </row>
    <row r="219" spans="2:5" ht="15" customHeight="1">
      <c r="B219" s="73" t="s">
        <v>337</v>
      </c>
      <c r="C219" s="45" t="s">
        <v>25</v>
      </c>
      <c r="D219" s="44">
        <v>2</v>
      </c>
      <c r="E219" s="43">
        <v>2.911208151382824E-3</v>
      </c>
    </row>
    <row r="220" spans="2:5" ht="15" customHeight="1">
      <c r="B220" s="75"/>
      <c r="C220" s="42" t="s">
        <v>15</v>
      </c>
      <c r="D220" s="41">
        <v>2</v>
      </c>
      <c r="E220" s="40">
        <v>2.911208151382824E-3</v>
      </c>
    </row>
    <row r="221" spans="2:5" ht="15" customHeight="1">
      <c r="B221" s="77" t="s">
        <v>15</v>
      </c>
      <c r="C221" s="78"/>
      <c r="D221" s="59">
        <v>687</v>
      </c>
      <c r="E221" s="60">
        <v>1</v>
      </c>
    </row>
    <row r="223" spans="2:5" ht="15" customHeight="1">
      <c r="B223" s="19" t="s">
        <v>193</v>
      </c>
    </row>
    <row r="224" spans="2:5" ht="15" customHeight="1">
      <c r="B224" s="21" t="s">
        <v>14</v>
      </c>
    </row>
    <row r="225" spans="2:2" ht="15" customHeight="1">
      <c r="B225" s="20" t="s">
        <v>13</v>
      </c>
    </row>
    <row r="226" spans="2:2" ht="15" customHeight="1">
      <c r="B226" s="19" t="s">
        <v>12</v>
      </c>
    </row>
    <row r="227" spans="2:2" ht="15" customHeight="1">
      <c r="B227" s="19" t="s">
        <v>194</v>
      </c>
    </row>
  </sheetData>
  <mergeCells count="23">
    <mergeCell ref="B219:B220"/>
    <mergeCell ref="B221:C221"/>
    <mergeCell ref="B189:B194"/>
    <mergeCell ref="B195:B196"/>
    <mergeCell ref="B197:B198"/>
    <mergeCell ref="B199:B208"/>
    <mergeCell ref="B209:B218"/>
    <mergeCell ref="B7:E8"/>
    <mergeCell ref="B10:B16"/>
    <mergeCell ref="B17:B18"/>
    <mergeCell ref="B19:B22"/>
    <mergeCell ref="B23:B24"/>
    <mergeCell ref="B25:B28"/>
    <mergeCell ref="B29:B34"/>
    <mergeCell ref="B35:B52"/>
    <mergeCell ref="B53:B71"/>
    <mergeCell ref="B72:B80"/>
    <mergeCell ref="B160:B188"/>
    <mergeCell ref="B81:B91"/>
    <mergeCell ref="B92:B108"/>
    <mergeCell ref="B109:B133"/>
    <mergeCell ref="B134:B140"/>
    <mergeCell ref="B141:B15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338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139</v>
      </c>
      <c r="C11" s="31" t="s">
        <v>45</v>
      </c>
      <c r="D11" s="30" t="s">
        <v>44</v>
      </c>
    </row>
    <row r="12" spans="1:5">
      <c r="B12" s="27" t="s">
        <v>138</v>
      </c>
      <c r="C12" s="26">
        <v>404</v>
      </c>
      <c r="D12" s="25">
        <v>0.58806404657933042</v>
      </c>
    </row>
    <row r="13" spans="1:5">
      <c r="B13" s="27" t="s">
        <v>137</v>
      </c>
      <c r="C13" s="26">
        <v>283</v>
      </c>
      <c r="D13" s="25">
        <v>0.41193595342066958</v>
      </c>
    </row>
    <row r="14" spans="1:5">
      <c r="B14" s="24" t="s">
        <v>136</v>
      </c>
      <c r="C14" s="23">
        <v>687</v>
      </c>
      <c r="D14" s="22">
        <v>1</v>
      </c>
    </row>
    <row r="15" spans="1:5">
      <c r="A15" s="28"/>
      <c r="B15" s="28"/>
      <c r="C15" s="58"/>
      <c r="D15" s="28"/>
      <c r="E15" s="28"/>
    </row>
    <row r="16" spans="1:5">
      <c r="B16" s="19" t="s">
        <v>193</v>
      </c>
      <c r="C16" s="58"/>
      <c r="D16" s="28"/>
    </row>
    <row r="17" spans="2:4">
      <c r="B17" s="21" t="s">
        <v>14</v>
      </c>
      <c r="C17" s="61"/>
      <c r="D17" s="61"/>
    </row>
    <row r="18" spans="2:4">
      <c r="B18" s="20" t="s">
        <v>13</v>
      </c>
      <c r="C18" s="62"/>
      <c r="D18" s="62"/>
    </row>
    <row r="19" spans="2:4">
      <c r="B19" s="19" t="s">
        <v>12</v>
      </c>
    </row>
    <row r="20" spans="2:4">
      <c r="B20" s="19" t="s">
        <v>194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topLeftCell="A83" zoomScaleNormal="100" zoomScaleSheetLayoutView="100" workbookViewId="0">
      <selection activeCell="B10" sqref="B10:B1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46</v>
      </c>
      <c r="C9" s="49" t="s">
        <v>139</v>
      </c>
      <c r="D9" s="48" t="s">
        <v>45</v>
      </c>
      <c r="E9" s="47" t="s">
        <v>44</v>
      </c>
    </row>
    <row r="10" spans="1:5" ht="15" customHeight="1">
      <c r="B10" s="73" t="s">
        <v>25</v>
      </c>
      <c r="C10" s="45" t="s">
        <v>141</v>
      </c>
      <c r="D10" s="44">
        <v>9</v>
      </c>
      <c r="E10" s="43">
        <v>1.3100436681222707E-2</v>
      </c>
    </row>
    <row r="11" spans="1:5" ht="15" customHeight="1">
      <c r="B11" s="74"/>
      <c r="C11" s="45" t="s">
        <v>140</v>
      </c>
      <c r="D11" s="44">
        <v>4</v>
      </c>
      <c r="E11" s="43">
        <v>5.822416302765648E-3</v>
      </c>
    </row>
    <row r="12" spans="1:5" ht="15" customHeight="1">
      <c r="B12" s="75"/>
      <c r="C12" s="42" t="s">
        <v>15</v>
      </c>
      <c r="D12" s="41">
        <v>13</v>
      </c>
      <c r="E12" s="40">
        <v>1.8922852983988356E-2</v>
      </c>
    </row>
    <row r="13" spans="1:5" ht="15" customHeight="1">
      <c r="B13" s="73" t="s">
        <v>22</v>
      </c>
      <c r="C13" s="45" t="s">
        <v>141</v>
      </c>
      <c r="D13" s="44">
        <v>3</v>
      </c>
      <c r="E13" s="43">
        <v>4.3668122270742356E-3</v>
      </c>
    </row>
    <row r="14" spans="1:5" ht="15" customHeight="1">
      <c r="B14" s="74"/>
      <c r="C14" s="45" t="s">
        <v>140</v>
      </c>
      <c r="D14" s="44">
        <v>5</v>
      </c>
      <c r="E14" s="43">
        <v>7.2780203784570596E-3</v>
      </c>
    </row>
    <row r="15" spans="1:5" ht="15" customHeight="1">
      <c r="B15" s="75"/>
      <c r="C15" s="42" t="s">
        <v>15</v>
      </c>
      <c r="D15" s="41">
        <v>8</v>
      </c>
      <c r="E15" s="40">
        <v>1.1644832605531296E-2</v>
      </c>
    </row>
    <row r="16" spans="1:5" ht="15" customHeight="1">
      <c r="B16" s="73" t="s">
        <v>162</v>
      </c>
      <c r="C16" s="45" t="s">
        <v>141</v>
      </c>
      <c r="D16" s="44">
        <v>1</v>
      </c>
      <c r="E16" s="43">
        <v>1.455604075691412E-3</v>
      </c>
    </row>
    <row r="17" spans="2:5" ht="15" customHeight="1">
      <c r="B17" s="75"/>
      <c r="C17" s="42" t="s">
        <v>15</v>
      </c>
      <c r="D17" s="41">
        <v>1</v>
      </c>
      <c r="E17" s="40">
        <v>1.455604075691412E-3</v>
      </c>
    </row>
    <row r="18" spans="2:5" ht="15" customHeight="1">
      <c r="B18" s="73" t="s">
        <v>27</v>
      </c>
      <c r="C18" s="45" t="s">
        <v>141</v>
      </c>
      <c r="D18" s="44">
        <v>2</v>
      </c>
      <c r="E18" s="43">
        <v>2.911208151382824E-3</v>
      </c>
    </row>
    <row r="19" spans="2:5" ht="15" customHeight="1">
      <c r="B19" s="75"/>
      <c r="C19" s="42" t="s">
        <v>15</v>
      </c>
      <c r="D19" s="41">
        <v>2</v>
      </c>
      <c r="E19" s="40">
        <v>2.911208151382824E-3</v>
      </c>
    </row>
    <row r="20" spans="2:5" ht="15" customHeight="1">
      <c r="B20" s="73" t="s">
        <v>43</v>
      </c>
      <c r="C20" s="45" t="s">
        <v>141</v>
      </c>
      <c r="D20" s="44">
        <v>47</v>
      </c>
      <c r="E20" s="43">
        <v>6.8413391557496359E-2</v>
      </c>
    </row>
    <row r="21" spans="2:5" ht="15" customHeight="1">
      <c r="B21" s="74"/>
      <c r="C21" s="45" t="s">
        <v>140</v>
      </c>
      <c r="D21" s="44">
        <v>47</v>
      </c>
      <c r="E21" s="43">
        <v>6.8413391557496359E-2</v>
      </c>
    </row>
    <row r="22" spans="2:5" ht="15" customHeight="1">
      <c r="B22" s="75"/>
      <c r="C22" s="42" t="s">
        <v>15</v>
      </c>
      <c r="D22" s="41">
        <v>94</v>
      </c>
      <c r="E22" s="40">
        <v>0.13682678311499272</v>
      </c>
    </row>
    <row r="23" spans="2:5" ht="15" customHeight="1">
      <c r="B23" s="73" t="s">
        <v>23</v>
      </c>
      <c r="C23" s="45" t="s">
        <v>141</v>
      </c>
      <c r="D23" s="44">
        <v>4</v>
      </c>
      <c r="E23" s="43">
        <v>5.822416302765648E-3</v>
      </c>
    </row>
    <row r="24" spans="2:5" ht="15" customHeight="1">
      <c r="B24" s="74"/>
      <c r="C24" s="45" t="s">
        <v>140</v>
      </c>
      <c r="D24" s="44">
        <v>5</v>
      </c>
      <c r="E24" s="43">
        <v>7.2780203784570596E-3</v>
      </c>
    </row>
    <row r="25" spans="2:5" ht="15" customHeight="1">
      <c r="B25" s="75"/>
      <c r="C25" s="42" t="s">
        <v>15</v>
      </c>
      <c r="D25" s="41">
        <v>9</v>
      </c>
      <c r="E25" s="40">
        <v>1.3100436681222707E-2</v>
      </c>
    </row>
    <row r="26" spans="2:5" ht="15" customHeight="1">
      <c r="B26" s="73" t="s">
        <v>21</v>
      </c>
      <c r="C26" s="45" t="s">
        <v>141</v>
      </c>
      <c r="D26" s="44">
        <v>3</v>
      </c>
      <c r="E26" s="43">
        <v>4.3668122270742356E-3</v>
      </c>
    </row>
    <row r="27" spans="2:5" ht="15" customHeight="1">
      <c r="B27" s="74"/>
      <c r="C27" s="45" t="s">
        <v>140</v>
      </c>
      <c r="D27" s="44">
        <v>2</v>
      </c>
      <c r="E27" s="43">
        <v>2.911208151382824E-3</v>
      </c>
    </row>
    <row r="28" spans="2:5" ht="15" customHeight="1">
      <c r="B28" s="75"/>
      <c r="C28" s="42" t="s">
        <v>15</v>
      </c>
      <c r="D28" s="41">
        <v>5</v>
      </c>
      <c r="E28" s="40">
        <v>7.2780203784570596E-3</v>
      </c>
    </row>
    <row r="29" spans="2:5" ht="15" customHeight="1">
      <c r="B29" s="73" t="s">
        <v>39</v>
      </c>
      <c r="C29" s="45" t="s">
        <v>141</v>
      </c>
      <c r="D29" s="44">
        <v>23</v>
      </c>
      <c r="E29" s="43">
        <v>3.3478893740902474E-2</v>
      </c>
    </row>
    <row r="30" spans="2:5" ht="15" customHeight="1">
      <c r="B30" s="74"/>
      <c r="C30" s="45" t="s">
        <v>140</v>
      </c>
      <c r="D30" s="44">
        <v>28</v>
      </c>
      <c r="E30" s="43">
        <v>4.0756914119359534E-2</v>
      </c>
    </row>
    <row r="31" spans="2:5" ht="15" customHeight="1">
      <c r="B31" s="75"/>
      <c r="C31" s="42" t="s">
        <v>15</v>
      </c>
      <c r="D31" s="41">
        <v>51</v>
      </c>
      <c r="E31" s="40">
        <v>7.4235807860262015E-2</v>
      </c>
    </row>
    <row r="32" spans="2:5" ht="15" customHeight="1">
      <c r="B32" s="73" t="s">
        <v>36</v>
      </c>
      <c r="C32" s="45" t="s">
        <v>141</v>
      </c>
      <c r="D32" s="44">
        <v>12</v>
      </c>
      <c r="E32" s="43">
        <v>1.7467248908296942E-2</v>
      </c>
    </row>
    <row r="33" spans="2:5" ht="15" customHeight="1">
      <c r="B33" s="74"/>
      <c r="C33" s="45" t="s">
        <v>140</v>
      </c>
      <c r="D33" s="44">
        <v>14</v>
      </c>
      <c r="E33" s="43">
        <v>2.0378457059679767E-2</v>
      </c>
    </row>
    <row r="34" spans="2:5" ht="15" customHeight="1">
      <c r="B34" s="75"/>
      <c r="C34" s="42" t="s">
        <v>15</v>
      </c>
      <c r="D34" s="41">
        <v>26</v>
      </c>
      <c r="E34" s="40">
        <v>3.7845705967976713E-2</v>
      </c>
    </row>
    <row r="35" spans="2:5" ht="15" customHeight="1">
      <c r="B35" s="73" t="s">
        <v>31</v>
      </c>
      <c r="C35" s="45" t="s">
        <v>141</v>
      </c>
      <c r="D35" s="44">
        <v>18</v>
      </c>
      <c r="E35" s="43">
        <v>2.6200873362445413E-2</v>
      </c>
    </row>
    <row r="36" spans="2:5" ht="15" customHeight="1">
      <c r="B36" s="74"/>
      <c r="C36" s="45" t="s">
        <v>140</v>
      </c>
      <c r="D36" s="44">
        <v>10</v>
      </c>
      <c r="E36" s="43">
        <v>1.4556040756914119E-2</v>
      </c>
    </row>
    <row r="37" spans="2:5" ht="15" customHeight="1">
      <c r="B37" s="75"/>
      <c r="C37" s="42" t="s">
        <v>15</v>
      </c>
      <c r="D37" s="41">
        <v>28</v>
      </c>
      <c r="E37" s="40">
        <v>4.0756914119359534E-2</v>
      </c>
    </row>
    <row r="38" spans="2:5" ht="15" customHeight="1">
      <c r="B38" s="73" t="s">
        <v>29</v>
      </c>
      <c r="C38" s="45" t="s">
        <v>141</v>
      </c>
      <c r="D38" s="44">
        <v>19</v>
      </c>
      <c r="E38" s="43">
        <v>2.7656477438136828E-2</v>
      </c>
    </row>
    <row r="39" spans="2:5" ht="15" customHeight="1">
      <c r="B39" s="74"/>
      <c r="C39" s="45" t="s">
        <v>140</v>
      </c>
      <c r="D39" s="44">
        <v>4</v>
      </c>
      <c r="E39" s="43">
        <v>5.822416302765648E-3</v>
      </c>
    </row>
    <row r="40" spans="2:5" ht="15" customHeight="1">
      <c r="B40" s="75"/>
      <c r="C40" s="42" t="s">
        <v>15</v>
      </c>
      <c r="D40" s="41">
        <v>23</v>
      </c>
      <c r="E40" s="40">
        <v>3.3478893740902474E-2</v>
      </c>
    </row>
    <row r="41" spans="2:5" ht="15" customHeight="1">
      <c r="B41" s="73" t="s">
        <v>34</v>
      </c>
      <c r="C41" s="45" t="s">
        <v>141</v>
      </c>
      <c r="D41" s="44">
        <v>9</v>
      </c>
      <c r="E41" s="43">
        <v>1.3100436681222707E-2</v>
      </c>
    </row>
    <row r="42" spans="2:5" ht="15" customHeight="1">
      <c r="B42" s="74"/>
      <c r="C42" s="45" t="s">
        <v>140</v>
      </c>
      <c r="D42" s="44">
        <v>11</v>
      </c>
      <c r="E42" s="43">
        <v>1.6011644832605532E-2</v>
      </c>
    </row>
    <row r="43" spans="2:5" ht="15" customHeight="1">
      <c r="B43" s="75"/>
      <c r="C43" s="42" t="s">
        <v>15</v>
      </c>
      <c r="D43" s="41">
        <v>20</v>
      </c>
      <c r="E43" s="40">
        <v>2.9112081513828238E-2</v>
      </c>
    </row>
    <row r="44" spans="2:5" ht="15" customHeight="1">
      <c r="B44" s="73" t="s">
        <v>24</v>
      </c>
      <c r="C44" s="45" t="s">
        <v>141</v>
      </c>
      <c r="D44" s="44">
        <v>3</v>
      </c>
      <c r="E44" s="43">
        <v>4.3668122270742356E-3</v>
      </c>
    </row>
    <row r="45" spans="2:5" ht="15" customHeight="1">
      <c r="B45" s="74"/>
      <c r="C45" s="45" t="s">
        <v>140</v>
      </c>
      <c r="D45" s="44">
        <v>2</v>
      </c>
      <c r="E45" s="43">
        <v>2.911208151382824E-3</v>
      </c>
    </row>
    <row r="46" spans="2:5" ht="15" customHeight="1">
      <c r="B46" s="75"/>
      <c r="C46" s="42" t="s">
        <v>15</v>
      </c>
      <c r="D46" s="41">
        <v>5</v>
      </c>
      <c r="E46" s="40">
        <v>7.2780203784570596E-3</v>
      </c>
    </row>
    <row r="47" spans="2:5" ht="15" customHeight="1">
      <c r="B47" s="73" t="s">
        <v>41</v>
      </c>
      <c r="C47" s="45" t="s">
        <v>141</v>
      </c>
      <c r="D47" s="44">
        <v>40</v>
      </c>
      <c r="E47" s="43">
        <v>5.8224163027656477E-2</v>
      </c>
    </row>
    <row r="48" spans="2:5" ht="15" customHeight="1">
      <c r="B48" s="74"/>
      <c r="C48" s="45" t="s">
        <v>140</v>
      </c>
      <c r="D48" s="44">
        <v>20</v>
      </c>
      <c r="E48" s="43">
        <v>2.9112081513828238E-2</v>
      </c>
    </row>
    <row r="49" spans="2:5" ht="15" customHeight="1">
      <c r="B49" s="75"/>
      <c r="C49" s="42" t="s">
        <v>15</v>
      </c>
      <c r="D49" s="41">
        <v>60</v>
      </c>
      <c r="E49" s="40">
        <v>8.7336244541484712E-2</v>
      </c>
    </row>
    <row r="50" spans="2:5" ht="15" customHeight="1">
      <c r="B50" s="73" t="s">
        <v>40</v>
      </c>
      <c r="C50" s="45" t="s">
        <v>141</v>
      </c>
      <c r="D50" s="44">
        <v>24</v>
      </c>
      <c r="E50" s="43">
        <v>3.4934497816593885E-2</v>
      </c>
    </row>
    <row r="51" spans="2:5" ht="15" customHeight="1">
      <c r="B51" s="74"/>
      <c r="C51" s="45" t="s">
        <v>140</v>
      </c>
      <c r="D51" s="44">
        <v>20</v>
      </c>
      <c r="E51" s="43">
        <v>2.9112081513828238E-2</v>
      </c>
    </row>
    <row r="52" spans="2:5" ht="15" customHeight="1">
      <c r="B52" s="75"/>
      <c r="C52" s="42" t="s">
        <v>15</v>
      </c>
      <c r="D52" s="41">
        <v>44</v>
      </c>
      <c r="E52" s="40">
        <v>6.4046579330422126E-2</v>
      </c>
    </row>
    <row r="53" spans="2:5" ht="15" customHeight="1">
      <c r="B53" s="73" t="s">
        <v>18</v>
      </c>
      <c r="C53" s="45" t="s">
        <v>141</v>
      </c>
      <c r="D53" s="44">
        <v>1</v>
      </c>
      <c r="E53" s="43">
        <v>1.455604075691412E-3</v>
      </c>
    </row>
    <row r="54" spans="2:5" ht="15" customHeight="1">
      <c r="B54" s="74"/>
      <c r="C54" s="45" t="s">
        <v>140</v>
      </c>
      <c r="D54" s="44">
        <v>2</v>
      </c>
      <c r="E54" s="43">
        <v>2.911208151382824E-3</v>
      </c>
    </row>
    <row r="55" spans="2:5" ht="15" customHeight="1">
      <c r="B55" s="75"/>
      <c r="C55" s="42" t="s">
        <v>15</v>
      </c>
      <c r="D55" s="41">
        <v>3</v>
      </c>
      <c r="E55" s="40">
        <v>4.3668122270742356E-3</v>
      </c>
    </row>
    <row r="56" spans="2:5" ht="15" customHeight="1">
      <c r="B56" s="73" t="s">
        <v>26</v>
      </c>
      <c r="C56" s="45" t="s">
        <v>141</v>
      </c>
      <c r="D56" s="44">
        <v>6</v>
      </c>
      <c r="E56" s="43">
        <v>8.7336244541484712E-3</v>
      </c>
    </row>
    <row r="57" spans="2:5" ht="15" customHeight="1">
      <c r="B57" s="74"/>
      <c r="C57" s="45" t="s">
        <v>140</v>
      </c>
      <c r="D57" s="44">
        <v>5</v>
      </c>
      <c r="E57" s="43">
        <v>7.2780203784570596E-3</v>
      </c>
    </row>
    <row r="58" spans="2:5" ht="15" customHeight="1">
      <c r="B58" s="75"/>
      <c r="C58" s="42" t="s">
        <v>15</v>
      </c>
      <c r="D58" s="41">
        <v>11</v>
      </c>
      <c r="E58" s="40">
        <v>1.6011644832605532E-2</v>
      </c>
    </row>
    <row r="59" spans="2:5" ht="15" customHeight="1">
      <c r="B59" s="73" t="s">
        <v>17</v>
      </c>
      <c r="C59" s="45" t="s">
        <v>141</v>
      </c>
      <c r="D59" s="44">
        <v>3</v>
      </c>
      <c r="E59" s="43">
        <v>4.3668122270742356E-3</v>
      </c>
    </row>
    <row r="60" spans="2:5" ht="15" customHeight="1">
      <c r="B60" s="74"/>
      <c r="C60" s="45" t="s">
        <v>140</v>
      </c>
      <c r="D60" s="44">
        <v>2</v>
      </c>
      <c r="E60" s="43">
        <v>2.911208151382824E-3</v>
      </c>
    </row>
    <row r="61" spans="2:5" ht="15" customHeight="1">
      <c r="B61" s="75"/>
      <c r="C61" s="42" t="s">
        <v>15</v>
      </c>
      <c r="D61" s="41">
        <v>5</v>
      </c>
      <c r="E61" s="40">
        <v>7.2780203784570596E-3</v>
      </c>
    </row>
    <row r="62" spans="2:5" ht="15" customHeight="1">
      <c r="B62" s="73" t="s">
        <v>35</v>
      </c>
      <c r="C62" s="45" t="s">
        <v>141</v>
      </c>
      <c r="D62" s="44">
        <v>8</v>
      </c>
      <c r="E62" s="43">
        <v>1.1644832605531296E-2</v>
      </c>
    </row>
    <row r="63" spans="2:5" ht="15" customHeight="1">
      <c r="B63" s="74"/>
      <c r="C63" s="45" t="s">
        <v>140</v>
      </c>
      <c r="D63" s="44">
        <v>4</v>
      </c>
      <c r="E63" s="43">
        <v>5.822416302765648E-3</v>
      </c>
    </row>
    <row r="64" spans="2:5" ht="15" customHeight="1">
      <c r="B64" s="75"/>
      <c r="C64" s="42" t="s">
        <v>15</v>
      </c>
      <c r="D64" s="41">
        <v>12</v>
      </c>
      <c r="E64" s="40">
        <v>1.7467248908296942E-2</v>
      </c>
    </row>
    <row r="65" spans="2:5" ht="15" customHeight="1">
      <c r="B65" s="73" t="s">
        <v>37</v>
      </c>
      <c r="C65" s="45" t="s">
        <v>141</v>
      </c>
      <c r="D65" s="44">
        <v>22</v>
      </c>
      <c r="E65" s="43">
        <v>3.2023289665211063E-2</v>
      </c>
    </row>
    <row r="66" spans="2:5" ht="15" customHeight="1">
      <c r="B66" s="74"/>
      <c r="C66" s="45" t="s">
        <v>140</v>
      </c>
      <c r="D66" s="44">
        <v>3</v>
      </c>
      <c r="E66" s="43">
        <v>4.3668122270742356E-3</v>
      </c>
    </row>
    <row r="67" spans="2:5" ht="15" customHeight="1">
      <c r="B67" s="75"/>
      <c r="C67" s="42" t="s">
        <v>15</v>
      </c>
      <c r="D67" s="41">
        <v>25</v>
      </c>
      <c r="E67" s="40">
        <v>3.6390101892285295E-2</v>
      </c>
    </row>
    <row r="68" spans="2:5" ht="15" customHeight="1">
      <c r="B68" s="73" t="s">
        <v>20</v>
      </c>
      <c r="C68" s="45" t="s">
        <v>141</v>
      </c>
      <c r="D68" s="44">
        <v>3</v>
      </c>
      <c r="E68" s="43">
        <v>4.3668122270742356E-3</v>
      </c>
    </row>
    <row r="69" spans="2:5" ht="15" customHeight="1">
      <c r="B69" s="74"/>
      <c r="C69" s="45" t="s">
        <v>140</v>
      </c>
      <c r="D69" s="44">
        <v>1</v>
      </c>
      <c r="E69" s="43">
        <v>1.455604075691412E-3</v>
      </c>
    </row>
    <row r="70" spans="2:5" ht="15" customHeight="1">
      <c r="B70" s="75"/>
      <c r="C70" s="42" t="s">
        <v>15</v>
      </c>
      <c r="D70" s="41">
        <v>4</v>
      </c>
      <c r="E70" s="40">
        <v>5.822416302765648E-3</v>
      </c>
    </row>
    <row r="71" spans="2:5" ht="15" customHeight="1">
      <c r="B71" s="73" t="s">
        <v>32</v>
      </c>
      <c r="C71" s="45" t="s">
        <v>141</v>
      </c>
      <c r="D71" s="44">
        <v>6</v>
      </c>
      <c r="E71" s="43">
        <v>8.7336244541484712E-3</v>
      </c>
    </row>
    <row r="72" spans="2:5" ht="15" customHeight="1">
      <c r="B72" s="75"/>
      <c r="C72" s="42" t="s">
        <v>15</v>
      </c>
      <c r="D72" s="41">
        <v>6</v>
      </c>
      <c r="E72" s="40">
        <v>8.7336244541484712E-3</v>
      </c>
    </row>
    <row r="73" spans="2:5" ht="15" customHeight="1">
      <c r="B73" s="73" t="s">
        <v>33</v>
      </c>
      <c r="C73" s="45" t="s">
        <v>141</v>
      </c>
      <c r="D73" s="44">
        <v>4</v>
      </c>
      <c r="E73" s="43">
        <v>5.822416302765648E-3</v>
      </c>
    </row>
    <row r="74" spans="2:5" ht="15" customHeight="1">
      <c r="B74" s="74"/>
      <c r="C74" s="45" t="s">
        <v>140</v>
      </c>
      <c r="D74" s="44">
        <v>4</v>
      </c>
      <c r="E74" s="43">
        <v>5.822416302765648E-3</v>
      </c>
    </row>
    <row r="75" spans="2:5" ht="15" customHeight="1">
      <c r="B75" s="75"/>
      <c r="C75" s="42" t="s">
        <v>15</v>
      </c>
      <c r="D75" s="41">
        <v>8</v>
      </c>
      <c r="E75" s="40">
        <v>1.1644832605531296E-2</v>
      </c>
    </row>
    <row r="76" spans="2:5" ht="15" customHeight="1">
      <c r="B76" s="73" t="s">
        <v>30</v>
      </c>
      <c r="C76" s="45" t="s">
        <v>141</v>
      </c>
      <c r="D76" s="44">
        <v>4</v>
      </c>
      <c r="E76" s="43">
        <v>5.822416302765648E-3</v>
      </c>
    </row>
    <row r="77" spans="2:5" ht="15" customHeight="1">
      <c r="B77" s="74"/>
      <c r="C77" s="45" t="s">
        <v>140</v>
      </c>
      <c r="D77" s="44">
        <v>9</v>
      </c>
      <c r="E77" s="43">
        <v>1.3100436681222707E-2</v>
      </c>
    </row>
    <row r="78" spans="2:5" ht="15" customHeight="1">
      <c r="B78" s="75"/>
      <c r="C78" s="42" t="s">
        <v>15</v>
      </c>
      <c r="D78" s="41">
        <v>13</v>
      </c>
      <c r="E78" s="40">
        <v>1.8922852983988356E-2</v>
      </c>
    </row>
    <row r="79" spans="2:5" ht="15" customHeight="1">
      <c r="B79" s="73" t="s">
        <v>16</v>
      </c>
      <c r="C79" s="45" t="s">
        <v>141</v>
      </c>
      <c r="D79" s="44">
        <v>2</v>
      </c>
      <c r="E79" s="43">
        <v>2.911208151382824E-3</v>
      </c>
    </row>
    <row r="80" spans="2:5" ht="15" customHeight="1">
      <c r="B80" s="74"/>
      <c r="C80" s="45" t="s">
        <v>140</v>
      </c>
      <c r="D80" s="44">
        <v>2</v>
      </c>
      <c r="E80" s="43">
        <v>2.911208151382824E-3</v>
      </c>
    </row>
    <row r="81" spans="2:6" ht="15" customHeight="1">
      <c r="B81" s="75"/>
      <c r="C81" s="42" t="s">
        <v>15</v>
      </c>
      <c r="D81" s="41">
        <v>4</v>
      </c>
      <c r="E81" s="40">
        <v>5.822416302765648E-3</v>
      </c>
    </row>
    <row r="82" spans="2:6" ht="15" customHeight="1">
      <c r="B82" s="73" t="s">
        <v>19</v>
      </c>
      <c r="C82" s="45" t="s">
        <v>141</v>
      </c>
      <c r="D82" s="44">
        <v>1</v>
      </c>
      <c r="E82" s="43">
        <v>1.455604075691412E-3</v>
      </c>
    </row>
    <row r="83" spans="2:6" ht="15" customHeight="1">
      <c r="B83" s="75"/>
      <c r="C83" s="42" t="s">
        <v>15</v>
      </c>
      <c r="D83" s="41">
        <v>1</v>
      </c>
      <c r="E83" s="40">
        <v>1.455604075691412E-3</v>
      </c>
    </row>
    <row r="84" spans="2:6" ht="15" customHeight="1">
      <c r="B84" s="73" t="s">
        <v>42</v>
      </c>
      <c r="C84" s="45" t="s">
        <v>141</v>
      </c>
      <c r="D84" s="44">
        <v>90</v>
      </c>
      <c r="E84" s="43">
        <v>0.13100436681222707</v>
      </c>
    </row>
    <row r="85" spans="2:6" ht="15" customHeight="1">
      <c r="B85" s="74"/>
      <c r="C85" s="45" t="s">
        <v>140</v>
      </c>
      <c r="D85" s="44">
        <v>62</v>
      </c>
      <c r="E85" s="43">
        <v>9.0247452692867547E-2</v>
      </c>
    </row>
    <row r="86" spans="2:6" ht="15" customHeight="1">
      <c r="B86" s="75"/>
      <c r="C86" s="42" t="s">
        <v>15</v>
      </c>
      <c r="D86" s="41">
        <v>152</v>
      </c>
      <c r="E86" s="40">
        <v>0.22125181950509462</v>
      </c>
    </row>
    <row r="87" spans="2:6" ht="15" customHeight="1">
      <c r="B87" s="73" t="s">
        <v>28</v>
      </c>
      <c r="C87" s="45" t="s">
        <v>141</v>
      </c>
      <c r="D87" s="44">
        <v>9</v>
      </c>
      <c r="E87" s="43">
        <v>1.3100436681222707E-2</v>
      </c>
    </row>
    <row r="88" spans="2:6" ht="15" customHeight="1">
      <c r="B88" s="74"/>
      <c r="C88" s="45" t="s">
        <v>140</v>
      </c>
      <c r="D88" s="44">
        <v>1</v>
      </c>
      <c r="E88" s="43">
        <v>1.455604075691412E-3</v>
      </c>
    </row>
    <row r="89" spans="2:6" ht="15" customHeight="1">
      <c r="B89" s="75"/>
      <c r="C89" s="42" t="s">
        <v>15</v>
      </c>
      <c r="D89" s="41">
        <v>10</v>
      </c>
      <c r="E89" s="40">
        <v>1.4556040756914119E-2</v>
      </c>
    </row>
    <row r="90" spans="2:6" ht="15" customHeight="1">
      <c r="B90" s="73" t="s">
        <v>161</v>
      </c>
      <c r="C90" s="45" t="s">
        <v>141</v>
      </c>
      <c r="D90" s="44">
        <v>1</v>
      </c>
      <c r="E90" s="43">
        <v>1.455604075691412E-3</v>
      </c>
    </row>
    <row r="91" spans="2:6" ht="15" customHeight="1">
      <c r="B91" s="74"/>
      <c r="C91" s="45" t="s">
        <v>140</v>
      </c>
      <c r="D91" s="44">
        <v>1</v>
      </c>
      <c r="E91" s="43">
        <v>1.455604075691412E-3</v>
      </c>
    </row>
    <row r="92" spans="2:6" ht="15" customHeight="1">
      <c r="B92" s="75"/>
      <c r="C92" s="42" t="s">
        <v>15</v>
      </c>
      <c r="D92" s="41">
        <v>2</v>
      </c>
      <c r="E92" s="40">
        <v>2.911208151382824E-3</v>
      </c>
    </row>
    <row r="93" spans="2:6" ht="15" customHeight="1">
      <c r="B93" s="73" t="s">
        <v>38</v>
      </c>
      <c r="C93" s="45" t="s">
        <v>141</v>
      </c>
      <c r="D93" s="44">
        <v>27</v>
      </c>
      <c r="E93" s="43">
        <v>3.9301310043668124E-2</v>
      </c>
    </row>
    <row r="94" spans="2:6" ht="15" customHeight="1">
      <c r="B94" s="74"/>
      <c r="C94" s="45" t="s">
        <v>140</v>
      </c>
      <c r="D94" s="44">
        <v>15</v>
      </c>
      <c r="E94" s="43">
        <v>2.1834061135371178E-2</v>
      </c>
    </row>
    <row r="95" spans="2:6" ht="15" customHeight="1">
      <c r="B95" s="75"/>
      <c r="C95" s="42" t="s">
        <v>15</v>
      </c>
      <c r="D95" s="41">
        <v>42</v>
      </c>
      <c r="E95" s="40">
        <v>6.1135371179039298E-2</v>
      </c>
    </row>
    <row r="96" spans="2:6" ht="15" customHeight="1">
      <c r="B96" s="77" t="s">
        <v>15</v>
      </c>
      <c r="C96" s="78"/>
      <c r="D96" s="59">
        <f>SUMIF(C10:C95,"TOTAL",D10:D95)</f>
        <v>687</v>
      </c>
      <c r="E96" s="60">
        <v>1</v>
      </c>
      <c r="F96" s="17"/>
    </row>
    <row r="97" spans="2:6" ht="15" customHeight="1">
      <c r="F97" s="17"/>
    </row>
    <row r="98" spans="2:6" ht="15" customHeight="1">
      <c r="B98" s="19" t="s">
        <v>193</v>
      </c>
      <c r="F98" s="17"/>
    </row>
    <row r="99" spans="2:6" ht="15" customHeight="1">
      <c r="B99" s="21" t="s">
        <v>14</v>
      </c>
      <c r="F99" s="17"/>
    </row>
    <row r="100" spans="2:6" ht="15" customHeight="1">
      <c r="B100" s="20" t="s">
        <v>13</v>
      </c>
      <c r="F100" s="17"/>
    </row>
    <row r="101" spans="2:6" ht="15" customHeight="1">
      <c r="B101" s="19" t="s">
        <v>12</v>
      </c>
    </row>
    <row r="102" spans="2:6" ht="15" customHeight="1">
      <c r="B102" s="19" t="s">
        <v>194</v>
      </c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32">
    <mergeCell ref="B90:B92"/>
    <mergeCell ref="B93:B95"/>
    <mergeCell ref="B96:C96"/>
    <mergeCell ref="B76:B78"/>
    <mergeCell ref="B79:B81"/>
    <mergeCell ref="B82:B83"/>
    <mergeCell ref="B84:B86"/>
    <mergeCell ref="B87:B89"/>
    <mergeCell ref="B7:E8"/>
    <mergeCell ref="B53:B55"/>
    <mergeCell ref="B56:B58"/>
    <mergeCell ref="B59:B61"/>
    <mergeCell ref="B62:B64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10:B12"/>
    <mergeCell ref="B68:B70"/>
    <mergeCell ref="B71:B72"/>
    <mergeCell ref="B73:B75"/>
    <mergeCell ref="B13:B15"/>
    <mergeCell ref="B16:B17"/>
    <mergeCell ref="B18:B19"/>
    <mergeCell ref="B20:B22"/>
    <mergeCell ref="B65:B6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3"/>
  <sheetViews>
    <sheetView showGridLines="0" zoomScaleNormal="100" zoomScaleSheetLayoutView="100" workbookViewId="0">
      <selection activeCell="D10" sqref="D1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139</v>
      </c>
      <c r="C9" s="49" t="s">
        <v>148</v>
      </c>
      <c r="D9" s="48" t="s">
        <v>45</v>
      </c>
      <c r="E9" s="47" t="s">
        <v>44</v>
      </c>
    </row>
    <row r="10" spans="1:5" ht="15" customHeight="1">
      <c r="B10" s="73" t="s">
        <v>141</v>
      </c>
      <c r="C10" s="45" t="s">
        <v>339</v>
      </c>
      <c r="D10" s="44">
        <v>2</v>
      </c>
      <c r="E10" s="43">
        <v>2.911208151382824E-3</v>
      </c>
    </row>
    <row r="11" spans="1:5" ht="15" customHeight="1">
      <c r="B11" s="74"/>
      <c r="C11" s="45" t="s">
        <v>147</v>
      </c>
      <c r="D11" s="44">
        <v>7</v>
      </c>
      <c r="E11" s="43">
        <v>1.0189228529839884E-2</v>
      </c>
    </row>
    <row r="12" spans="1:5" ht="15" customHeight="1">
      <c r="B12" s="74"/>
      <c r="C12" s="45" t="s">
        <v>146</v>
      </c>
      <c r="D12" s="44">
        <v>73</v>
      </c>
      <c r="E12" s="43">
        <v>0.10625909752547306</v>
      </c>
    </row>
    <row r="13" spans="1:5" ht="15" customHeight="1">
      <c r="B13" s="74"/>
      <c r="C13" s="45" t="s">
        <v>145</v>
      </c>
      <c r="D13" s="44">
        <v>138</v>
      </c>
      <c r="E13" s="43">
        <v>0.20087336244541484</v>
      </c>
    </row>
    <row r="14" spans="1:5" ht="15" customHeight="1">
      <c r="B14" s="74"/>
      <c r="C14" s="45" t="s">
        <v>144</v>
      </c>
      <c r="D14" s="44">
        <v>129</v>
      </c>
      <c r="E14" s="43">
        <v>0.18777292576419213</v>
      </c>
    </row>
    <row r="15" spans="1:5" ht="15" customHeight="1">
      <c r="B15" s="74"/>
      <c r="C15" s="45" t="s">
        <v>143</v>
      </c>
      <c r="D15" s="44">
        <v>53</v>
      </c>
      <c r="E15" s="43">
        <v>7.7147016011644837E-2</v>
      </c>
    </row>
    <row r="16" spans="1:5" ht="15" customHeight="1">
      <c r="B16" s="75"/>
      <c r="C16" s="45" t="s">
        <v>142</v>
      </c>
      <c r="D16" s="44">
        <v>2</v>
      </c>
      <c r="E16" s="43">
        <v>2.911208151382824E-3</v>
      </c>
    </row>
    <row r="17" spans="2:6" ht="15" customHeight="1">
      <c r="B17" s="73" t="s">
        <v>140</v>
      </c>
      <c r="C17" s="45" t="s">
        <v>339</v>
      </c>
      <c r="D17" s="44">
        <v>1</v>
      </c>
      <c r="E17" s="43">
        <v>1.455604075691412E-3</v>
      </c>
    </row>
    <row r="18" spans="2:6" ht="15" customHeight="1">
      <c r="B18" s="74"/>
      <c r="C18" s="45" t="s">
        <v>147</v>
      </c>
      <c r="D18" s="44">
        <v>5</v>
      </c>
      <c r="E18" s="43">
        <v>7.2780203784570596E-3</v>
      </c>
    </row>
    <row r="19" spans="2:6" ht="15" customHeight="1">
      <c r="B19" s="74"/>
      <c r="C19" s="45" t="s">
        <v>146</v>
      </c>
      <c r="D19" s="44">
        <v>41</v>
      </c>
      <c r="E19" s="43">
        <v>5.9679767103347887E-2</v>
      </c>
    </row>
    <row r="20" spans="2:6" ht="15" customHeight="1">
      <c r="B20" s="74"/>
      <c r="C20" s="45" t="s">
        <v>145</v>
      </c>
      <c r="D20" s="44">
        <v>99</v>
      </c>
      <c r="E20" s="43">
        <v>0.14410480349344978</v>
      </c>
    </row>
    <row r="21" spans="2:6" ht="15" customHeight="1">
      <c r="B21" s="74"/>
      <c r="C21" s="45" t="s">
        <v>144</v>
      </c>
      <c r="D21" s="44">
        <v>95</v>
      </c>
      <c r="E21" s="43">
        <v>0.13828238719068414</v>
      </c>
    </row>
    <row r="22" spans="2:6" ht="15" customHeight="1">
      <c r="B22" s="74"/>
      <c r="C22" s="45" t="s">
        <v>143</v>
      </c>
      <c r="D22" s="44">
        <v>39</v>
      </c>
      <c r="E22" s="43">
        <v>5.6768558951965066E-2</v>
      </c>
    </row>
    <row r="23" spans="2:6" ht="15" customHeight="1">
      <c r="B23" s="75"/>
      <c r="C23" s="45" t="s">
        <v>142</v>
      </c>
      <c r="D23" s="44">
        <v>3</v>
      </c>
      <c r="E23" s="43">
        <v>4.3668122270742356E-3</v>
      </c>
    </row>
    <row r="24" spans="2:6" ht="15" customHeight="1">
      <c r="B24" s="77" t="s">
        <v>15</v>
      </c>
      <c r="C24" s="78"/>
      <c r="D24" s="59">
        <v>687</v>
      </c>
      <c r="E24" s="60">
        <v>1</v>
      </c>
      <c r="F24" s="17"/>
    </row>
    <row r="25" spans="2:6" ht="15" customHeight="1">
      <c r="F25" s="17"/>
    </row>
    <row r="26" spans="2:6" ht="15" customHeight="1">
      <c r="B26" s="19" t="s">
        <v>193</v>
      </c>
      <c r="F26" s="17"/>
    </row>
    <row r="27" spans="2:6" ht="15" customHeight="1">
      <c r="B27" s="21" t="s">
        <v>14</v>
      </c>
      <c r="F27" s="17"/>
    </row>
    <row r="28" spans="2:6" ht="15" customHeight="1">
      <c r="B28" s="20" t="s">
        <v>13</v>
      </c>
      <c r="F28" s="17"/>
    </row>
    <row r="29" spans="2:6" ht="15" customHeight="1">
      <c r="B29" s="19" t="s">
        <v>12</v>
      </c>
    </row>
    <row r="30" spans="2:6" ht="15" customHeight="1">
      <c r="B30" s="19" t="s">
        <v>194</v>
      </c>
    </row>
    <row r="459" spans="2:2" s="37" customFormat="1" ht="15" customHeight="1">
      <c r="B459" s="38"/>
    </row>
    <row r="460" spans="2:2" s="37" customFormat="1" ht="15" customHeight="1">
      <c r="B460" s="39"/>
    </row>
    <row r="461" spans="2:2" s="37" customFormat="1" ht="15" customHeight="1">
      <c r="B461" s="39"/>
    </row>
    <row r="462" spans="2:2" s="37" customFormat="1" ht="15" customHeight="1">
      <c r="B462" s="38"/>
    </row>
    <row r="463" spans="2:2" s="37" customFormat="1" ht="15" customHeight="1">
      <c r="B463" s="38"/>
    </row>
  </sheetData>
  <mergeCells count="4">
    <mergeCell ref="B24:C24"/>
    <mergeCell ref="B7:E8"/>
    <mergeCell ref="B10:B16"/>
    <mergeCell ref="B17:B2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1"/>
  <sheetViews>
    <sheetView showGridLines="0" zoomScaleNormal="100" zoomScaleSheetLayoutView="115" workbookViewId="0">
      <selection activeCell="B12" sqref="B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2" t="s">
        <v>340</v>
      </c>
      <c r="C7" s="72"/>
      <c r="D7" s="72"/>
    </row>
    <row r="8" spans="2:4" s="29" customFormat="1" ht="15" customHeight="1">
      <c r="B8" s="72"/>
      <c r="C8" s="72"/>
      <c r="D8" s="72"/>
    </row>
    <row r="9" spans="2:4" s="29" customFormat="1" ht="33" customHeight="1">
      <c r="B9" s="72"/>
      <c r="C9" s="72"/>
      <c r="D9" s="72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160</v>
      </c>
      <c r="C11" s="31" t="s">
        <v>45</v>
      </c>
      <c r="D11" s="30" t="s">
        <v>44</v>
      </c>
    </row>
    <row r="12" spans="2:4">
      <c r="B12" s="27" t="s">
        <v>159</v>
      </c>
      <c r="C12" s="26">
        <v>457</v>
      </c>
      <c r="D12" s="25">
        <v>0.66521106259097529</v>
      </c>
    </row>
    <row r="13" spans="2:4">
      <c r="B13" s="27" t="s">
        <v>158</v>
      </c>
      <c r="C13" s="26">
        <v>119</v>
      </c>
      <c r="D13" s="25">
        <v>0.17321688500727803</v>
      </c>
    </row>
    <row r="14" spans="2:4">
      <c r="B14" s="27" t="s">
        <v>157</v>
      </c>
      <c r="C14" s="26">
        <v>36</v>
      </c>
      <c r="D14" s="25">
        <v>5.2401746724890827E-2</v>
      </c>
    </row>
    <row r="15" spans="2:4">
      <c r="B15" s="27" t="s">
        <v>156</v>
      </c>
      <c r="C15" s="26">
        <v>21</v>
      </c>
      <c r="D15" s="25">
        <v>3.0567685589519649E-2</v>
      </c>
    </row>
    <row r="16" spans="2:4">
      <c r="B16" s="27" t="s">
        <v>155</v>
      </c>
      <c r="C16" s="26">
        <v>20</v>
      </c>
      <c r="D16" s="25">
        <v>2.9112081513828238E-2</v>
      </c>
    </row>
    <row r="17" spans="2:4">
      <c r="B17" s="27" t="s">
        <v>153</v>
      </c>
      <c r="C17" s="26">
        <v>13</v>
      </c>
      <c r="D17" s="25">
        <v>1.8922852983988356E-2</v>
      </c>
    </row>
    <row r="18" spans="2:4">
      <c r="B18" s="27" t="s">
        <v>154</v>
      </c>
      <c r="C18" s="26">
        <v>7</v>
      </c>
      <c r="D18" s="25">
        <v>1.0189228529839884E-2</v>
      </c>
    </row>
    <row r="19" spans="2:4">
      <c r="B19" s="27" t="s">
        <v>149</v>
      </c>
      <c r="C19" s="26">
        <v>6</v>
      </c>
      <c r="D19" s="25">
        <v>8.7336244541484712E-3</v>
      </c>
    </row>
    <row r="20" spans="2:4">
      <c r="B20" s="27" t="s">
        <v>152</v>
      </c>
      <c r="C20" s="26">
        <v>2</v>
      </c>
      <c r="D20" s="25">
        <v>2.911208151382824E-3</v>
      </c>
    </row>
    <row r="21" spans="2:4">
      <c r="B21" s="27" t="s">
        <v>151</v>
      </c>
      <c r="C21" s="26">
        <v>2</v>
      </c>
      <c r="D21" s="25">
        <v>2.911208151382824E-3</v>
      </c>
    </row>
    <row r="22" spans="2:4">
      <c r="B22" s="27" t="s">
        <v>150</v>
      </c>
      <c r="C22" s="26">
        <v>2</v>
      </c>
      <c r="D22" s="25">
        <v>2.911208151382824E-3</v>
      </c>
    </row>
    <row r="23" spans="2:4">
      <c r="B23" s="27" t="s">
        <v>341</v>
      </c>
      <c r="C23" s="26">
        <v>1</v>
      </c>
      <c r="D23" s="25">
        <v>1.455604075691412E-3</v>
      </c>
    </row>
    <row r="24" spans="2:4">
      <c r="B24" s="27" t="s">
        <v>342</v>
      </c>
      <c r="C24" s="26">
        <v>1</v>
      </c>
      <c r="D24" s="25">
        <v>1.455604075691412E-3</v>
      </c>
    </row>
    <row r="25" spans="2:4">
      <c r="B25" s="24" t="s">
        <v>15</v>
      </c>
      <c r="C25" s="23">
        <v>687</v>
      </c>
      <c r="D25" s="22">
        <v>1</v>
      </c>
    </row>
    <row r="27" spans="2:4">
      <c r="B27" s="19" t="s">
        <v>193</v>
      </c>
    </row>
    <row r="28" spans="2:4">
      <c r="B28" s="21" t="s">
        <v>14</v>
      </c>
    </row>
    <row r="29" spans="2:4">
      <c r="B29" s="20" t="s">
        <v>13</v>
      </c>
    </row>
    <row r="30" spans="2:4">
      <c r="B30" s="19" t="s">
        <v>12</v>
      </c>
    </row>
    <row r="31" spans="2:4">
      <c r="B31" s="19" t="s">
        <v>194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Wyoming_Edomexgral</vt:lpstr>
      <vt:lpstr>Wyoming_EDOMEX</vt:lpstr>
      <vt:lpstr>Wyoming_Educagral</vt:lpstr>
      <vt:lpstr>Wyoming_Eduedo</vt:lpstr>
      <vt:lpstr>Wyoming_gengral</vt:lpstr>
      <vt:lpstr>Wyoming_edomexgen</vt:lpstr>
      <vt:lpstr>Wyoming_edadgen</vt:lpstr>
      <vt:lpstr>Wyoming_ocupgral</vt:lpstr>
      <vt:lpstr>Índice!Área_de_impresión</vt:lpstr>
      <vt:lpstr>Wyoming_edadgen!Área_de_impresión</vt:lpstr>
      <vt:lpstr>Wyoming_EDOMEX!Área_de_impresión</vt:lpstr>
      <vt:lpstr>Wyoming_edomexgen!Área_de_impresión</vt:lpstr>
      <vt:lpstr>Wyoming_Eduedo!Área_de_impresión</vt:lpstr>
      <vt:lpstr>Wyoming_edadgen!Títulos_a_imprimir</vt:lpstr>
      <vt:lpstr>Wyoming_EDOMEX!Títulos_a_imprimir</vt:lpstr>
      <vt:lpstr>Wyoming_edomexgen!Títulos_a_imprimir</vt:lpstr>
      <vt:lpstr>Wyoming_Edomexgral!Títulos_a_imprimir</vt:lpstr>
      <vt:lpstr>Wyoming_Educagral!Títulos_a_imprimir</vt:lpstr>
      <vt:lpstr>Wyoming_Eduedo!Títulos_a_imprimir</vt:lpstr>
      <vt:lpstr>Wyoming_gengral!Títulos_a_imprimir</vt:lpstr>
      <vt:lpstr>Wyoming_ocupgral!Títulos_a_imprimir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2020-05-18T10:16:16Z</dcterms:created>
  <dcterms:modified xsi:type="dcterms:W3CDTF">2022-08-08T19:10:13Z</dcterms:modified>
</cp:coreProperties>
</file>