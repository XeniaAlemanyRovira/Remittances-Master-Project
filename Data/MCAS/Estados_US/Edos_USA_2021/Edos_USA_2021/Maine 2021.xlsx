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58"/>
  </bookViews>
  <sheets>
    <sheet name="Índice" sheetId="1" r:id="rId1"/>
    <sheet name="Maine_Edomexgral" sheetId="2" r:id="rId2"/>
    <sheet name="Maine_EDOMEX" sheetId="11" r:id="rId3"/>
    <sheet name="Maine_Educagral" sheetId="4" r:id="rId4"/>
    <sheet name="Maine_Eduedo" sheetId="10" r:id="rId5"/>
    <sheet name="Maine_gengral" sheetId="6" r:id="rId6"/>
    <sheet name="Maine_edomexgen" sheetId="7" r:id="rId7"/>
    <sheet name="Maine_edadgen" sheetId="8" r:id="rId8"/>
    <sheet name="Maine_ocupgral" sheetId="9" r:id="rId9"/>
  </sheets>
  <definedNames>
    <definedName name="_xlnm._FilterDatabase" localSheetId="7" hidden="1">Maine_edadgen!$B$9:$E$9</definedName>
    <definedName name="_xlnm._FilterDatabase" localSheetId="2" hidden="1">Maine_EDOMEX!$B$9:$E$9</definedName>
    <definedName name="_xlnm._FilterDatabase" localSheetId="6" hidden="1">Maine_edomexgen!$B$9:$E$9</definedName>
    <definedName name="_xlnm._FilterDatabase" localSheetId="1" hidden="1">Maine_Edomexgral!$B$11:$D$11</definedName>
    <definedName name="_xlnm._FilterDatabase" localSheetId="3" hidden="1">Maine_Educagral!$B$11:$D$11</definedName>
    <definedName name="_xlnm._FilterDatabase" localSheetId="4" hidden="1">Maine_Eduedo!$B$9:$E$9</definedName>
    <definedName name="_xlnm._FilterDatabase" localSheetId="5" hidden="1">Maine_gengral!$B$11:$D$11</definedName>
    <definedName name="_xlnm._FilterDatabase" localSheetId="8" hidden="1">Maine_ocupgral!$B$11:$D$11</definedName>
    <definedName name="_xlnm.Print_Area" localSheetId="7">Maine_edadgen!$A$1:$E$9</definedName>
    <definedName name="_xlnm.Print_Area" localSheetId="2">Maine_EDOMEX!$A$1:$E$9</definedName>
    <definedName name="_xlnm.Print_Area" localSheetId="6">Maine_edomexgen!$A$1:$E$9</definedName>
    <definedName name="_xlnm.Print_Area" localSheetId="4">Maine_Eduedo!$A$1:$E$9</definedName>
    <definedName name="_xlnm.Print_Titles" localSheetId="7">Maine_edadgen!$1:$9</definedName>
    <definedName name="_xlnm.Print_Titles" localSheetId="2">Maine_EDOMEX!$1:$9</definedName>
    <definedName name="_xlnm.Print_Titles" localSheetId="6">Maine_edomexgen!$1:$9</definedName>
    <definedName name="_xlnm.Print_Titles" localSheetId="1">Maine_Edomexgral!$1:$11</definedName>
    <definedName name="_xlnm.Print_Titles" localSheetId="3">Maine_Educagral!$1:$11</definedName>
    <definedName name="_xlnm.Print_Titles" localSheetId="4">Maine_Eduedo!$1:$9</definedName>
    <definedName name="_xlnm.Print_Titles" localSheetId="5">Maine_gengral!$1:$11</definedName>
    <definedName name="_xlnm.Print_Titles" localSheetId="8">Maine_ocupgral!$1:$11</definedName>
  </definedNames>
  <calcPr calcId="152511"/>
</workbook>
</file>

<file path=xl/calcChain.xml><?xml version="1.0" encoding="utf-8"?>
<calcChain xmlns="http://schemas.openxmlformats.org/spreadsheetml/2006/main">
  <c r="D44" i="7" l="1"/>
  <c r="D53" i="11" l="1"/>
</calcChain>
</file>

<file path=xl/sharedStrings.xml><?xml version="1.0" encoding="utf-8"?>
<sst xmlns="http://schemas.openxmlformats.org/spreadsheetml/2006/main" count="286" uniqueCount="101">
  <si>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</si>
  <si>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</si>
  <si>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</si>
  <si>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</si>
  <si>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</si>
  <si>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</si>
  <si>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</si>
  <si>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</si>
  <si>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</si>
  <si>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</si>
  <si>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</si>
  <si>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</si>
  <si>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</si>
  <si>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</si>
  <si>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</si>
  <si>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</si>
  <si>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Michoacán</t>
  </si>
  <si>
    <t>Estado de México</t>
  </si>
  <si>
    <t>Guanajuato</t>
  </si>
  <si>
    <t>Jalisco</t>
  </si>
  <si>
    <t>Guerrero</t>
  </si>
  <si>
    <t>Veracruz</t>
  </si>
  <si>
    <t>Puebla</t>
  </si>
  <si>
    <t>Chiapas</t>
  </si>
  <si>
    <t>Porcentaje de Matrículas</t>
  </si>
  <si>
    <t>Número de Matrículas</t>
  </si>
  <si>
    <t>Estado de Origen</t>
  </si>
  <si>
    <t>Guadalajara</t>
  </si>
  <si>
    <t>Municipio Origen</t>
  </si>
  <si>
    <t>Preparatoria con certificado</t>
  </si>
  <si>
    <t>Secundaria con certificado</t>
  </si>
  <si>
    <t>3° Secundaria</t>
  </si>
  <si>
    <t>Primaria con certificado</t>
  </si>
  <si>
    <t>6° Primaria</t>
  </si>
  <si>
    <t>Nivel de Estudios</t>
  </si>
  <si>
    <t>MATRÍCULAS CONSULARES EXPEDIDAS EN EL ESTADO DE MAINE EN EE.UU. POR NIVEL DE EDUCACIÓN</t>
  </si>
  <si>
    <t>TOTAL</t>
  </si>
  <si>
    <t>MUJER</t>
  </si>
  <si>
    <t>HOMBRE</t>
  </si>
  <si>
    <t>Género</t>
  </si>
  <si>
    <t>Mujer</t>
  </si>
  <si>
    <t>Hombre</t>
  </si>
  <si>
    <t>Entre 40 y 49 Años</t>
  </si>
  <si>
    <t>Entre 29 y 39 Años</t>
  </si>
  <si>
    <t>Entre 18 y 28 Años</t>
  </si>
  <si>
    <t>Edad cumplida</t>
  </si>
  <si>
    <t>Mesero(a)</t>
  </si>
  <si>
    <t>Hogar</t>
  </si>
  <si>
    <t>Empleado(a)</t>
  </si>
  <si>
    <t>Ocupación</t>
  </si>
  <si>
    <t>Oaxaca</t>
  </si>
  <si>
    <t>Ciudad de México</t>
  </si>
  <si>
    <t>Aguascalientes</t>
  </si>
  <si>
    <t>Colima</t>
  </si>
  <si>
    <t>Sinaloa</t>
  </si>
  <si>
    <t>Tamaulipas</t>
  </si>
  <si>
    <t>Profesional Titulado</t>
  </si>
  <si>
    <t>Profesional titulado</t>
  </si>
  <si>
    <t>Otro</t>
  </si>
  <si>
    <t>MATRÍCULAS CONSULARES DE ALTA SEGURIDAD EXPEDIDAS EN EL ESTADO DE MAINE EN EE.UU. POR ESTADO DE LA REPÚBLICA MEXICANA DURANTE EL 2021</t>
  </si>
  <si>
    <t>Tamaño de la muestra: 701,861</t>
  </si>
  <si>
    <t>Mayo de 2022</t>
  </si>
  <si>
    <t>Pabellón de Arteaga</t>
  </si>
  <si>
    <t>Angel Albino Corzo</t>
  </si>
  <si>
    <t>Huixtla</t>
  </si>
  <si>
    <t>La Trinitaria</t>
  </si>
  <si>
    <t>Las Margaritas</t>
  </si>
  <si>
    <t>Mazapa de Madero</t>
  </si>
  <si>
    <t>Motozintla</t>
  </si>
  <si>
    <t>Tenejapa</t>
  </si>
  <si>
    <t>Minatitlán</t>
  </si>
  <si>
    <t>Milpa Alta</t>
  </si>
  <si>
    <t>Ecatepec de Morelos</t>
  </si>
  <si>
    <t>Dolores Hidalgo Cuna de la Independencia Nacional</t>
  </si>
  <si>
    <t>Pénjamo</t>
  </si>
  <si>
    <t>Acapulco de Juárez</t>
  </si>
  <si>
    <t>Copanatoyac</t>
  </si>
  <si>
    <t>San Luis Acatlán</t>
  </si>
  <si>
    <t>Tlacoapa</t>
  </si>
  <si>
    <t>El Limón</t>
  </si>
  <si>
    <t>La Piedad</t>
  </si>
  <si>
    <t>Morelia</t>
  </si>
  <si>
    <t>San Antonio Sinicahua</t>
  </si>
  <si>
    <t>Teziutlán</t>
  </si>
  <si>
    <t>Vicente Guerrero</t>
  </si>
  <si>
    <t>Xiutetelco</t>
  </si>
  <si>
    <t>Elota</t>
  </si>
  <si>
    <t>Mocorito</t>
  </si>
  <si>
    <t>El Mante</t>
  </si>
  <si>
    <t>Papantla</t>
  </si>
  <si>
    <t>5° Primaria</t>
  </si>
  <si>
    <t>Capacitación Técnica</t>
  </si>
  <si>
    <t>Preparatoria sin certificado</t>
  </si>
  <si>
    <t>Capacitación técnica</t>
  </si>
  <si>
    <t>MATRÍCULAS CONSULARES DE ALTA SEGURIDAD EXPEDIDAS EN EE.UU A MEXICANOS EN EL ESTADO DE MAINE, POR GÉNERO 2021</t>
  </si>
  <si>
    <t>Entre 50 y 65 Años</t>
  </si>
  <si>
    <t>MATRÍCULAS CONSULARES DE ALTA SEGURIDAD EXPEDIDAS EN EE.UU A MEXICANOS EN EL ESTADO DE  MAINE, POR PERFIL OCUPACIONAL 2021</t>
  </si>
  <si>
    <t>Obrero(a)</t>
  </si>
  <si>
    <t>Panadero(a)</t>
  </si>
  <si>
    <t>Pintor(a)</t>
  </si>
  <si>
    <t>Matrículas consulares expedidas a mexicanos  en el estado Maine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</si>
</sst>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0" fillId="3" borderId="0" xfId="0" applyFont="1" applyFill="1"/>
    <xf numFmtId="0" fontId="12" fillId="3" borderId="0" xfId="0" applyFont="1" applyFill="1"/>
    <xf numFmtId="0" fontId="0" fillId="3" borderId="0" xfId="0" applyFont="1" applyFill="1"/>
    <xf numFmtId="0" fontId="12" fillId="3" borderId="0" xfId="0" applyFont="1" applyFill="1"/>
    <xf numFmtId="3" fontId="12" fillId="3" borderId="0" xfId="0" applyNumberFormat="1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0" fillId="3" borderId="0" xfId="0" applyFont="1" applyFill="1"/>
    <xf numFmtId="3" fontId="0" fillId="3" borderId="0" xfId="0" applyNumberFormat="1" applyFont="1" applyFill="1"/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494123</xdr:colOff>
      <xdr:row>1</xdr:row>
      <xdr:rowOff>190830</xdr:rowOff>
    </xdr:from>
    <xdr:to>
      <xdr:col>3</xdr:col>
      <xdr:colOff>1006220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8348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28575</xdr:rowOff>
    </xdr:from>
    <xdr:to>
      <xdr:col>5</xdr:col>
      <xdr:colOff>140622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95650" y="1552575"/>
          <a:ext cx="654972" cy="16024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MAINE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183931</xdr:rowOff>
    </xdr:from>
    <xdr:to>
      <xdr:col>4</xdr:col>
      <xdr:colOff>1057321</xdr:colOff>
      <xdr:row>7</xdr:row>
      <xdr:rowOff>363226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92470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86125" y="15240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MAINE,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450082</xdr:colOff>
      <xdr:row>7</xdr:row>
      <xdr:rowOff>104670</xdr:rowOff>
    </xdr:from>
    <xdr:to>
      <xdr:col>4</xdr:col>
      <xdr:colOff>1004087</xdr:colOff>
      <xdr:row>7</xdr:row>
      <xdr:rowOff>299058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784582" y="1438170"/>
          <a:ext cx="554005" cy="8961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142875</xdr:rowOff>
    </xdr:from>
    <xdr:to>
      <xdr:col>5</xdr:col>
      <xdr:colOff>45372</xdr:colOff>
      <xdr:row>8</xdr:row>
      <xdr:rowOff>131670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6668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MAINE,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111672</xdr:rowOff>
    </xdr:from>
    <xdr:to>
      <xdr:col>4</xdr:col>
      <xdr:colOff>1031045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MAINE,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542925</xdr:colOff>
      <xdr:row>7</xdr:row>
      <xdr:rowOff>152400</xdr:rowOff>
    </xdr:from>
    <xdr:to>
      <xdr:col>4</xdr:col>
      <xdr:colOff>1055022</xdr:colOff>
      <xdr:row>7</xdr:row>
      <xdr:rowOff>331695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8954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152400</xdr:rowOff>
    </xdr:from>
    <xdr:to>
      <xdr:col>5</xdr:col>
      <xdr:colOff>7272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6" t="s">
        <v>100</v>
      </c>
      <c r="B1" s="77"/>
      <c r="C1" s="77"/>
      <c r="D1" s="78"/>
    </row>
    <row r="2" spans="1:4" ht="18.75">
      <c r="A2" s="2"/>
      <c r="B2" s="3"/>
      <c r="C2" s="3"/>
      <c r="D2" s="4"/>
    </row>
    <row r="3" spans="1:4">
      <c r="A3" s="79" t="s">
        <v>0</v>
      </c>
      <c r="B3" s="80"/>
      <c r="C3" s="80"/>
      <c r="D3" s="81"/>
    </row>
    <row r="4" spans="1:4">
      <c r="A4" s="79"/>
      <c r="B4" s="80"/>
      <c r="C4" s="80"/>
      <c r="D4" s="81"/>
    </row>
    <row r="5" spans="1:4" ht="18.75">
      <c r="A5" s="5"/>
      <c r="B5" s="6"/>
      <c r="C5" s="6"/>
      <c r="D5" s="7"/>
    </row>
    <row r="6" spans="1:4" ht="18.75">
      <c r="A6" s="75" t="s">
        <v>1</v>
      </c>
      <c r="B6" s="73"/>
      <c r="C6" s="73"/>
      <c r="D6" s="7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3" t="s">
        <v>3</v>
      </c>
      <c r="C9" s="73"/>
      <c r="D9" s="7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3" t="s">
        <v>5</v>
      </c>
      <c r="C11" s="73"/>
      <c r="D11" s="74"/>
    </row>
    <row r="12" spans="1:4" ht="18.75">
      <c r="A12" s="11"/>
      <c r="B12" s="73" t="s">
        <v>6</v>
      </c>
      <c r="C12" s="73"/>
      <c r="D12" s="7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3" t="s">
        <v>8</v>
      </c>
      <c r="C15" s="73"/>
      <c r="D15" s="74"/>
    </row>
    <row r="16" spans="1:4" ht="18.75">
      <c r="A16" s="11"/>
      <c r="B16" s="73" t="s">
        <v>9</v>
      </c>
      <c r="C16" s="73"/>
      <c r="D16" s="74"/>
    </row>
    <row r="17" spans="1:4" ht="18.75">
      <c r="A17" s="11"/>
      <c r="B17" s="12"/>
      <c r="C17" s="12"/>
      <c r="D17" s="13"/>
    </row>
    <row r="18" spans="1:4" ht="18.75">
      <c r="A18" s="75" t="s">
        <v>10</v>
      </c>
      <c r="B18" s="73"/>
      <c r="C18" s="73"/>
      <c r="D18" s="74"/>
    </row>
    <row r="19" spans="1:4" ht="18.75">
      <c r="A19" s="11"/>
      <c r="B19" s="12"/>
      <c r="C19" s="12"/>
      <c r="D19" s="13"/>
    </row>
    <row r="20" spans="1:4" ht="18.75">
      <c r="A20" s="75" t="s">
        <v>11</v>
      </c>
      <c r="B20" s="73"/>
      <c r="C20" s="73"/>
      <c r="D20" s="74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aine_Edomexgral!A1" display="1. Por Estados de la República Mexicana"/>
    <hyperlink ref="B9" location="Alabama_EDOMEX!Área_de_impresión" display="2.1 Por estado de la República Mexicana y municipio de origen"/>
    <hyperlink ref="B11:D11" location="Maine_Educagral!A1" display="3.1 Educación general"/>
    <hyperlink ref="B12:D12" location="Maine_Eduedo!A1" display="3.2 Por Estado de la República Mexicana"/>
    <hyperlink ref="B15:D15" location="Maine_gengral!A1" display="4.1 Género General"/>
    <hyperlink ref="B16:D16" location="Maine_edomexgen!A1" display="4.2 Por Estados de la República Mexicana"/>
    <hyperlink ref="A18:D18" location="Maine_edadgen!A1" display="5. Por estructura de Edad"/>
    <hyperlink ref="A20:D20" location="Maine_ocupgral!A1" display="6. Por Ocupación"/>
    <hyperlink ref="B9:D9" location="Main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32"/>
  <sheetViews>
    <sheetView showGridLines="0" zoomScaleNormal="100" zoomScaleSheetLayoutView="115" workbookViewId="0">
      <selection activeCell="B18" sqref="B1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2" t="s">
        <v>59</v>
      </c>
      <c r="C7" s="82"/>
      <c r="D7" s="82"/>
    </row>
    <row r="8" spans="1:5" s="21" customFormat="1" ht="15" customHeight="1">
      <c r="B8" s="82"/>
      <c r="C8" s="82"/>
      <c r="D8" s="82"/>
    </row>
    <row r="9" spans="1:5" s="21" customFormat="1" ht="33" customHeight="1">
      <c r="B9" s="82"/>
      <c r="C9" s="82"/>
      <c r="D9" s="82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26</v>
      </c>
      <c r="C11" s="23" t="s">
        <v>25</v>
      </c>
      <c r="D11" s="22" t="s">
        <v>24</v>
      </c>
    </row>
    <row r="12" spans="1:5">
      <c r="B12" s="64" t="s">
        <v>23</v>
      </c>
      <c r="C12" s="63">
        <v>10</v>
      </c>
      <c r="D12" s="62">
        <v>0.26315789473684209</v>
      </c>
    </row>
    <row r="13" spans="1:5">
      <c r="B13" s="64" t="s">
        <v>20</v>
      </c>
      <c r="C13" s="63">
        <v>5</v>
      </c>
      <c r="D13" s="62">
        <v>0.13157894736842105</v>
      </c>
    </row>
    <row r="14" spans="1:5">
      <c r="A14" s="20"/>
      <c r="B14" s="64" t="s">
        <v>22</v>
      </c>
      <c r="C14" s="63">
        <v>4</v>
      </c>
      <c r="D14" s="62">
        <v>0.10526315789473684</v>
      </c>
      <c r="E14" s="20"/>
    </row>
    <row r="15" spans="1:5">
      <c r="A15" s="20"/>
      <c r="B15" s="64" t="s">
        <v>18</v>
      </c>
      <c r="C15" s="63">
        <v>3</v>
      </c>
      <c r="D15" s="62">
        <v>7.8947368421052627E-2</v>
      </c>
      <c r="E15" s="20"/>
    </row>
    <row r="16" spans="1:5">
      <c r="B16" s="64" t="s">
        <v>19</v>
      </c>
      <c r="C16" s="63">
        <v>3</v>
      </c>
      <c r="D16" s="62">
        <v>7.8947368421052627E-2</v>
      </c>
    </row>
    <row r="17" spans="2:4">
      <c r="B17" s="64" t="s">
        <v>16</v>
      </c>
      <c r="C17" s="63">
        <v>3</v>
      </c>
      <c r="D17" s="62">
        <v>7.8947368421052627E-2</v>
      </c>
    </row>
    <row r="18" spans="2:4">
      <c r="B18" s="64" t="s">
        <v>53</v>
      </c>
      <c r="C18" s="63">
        <v>2</v>
      </c>
      <c r="D18" s="62">
        <v>5.2631578947368418E-2</v>
      </c>
    </row>
    <row r="19" spans="2:4">
      <c r="B19" s="64" t="s">
        <v>54</v>
      </c>
      <c r="C19" s="63">
        <v>2</v>
      </c>
      <c r="D19" s="62">
        <v>5.2631578947368418E-2</v>
      </c>
    </row>
    <row r="20" spans="2:4">
      <c r="B20" s="64" t="s">
        <v>52</v>
      </c>
      <c r="C20" s="63">
        <v>1</v>
      </c>
      <c r="D20" s="62">
        <v>2.6315789473684209E-2</v>
      </c>
    </row>
    <row r="21" spans="2:4">
      <c r="B21" s="64" t="s">
        <v>51</v>
      </c>
      <c r="C21" s="63">
        <v>1</v>
      </c>
      <c r="D21" s="62">
        <v>2.6315789473684209E-2</v>
      </c>
    </row>
    <row r="22" spans="2:4">
      <c r="B22" s="64" t="s">
        <v>17</v>
      </c>
      <c r="C22" s="63">
        <v>1</v>
      </c>
      <c r="D22" s="62">
        <v>2.6315789473684209E-2</v>
      </c>
    </row>
    <row r="23" spans="2:4">
      <c r="B23" s="64" t="s">
        <v>50</v>
      </c>
      <c r="C23" s="63">
        <v>1</v>
      </c>
      <c r="D23" s="62">
        <v>2.6315789473684209E-2</v>
      </c>
    </row>
    <row r="24" spans="2:4">
      <c r="B24" s="64" t="s">
        <v>55</v>
      </c>
      <c r="C24" s="63">
        <v>1</v>
      </c>
      <c r="D24" s="62">
        <v>2.6315789473684209E-2</v>
      </c>
    </row>
    <row r="25" spans="2:4">
      <c r="B25" s="64" t="s">
        <v>21</v>
      </c>
      <c r="C25" s="63">
        <v>1</v>
      </c>
      <c r="D25" s="62">
        <v>2.6315789473684209E-2</v>
      </c>
    </row>
    <row r="26" spans="2:4">
      <c r="B26" s="61" t="s">
        <v>15</v>
      </c>
      <c r="C26" s="60">
        <v>38</v>
      </c>
      <c r="D26" s="59">
        <v>1</v>
      </c>
    </row>
    <row r="27" spans="2:4">
      <c r="B27" s="57"/>
      <c r="C27" s="58"/>
      <c r="D27" s="57"/>
    </row>
    <row r="28" spans="2:4">
      <c r="B28" s="66" t="s">
        <v>60</v>
      </c>
      <c r="C28" s="58"/>
      <c r="D28" s="57"/>
    </row>
    <row r="29" spans="2:4">
      <c r="B29" s="68" t="s">
        <v>14</v>
      </c>
      <c r="C29" s="58"/>
      <c r="D29" s="57"/>
    </row>
    <row r="30" spans="2:4">
      <c r="B30" s="67" t="s">
        <v>13</v>
      </c>
      <c r="C30" s="58"/>
      <c r="D30" s="57"/>
    </row>
    <row r="31" spans="2:4">
      <c r="B31" s="66" t="s">
        <v>12</v>
      </c>
      <c r="C31" s="58"/>
      <c r="D31" s="57"/>
    </row>
    <row r="32" spans="2:4">
      <c r="B32" s="66" t="s">
        <v>61</v>
      </c>
      <c r="C32" s="58"/>
      <c r="D32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47"/>
  <sheetViews>
    <sheetView showGridLines="0" topLeftCell="A42" zoomScaleNormal="100" zoomScaleSheetLayoutView="100" workbookViewId="0">
      <selection activeCell="B12" sqref="B12:B19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9" customFormat="1" ht="12" customHeight="1">
      <c r="B1" s="43"/>
      <c r="C1" s="42"/>
      <c r="D1" s="42"/>
      <c r="E1" s="42"/>
    </row>
    <row r="2" spans="1:5" s="39" customFormat="1" ht="15" customHeight="1">
      <c r="C2" s="41"/>
    </row>
    <row r="3" spans="1:5" s="39" customFormat="1" ht="15" customHeight="1">
      <c r="C3" s="41"/>
    </row>
    <row r="4" spans="1:5" s="39" customFormat="1" ht="30" customHeight="1">
      <c r="C4" s="41"/>
      <c r="D4" s="40"/>
    </row>
    <row r="5" spans="1:5" s="39" customFormat="1" ht="15" customHeight="1">
      <c r="C5" s="41"/>
      <c r="D5" s="40"/>
    </row>
    <row r="6" spans="1:5" s="36" customFormat="1" ht="24" customHeight="1">
      <c r="B6" s="38"/>
      <c r="C6" s="32"/>
      <c r="D6" s="32"/>
      <c r="E6" s="32"/>
    </row>
    <row r="7" spans="1:5" s="36" customFormat="1" ht="26.25" customHeight="1">
      <c r="A7" s="37"/>
      <c r="B7" s="83"/>
      <c r="C7" s="83"/>
      <c r="D7" s="83"/>
      <c r="E7" s="83"/>
    </row>
    <row r="8" spans="1:5" s="36" customFormat="1" ht="33" customHeight="1">
      <c r="A8" s="37"/>
      <c r="B8" s="83"/>
      <c r="C8" s="83"/>
      <c r="D8" s="83"/>
      <c r="E8" s="83"/>
    </row>
    <row r="9" spans="1:5" s="21" customFormat="1" ht="40.5" customHeight="1">
      <c r="B9" s="33" t="s">
        <v>26</v>
      </c>
      <c r="C9" s="35" t="s">
        <v>28</v>
      </c>
      <c r="D9" s="34" t="s">
        <v>25</v>
      </c>
      <c r="E9" s="33" t="s">
        <v>24</v>
      </c>
    </row>
    <row r="10" spans="1:5" ht="15" customHeight="1">
      <c r="B10" s="84" t="s">
        <v>52</v>
      </c>
      <c r="C10" s="55" t="s">
        <v>62</v>
      </c>
      <c r="D10" s="54">
        <v>1</v>
      </c>
      <c r="E10" s="53">
        <v>2.6315789473684209E-2</v>
      </c>
    </row>
    <row r="11" spans="1:5" ht="15" customHeight="1">
      <c r="B11" s="85"/>
      <c r="C11" s="52" t="s">
        <v>15</v>
      </c>
      <c r="D11" s="51">
        <v>1</v>
      </c>
      <c r="E11" s="50">
        <v>2.6315789473684209E-2</v>
      </c>
    </row>
    <row r="12" spans="1:5" ht="15" customHeight="1">
      <c r="B12" s="84" t="s">
        <v>23</v>
      </c>
      <c r="C12" s="55" t="s">
        <v>63</v>
      </c>
      <c r="D12" s="54">
        <v>2</v>
      </c>
      <c r="E12" s="53">
        <v>5.2631578947368418E-2</v>
      </c>
    </row>
    <row r="13" spans="1:5" ht="15" customHeight="1">
      <c r="B13" s="86"/>
      <c r="C13" s="55" t="s">
        <v>64</v>
      </c>
      <c r="D13" s="54">
        <v>1</v>
      </c>
      <c r="E13" s="53">
        <v>2.6315789473684209E-2</v>
      </c>
    </row>
    <row r="14" spans="1:5" ht="15" customHeight="1">
      <c r="B14" s="86"/>
      <c r="C14" s="55" t="s">
        <v>65</v>
      </c>
      <c r="D14" s="54">
        <v>1</v>
      </c>
      <c r="E14" s="53">
        <v>2.6315789473684209E-2</v>
      </c>
    </row>
    <row r="15" spans="1:5" ht="15" customHeight="1">
      <c r="B15" s="86"/>
      <c r="C15" s="55" t="s">
        <v>66</v>
      </c>
      <c r="D15" s="54">
        <v>1</v>
      </c>
      <c r="E15" s="53">
        <v>2.6315789473684209E-2</v>
      </c>
    </row>
    <row r="16" spans="1:5" ht="15" customHeight="1">
      <c r="B16" s="86"/>
      <c r="C16" s="55" t="s">
        <v>67</v>
      </c>
      <c r="D16" s="54">
        <v>2</v>
      </c>
      <c r="E16" s="53">
        <v>5.2631578947368418E-2</v>
      </c>
    </row>
    <row r="17" spans="2:5" ht="15" customHeight="1">
      <c r="B17" s="86"/>
      <c r="C17" s="55" t="s">
        <v>68</v>
      </c>
      <c r="D17" s="54">
        <v>2</v>
      </c>
      <c r="E17" s="53">
        <v>5.2631578947368418E-2</v>
      </c>
    </row>
    <row r="18" spans="2:5" ht="15" customHeight="1">
      <c r="B18" s="86"/>
      <c r="C18" s="55" t="s">
        <v>69</v>
      </c>
      <c r="D18" s="54">
        <v>1</v>
      </c>
      <c r="E18" s="53">
        <v>2.6315789473684209E-2</v>
      </c>
    </row>
    <row r="19" spans="2:5" ht="15" customHeight="1">
      <c r="B19" s="85"/>
      <c r="C19" s="52" t="s">
        <v>15</v>
      </c>
      <c r="D19" s="51">
        <v>10</v>
      </c>
      <c r="E19" s="50">
        <v>0.26315789473684209</v>
      </c>
    </row>
    <row r="20" spans="2:5" ht="15" customHeight="1">
      <c r="B20" s="84" t="s">
        <v>53</v>
      </c>
      <c r="C20" s="55" t="s">
        <v>70</v>
      </c>
      <c r="D20" s="54">
        <v>2</v>
      </c>
      <c r="E20" s="53">
        <v>5.2631578947368418E-2</v>
      </c>
    </row>
    <row r="21" spans="2:5" ht="15" customHeight="1">
      <c r="B21" s="85"/>
      <c r="C21" s="52" t="s">
        <v>15</v>
      </c>
      <c r="D21" s="51">
        <v>2</v>
      </c>
      <c r="E21" s="50">
        <v>5.2631578947368418E-2</v>
      </c>
    </row>
    <row r="22" spans="2:5" ht="15" customHeight="1">
      <c r="B22" s="84" t="s">
        <v>51</v>
      </c>
      <c r="C22" s="55" t="s">
        <v>71</v>
      </c>
      <c r="D22" s="54">
        <v>1</v>
      </c>
      <c r="E22" s="53">
        <v>2.6315789473684209E-2</v>
      </c>
    </row>
    <row r="23" spans="2:5" ht="15" customHeight="1">
      <c r="B23" s="85"/>
      <c r="C23" s="52" t="s">
        <v>15</v>
      </c>
      <c r="D23" s="51">
        <v>1</v>
      </c>
      <c r="E23" s="50">
        <v>2.6315789473684209E-2</v>
      </c>
    </row>
    <row r="24" spans="2:5" ht="15" customHeight="1">
      <c r="B24" s="84" t="s">
        <v>17</v>
      </c>
      <c r="C24" s="55" t="s">
        <v>72</v>
      </c>
      <c r="D24" s="54">
        <v>1</v>
      </c>
      <c r="E24" s="53">
        <v>2.6315789473684209E-2</v>
      </c>
    </row>
    <row r="25" spans="2:5" ht="15" customHeight="1">
      <c r="B25" s="85"/>
      <c r="C25" s="52" t="s">
        <v>15</v>
      </c>
      <c r="D25" s="51">
        <v>1</v>
      </c>
      <c r="E25" s="50">
        <v>2.6315789473684209E-2</v>
      </c>
    </row>
    <row r="26" spans="2:5" ht="15" customHeight="1">
      <c r="B26" s="84" t="s">
        <v>18</v>
      </c>
      <c r="C26" s="55" t="s">
        <v>73</v>
      </c>
      <c r="D26" s="54">
        <v>1</v>
      </c>
      <c r="E26" s="53">
        <v>2.6315789473684209E-2</v>
      </c>
    </row>
    <row r="27" spans="2:5" ht="15" customHeight="1">
      <c r="B27" s="86"/>
      <c r="C27" s="55" t="s">
        <v>74</v>
      </c>
      <c r="D27" s="54">
        <v>2</v>
      </c>
      <c r="E27" s="53">
        <v>5.2631578947368418E-2</v>
      </c>
    </row>
    <row r="28" spans="2:5" ht="15" customHeight="1">
      <c r="B28" s="85"/>
      <c r="C28" s="52" t="s">
        <v>15</v>
      </c>
      <c r="D28" s="51">
        <v>3</v>
      </c>
      <c r="E28" s="50">
        <v>7.8947368421052627E-2</v>
      </c>
    </row>
    <row r="29" spans="2:5" ht="15" customHeight="1">
      <c r="B29" s="84" t="s">
        <v>20</v>
      </c>
      <c r="C29" s="55" t="s">
        <v>75</v>
      </c>
      <c r="D29" s="54">
        <v>1</v>
      </c>
      <c r="E29" s="53">
        <v>2.6315789473684209E-2</v>
      </c>
    </row>
    <row r="30" spans="2:5" ht="15" customHeight="1">
      <c r="B30" s="86"/>
      <c r="C30" s="55" t="s">
        <v>76</v>
      </c>
      <c r="D30" s="54">
        <v>1</v>
      </c>
      <c r="E30" s="53">
        <v>2.6315789473684209E-2</v>
      </c>
    </row>
    <row r="31" spans="2:5" ht="15" customHeight="1">
      <c r="B31" s="86"/>
      <c r="C31" s="55" t="s">
        <v>77</v>
      </c>
      <c r="D31" s="54">
        <v>2</v>
      </c>
      <c r="E31" s="53">
        <v>5.2631578947368418E-2</v>
      </c>
    </row>
    <row r="32" spans="2:5" ht="15" customHeight="1">
      <c r="B32" s="86"/>
      <c r="C32" s="55" t="s">
        <v>78</v>
      </c>
      <c r="D32" s="54">
        <v>1</v>
      </c>
      <c r="E32" s="53">
        <v>2.6315789473684209E-2</v>
      </c>
    </row>
    <row r="33" spans="2:5" ht="15" customHeight="1">
      <c r="B33" s="85"/>
      <c r="C33" s="52" t="s">
        <v>15</v>
      </c>
      <c r="D33" s="51">
        <v>5</v>
      </c>
      <c r="E33" s="50">
        <v>0.13157894736842105</v>
      </c>
    </row>
    <row r="34" spans="2:5" ht="15" customHeight="1">
      <c r="B34" s="84" t="s">
        <v>19</v>
      </c>
      <c r="C34" s="55" t="s">
        <v>79</v>
      </c>
      <c r="D34" s="54">
        <v>1</v>
      </c>
      <c r="E34" s="53">
        <v>2.6315789473684209E-2</v>
      </c>
    </row>
    <row r="35" spans="2:5" ht="15" customHeight="1">
      <c r="B35" s="86"/>
      <c r="C35" s="55" t="s">
        <v>27</v>
      </c>
      <c r="D35" s="54">
        <v>2</v>
      </c>
      <c r="E35" s="53">
        <v>5.2631578947368418E-2</v>
      </c>
    </row>
    <row r="36" spans="2:5" ht="15" customHeight="1">
      <c r="B36" s="85"/>
      <c r="C36" s="52" t="s">
        <v>15</v>
      </c>
      <c r="D36" s="51">
        <v>3</v>
      </c>
      <c r="E36" s="50">
        <v>7.8947368421052627E-2</v>
      </c>
    </row>
    <row r="37" spans="2:5" ht="15" customHeight="1">
      <c r="B37" s="84" t="s">
        <v>16</v>
      </c>
      <c r="C37" s="55" t="s">
        <v>80</v>
      </c>
      <c r="D37" s="54">
        <v>1</v>
      </c>
      <c r="E37" s="53">
        <v>2.6315789473684209E-2</v>
      </c>
    </row>
    <row r="38" spans="2:5" ht="15" customHeight="1">
      <c r="B38" s="86"/>
      <c r="C38" s="55" t="s">
        <v>81</v>
      </c>
      <c r="D38" s="54">
        <v>2</v>
      </c>
      <c r="E38" s="53">
        <v>5.2631578947368418E-2</v>
      </c>
    </row>
    <row r="39" spans="2:5" ht="15" customHeight="1">
      <c r="B39" s="85"/>
      <c r="C39" s="52" t="s">
        <v>15</v>
      </c>
      <c r="D39" s="51">
        <v>3</v>
      </c>
      <c r="E39" s="50">
        <v>7.8947368421052627E-2</v>
      </c>
    </row>
    <row r="40" spans="2:5" ht="15" customHeight="1">
      <c r="B40" s="84" t="s">
        <v>50</v>
      </c>
      <c r="C40" s="55" t="s">
        <v>82</v>
      </c>
      <c r="D40" s="54">
        <v>1</v>
      </c>
      <c r="E40" s="53">
        <v>2.6315789473684209E-2</v>
      </c>
    </row>
    <row r="41" spans="2:5" ht="15" customHeight="1">
      <c r="B41" s="85"/>
      <c r="C41" s="52" t="s">
        <v>15</v>
      </c>
      <c r="D41" s="51">
        <v>1</v>
      </c>
      <c r="E41" s="50">
        <v>2.6315789473684209E-2</v>
      </c>
    </row>
    <row r="42" spans="2:5" ht="15" customHeight="1">
      <c r="B42" s="84" t="s">
        <v>22</v>
      </c>
      <c r="C42" s="55" t="s">
        <v>83</v>
      </c>
      <c r="D42" s="54">
        <v>2</v>
      </c>
      <c r="E42" s="53">
        <v>5.2631578947368418E-2</v>
      </c>
    </row>
    <row r="43" spans="2:5" ht="15" customHeight="1">
      <c r="B43" s="86"/>
      <c r="C43" s="55" t="s">
        <v>84</v>
      </c>
      <c r="D43" s="54">
        <v>1</v>
      </c>
      <c r="E43" s="53">
        <v>2.6315789473684209E-2</v>
      </c>
    </row>
    <row r="44" spans="2:5" ht="15" customHeight="1">
      <c r="B44" s="86"/>
      <c r="C44" s="55" t="s">
        <v>85</v>
      </c>
      <c r="D44" s="54">
        <v>1</v>
      </c>
      <c r="E44" s="53">
        <v>2.6315789473684209E-2</v>
      </c>
    </row>
    <row r="45" spans="2:5" ht="15" customHeight="1">
      <c r="B45" s="85"/>
      <c r="C45" s="52" t="s">
        <v>15</v>
      </c>
      <c r="D45" s="51">
        <v>4</v>
      </c>
      <c r="E45" s="50">
        <v>0.10526315789473684</v>
      </c>
    </row>
    <row r="46" spans="2:5" ht="15" customHeight="1">
      <c r="B46" s="84" t="s">
        <v>54</v>
      </c>
      <c r="C46" s="55" t="s">
        <v>86</v>
      </c>
      <c r="D46" s="54">
        <v>1</v>
      </c>
      <c r="E46" s="53">
        <v>2.6315789473684209E-2</v>
      </c>
    </row>
    <row r="47" spans="2:5" ht="15" customHeight="1">
      <c r="B47" s="86"/>
      <c r="C47" s="55" t="s">
        <v>87</v>
      </c>
      <c r="D47" s="54">
        <v>1</v>
      </c>
      <c r="E47" s="53">
        <v>2.6315789473684209E-2</v>
      </c>
    </row>
    <row r="48" spans="2:5" ht="15" customHeight="1">
      <c r="B48" s="85"/>
      <c r="C48" s="52" t="s">
        <v>15</v>
      </c>
      <c r="D48" s="51">
        <v>2</v>
      </c>
      <c r="E48" s="50">
        <v>5.2631578947368418E-2</v>
      </c>
    </row>
    <row r="49" spans="2:5" ht="15" customHeight="1">
      <c r="B49" s="84" t="s">
        <v>55</v>
      </c>
      <c r="C49" s="55" t="s">
        <v>88</v>
      </c>
      <c r="D49" s="54">
        <v>1</v>
      </c>
      <c r="E49" s="53">
        <v>2.6315789473684209E-2</v>
      </c>
    </row>
    <row r="50" spans="2:5" ht="15" customHeight="1">
      <c r="B50" s="85"/>
      <c r="C50" s="52" t="s">
        <v>15</v>
      </c>
      <c r="D50" s="51">
        <v>1</v>
      </c>
      <c r="E50" s="50">
        <v>2.6315789473684209E-2</v>
      </c>
    </row>
    <row r="51" spans="2:5" ht="15" customHeight="1">
      <c r="B51" s="84" t="s">
        <v>21</v>
      </c>
      <c r="C51" s="55" t="s">
        <v>89</v>
      </c>
      <c r="D51" s="54">
        <v>1</v>
      </c>
      <c r="E51" s="53">
        <v>2.6315789473684209E-2</v>
      </c>
    </row>
    <row r="52" spans="2:5" ht="15" customHeight="1">
      <c r="B52" s="85"/>
      <c r="C52" s="52" t="s">
        <v>15</v>
      </c>
      <c r="D52" s="51">
        <v>1</v>
      </c>
      <c r="E52" s="50">
        <v>2.6315789473684209E-2</v>
      </c>
    </row>
    <row r="53" spans="2:5" ht="15" customHeight="1">
      <c r="B53" s="87" t="s">
        <v>15</v>
      </c>
      <c r="C53" s="88"/>
      <c r="D53" s="69">
        <f>SUMIF(C$10:C52,"Total",D$10:D52)</f>
        <v>38</v>
      </c>
      <c r="E53" s="70">
        <v>1</v>
      </c>
    </row>
    <row r="54" spans="2:5" ht="15" customHeight="1">
      <c r="B54" s="49"/>
      <c r="C54" s="49"/>
      <c r="D54" s="49"/>
      <c r="E54" s="49"/>
    </row>
    <row r="55" spans="2:5" ht="15" customHeight="1">
      <c r="B55" s="66" t="s">
        <v>60</v>
      </c>
      <c r="C55" s="49"/>
      <c r="D55" s="49"/>
      <c r="E55" s="49"/>
    </row>
    <row r="56" spans="2:5" ht="15" customHeight="1">
      <c r="B56" s="68" t="s">
        <v>14</v>
      </c>
      <c r="C56" s="49"/>
      <c r="D56" s="49"/>
      <c r="E56" s="49"/>
    </row>
    <row r="57" spans="2:5" ht="15" customHeight="1">
      <c r="B57" s="67" t="s">
        <v>13</v>
      </c>
      <c r="C57" s="49"/>
      <c r="D57" s="49"/>
      <c r="E57" s="49"/>
    </row>
    <row r="58" spans="2:5" ht="15" customHeight="1">
      <c r="B58" s="66" t="s">
        <v>12</v>
      </c>
      <c r="C58" s="49"/>
      <c r="D58" s="49"/>
      <c r="E58" s="49"/>
    </row>
    <row r="59" spans="2:5" ht="15" customHeight="1">
      <c r="B59" s="66" t="s">
        <v>61</v>
      </c>
      <c r="C59" s="49"/>
      <c r="D59" s="49"/>
      <c r="E59" s="49"/>
    </row>
    <row r="443" spans="1:2" s="29" customFormat="1" ht="15" customHeight="1">
      <c r="A443" s="28"/>
      <c r="B443" s="30"/>
    </row>
    <row r="444" spans="1:2" s="29" customFormat="1" ht="15" customHeight="1">
      <c r="A444" s="28"/>
      <c r="B444" s="31"/>
    </row>
    <row r="445" spans="1:2" s="29" customFormat="1" ht="15" customHeight="1">
      <c r="A445" s="28"/>
      <c r="B445" s="31"/>
    </row>
    <row r="446" spans="1:2" s="29" customFormat="1" ht="15" customHeight="1">
      <c r="A446" s="28"/>
      <c r="B446" s="30"/>
    </row>
    <row r="447" spans="1:2" s="29" customFormat="1" ht="15" customHeight="1">
      <c r="A447" s="28"/>
      <c r="B447" s="30"/>
    </row>
  </sheetData>
  <mergeCells count="16">
    <mergeCell ref="B51:B52"/>
    <mergeCell ref="B53:C53"/>
    <mergeCell ref="B37:B39"/>
    <mergeCell ref="B40:B41"/>
    <mergeCell ref="B42:B45"/>
    <mergeCell ref="B46:B48"/>
    <mergeCell ref="B49:B50"/>
    <mergeCell ref="B7:E8"/>
    <mergeCell ref="B10:B11"/>
    <mergeCell ref="B29:B33"/>
    <mergeCell ref="B34:B36"/>
    <mergeCell ref="B20:B21"/>
    <mergeCell ref="B22:B23"/>
    <mergeCell ref="B24:B25"/>
    <mergeCell ref="B12:B19"/>
    <mergeCell ref="B26:B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27"/>
  <sheetViews>
    <sheetView showGridLines="0" zoomScaleNormal="100" zoomScaleSheetLayoutView="115" workbookViewId="0">
      <selection activeCell="D19" sqref="D19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2" t="s">
        <v>35</v>
      </c>
      <c r="C7" s="82"/>
      <c r="D7" s="82"/>
    </row>
    <row r="8" spans="1:4" s="21" customFormat="1" ht="15" customHeight="1">
      <c r="B8" s="82"/>
      <c r="C8" s="82"/>
      <c r="D8" s="82"/>
    </row>
    <row r="9" spans="1:4" s="21" customFormat="1" ht="33" customHeight="1">
      <c r="B9" s="82"/>
      <c r="C9" s="82"/>
      <c r="D9" s="82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34</v>
      </c>
      <c r="C11" s="23" t="s">
        <v>25</v>
      </c>
      <c r="D11" s="22" t="s">
        <v>24</v>
      </c>
    </row>
    <row r="12" spans="1:4">
      <c r="A12" s="44"/>
      <c r="B12" s="64" t="s">
        <v>90</v>
      </c>
      <c r="C12" s="63">
        <v>2</v>
      </c>
      <c r="D12" s="62">
        <v>5.2631578947368418E-2</v>
      </c>
    </row>
    <row r="13" spans="1:4">
      <c r="A13" s="44"/>
      <c r="B13" s="64" t="s">
        <v>33</v>
      </c>
      <c r="C13" s="63">
        <v>2</v>
      </c>
      <c r="D13" s="62">
        <v>5.2631578947368418E-2</v>
      </c>
    </row>
    <row r="14" spans="1:4">
      <c r="A14" s="45"/>
      <c r="B14" s="64" t="s">
        <v>32</v>
      </c>
      <c r="C14" s="63">
        <v>12</v>
      </c>
      <c r="D14" s="62">
        <v>0.31578947368421051</v>
      </c>
    </row>
    <row r="15" spans="1:4">
      <c r="A15" s="45"/>
      <c r="B15" s="64" t="s">
        <v>31</v>
      </c>
      <c r="C15" s="63">
        <v>2</v>
      </c>
      <c r="D15" s="62">
        <v>5.2631578947368418E-2</v>
      </c>
    </row>
    <row r="16" spans="1:4">
      <c r="A16" s="44"/>
      <c r="B16" s="64" t="s">
        <v>30</v>
      </c>
      <c r="C16" s="63">
        <v>11</v>
      </c>
      <c r="D16" s="62">
        <v>0.28947368421052633</v>
      </c>
    </row>
    <row r="17" spans="1:4">
      <c r="A17" s="44"/>
      <c r="B17" s="64" t="s">
        <v>91</v>
      </c>
      <c r="C17" s="63">
        <v>2</v>
      </c>
      <c r="D17" s="62">
        <v>5.2631578947368418E-2</v>
      </c>
    </row>
    <row r="18" spans="1:4">
      <c r="A18" s="44"/>
      <c r="B18" s="64" t="s">
        <v>92</v>
      </c>
      <c r="C18" s="63">
        <v>2</v>
      </c>
      <c r="D18" s="62">
        <v>5.2631578947368418E-2</v>
      </c>
    </row>
    <row r="19" spans="1:4">
      <c r="A19" s="44"/>
      <c r="B19" s="64" t="s">
        <v>29</v>
      </c>
      <c r="C19" s="63">
        <v>4</v>
      </c>
      <c r="D19" s="62">
        <v>0.10526315789473684</v>
      </c>
    </row>
    <row r="20" spans="1:4">
      <c r="A20" s="44"/>
      <c r="B20" s="64" t="s">
        <v>56</v>
      </c>
      <c r="C20" s="63">
        <v>1</v>
      </c>
      <c r="D20" s="62">
        <v>2.6315789473684209E-2</v>
      </c>
    </row>
    <row r="21" spans="1:4">
      <c r="B21" s="61" t="s">
        <v>15</v>
      </c>
      <c r="C21" s="60">
        <v>38</v>
      </c>
      <c r="D21" s="59">
        <v>1</v>
      </c>
    </row>
    <row r="22" spans="1:4">
      <c r="B22" s="57"/>
      <c r="C22" s="58"/>
      <c r="D22" s="57"/>
    </row>
    <row r="23" spans="1:4">
      <c r="B23" s="66" t="s">
        <v>60</v>
      </c>
      <c r="C23" s="58"/>
      <c r="D23" s="57"/>
    </row>
    <row r="24" spans="1:4">
      <c r="B24" s="68" t="s">
        <v>14</v>
      </c>
      <c r="C24" s="58"/>
      <c r="D24" s="57"/>
    </row>
    <row r="25" spans="1:4">
      <c r="B25" s="67" t="s">
        <v>13</v>
      </c>
      <c r="C25" s="58"/>
      <c r="D25" s="57"/>
    </row>
    <row r="26" spans="1:4">
      <c r="B26" s="66" t="s">
        <v>12</v>
      </c>
      <c r="C26" s="58"/>
      <c r="D26" s="57"/>
    </row>
    <row r="27" spans="1:4">
      <c r="B27" s="66" t="s">
        <v>61</v>
      </c>
      <c r="C27" s="58"/>
      <c r="D27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5"/>
  <sheetViews>
    <sheetView showGridLines="0" topLeftCell="A19" zoomScaleNormal="100" zoomScaleSheetLayoutView="100" workbookViewId="0">
      <selection activeCell="D15" sqref="D15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9" customFormat="1" ht="12" customHeight="1">
      <c r="B1" s="43"/>
      <c r="C1" s="42"/>
      <c r="D1" s="42"/>
      <c r="E1" s="42"/>
    </row>
    <row r="2" spans="1:5" s="39" customFormat="1" ht="15" customHeight="1">
      <c r="C2" s="41"/>
    </row>
    <row r="3" spans="1:5" s="39" customFormat="1" ht="15" customHeight="1">
      <c r="C3" s="41"/>
    </row>
    <row r="4" spans="1:5" s="39" customFormat="1" ht="30" customHeight="1">
      <c r="C4" s="41"/>
      <c r="D4" s="40"/>
    </row>
    <row r="5" spans="1:5" s="39" customFormat="1" ht="15" customHeight="1">
      <c r="C5" s="41"/>
      <c r="D5" s="40"/>
    </row>
    <row r="6" spans="1:5" s="36" customFormat="1" ht="24" customHeight="1">
      <c r="B6" s="38"/>
      <c r="C6" s="32"/>
      <c r="D6" s="32"/>
      <c r="E6" s="32"/>
    </row>
    <row r="7" spans="1:5" s="36" customFormat="1" ht="26.25" customHeight="1">
      <c r="A7" s="37"/>
      <c r="B7" s="83"/>
      <c r="C7" s="83"/>
      <c r="D7" s="83"/>
      <c r="E7" s="83"/>
    </row>
    <row r="8" spans="1:5" s="36" customFormat="1" ht="33" customHeight="1">
      <c r="A8" s="37"/>
      <c r="B8" s="83"/>
      <c r="C8" s="83"/>
      <c r="D8" s="83"/>
      <c r="E8" s="83"/>
    </row>
    <row r="9" spans="1:5" s="21" customFormat="1" ht="40.5" customHeight="1">
      <c r="B9" s="33" t="s">
        <v>34</v>
      </c>
      <c r="C9" s="35" t="s">
        <v>26</v>
      </c>
      <c r="D9" s="34" t="s">
        <v>25</v>
      </c>
      <c r="E9" s="33" t="s">
        <v>24</v>
      </c>
    </row>
    <row r="10" spans="1:5" ht="15" customHeight="1">
      <c r="B10" s="84" t="s">
        <v>90</v>
      </c>
      <c r="C10" s="55" t="s">
        <v>53</v>
      </c>
      <c r="D10" s="54">
        <v>1</v>
      </c>
      <c r="E10" s="53">
        <v>2.6315789473684209E-2</v>
      </c>
    </row>
    <row r="11" spans="1:5" ht="15" customHeight="1">
      <c r="B11" s="86"/>
      <c r="C11" s="55" t="s">
        <v>20</v>
      </c>
      <c r="D11" s="54">
        <v>1</v>
      </c>
      <c r="E11" s="53">
        <v>2.6315789473684209E-2</v>
      </c>
    </row>
    <row r="12" spans="1:5" ht="15" customHeight="1">
      <c r="B12" s="85"/>
      <c r="C12" s="52" t="s">
        <v>15</v>
      </c>
      <c r="D12" s="51">
        <v>2</v>
      </c>
      <c r="E12" s="50">
        <v>5.2631578947368418E-2</v>
      </c>
    </row>
    <row r="13" spans="1:5" ht="15" customHeight="1">
      <c r="B13" s="84" t="s">
        <v>33</v>
      </c>
      <c r="C13" s="55" t="s">
        <v>23</v>
      </c>
      <c r="D13" s="54">
        <v>1</v>
      </c>
      <c r="E13" s="53">
        <v>2.6315789473684209E-2</v>
      </c>
    </row>
    <row r="14" spans="1:5" ht="15" customHeight="1">
      <c r="B14" s="86"/>
      <c r="C14" s="55" t="s">
        <v>20</v>
      </c>
      <c r="D14" s="54">
        <v>1</v>
      </c>
      <c r="E14" s="53">
        <v>2.6315789473684209E-2</v>
      </c>
    </row>
    <row r="15" spans="1:5" ht="15" customHeight="1">
      <c r="B15" s="85"/>
      <c r="C15" s="52" t="s">
        <v>15</v>
      </c>
      <c r="D15" s="51">
        <v>2</v>
      </c>
      <c r="E15" s="50">
        <v>5.2631578947368418E-2</v>
      </c>
    </row>
    <row r="16" spans="1:5" ht="15" customHeight="1">
      <c r="B16" s="84" t="s">
        <v>32</v>
      </c>
      <c r="C16" s="55" t="s">
        <v>23</v>
      </c>
      <c r="D16" s="54">
        <v>7</v>
      </c>
      <c r="E16" s="53">
        <v>0.18421052631578946</v>
      </c>
    </row>
    <row r="17" spans="2:5" ht="15" customHeight="1">
      <c r="B17" s="86"/>
      <c r="C17" s="55" t="s">
        <v>51</v>
      </c>
      <c r="D17" s="54">
        <v>1</v>
      </c>
      <c r="E17" s="53">
        <v>2.6315789473684209E-2</v>
      </c>
    </row>
    <row r="18" spans="2:5" ht="15" customHeight="1">
      <c r="B18" s="86"/>
      <c r="C18" s="55" t="s">
        <v>18</v>
      </c>
      <c r="D18" s="54">
        <v>1</v>
      </c>
      <c r="E18" s="53">
        <v>2.6315789473684209E-2</v>
      </c>
    </row>
    <row r="19" spans="2:5" ht="15" customHeight="1">
      <c r="B19" s="86"/>
      <c r="C19" s="55" t="s">
        <v>19</v>
      </c>
      <c r="D19" s="54">
        <v>1</v>
      </c>
      <c r="E19" s="53">
        <v>2.6315789473684209E-2</v>
      </c>
    </row>
    <row r="20" spans="2:5" ht="15" customHeight="1">
      <c r="B20" s="86"/>
      <c r="C20" s="55" t="s">
        <v>16</v>
      </c>
      <c r="D20" s="54">
        <v>1</v>
      </c>
      <c r="E20" s="53">
        <v>2.6315789473684209E-2</v>
      </c>
    </row>
    <row r="21" spans="2:5" ht="15" customHeight="1">
      <c r="B21" s="86"/>
      <c r="C21" s="55" t="s">
        <v>22</v>
      </c>
      <c r="D21" s="54">
        <v>1</v>
      </c>
      <c r="E21" s="53">
        <v>2.6315789473684209E-2</v>
      </c>
    </row>
    <row r="22" spans="2:5" ht="15" customHeight="1">
      <c r="B22" s="85"/>
      <c r="C22" s="52" t="s">
        <v>15</v>
      </c>
      <c r="D22" s="51">
        <v>12</v>
      </c>
      <c r="E22" s="50">
        <v>0.31578947368421051</v>
      </c>
    </row>
    <row r="23" spans="2:5" ht="15" customHeight="1">
      <c r="B23" s="84" t="s">
        <v>31</v>
      </c>
      <c r="C23" s="55" t="s">
        <v>52</v>
      </c>
      <c r="D23" s="54">
        <v>1</v>
      </c>
      <c r="E23" s="53">
        <v>2.6315789473684209E-2</v>
      </c>
    </row>
    <row r="24" spans="2:5" ht="15" customHeight="1">
      <c r="B24" s="86"/>
      <c r="C24" s="55" t="s">
        <v>53</v>
      </c>
      <c r="D24" s="54">
        <v>1</v>
      </c>
      <c r="E24" s="53">
        <v>2.6315789473684209E-2</v>
      </c>
    </row>
    <row r="25" spans="2:5" ht="15" customHeight="1">
      <c r="B25" s="85"/>
      <c r="C25" s="52" t="s">
        <v>15</v>
      </c>
      <c r="D25" s="51">
        <v>2</v>
      </c>
      <c r="E25" s="50">
        <v>5.2631578947368418E-2</v>
      </c>
    </row>
    <row r="26" spans="2:5" ht="15" customHeight="1">
      <c r="B26" s="84" t="s">
        <v>30</v>
      </c>
      <c r="C26" s="55" t="s">
        <v>23</v>
      </c>
      <c r="D26" s="54">
        <v>2</v>
      </c>
      <c r="E26" s="53">
        <v>5.2631578947368418E-2</v>
      </c>
    </row>
    <row r="27" spans="2:5" ht="15" customHeight="1">
      <c r="B27" s="86"/>
      <c r="C27" s="55" t="s">
        <v>17</v>
      </c>
      <c r="D27" s="54">
        <v>1</v>
      </c>
      <c r="E27" s="53">
        <v>2.6315789473684209E-2</v>
      </c>
    </row>
    <row r="28" spans="2:5" ht="15" customHeight="1">
      <c r="B28" s="86"/>
      <c r="C28" s="55" t="s">
        <v>18</v>
      </c>
      <c r="D28" s="54">
        <v>2</v>
      </c>
      <c r="E28" s="53">
        <v>5.2631578947368418E-2</v>
      </c>
    </row>
    <row r="29" spans="2:5" ht="15" customHeight="1">
      <c r="B29" s="86"/>
      <c r="C29" s="55" t="s">
        <v>20</v>
      </c>
      <c r="D29" s="54">
        <v>2</v>
      </c>
      <c r="E29" s="53">
        <v>5.2631578947368418E-2</v>
      </c>
    </row>
    <row r="30" spans="2:5" ht="15" customHeight="1">
      <c r="B30" s="86"/>
      <c r="C30" s="55" t="s">
        <v>19</v>
      </c>
      <c r="D30" s="54">
        <v>1</v>
      </c>
      <c r="E30" s="53">
        <v>2.6315789473684209E-2</v>
      </c>
    </row>
    <row r="31" spans="2:5" ht="15" customHeight="1">
      <c r="B31" s="86"/>
      <c r="C31" s="55" t="s">
        <v>16</v>
      </c>
      <c r="D31" s="54">
        <v>1</v>
      </c>
      <c r="E31" s="53">
        <v>2.6315789473684209E-2</v>
      </c>
    </row>
    <row r="32" spans="2:5" ht="15" customHeight="1">
      <c r="B32" s="86"/>
      <c r="C32" s="55" t="s">
        <v>22</v>
      </c>
      <c r="D32" s="54">
        <v>1</v>
      </c>
      <c r="E32" s="53">
        <v>2.6315789473684209E-2</v>
      </c>
    </row>
    <row r="33" spans="2:5" ht="15" customHeight="1">
      <c r="B33" s="86"/>
      <c r="C33" s="55" t="s">
        <v>54</v>
      </c>
      <c r="D33" s="54">
        <v>1</v>
      </c>
      <c r="E33" s="53">
        <v>2.6315789473684209E-2</v>
      </c>
    </row>
    <row r="34" spans="2:5" ht="15" customHeight="1">
      <c r="B34" s="85"/>
      <c r="C34" s="52" t="s">
        <v>15</v>
      </c>
      <c r="D34" s="51">
        <v>11</v>
      </c>
      <c r="E34" s="50">
        <v>0.28947368421052633</v>
      </c>
    </row>
    <row r="35" spans="2:5" ht="15" customHeight="1">
      <c r="B35" s="84" t="s">
        <v>93</v>
      </c>
      <c r="C35" s="55" t="s">
        <v>20</v>
      </c>
      <c r="D35" s="54">
        <v>1</v>
      </c>
      <c r="E35" s="53">
        <v>2.6315789473684209E-2</v>
      </c>
    </row>
    <row r="36" spans="2:5" ht="15" customHeight="1">
      <c r="B36" s="86"/>
      <c r="C36" s="55" t="s">
        <v>16</v>
      </c>
      <c r="D36" s="54">
        <v>1</v>
      </c>
      <c r="E36" s="53">
        <v>2.6315789473684209E-2</v>
      </c>
    </row>
    <row r="37" spans="2:5" ht="15" customHeight="1">
      <c r="B37" s="85"/>
      <c r="C37" s="52" t="s">
        <v>15</v>
      </c>
      <c r="D37" s="51">
        <v>2</v>
      </c>
      <c r="E37" s="50">
        <v>5.2631578947368418E-2</v>
      </c>
    </row>
    <row r="38" spans="2:5" ht="15" customHeight="1">
      <c r="B38" s="84" t="s">
        <v>92</v>
      </c>
      <c r="C38" s="55" t="s">
        <v>22</v>
      </c>
      <c r="D38" s="54">
        <v>1</v>
      </c>
      <c r="E38" s="53">
        <v>2.6315789473684209E-2</v>
      </c>
    </row>
    <row r="39" spans="2:5" ht="15" customHeight="1">
      <c r="B39" s="86"/>
      <c r="C39" s="55" t="s">
        <v>54</v>
      </c>
      <c r="D39" s="54">
        <v>1</v>
      </c>
      <c r="E39" s="53">
        <v>2.6315789473684209E-2</v>
      </c>
    </row>
    <row r="40" spans="2:5" ht="15" customHeight="1">
      <c r="B40" s="85"/>
      <c r="C40" s="52" t="s">
        <v>15</v>
      </c>
      <c r="D40" s="51">
        <v>2</v>
      </c>
      <c r="E40" s="50">
        <v>5.2631578947368418E-2</v>
      </c>
    </row>
    <row r="41" spans="2:5" ht="15" customHeight="1">
      <c r="B41" s="84" t="s">
        <v>29</v>
      </c>
      <c r="C41" s="55" t="s">
        <v>19</v>
      </c>
      <c r="D41" s="54">
        <v>1</v>
      </c>
      <c r="E41" s="53">
        <v>2.6315789473684209E-2</v>
      </c>
    </row>
    <row r="42" spans="2:5" ht="15" customHeight="1">
      <c r="B42" s="86"/>
      <c r="C42" s="55" t="s">
        <v>50</v>
      </c>
      <c r="D42" s="54">
        <v>1</v>
      </c>
      <c r="E42" s="53">
        <v>2.6315789473684209E-2</v>
      </c>
    </row>
    <row r="43" spans="2:5" ht="15" customHeight="1">
      <c r="B43" s="86"/>
      <c r="C43" s="55" t="s">
        <v>22</v>
      </c>
      <c r="D43" s="54">
        <v>1</v>
      </c>
      <c r="E43" s="53">
        <v>2.6315789473684209E-2</v>
      </c>
    </row>
    <row r="44" spans="2:5" ht="15" customHeight="1">
      <c r="B44" s="86"/>
      <c r="C44" s="55" t="s">
        <v>21</v>
      </c>
      <c r="D44" s="54">
        <v>1</v>
      </c>
      <c r="E44" s="53">
        <v>2.6315789473684209E-2</v>
      </c>
    </row>
    <row r="45" spans="2:5" ht="15" customHeight="1">
      <c r="B45" s="85"/>
      <c r="C45" s="52" t="s">
        <v>15</v>
      </c>
      <c r="D45" s="51">
        <v>4</v>
      </c>
      <c r="E45" s="50">
        <v>0.10526315789473684</v>
      </c>
    </row>
    <row r="46" spans="2:5" ht="15" customHeight="1">
      <c r="B46" s="84" t="s">
        <v>57</v>
      </c>
      <c r="C46" s="55" t="s">
        <v>55</v>
      </c>
      <c r="D46" s="54">
        <v>1</v>
      </c>
      <c r="E46" s="53">
        <v>2.6315789473684209E-2</v>
      </c>
    </row>
    <row r="47" spans="2:5" ht="15" customHeight="1">
      <c r="B47" s="85"/>
      <c r="C47" s="52" t="s">
        <v>15</v>
      </c>
      <c r="D47" s="51">
        <v>1</v>
      </c>
      <c r="E47" s="50">
        <v>2.6315789473684209E-2</v>
      </c>
    </row>
    <row r="48" spans="2:5" ht="15" customHeight="1">
      <c r="B48" s="87" t="s">
        <v>15</v>
      </c>
      <c r="C48" s="88"/>
      <c r="D48" s="69">
        <v>38</v>
      </c>
      <c r="E48" s="70">
        <v>1</v>
      </c>
    </row>
    <row r="49" spans="2:5" ht="15" customHeight="1">
      <c r="B49" s="49"/>
      <c r="C49" s="49"/>
      <c r="D49" s="49"/>
      <c r="E49" s="49"/>
    </row>
    <row r="50" spans="2:5" ht="15" customHeight="1">
      <c r="B50" s="66" t="s">
        <v>60</v>
      </c>
      <c r="C50" s="49"/>
      <c r="D50" s="49"/>
      <c r="E50" s="49"/>
    </row>
    <row r="51" spans="2:5" ht="15" customHeight="1">
      <c r="B51" s="68" t="s">
        <v>14</v>
      </c>
      <c r="C51" s="49"/>
      <c r="D51" s="49"/>
      <c r="E51" s="49"/>
    </row>
    <row r="52" spans="2:5" ht="15" customHeight="1">
      <c r="B52" s="67" t="s">
        <v>13</v>
      </c>
      <c r="C52" s="49"/>
      <c r="D52" s="49"/>
      <c r="E52" s="49"/>
    </row>
    <row r="53" spans="2:5" ht="15" customHeight="1">
      <c r="B53" s="66" t="s">
        <v>12</v>
      </c>
      <c r="C53" s="49"/>
      <c r="D53" s="49"/>
      <c r="E53" s="49"/>
    </row>
    <row r="54" spans="2:5" ht="15" customHeight="1">
      <c r="B54" s="66" t="s">
        <v>61</v>
      </c>
      <c r="C54" s="49"/>
      <c r="D54" s="49"/>
      <c r="E54" s="49"/>
    </row>
    <row r="55" spans="2:5" ht="15" customHeight="1">
      <c r="B55" s="49"/>
      <c r="C55" s="49"/>
      <c r="D55" s="49"/>
      <c r="E55" s="49"/>
    </row>
  </sheetData>
  <mergeCells count="11">
    <mergeCell ref="B35:B37"/>
    <mergeCell ref="B38:B40"/>
    <mergeCell ref="B41:B45"/>
    <mergeCell ref="B46:B47"/>
    <mergeCell ref="B48:C48"/>
    <mergeCell ref="B26:B34"/>
    <mergeCell ref="B7:E8"/>
    <mergeCell ref="B10:B12"/>
    <mergeCell ref="B13:B15"/>
    <mergeCell ref="B16:B22"/>
    <mergeCell ref="B23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19" sqref="E19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2" t="s">
        <v>94</v>
      </c>
      <c r="C7" s="82"/>
      <c r="D7" s="82"/>
    </row>
    <row r="8" spans="1:5" s="21" customFormat="1" ht="15" customHeight="1">
      <c r="B8" s="82"/>
      <c r="C8" s="82"/>
      <c r="D8" s="82"/>
    </row>
    <row r="9" spans="1:5" s="21" customFormat="1" ht="33" customHeight="1">
      <c r="B9" s="82"/>
      <c r="C9" s="82"/>
      <c r="D9" s="82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39</v>
      </c>
      <c r="C11" s="23" t="s">
        <v>25</v>
      </c>
      <c r="D11" s="22" t="s">
        <v>24</v>
      </c>
    </row>
    <row r="12" spans="1:5">
      <c r="A12" s="46"/>
      <c r="B12" s="64" t="s">
        <v>38</v>
      </c>
      <c r="C12" s="63">
        <v>29</v>
      </c>
      <c r="D12" s="62">
        <v>0.76315789473684215</v>
      </c>
      <c r="E12" s="46"/>
    </row>
    <row r="13" spans="1:5">
      <c r="A13" s="46"/>
      <c r="B13" s="64" t="s">
        <v>37</v>
      </c>
      <c r="C13" s="63">
        <v>9</v>
      </c>
      <c r="D13" s="62">
        <v>0.23684210526315788</v>
      </c>
      <c r="E13" s="46"/>
    </row>
    <row r="14" spans="1:5">
      <c r="A14" s="46"/>
      <c r="B14" s="61" t="s">
        <v>36</v>
      </c>
      <c r="C14" s="60">
        <v>38</v>
      </c>
      <c r="D14" s="59">
        <v>1</v>
      </c>
      <c r="E14" s="46"/>
    </row>
    <row r="15" spans="1:5">
      <c r="A15" s="47"/>
      <c r="B15" s="65"/>
      <c r="C15" s="48"/>
      <c r="D15" s="65"/>
      <c r="E15" s="47"/>
    </row>
    <row r="16" spans="1:5">
      <c r="B16" s="66" t="s">
        <v>60</v>
      </c>
      <c r="C16" s="48"/>
      <c r="D16" s="65"/>
    </row>
    <row r="17" spans="2:4">
      <c r="B17" s="68" t="s">
        <v>14</v>
      </c>
      <c r="C17" s="71"/>
      <c r="D17" s="71"/>
    </row>
    <row r="18" spans="2:4">
      <c r="B18" s="67" t="s">
        <v>13</v>
      </c>
      <c r="C18" s="72"/>
      <c r="D18" s="72"/>
    </row>
    <row r="19" spans="2:4">
      <c r="B19" s="66" t="s">
        <v>12</v>
      </c>
      <c r="C19" s="58"/>
      <c r="D19" s="57"/>
    </row>
    <row r="20" spans="2:4">
      <c r="B20" s="66" t="s">
        <v>61</v>
      </c>
      <c r="C20" s="58"/>
      <c r="D20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topLeftCell="A33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9" customFormat="1" ht="12" customHeight="1">
      <c r="B1" s="43"/>
      <c r="C1" s="42"/>
      <c r="D1" s="42"/>
      <c r="E1" s="42"/>
    </row>
    <row r="2" spans="1:5" s="39" customFormat="1" ht="15" customHeight="1">
      <c r="C2" s="41"/>
    </row>
    <row r="3" spans="1:5" s="39" customFormat="1" ht="15" customHeight="1">
      <c r="C3" s="41"/>
    </row>
    <row r="4" spans="1:5" s="39" customFormat="1" ht="30" customHeight="1">
      <c r="C4" s="41"/>
      <c r="D4" s="40"/>
    </row>
    <row r="5" spans="1:5" s="39" customFormat="1" ht="15" customHeight="1">
      <c r="C5" s="41"/>
      <c r="D5" s="40"/>
    </row>
    <row r="6" spans="1:5" s="36" customFormat="1" ht="24" customHeight="1">
      <c r="B6" s="38"/>
      <c r="C6" s="32"/>
      <c r="D6" s="32"/>
      <c r="E6" s="32"/>
    </row>
    <row r="7" spans="1:5" s="36" customFormat="1" ht="26.25" customHeight="1">
      <c r="A7" s="37"/>
      <c r="B7" s="83"/>
      <c r="C7" s="83"/>
      <c r="D7" s="83"/>
      <c r="E7" s="83"/>
    </row>
    <row r="8" spans="1:5" s="36" customFormat="1" ht="33" customHeight="1">
      <c r="A8" s="37"/>
      <c r="B8" s="83"/>
      <c r="C8" s="83"/>
      <c r="D8" s="83"/>
      <c r="E8" s="83"/>
    </row>
    <row r="9" spans="1:5" s="21" customFormat="1" ht="40.5" customHeight="1">
      <c r="B9" s="33" t="s">
        <v>26</v>
      </c>
      <c r="C9" s="35" t="s">
        <v>39</v>
      </c>
      <c r="D9" s="34" t="s">
        <v>25</v>
      </c>
      <c r="E9" s="33" t="s">
        <v>24</v>
      </c>
    </row>
    <row r="10" spans="1:5" ht="15" customHeight="1">
      <c r="B10" s="84" t="s">
        <v>52</v>
      </c>
      <c r="C10" s="55" t="s">
        <v>41</v>
      </c>
      <c r="D10" s="54">
        <v>1</v>
      </c>
      <c r="E10" s="53">
        <v>2.6315789473684209E-2</v>
      </c>
    </row>
    <row r="11" spans="1:5" ht="15" customHeight="1">
      <c r="B11" s="85"/>
      <c r="C11" s="52" t="s">
        <v>15</v>
      </c>
      <c r="D11" s="51">
        <v>1</v>
      </c>
      <c r="E11" s="50">
        <v>2.6315789473684209E-2</v>
      </c>
    </row>
    <row r="12" spans="1:5" ht="15" customHeight="1">
      <c r="B12" s="84" t="s">
        <v>23</v>
      </c>
      <c r="C12" s="55" t="s">
        <v>41</v>
      </c>
      <c r="D12" s="54">
        <v>9</v>
      </c>
      <c r="E12" s="53">
        <v>0.23684210526315788</v>
      </c>
    </row>
    <row r="13" spans="1:5" ht="15" customHeight="1">
      <c r="B13" s="86"/>
      <c r="C13" s="55" t="s">
        <v>40</v>
      </c>
      <c r="D13" s="54">
        <v>1</v>
      </c>
      <c r="E13" s="53">
        <v>2.6315789473684209E-2</v>
      </c>
    </row>
    <row r="14" spans="1:5" ht="15" customHeight="1">
      <c r="B14" s="85"/>
      <c r="C14" s="52" t="s">
        <v>15</v>
      </c>
      <c r="D14" s="51">
        <v>10</v>
      </c>
      <c r="E14" s="50">
        <v>0.26315789473684209</v>
      </c>
    </row>
    <row r="15" spans="1:5" ht="15" customHeight="1">
      <c r="B15" s="84" t="s">
        <v>53</v>
      </c>
      <c r="C15" s="55" t="s">
        <v>40</v>
      </c>
      <c r="D15" s="54">
        <v>2</v>
      </c>
      <c r="E15" s="53">
        <v>5.2631578947368418E-2</v>
      </c>
    </row>
    <row r="16" spans="1:5" ht="15" customHeight="1">
      <c r="B16" s="85"/>
      <c r="C16" s="52" t="s">
        <v>15</v>
      </c>
      <c r="D16" s="51">
        <v>2</v>
      </c>
      <c r="E16" s="50">
        <v>5.2631578947368418E-2</v>
      </c>
    </row>
    <row r="17" spans="2:5" ht="15" customHeight="1">
      <c r="B17" s="84" t="s">
        <v>51</v>
      </c>
      <c r="C17" s="55" t="s">
        <v>41</v>
      </c>
      <c r="D17" s="54">
        <v>1</v>
      </c>
      <c r="E17" s="53">
        <v>2.6315789473684209E-2</v>
      </c>
    </row>
    <row r="18" spans="2:5" ht="15" customHeight="1">
      <c r="B18" s="85"/>
      <c r="C18" s="52" t="s">
        <v>15</v>
      </c>
      <c r="D18" s="51">
        <v>1</v>
      </c>
      <c r="E18" s="50">
        <v>2.6315789473684209E-2</v>
      </c>
    </row>
    <row r="19" spans="2:5" ht="15" customHeight="1">
      <c r="B19" s="84" t="s">
        <v>17</v>
      </c>
      <c r="C19" s="55" t="s">
        <v>41</v>
      </c>
      <c r="D19" s="54">
        <v>1</v>
      </c>
      <c r="E19" s="53">
        <v>2.6315789473684209E-2</v>
      </c>
    </row>
    <row r="20" spans="2:5" ht="15" customHeight="1">
      <c r="B20" s="85"/>
      <c r="C20" s="52" t="s">
        <v>15</v>
      </c>
      <c r="D20" s="51">
        <v>1</v>
      </c>
      <c r="E20" s="50">
        <v>2.6315789473684209E-2</v>
      </c>
    </row>
    <row r="21" spans="2:5" ht="15" customHeight="1">
      <c r="B21" s="84" t="s">
        <v>18</v>
      </c>
      <c r="C21" s="55" t="s">
        <v>41</v>
      </c>
      <c r="D21" s="54">
        <v>2</v>
      </c>
      <c r="E21" s="53">
        <v>5.2631578947368418E-2</v>
      </c>
    </row>
    <row r="22" spans="2:5" ht="15" customHeight="1">
      <c r="B22" s="86"/>
      <c r="C22" s="55" t="s">
        <v>40</v>
      </c>
      <c r="D22" s="54">
        <v>1</v>
      </c>
      <c r="E22" s="53">
        <v>2.6315789473684209E-2</v>
      </c>
    </row>
    <row r="23" spans="2:5" ht="15" customHeight="1">
      <c r="B23" s="85"/>
      <c r="C23" s="52" t="s">
        <v>15</v>
      </c>
      <c r="D23" s="51">
        <v>3</v>
      </c>
      <c r="E23" s="50">
        <v>7.8947368421052627E-2</v>
      </c>
    </row>
    <row r="24" spans="2:5" ht="15" customHeight="1">
      <c r="B24" s="84" t="s">
        <v>20</v>
      </c>
      <c r="C24" s="55" t="s">
        <v>41</v>
      </c>
      <c r="D24" s="54">
        <v>4</v>
      </c>
      <c r="E24" s="53">
        <v>0.10526315789473684</v>
      </c>
    </row>
    <row r="25" spans="2:5" ht="15" customHeight="1">
      <c r="B25" s="86"/>
      <c r="C25" s="55" t="s">
        <v>40</v>
      </c>
      <c r="D25" s="54">
        <v>1</v>
      </c>
      <c r="E25" s="53">
        <v>2.6315789473684209E-2</v>
      </c>
    </row>
    <row r="26" spans="2:5" ht="15" customHeight="1">
      <c r="B26" s="85"/>
      <c r="C26" s="52" t="s">
        <v>15</v>
      </c>
      <c r="D26" s="51">
        <v>5</v>
      </c>
      <c r="E26" s="50">
        <v>0.13157894736842105</v>
      </c>
    </row>
    <row r="27" spans="2:5" ht="15" customHeight="1">
      <c r="B27" s="84" t="s">
        <v>19</v>
      </c>
      <c r="C27" s="55" t="s">
        <v>41</v>
      </c>
      <c r="D27" s="54">
        <v>2</v>
      </c>
      <c r="E27" s="53">
        <v>5.2631578947368418E-2</v>
      </c>
    </row>
    <row r="28" spans="2:5" ht="15" customHeight="1">
      <c r="B28" s="86"/>
      <c r="C28" s="55" t="s">
        <v>40</v>
      </c>
      <c r="D28" s="54">
        <v>1</v>
      </c>
      <c r="E28" s="53">
        <v>2.6315789473684209E-2</v>
      </c>
    </row>
    <row r="29" spans="2:5" ht="15" customHeight="1">
      <c r="B29" s="85"/>
      <c r="C29" s="52" t="s">
        <v>15</v>
      </c>
      <c r="D29" s="51">
        <v>3</v>
      </c>
      <c r="E29" s="50">
        <v>7.8947368421052627E-2</v>
      </c>
    </row>
    <row r="30" spans="2:5" ht="15" customHeight="1">
      <c r="B30" s="84" t="s">
        <v>16</v>
      </c>
      <c r="C30" s="55" t="s">
        <v>41</v>
      </c>
      <c r="D30" s="54">
        <v>2</v>
      </c>
      <c r="E30" s="53">
        <v>5.2631578947368418E-2</v>
      </c>
    </row>
    <row r="31" spans="2:5" ht="15" customHeight="1">
      <c r="B31" s="86"/>
      <c r="C31" s="55" t="s">
        <v>40</v>
      </c>
      <c r="D31" s="54">
        <v>1</v>
      </c>
      <c r="E31" s="53">
        <v>2.6315789473684209E-2</v>
      </c>
    </row>
    <row r="32" spans="2:5" ht="15" customHeight="1">
      <c r="B32" s="85"/>
      <c r="C32" s="52" t="s">
        <v>15</v>
      </c>
      <c r="D32" s="51">
        <v>3</v>
      </c>
      <c r="E32" s="50">
        <v>7.8947368421052627E-2</v>
      </c>
    </row>
    <row r="33" spans="2:5" ht="15" customHeight="1">
      <c r="B33" s="84" t="s">
        <v>50</v>
      </c>
      <c r="C33" s="55" t="s">
        <v>41</v>
      </c>
      <c r="D33" s="54">
        <v>1</v>
      </c>
      <c r="E33" s="53">
        <v>2.6315789473684209E-2</v>
      </c>
    </row>
    <row r="34" spans="2:5" ht="15" customHeight="1">
      <c r="B34" s="85"/>
      <c r="C34" s="52" t="s">
        <v>15</v>
      </c>
      <c r="D34" s="51">
        <v>1</v>
      </c>
      <c r="E34" s="50">
        <v>2.6315789473684209E-2</v>
      </c>
    </row>
    <row r="35" spans="2:5" ht="15" customHeight="1">
      <c r="B35" s="84" t="s">
        <v>22</v>
      </c>
      <c r="C35" s="55" t="s">
        <v>41</v>
      </c>
      <c r="D35" s="54">
        <v>3</v>
      </c>
      <c r="E35" s="53">
        <v>7.8947368421052627E-2</v>
      </c>
    </row>
    <row r="36" spans="2:5" ht="15" customHeight="1">
      <c r="B36" s="86"/>
      <c r="C36" s="55" t="s">
        <v>40</v>
      </c>
      <c r="D36" s="54">
        <v>1</v>
      </c>
      <c r="E36" s="53">
        <v>2.6315789473684209E-2</v>
      </c>
    </row>
    <row r="37" spans="2:5" ht="15" customHeight="1">
      <c r="B37" s="85"/>
      <c r="C37" s="52" t="s">
        <v>15</v>
      </c>
      <c r="D37" s="51">
        <v>4</v>
      </c>
      <c r="E37" s="50">
        <v>0.10526315789473684</v>
      </c>
    </row>
    <row r="38" spans="2:5" ht="15" customHeight="1">
      <c r="B38" s="84" t="s">
        <v>54</v>
      </c>
      <c r="C38" s="55" t="s">
        <v>41</v>
      </c>
      <c r="D38" s="54">
        <v>2</v>
      </c>
      <c r="E38" s="53">
        <v>5.2631578947368418E-2</v>
      </c>
    </row>
    <row r="39" spans="2:5" ht="15" customHeight="1">
      <c r="B39" s="85"/>
      <c r="C39" s="52" t="s">
        <v>15</v>
      </c>
      <c r="D39" s="51">
        <v>2</v>
      </c>
      <c r="E39" s="50">
        <v>5.2631578947368418E-2</v>
      </c>
    </row>
    <row r="40" spans="2:5" ht="15" customHeight="1">
      <c r="B40" s="84" t="s">
        <v>55</v>
      </c>
      <c r="C40" s="55" t="s">
        <v>40</v>
      </c>
      <c r="D40" s="54">
        <v>1</v>
      </c>
      <c r="E40" s="53">
        <v>2.6315789473684209E-2</v>
      </c>
    </row>
    <row r="41" spans="2:5" ht="15" customHeight="1">
      <c r="B41" s="85"/>
      <c r="C41" s="52" t="s">
        <v>15</v>
      </c>
      <c r="D41" s="51">
        <v>1</v>
      </c>
      <c r="E41" s="50">
        <v>2.6315789473684209E-2</v>
      </c>
    </row>
    <row r="42" spans="2:5" ht="15" customHeight="1">
      <c r="B42" s="84" t="s">
        <v>21</v>
      </c>
      <c r="C42" s="55" t="s">
        <v>41</v>
      </c>
      <c r="D42" s="54">
        <v>1</v>
      </c>
      <c r="E42" s="53">
        <v>2.6315789473684209E-2</v>
      </c>
    </row>
    <row r="43" spans="2:5" ht="15" customHeight="1">
      <c r="B43" s="85"/>
      <c r="C43" s="52" t="s">
        <v>15</v>
      </c>
      <c r="D43" s="51">
        <v>1</v>
      </c>
      <c r="E43" s="50">
        <v>2.6315789473684209E-2</v>
      </c>
    </row>
    <row r="44" spans="2:5" ht="15" customHeight="1">
      <c r="B44" s="87" t="s">
        <v>15</v>
      </c>
      <c r="C44" s="88"/>
      <c r="D44" s="69">
        <f>SUMIF(C10:C43,"TOTAL",D10:D43)</f>
        <v>38</v>
      </c>
      <c r="E44" s="70">
        <v>1</v>
      </c>
    </row>
    <row r="45" spans="2:5" ht="15" customHeight="1">
      <c r="B45" s="49"/>
      <c r="C45" s="49"/>
      <c r="D45" s="49"/>
      <c r="E45" s="49"/>
    </row>
    <row r="46" spans="2:5" ht="15" customHeight="1">
      <c r="B46" s="66" t="s">
        <v>60</v>
      </c>
      <c r="C46" s="49"/>
      <c r="D46" s="49"/>
      <c r="E46" s="49"/>
    </row>
    <row r="47" spans="2:5" ht="15" customHeight="1">
      <c r="B47" s="68" t="s">
        <v>14</v>
      </c>
      <c r="C47" s="49"/>
      <c r="D47" s="49"/>
      <c r="E47" s="49"/>
    </row>
    <row r="48" spans="2:5" ht="15" customHeight="1">
      <c r="B48" s="67" t="s">
        <v>13</v>
      </c>
      <c r="C48" s="49"/>
      <c r="D48" s="49"/>
      <c r="E48" s="49"/>
    </row>
    <row r="49" spans="2:5" ht="15" customHeight="1">
      <c r="B49" s="66" t="s">
        <v>12</v>
      </c>
      <c r="C49" s="49"/>
      <c r="D49" s="49"/>
      <c r="E49" s="49"/>
    </row>
    <row r="50" spans="2:5" ht="15" customHeight="1">
      <c r="B50" s="66" t="s">
        <v>61</v>
      </c>
      <c r="C50" s="49"/>
      <c r="D50" s="49"/>
      <c r="E50" s="49"/>
    </row>
    <row r="377" spans="2:2" s="29" customFormat="1" ht="15" customHeight="1">
      <c r="B377" s="30"/>
    </row>
    <row r="378" spans="2:2" s="29" customFormat="1" ht="15" customHeight="1">
      <c r="B378" s="31"/>
    </row>
    <row r="379" spans="2:2" s="29" customFormat="1" ht="15" customHeight="1">
      <c r="B379" s="31"/>
    </row>
    <row r="380" spans="2:2" s="29" customFormat="1" ht="15" customHeight="1">
      <c r="B380" s="30"/>
    </row>
    <row r="381" spans="2:2" s="29" customFormat="1" ht="15" customHeight="1">
      <c r="B381" s="30"/>
    </row>
  </sheetData>
  <mergeCells count="16">
    <mergeCell ref="B44:C44"/>
    <mergeCell ref="B33:B34"/>
    <mergeCell ref="B35:B37"/>
    <mergeCell ref="B38:B39"/>
    <mergeCell ref="B40:B41"/>
    <mergeCell ref="B42:B43"/>
    <mergeCell ref="B10:B11"/>
    <mergeCell ref="B7:E8"/>
    <mergeCell ref="B12:B14"/>
    <mergeCell ref="B15:B16"/>
    <mergeCell ref="B17:B18"/>
    <mergeCell ref="B19:B20"/>
    <mergeCell ref="B21:B23"/>
    <mergeCell ref="B24:B26"/>
    <mergeCell ref="B27:B29"/>
    <mergeCell ref="B30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9"/>
  <sheetViews>
    <sheetView showGridLines="0" zoomScaleNormal="100" zoomScaleSheetLayoutView="100" workbookViewId="0">
      <selection activeCell="E14" sqref="E14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9" customFormat="1" ht="12" customHeight="1">
      <c r="B1" s="43"/>
      <c r="C1" s="42"/>
      <c r="D1" s="42"/>
      <c r="E1" s="42"/>
    </row>
    <row r="2" spans="1:5" s="39" customFormat="1" ht="15" customHeight="1">
      <c r="C2" s="41"/>
    </row>
    <row r="3" spans="1:5" s="39" customFormat="1" ht="15" customHeight="1">
      <c r="C3" s="41"/>
    </row>
    <row r="4" spans="1:5" s="39" customFormat="1" ht="30" customHeight="1">
      <c r="C4" s="41"/>
      <c r="D4" s="40"/>
    </row>
    <row r="5" spans="1:5" s="39" customFormat="1" ht="15" customHeight="1">
      <c r="C5" s="41"/>
      <c r="D5" s="40"/>
    </row>
    <row r="6" spans="1:5" s="36" customFormat="1" ht="24" customHeight="1">
      <c r="B6" s="38"/>
      <c r="C6" s="32"/>
      <c r="D6" s="32"/>
      <c r="E6" s="32"/>
    </row>
    <row r="7" spans="1:5" s="36" customFormat="1" ht="26.25" customHeight="1">
      <c r="A7" s="37"/>
      <c r="B7" s="83"/>
      <c r="C7" s="83"/>
      <c r="D7" s="83"/>
      <c r="E7" s="83"/>
    </row>
    <row r="8" spans="1:5" s="36" customFormat="1" ht="33" customHeight="1">
      <c r="A8" s="37"/>
      <c r="B8" s="83"/>
      <c r="C8" s="83"/>
      <c r="D8" s="83"/>
      <c r="E8" s="83"/>
    </row>
    <row r="9" spans="1:5" s="21" customFormat="1" ht="40.5" customHeight="1">
      <c r="B9" s="33" t="s">
        <v>39</v>
      </c>
      <c r="C9" s="35" t="s">
        <v>45</v>
      </c>
      <c r="D9" s="34" t="s">
        <v>25</v>
      </c>
      <c r="E9" s="33" t="s">
        <v>24</v>
      </c>
    </row>
    <row r="10" spans="1:5" ht="15" customHeight="1">
      <c r="B10" s="84" t="s">
        <v>41</v>
      </c>
      <c r="C10" s="55" t="s">
        <v>44</v>
      </c>
      <c r="D10" s="54">
        <v>7</v>
      </c>
      <c r="E10" s="53">
        <v>0.18421052631578946</v>
      </c>
    </row>
    <row r="11" spans="1:5" ht="15" customHeight="1">
      <c r="B11" s="86"/>
      <c r="C11" s="55" t="s">
        <v>43</v>
      </c>
      <c r="D11" s="54">
        <v>10</v>
      </c>
      <c r="E11" s="53">
        <v>0.26315789473684209</v>
      </c>
    </row>
    <row r="12" spans="1:5" ht="15" customHeight="1">
      <c r="B12" s="86"/>
      <c r="C12" s="55" t="s">
        <v>42</v>
      </c>
      <c r="D12" s="54">
        <v>8</v>
      </c>
      <c r="E12" s="53">
        <v>0.21052631578947367</v>
      </c>
    </row>
    <row r="13" spans="1:5" ht="15" customHeight="1">
      <c r="B13" s="85"/>
      <c r="C13" s="55" t="s">
        <v>95</v>
      </c>
      <c r="D13" s="54">
        <v>4</v>
      </c>
      <c r="E13" s="53">
        <v>0.10526315789473684</v>
      </c>
    </row>
    <row r="14" spans="1:5" ht="15" customHeight="1">
      <c r="B14" s="84" t="s">
        <v>40</v>
      </c>
      <c r="C14" s="55" t="s">
        <v>43</v>
      </c>
      <c r="D14" s="54">
        <v>3</v>
      </c>
      <c r="E14" s="53">
        <v>7.8947368421052627E-2</v>
      </c>
    </row>
    <row r="15" spans="1:5" ht="15" customHeight="1">
      <c r="B15" s="86"/>
      <c r="C15" s="55" t="s">
        <v>42</v>
      </c>
      <c r="D15" s="54">
        <v>5</v>
      </c>
      <c r="E15" s="53">
        <v>0.13157894736842105</v>
      </c>
    </row>
    <row r="16" spans="1:5" ht="15" customHeight="1">
      <c r="B16" s="85"/>
      <c r="C16" s="55" t="s">
        <v>95</v>
      </c>
      <c r="D16" s="54">
        <v>1</v>
      </c>
      <c r="E16" s="53">
        <v>2.6315789473684209E-2</v>
      </c>
    </row>
    <row r="17" spans="2:5" ht="15" customHeight="1">
      <c r="B17" s="87" t="s">
        <v>15</v>
      </c>
      <c r="C17" s="88"/>
      <c r="D17" s="69">
        <v>38</v>
      </c>
      <c r="E17" s="70">
        <v>1</v>
      </c>
    </row>
    <row r="18" spans="2:5" ht="15" customHeight="1">
      <c r="B18" s="66"/>
      <c r="C18" s="56"/>
      <c r="D18" s="56"/>
      <c r="E18" s="56"/>
    </row>
    <row r="19" spans="2:5" ht="15" customHeight="1">
      <c r="B19" s="66" t="s">
        <v>60</v>
      </c>
      <c r="C19" s="56"/>
      <c r="D19" s="56"/>
      <c r="E19" s="56"/>
    </row>
    <row r="20" spans="2:5" ht="15" customHeight="1">
      <c r="B20" s="68" t="s">
        <v>14</v>
      </c>
      <c r="C20" s="49"/>
      <c r="D20" s="49"/>
      <c r="E20" s="49"/>
    </row>
    <row r="21" spans="2:5" ht="15" customHeight="1">
      <c r="B21" s="67" t="s">
        <v>13</v>
      </c>
      <c r="C21" s="49"/>
      <c r="D21" s="49"/>
      <c r="E21" s="49"/>
    </row>
    <row r="22" spans="2:5" ht="15" customHeight="1">
      <c r="B22" s="66" t="s">
        <v>12</v>
      </c>
      <c r="C22" s="49"/>
      <c r="D22" s="49"/>
      <c r="E22" s="49"/>
    </row>
    <row r="23" spans="2:5" ht="15" customHeight="1">
      <c r="B23" s="66" t="s">
        <v>61</v>
      </c>
      <c r="C23" s="49"/>
      <c r="D23" s="49"/>
      <c r="E23" s="49"/>
    </row>
    <row r="465" spans="2:2" s="29" customFormat="1" ht="15" customHeight="1">
      <c r="B465" s="30"/>
    </row>
    <row r="466" spans="2:2" s="29" customFormat="1" ht="15" customHeight="1">
      <c r="B466" s="31"/>
    </row>
    <row r="467" spans="2:2" s="29" customFormat="1" ht="15" customHeight="1">
      <c r="B467" s="31"/>
    </row>
    <row r="468" spans="2:2" s="29" customFormat="1" ht="15" customHeight="1">
      <c r="B468" s="30"/>
    </row>
    <row r="469" spans="2:2" s="29" customFormat="1" ht="15" customHeight="1">
      <c r="B469" s="30"/>
    </row>
  </sheetData>
  <mergeCells count="4">
    <mergeCell ref="B17:C17"/>
    <mergeCell ref="B7:E8"/>
    <mergeCell ref="B10:B13"/>
    <mergeCell ref="B14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5"/>
  <sheetViews>
    <sheetView showGridLines="0" zoomScaleNormal="100" zoomScaleSheetLayoutView="115" workbookViewId="0">
      <selection activeCell="G14" sqref="G1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2" t="s">
        <v>96</v>
      </c>
      <c r="C7" s="82"/>
      <c r="D7" s="82"/>
    </row>
    <row r="8" spans="1:5" s="21" customFormat="1" ht="15" customHeight="1">
      <c r="B8" s="82"/>
      <c r="C8" s="82"/>
      <c r="D8" s="82"/>
    </row>
    <row r="9" spans="1:5" s="21" customFormat="1" ht="33" customHeight="1">
      <c r="B9" s="82"/>
      <c r="C9" s="82"/>
      <c r="D9" s="82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49</v>
      </c>
      <c r="C11" s="23" t="s">
        <v>25</v>
      </c>
      <c r="D11" s="22" t="s">
        <v>24</v>
      </c>
    </row>
    <row r="12" spans="1:5">
      <c r="A12" s="57"/>
      <c r="B12" s="64" t="s">
        <v>48</v>
      </c>
      <c r="C12" s="63">
        <v>28</v>
      </c>
      <c r="D12" s="62">
        <v>0.73684210526315785</v>
      </c>
      <c r="E12" s="57"/>
    </row>
    <row r="13" spans="1:5">
      <c r="A13" s="57"/>
      <c r="B13" s="64" t="s">
        <v>47</v>
      </c>
      <c r="C13" s="63">
        <v>4</v>
      </c>
      <c r="D13" s="62">
        <v>0.10526315789473684</v>
      </c>
      <c r="E13" s="57"/>
    </row>
    <row r="14" spans="1:5">
      <c r="A14" s="65"/>
      <c r="B14" s="64" t="s">
        <v>97</v>
      </c>
      <c r="C14" s="63">
        <v>2</v>
      </c>
      <c r="D14" s="62">
        <v>5.2631578947368418E-2</v>
      </c>
      <c r="E14" s="65"/>
    </row>
    <row r="15" spans="1:5">
      <c r="A15" s="65"/>
      <c r="B15" s="64" t="s">
        <v>46</v>
      </c>
      <c r="C15" s="63">
        <v>1</v>
      </c>
      <c r="D15" s="62">
        <v>2.6315789473684209E-2</v>
      </c>
      <c r="E15" s="65"/>
    </row>
    <row r="16" spans="1:5">
      <c r="A16" s="57"/>
      <c r="B16" s="64" t="s">
        <v>58</v>
      </c>
      <c r="C16" s="63">
        <v>1</v>
      </c>
      <c r="D16" s="62">
        <v>2.6315789473684209E-2</v>
      </c>
      <c r="E16" s="57"/>
    </row>
    <row r="17" spans="1:5">
      <c r="A17" s="57"/>
      <c r="B17" s="64" t="s">
        <v>98</v>
      </c>
      <c r="C17" s="63">
        <v>1</v>
      </c>
      <c r="D17" s="62">
        <v>2.6315789473684209E-2</v>
      </c>
      <c r="E17" s="57"/>
    </row>
    <row r="18" spans="1:5">
      <c r="A18" s="57"/>
      <c r="B18" s="64" t="s">
        <v>99</v>
      </c>
      <c r="C18" s="63">
        <v>1</v>
      </c>
      <c r="D18" s="62">
        <v>2.6315789473684209E-2</v>
      </c>
      <c r="E18" s="57"/>
    </row>
    <row r="19" spans="1:5">
      <c r="A19" s="57"/>
      <c r="B19" s="61" t="s">
        <v>15</v>
      </c>
      <c r="C19" s="60">
        <v>38</v>
      </c>
      <c r="D19" s="59">
        <v>1</v>
      </c>
      <c r="E19" s="57"/>
    </row>
    <row r="20" spans="1:5">
      <c r="B20" s="57"/>
      <c r="C20" s="58"/>
      <c r="D20" s="57"/>
    </row>
    <row r="21" spans="1:5">
      <c r="B21" s="66" t="s">
        <v>60</v>
      </c>
      <c r="C21" s="58"/>
      <c r="D21" s="57"/>
    </row>
    <row r="22" spans="1:5">
      <c r="B22" s="68" t="s">
        <v>14</v>
      </c>
      <c r="C22" s="58"/>
      <c r="D22" s="57"/>
    </row>
    <row r="23" spans="1:5">
      <c r="B23" s="67" t="s">
        <v>13</v>
      </c>
      <c r="C23" s="58"/>
      <c r="D23" s="57"/>
    </row>
    <row r="24" spans="1:5">
      <c r="B24" s="66" t="s">
        <v>12</v>
      </c>
      <c r="C24" s="58"/>
      <c r="D24" s="57"/>
    </row>
    <row r="25" spans="1:5">
      <c r="B25" s="66" t="s">
        <v>61</v>
      </c>
      <c r="C25" s="58"/>
      <c r="D25" s="5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Maine_Edomexgral</vt:lpstr>
      <vt:lpstr>Maine_EDOMEX</vt:lpstr>
      <vt:lpstr>Maine_Educagral</vt:lpstr>
      <vt:lpstr>Maine_Eduedo</vt:lpstr>
      <vt:lpstr>Maine_gengral</vt:lpstr>
      <vt:lpstr>Maine_edomexgen</vt:lpstr>
      <vt:lpstr>Maine_edadgen</vt:lpstr>
      <vt:lpstr>Maine_ocupgral</vt:lpstr>
      <vt:lpstr>Maine_edadgen!Área_de_impresión</vt:lpstr>
      <vt:lpstr>Maine_EDOMEX!Área_de_impresión</vt:lpstr>
      <vt:lpstr>Maine_edomexgen!Área_de_impresión</vt:lpstr>
      <vt:lpstr>Maine_Eduedo!Área_de_impresión</vt:lpstr>
      <vt:lpstr>Maine_edadgen!Títulos_a_imprimir</vt:lpstr>
      <vt:lpstr>Maine_EDOMEX!Títulos_a_imprimir</vt:lpstr>
      <vt:lpstr>Maine_edomexgen!Títulos_a_imprimir</vt:lpstr>
      <vt:lpstr>Maine_Edomexgral!Títulos_a_imprimir</vt:lpstr>
      <vt:lpstr>Maine_Educagral!Títulos_a_imprimir</vt:lpstr>
      <vt:lpstr>Maine_Eduedo!Títulos_a_imprimir</vt:lpstr>
      <vt:lpstr>Maine_gengral!Títulos_a_imprimir</vt:lpstr>
      <vt:lpstr>Maine_ocupgral!Títulos_a_imprimir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2020-06-24T18:42:18Z</dcterms:created>
  <dcterms:modified xsi:type="dcterms:W3CDTF">2022-08-03T18:35:51Z</dcterms:modified>
</cp:coreProperties>
</file>