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Users\esoto\Documents\Analisisinfo2.7\Matrículas\Anual\Matrículas 2021\USA\Finales_USA\"/>
    </mc:Choice>
  </mc:AlternateContent>
  <bookViews>
    <workbookView xWindow="0" yWindow="0" windowWidth="24000" windowHeight="9735" tabRatio="808"/>
  </bookViews>
  <sheets>
    <sheet name="Índice" sheetId="1" r:id="rId1"/>
    <sheet name="Massachusetts_Edomexgral" sheetId="2" r:id="rId2"/>
    <sheet name="Massachusetts_EDOMEX" sheetId="11" r:id="rId3"/>
    <sheet name="Massachusetts_Educagral" sheetId="4" r:id="rId4"/>
    <sheet name="Massachusetts_Eduedo" sheetId="10" r:id="rId5"/>
    <sheet name="Massachusetts_gengral" sheetId="6" r:id="rId6"/>
    <sheet name="Massachusetts_edomexgen" sheetId="7" r:id="rId7"/>
    <sheet name="Massachusetts_edadgen" sheetId="8" r:id="rId8"/>
    <sheet name="Massachusetts_ocupgral" sheetId="9" r:id="rId9"/>
  </sheets>
  <definedNames>
    <definedName name="_xlnm._FilterDatabase" localSheetId="7" hidden="1">Massachusetts_edadgen!$B$9:$E$9</definedName>
    <definedName name="_xlnm._FilterDatabase" localSheetId="2" hidden="1">Massachusetts_EDOMEX!$B$9:$E$9</definedName>
    <definedName name="_xlnm._FilterDatabase" localSheetId="6" hidden="1">Massachusetts_edomexgen!$B$9:$E$9</definedName>
    <definedName name="_xlnm._FilterDatabase" localSheetId="1" hidden="1">Massachusetts_Edomexgral!$B$11:$D$11</definedName>
    <definedName name="_xlnm._FilterDatabase" localSheetId="3" hidden="1">Massachusetts_Educagral!$B$11:$D$11</definedName>
    <definedName name="_xlnm._FilterDatabase" localSheetId="4" hidden="1">Massachusetts_Eduedo!$B$9:$E$9</definedName>
    <definedName name="_xlnm._FilterDatabase" localSheetId="5" hidden="1">Massachusetts_gengral!$B$11:$D$11</definedName>
    <definedName name="_xlnm._FilterDatabase" localSheetId="8" hidden="1">Massachusetts_ocupgral!$B$11:$D$11</definedName>
    <definedName name="_xlnm.Print_Area" localSheetId="7">Massachusetts_edadgen!$A$1:$E$9</definedName>
    <definedName name="_xlnm.Print_Area" localSheetId="2">Massachusetts_EDOMEX!$A$1:$E$9</definedName>
    <definedName name="_xlnm.Print_Area" localSheetId="6">Massachusetts_edomexgen!$A$1:$E$9</definedName>
    <definedName name="_xlnm.Print_Area" localSheetId="4">Massachusetts_Eduedo!$A$1:$E$9</definedName>
    <definedName name="_xlnm.Print_Titles" localSheetId="7">Massachusetts_edadgen!$1:$9</definedName>
    <definedName name="_xlnm.Print_Titles" localSheetId="2">Massachusetts_EDOMEX!$1:$9</definedName>
    <definedName name="_xlnm.Print_Titles" localSheetId="6">Massachusetts_edomexgen!$1:$9</definedName>
    <definedName name="_xlnm.Print_Titles" localSheetId="1">Massachusetts_Edomexgral!$1:$11</definedName>
    <definedName name="_xlnm.Print_Titles" localSheetId="3">Massachusetts_Educagral!$1:$11</definedName>
    <definedName name="_xlnm.Print_Titles" localSheetId="4">Massachusetts_Eduedo!$1:$9</definedName>
    <definedName name="_xlnm.Print_Titles" localSheetId="5">Massachusetts_gengral!$1:$11</definedName>
    <definedName name="_xlnm.Print_Titles" localSheetId="8">Massachusetts_ocupgral!$1:$11</definedName>
  </definedNames>
  <calcPr calcId="152511"/>
</workbook>
</file>

<file path=xl/calcChain.xml><?xml version="1.0" encoding="utf-8"?>
<calcChain xmlns="http://schemas.openxmlformats.org/spreadsheetml/2006/main">
  <c r="D90" i="7" l="1"/>
  <c r="D361" i="11" l="1"/>
</calcChain>
</file>

<file path=xl/sharedStrings.xml><?xml version="1.0" encoding="utf-8"?>
<sst xmlns="http://schemas.openxmlformats.org/spreadsheetml/2006/main" count="912" uniqueCount="419">
  <si>
    <t xml:space="preserve">Da clic al texto para ir a la información, selecciona                 para regresar. </t>
  </si>
  <si>
    <t>1. Por Estados de la República Mexicana</t>
  </si>
  <si>
    <t>2. Por Municipio de origen</t>
  </si>
  <si>
    <t>2.1 Por estado de la República Mexicana y municipio de origen</t>
  </si>
  <si>
    <t>3. Por Nivel Educativo</t>
  </si>
  <si>
    <t>3.1 Educación general</t>
  </si>
  <si>
    <t>3.2 Por Estado de la República Mexicana</t>
  </si>
  <si>
    <t>4. Por Género</t>
  </si>
  <si>
    <t>4.1 Género General</t>
  </si>
  <si>
    <t>4.2 Por Estados de la República Mexicana</t>
  </si>
  <si>
    <t>5. Por estructura de Edad</t>
  </si>
  <si>
    <t>6.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</si>
  <si>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</si>
  <si>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</si>
  <si>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</si>
  <si>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</si>
  <si>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Zacatecas</t>
  </si>
  <si>
    <t>Sinaloa</t>
  </si>
  <si>
    <t>Durango</t>
  </si>
  <si>
    <t>Colima</t>
  </si>
  <si>
    <t>Campeche</t>
  </si>
  <si>
    <t>Tabasco</t>
  </si>
  <si>
    <t>Nayarit</t>
  </si>
  <si>
    <t>Chihuahua</t>
  </si>
  <si>
    <t>Baja California</t>
  </si>
  <si>
    <t>Aguascalientes</t>
  </si>
  <si>
    <t>Tlaxcala</t>
  </si>
  <si>
    <t>Tamaulipas</t>
  </si>
  <si>
    <t>Nuevo León</t>
  </si>
  <si>
    <t>Sonora</t>
  </si>
  <si>
    <t>Morelos</t>
  </si>
  <si>
    <t>San Luis Potosí</t>
  </si>
  <si>
    <t>Querétaro</t>
  </si>
  <si>
    <t>Hidalgo</t>
  </si>
  <si>
    <t>Estado de México</t>
  </si>
  <si>
    <t>Guanajuato</t>
  </si>
  <si>
    <t>Ciudad de México</t>
  </si>
  <si>
    <t>Michoacán</t>
  </si>
  <si>
    <t>Puebla</t>
  </si>
  <si>
    <t>Veracruz</t>
  </si>
  <si>
    <t>Oaxaca</t>
  </si>
  <si>
    <t>Jalisco</t>
  </si>
  <si>
    <t>Chiapas</t>
  </si>
  <si>
    <t>Guerrero</t>
  </si>
  <si>
    <t>Porcentaje de Matrículas</t>
  </si>
  <si>
    <t>Número de Matrículas</t>
  </si>
  <si>
    <t>Estado de Origen</t>
  </si>
  <si>
    <t>Pinos</t>
  </si>
  <si>
    <t>Tlalixcoyan</t>
  </si>
  <si>
    <t>Tierra Blanca</t>
  </si>
  <si>
    <t>Álamo Temapache</t>
  </si>
  <si>
    <t>Minatitlán</t>
  </si>
  <si>
    <t>Las Choapas</t>
  </si>
  <si>
    <t>Ignacio de la Llave</t>
  </si>
  <si>
    <t>Huatusco</t>
  </si>
  <si>
    <t>Coatzacoalcos</t>
  </si>
  <si>
    <t>Calcahualco</t>
  </si>
  <si>
    <t>Actopan</t>
  </si>
  <si>
    <t>Chiautempan</t>
  </si>
  <si>
    <t>Tampico</t>
  </si>
  <si>
    <t>Balancán</t>
  </si>
  <si>
    <t>Guasave</t>
  </si>
  <si>
    <t>Villa de Reyes</t>
  </si>
  <si>
    <t>Salinas</t>
  </si>
  <si>
    <t>El Marqués</t>
  </si>
  <si>
    <t>Tlahuapan</t>
  </si>
  <si>
    <t>Tianguismanalco</t>
  </si>
  <si>
    <t>Tepexco</t>
  </si>
  <si>
    <t>San Martín Texmelucan</t>
  </si>
  <si>
    <t>Nealtican</t>
  </si>
  <si>
    <t>Izúcar de Matamoros</t>
  </si>
  <si>
    <t>Huejotzingo</t>
  </si>
  <si>
    <t>Chiautzingo</t>
  </si>
  <si>
    <t>Chiautla</t>
  </si>
  <si>
    <t>Atlixco</t>
  </si>
  <si>
    <t>Totontepec Villa de Morelos</t>
  </si>
  <si>
    <t>San Dionisio del Mar</t>
  </si>
  <si>
    <t>San Antonino Monte Verde</t>
  </si>
  <si>
    <t>San Agustín Yatareni</t>
  </si>
  <si>
    <t>Heroica Ciudad de Juchitán de Zaragoza</t>
  </si>
  <si>
    <t>Monterrey</t>
  </si>
  <si>
    <t>Venustiano Carranza</t>
  </si>
  <si>
    <t>Tuxpan</t>
  </si>
  <si>
    <t>Pátzcuaro</t>
  </si>
  <si>
    <t>Apatzingán</t>
  </si>
  <si>
    <t>Unión de Tula</t>
  </si>
  <si>
    <t>San Pedro Tlaquepaque</t>
  </si>
  <si>
    <t>Tlajomulco de Zúñiga</t>
  </si>
  <si>
    <t>Tizapán el Alto</t>
  </si>
  <si>
    <t>Jesús María</t>
  </si>
  <si>
    <t>Guadalajara</t>
  </si>
  <si>
    <t>Ayutla</t>
  </si>
  <si>
    <t>Ayotlán</t>
  </si>
  <si>
    <t>Autlán de Navarro</t>
  </si>
  <si>
    <t>Ixmiquilpan</t>
  </si>
  <si>
    <t>Francisco I. Madero</t>
  </si>
  <si>
    <t>Alfajayucan</t>
  </si>
  <si>
    <t>Xalpatláhuac</t>
  </si>
  <si>
    <t>San Luis Acatlán</t>
  </si>
  <si>
    <t>Malinaltepec</t>
  </si>
  <si>
    <t>Copanatoyac</t>
  </si>
  <si>
    <t>Chilapa de Álvarez</t>
  </si>
  <si>
    <t>Ayutla de los Libres</t>
  </si>
  <si>
    <t>Acapulco de Juárez</t>
  </si>
  <si>
    <t>Pénjamo</t>
  </si>
  <si>
    <t>Irapuato</t>
  </si>
  <si>
    <t>Dolores Hidalgo Cuna de la Independencia Nacional</t>
  </si>
  <si>
    <t>Celaya</t>
  </si>
  <si>
    <t>Toluca</t>
  </si>
  <si>
    <t>Tejupilco</t>
  </si>
  <si>
    <t>Iztacalco</t>
  </si>
  <si>
    <t>Cuauhtémoc</t>
  </si>
  <si>
    <t>Coyoacán</t>
  </si>
  <si>
    <t>Benito Juárez</t>
  </si>
  <si>
    <t>Azcapotzalco</t>
  </si>
  <si>
    <t>Álvaro Obregón</t>
  </si>
  <si>
    <t>Unión Juárez</t>
  </si>
  <si>
    <t>Tenejapa</t>
  </si>
  <si>
    <t>Tapachula</t>
  </si>
  <si>
    <t>Suchiate</t>
  </si>
  <si>
    <t>Siltepec</t>
  </si>
  <si>
    <t>Palenque</t>
  </si>
  <si>
    <t>Ocosingo</t>
  </si>
  <si>
    <t>Motozintla</t>
  </si>
  <si>
    <t>Mazapa de Madero</t>
  </si>
  <si>
    <t>Las Margaritas</t>
  </si>
  <si>
    <t>La Trinitaria</t>
  </si>
  <si>
    <t>La Concordia</t>
  </si>
  <si>
    <t>Huixtla</t>
  </si>
  <si>
    <t>Huehuetán</t>
  </si>
  <si>
    <t>Frontera Comalapa</t>
  </si>
  <si>
    <t>Escuintla</t>
  </si>
  <si>
    <t>El Porvenir</t>
  </si>
  <si>
    <t>Chamula</t>
  </si>
  <si>
    <t>Acacoyagua</t>
  </si>
  <si>
    <t>Tijuana</t>
  </si>
  <si>
    <t>Municipio Origen</t>
  </si>
  <si>
    <t>Posgrado [Maestría]</t>
  </si>
  <si>
    <t>Profesional Titulado</t>
  </si>
  <si>
    <t>Profesional pasante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</si>
  <si>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</si>
  <si>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</si>
  <si>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</si>
  <si>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</si>
  <si>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</si>
  <si>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</si>
  <si>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</si>
  <si>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</si>
  <si>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</si>
  <si>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</si>
  <si>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</si>
  <si>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</si>
  <si>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</si>
  <si>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</si>
  <si>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Sin Estudios</t>
  </si>
  <si>
    <t>Nivel de Estudios</t>
  </si>
  <si>
    <t>MATRÍCULAS CONSULARES EXPEDIDAS EN EL ESTADO DE MASSACHUSETTS EN EE.UU. POR NIVEL DE EDUCACIÓN</t>
  </si>
  <si>
    <t>TOTAL</t>
  </si>
  <si>
    <t>MUJER</t>
  </si>
  <si>
    <t>HOMBRE</t>
  </si>
  <si>
    <t>Género</t>
  </si>
  <si>
    <t>Mujer</t>
  </si>
  <si>
    <t>Hombre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</si>
  <si>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</si>
  <si>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</si>
  <si>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</si>
  <si>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</si>
  <si>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</si>
  <si>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</si>
  <si>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Edad cumplida</t>
  </si>
  <si>
    <t>Profesionista</t>
  </si>
  <si>
    <t>Pintor(a)</t>
  </si>
  <si>
    <t>Jardinero(a)</t>
  </si>
  <si>
    <t>Albañil</t>
  </si>
  <si>
    <t>Otro</t>
  </si>
  <si>
    <t>Campesino(a)</t>
  </si>
  <si>
    <t>Obrero(a)</t>
  </si>
  <si>
    <t>Estudiante</t>
  </si>
  <si>
    <t>Cocinero(a)</t>
  </si>
  <si>
    <t>Hogar</t>
  </si>
  <si>
    <t>Empleado(a)</t>
  </si>
  <si>
    <t>Ocupación</t>
  </si>
  <si>
    <t>Profesional titulado</t>
  </si>
  <si>
    <t>Capacitación técnica</t>
  </si>
  <si>
    <t>Coahuila</t>
  </si>
  <si>
    <t>Ensenada</t>
  </si>
  <si>
    <t>Carmen</t>
  </si>
  <si>
    <t>Amatenango de la Frontera</t>
  </si>
  <si>
    <t>Mapastepec</t>
  </si>
  <si>
    <t>Tonalá</t>
  </si>
  <si>
    <t>Tuxtla Chico</t>
  </si>
  <si>
    <t>Manzanillo</t>
  </si>
  <si>
    <t>Acambay de Ruíz Castañeda</t>
  </si>
  <si>
    <t>Naucalpan de Juárez</t>
  </si>
  <si>
    <t>Tlalnepantla de Baz</t>
  </si>
  <si>
    <t>Apaseo el Alto</t>
  </si>
  <si>
    <t>Valle de Santiago</t>
  </si>
  <si>
    <t>Arcelia</t>
  </si>
  <si>
    <t>Olinalá</t>
  </si>
  <si>
    <t>Tenango de Doria</t>
  </si>
  <si>
    <t>Cuernavaca</t>
  </si>
  <si>
    <t>San Pedro Pochutla</t>
  </si>
  <si>
    <t>Coatzingo</t>
  </si>
  <si>
    <t>Coronango</t>
  </si>
  <si>
    <t>Huaquechula</t>
  </si>
  <si>
    <t>San Pedro Cholula</t>
  </si>
  <si>
    <t>Tlapanalá</t>
  </si>
  <si>
    <t>Cerritos</t>
  </si>
  <si>
    <t>Elota</t>
  </si>
  <si>
    <t>Hermosillo</t>
  </si>
  <si>
    <t>Cárdenas</t>
  </si>
  <si>
    <t>Ciudad Madero</t>
  </si>
  <si>
    <t>Coscomatepec</t>
  </si>
  <si>
    <t>Espinal</t>
  </si>
  <si>
    <t>Tecolutla</t>
  </si>
  <si>
    <t>3° Año de profesional</t>
  </si>
  <si>
    <t>Comerciante</t>
  </si>
  <si>
    <t>Mesero(a)</t>
  </si>
  <si>
    <t>Tamaño de la muestra: 701,861</t>
  </si>
  <si>
    <t>Mayo de 2022</t>
  </si>
  <si>
    <t>MATRÍCULAS CONSULARES DE ALTA SEGURIDAD EXPEDIDAS EN EL ESTADO DE MASSACHUSETTS EN EE.UU. POR ESTADO DE LA REPÚBLICA MEXICANA DURANTE EL 2021</t>
  </si>
  <si>
    <t>Mexicali</t>
  </si>
  <si>
    <t>Champotón</t>
  </si>
  <si>
    <t>Escárcega</t>
  </si>
  <si>
    <t>Hopelchén</t>
  </si>
  <si>
    <t>Angel Albino Corzo</t>
  </si>
  <si>
    <t>Cacahoatán</t>
  </si>
  <si>
    <t>Chenalhó</t>
  </si>
  <si>
    <t>Comitán de Domínguez</t>
  </si>
  <si>
    <t>Huixtán</t>
  </si>
  <si>
    <t>La Independencia</t>
  </si>
  <si>
    <t>Mazatán</t>
  </si>
  <si>
    <t>Mitontic</t>
  </si>
  <si>
    <t>Pantelhó</t>
  </si>
  <si>
    <t>Pijijiapan</t>
  </si>
  <si>
    <t>Pueblo Nuevo Solistahuacán</t>
  </si>
  <si>
    <t>Sabanilla</t>
  </si>
  <si>
    <t>San Cristóbal de las Casas</t>
  </si>
  <si>
    <t>Ojinaga</t>
  </si>
  <si>
    <t>Monclova</t>
  </si>
  <si>
    <t>Torreón</t>
  </si>
  <si>
    <t>Gustavo A. Madero</t>
  </si>
  <si>
    <t>Iztapalapa</t>
  </si>
  <si>
    <t>Miguel Hidalgo</t>
  </si>
  <si>
    <t>Milpa Alta</t>
  </si>
  <si>
    <t>Tláhuac</t>
  </si>
  <si>
    <t>Tlalpan</t>
  </si>
  <si>
    <t>Pueblo Nuevo</t>
  </si>
  <si>
    <t>San Dimas</t>
  </si>
  <si>
    <t>Santa Clara</t>
  </si>
  <si>
    <t>Tamazula</t>
  </si>
  <si>
    <t>Amatepec</t>
  </si>
  <si>
    <t>Atizapán de Zaragoza</t>
  </si>
  <si>
    <t>Chalco</t>
  </si>
  <si>
    <t>Chicoloapan</t>
  </si>
  <si>
    <t>Chiconcuac</t>
  </si>
  <si>
    <t>Coatepec Harinas</t>
  </si>
  <si>
    <t>Ecatepec de Morelos</t>
  </si>
  <si>
    <t>Ecatzingo</t>
  </si>
  <si>
    <t>El Oro</t>
  </si>
  <si>
    <t>Jilotzingo</t>
  </si>
  <si>
    <t>La Paz</t>
  </si>
  <si>
    <t>Nezahualcóyotl</t>
  </si>
  <si>
    <t>San Felipe del Progreso</t>
  </si>
  <si>
    <t>Tecámac</t>
  </si>
  <si>
    <t>Teoloyucan</t>
  </si>
  <si>
    <t>Texcoco</t>
  </si>
  <si>
    <t>Tultitlán</t>
  </si>
  <si>
    <t>Villa de Allende</t>
  </si>
  <si>
    <t>Villa Guerrero</t>
  </si>
  <si>
    <t>Abasolo</t>
  </si>
  <si>
    <t>Comonfort</t>
  </si>
  <si>
    <t>Huanímaro</t>
  </si>
  <si>
    <t>León</t>
  </si>
  <si>
    <t>Santa Cruz de Juventino Rosas</t>
  </si>
  <si>
    <t>Xichú</t>
  </si>
  <si>
    <t>Apaxtla</t>
  </si>
  <si>
    <t>Azoyú</t>
  </si>
  <si>
    <t>Coyuca de Benítez</t>
  </si>
  <si>
    <t>Coyuca de Catalán</t>
  </si>
  <si>
    <t>General Heliodoro Castillo</t>
  </si>
  <si>
    <t>Juan R. Escudero</t>
  </si>
  <si>
    <t>Tecoanapa</t>
  </si>
  <si>
    <t>Tepecoacuilco de Trujano</t>
  </si>
  <si>
    <t>Tlacoachistlahuaca</t>
  </si>
  <si>
    <t>Tlapa de Comonfort</t>
  </si>
  <si>
    <t>Xochihuehuetlán</t>
  </si>
  <si>
    <t>Zirándaro</t>
  </si>
  <si>
    <t>Huehuetla</t>
  </si>
  <si>
    <t>Metepec</t>
  </si>
  <si>
    <t>Metztitlán</t>
  </si>
  <si>
    <t>Pacula</t>
  </si>
  <si>
    <t>San Bartolo Tutotepec</t>
  </si>
  <si>
    <t>Tecozautla</t>
  </si>
  <si>
    <t>Tula de Allende</t>
  </si>
  <si>
    <t>Tulancingo de Bravo</t>
  </si>
  <si>
    <t>Zimapán</t>
  </si>
  <si>
    <t>Acatic</t>
  </si>
  <si>
    <t>Ahualulco de Mercado</t>
  </si>
  <si>
    <t>Arandas</t>
  </si>
  <si>
    <t>Chiquilistlán</t>
  </si>
  <si>
    <t>Cihuatlán</t>
  </si>
  <si>
    <t>Cuautitlán de García Barragán</t>
  </si>
  <si>
    <t>Jalostotitlán</t>
  </si>
  <si>
    <t>Jocotepec</t>
  </si>
  <si>
    <t>Sayula</t>
  </si>
  <si>
    <t>Tuxcueca</t>
  </si>
  <si>
    <t>Unión de San Antonio</t>
  </si>
  <si>
    <t>Zapopan</t>
  </si>
  <si>
    <t>Zapotlán el Grande</t>
  </si>
  <si>
    <t>Aguililla</t>
  </si>
  <si>
    <t>Chilchota</t>
  </si>
  <si>
    <t>Chinicuila</t>
  </si>
  <si>
    <t>Epitacio Huerta</t>
  </si>
  <si>
    <t>Erongarícuaro</t>
  </si>
  <si>
    <t>Lázaro Cárdenas</t>
  </si>
  <si>
    <t>Los Reyes</t>
  </si>
  <si>
    <t>Morelia</t>
  </si>
  <si>
    <t>Pajacuarán</t>
  </si>
  <si>
    <t>Quiroga</t>
  </si>
  <si>
    <t>Santa Ana Maya</t>
  </si>
  <si>
    <t>Susupuato</t>
  </si>
  <si>
    <t>Atlatlahucan</t>
  </si>
  <si>
    <t>Cuautla</t>
  </si>
  <si>
    <t>Jantetelco</t>
  </si>
  <si>
    <t>Tetela del Volcán</t>
  </si>
  <si>
    <t>Zacatepec</t>
  </si>
  <si>
    <t>Ahuacatlán</t>
  </si>
  <si>
    <t>Tepic</t>
  </si>
  <si>
    <t>Acatlán de Pérez Figueroa</t>
  </si>
  <si>
    <t>Ayotzintepec</t>
  </si>
  <si>
    <t>Calihualá</t>
  </si>
  <si>
    <t>Heroica Ciudad de Tlaxiaco</t>
  </si>
  <si>
    <t>Ixtlán de Juárez</t>
  </si>
  <si>
    <t>Loma Bonita</t>
  </si>
  <si>
    <t>Oaxaca de Juárez</t>
  </si>
  <si>
    <t>Pinotepa de Don Luis</t>
  </si>
  <si>
    <t>Putla Villa de Guerrero</t>
  </si>
  <si>
    <t>San Andrés Cabecera Nueva</t>
  </si>
  <si>
    <t>San Andrés Yaá</t>
  </si>
  <si>
    <t>San Juan Bautista Tuxtepec</t>
  </si>
  <si>
    <t>San Juan Chicomezúchil</t>
  </si>
  <si>
    <t>San Juan Colorado</t>
  </si>
  <si>
    <t>San Juan Lachao</t>
  </si>
  <si>
    <t>San Miguel Panixtlahuaca</t>
  </si>
  <si>
    <t>Santa Catarina Juquila</t>
  </si>
  <si>
    <t>Santiago Chazumba</t>
  </si>
  <si>
    <t>Santiago Jocotepec</t>
  </si>
  <si>
    <t>Santo Domingo Nuxaá</t>
  </si>
  <si>
    <t>Acajete</t>
  </si>
  <si>
    <t>Chinantla</t>
  </si>
  <si>
    <t>Epatlán</t>
  </si>
  <si>
    <t>Ixcaquixtla</t>
  </si>
  <si>
    <t>Jolalpan</t>
  </si>
  <si>
    <t>Juan C. Bonilla</t>
  </si>
  <si>
    <t>San Salvador el Verde</t>
  </si>
  <si>
    <t>Tecamachalco</t>
  </si>
  <si>
    <t>Tepanco de López</t>
  </si>
  <si>
    <t>Tepeaca</t>
  </si>
  <si>
    <t>Teziutlán</t>
  </si>
  <si>
    <t>Tlatlauquitepec</t>
  </si>
  <si>
    <t>Tulcingo</t>
  </si>
  <si>
    <t>Vicente Guerrero</t>
  </si>
  <si>
    <t>Xayacatlán de Bravo</t>
  </si>
  <si>
    <t>Zacapoaxtla</t>
  </si>
  <si>
    <t>Zacatlán</t>
  </si>
  <si>
    <t>Huimilpan</t>
  </si>
  <si>
    <t>Landa de Matamoros</t>
  </si>
  <si>
    <t>Pinal de Amoles</t>
  </si>
  <si>
    <t>San Juan del Río</t>
  </si>
  <si>
    <t>Aquismón</t>
  </si>
  <si>
    <t>Charcas</t>
  </si>
  <si>
    <t>Guadalcázar</t>
  </si>
  <si>
    <t>Rayón</t>
  </si>
  <si>
    <t>Santo Domingo</t>
  </si>
  <si>
    <t>Escuinapa</t>
  </si>
  <si>
    <t>Mazatlán</t>
  </si>
  <si>
    <t>Rosario</t>
  </si>
  <si>
    <t>Alamos</t>
  </si>
  <si>
    <t>Cajeme</t>
  </si>
  <si>
    <t>Huatabampo</t>
  </si>
  <si>
    <t>Navojoa</t>
  </si>
  <si>
    <t>Cunduacán</t>
  </si>
  <si>
    <t>Emiliano Zapata</t>
  </si>
  <si>
    <t>Tenosique</t>
  </si>
  <si>
    <t>El Mante</t>
  </si>
  <si>
    <t>San Carlos</t>
  </si>
  <si>
    <t>Tula</t>
  </si>
  <si>
    <t>Tepetitla de Lardizábal</t>
  </si>
  <si>
    <t>Tlaxco</t>
  </si>
  <si>
    <t>Zacatelco</t>
  </si>
  <si>
    <t>Castillo de Teayo</t>
  </si>
  <si>
    <t>Cerro Azul</t>
  </si>
  <si>
    <t>Coxquihui</t>
  </si>
  <si>
    <t>Coyutla</t>
  </si>
  <si>
    <t>Ixcatepec</t>
  </si>
  <si>
    <t>Ixtaczoquitlán</t>
  </si>
  <si>
    <t>Juchique de Ferrer</t>
  </si>
  <si>
    <t>Moloacán</t>
  </si>
  <si>
    <t>Ozuluama de Mascareñas</t>
  </si>
  <si>
    <t>San Juan Evangelista</t>
  </si>
  <si>
    <t>Sayula de Alemán</t>
  </si>
  <si>
    <t>Tezonapa</t>
  </si>
  <si>
    <t>Tomatlán</t>
  </si>
  <si>
    <t>Xalapa</t>
  </si>
  <si>
    <t>Xico</t>
  </si>
  <si>
    <t>Zentla</t>
  </si>
  <si>
    <t>Fresnillo</t>
  </si>
  <si>
    <t>Ojocaliente</t>
  </si>
  <si>
    <t>Río Grande</t>
  </si>
  <si>
    <t>Sombrerete</t>
  </si>
  <si>
    <t>Villa Hidalgo</t>
  </si>
  <si>
    <t>1° Primaria</t>
  </si>
  <si>
    <t>2° Año de profesional</t>
  </si>
  <si>
    <t>Posgrado [Doctorado]</t>
  </si>
  <si>
    <t>MATRÍCULAS CONSULARES DE ALTA SEGURIDAD EXPEDIDAS EN EE.UU A MEXICANOS EN EL ESTADO DE MASSACHUSETTS, POR GÉNERO 2021</t>
  </si>
  <si>
    <t>Jubilado(a)</t>
  </si>
  <si>
    <t>MATRÍCULAS CONSULARES DE ALTA SEGURIDAD EXPEDIDAS EN EE.UU A MEXICANOS EN EL ESTADO DE  MASSACHUSETTS, POR PERFIL OCUPACIONAL 2021</t>
  </si>
  <si>
    <t>Matrículas consulares expedidas a mexicanos  en el estado Massachusetts en el 2021.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</si>
</sst>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7" fillId="0" borderId="0"/>
    <xf numFmtId="0" fontId="21" fillId="0" borderId="0"/>
  </cellStyleXfs>
  <cellXfs count="89">
    <xf numFmtId="0" fontId="0" fillId="0" borderId="0" xfId="0"/>
    <xf numFmtId="0" fontId="3" fillId="0" borderId="0" xfId="0" applyFont="1"/>
    <xf numFmtId="0" fontId="4" fillId="0" borderId="4" xfId="0" applyFont="1" applyBorder="1" applyAlignment="1">
      <alignment horizontal="left"/>
    </xf>
    <xf numFmtId="0" fontId="4" fillId="0" borderId="0" xfId="0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4" fillId="0" borderId="4" xfId="0" applyFont="1" applyBorder="1" applyAlignment="1">
      <alignment horizontal="left" wrapText="1"/>
    </xf>
    <xf numFmtId="0" fontId="4" fillId="0" borderId="0" xfId="0" applyFont="1" applyBorder="1" applyAlignment="1">
      <alignment horizontal="left" wrapText="1"/>
    </xf>
    <xf numFmtId="0" fontId="4" fillId="0" borderId="5" xfId="0" applyFont="1" applyBorder="1" applyAlignment="1">
      <alignment horizontal="left" wrapText="1"/>
    </xf>
    <xf numFmtId="0" fontId="4" fillId="0" borderId="4" xfId="0" applyFont="1" applyBorder="1" applyAlignment="1"/>
    <xf numFmtId="0" fontId="4" fillId="0" borderId="0" xfId="0" applyFont="1" applyBorder="1" applyAlignment="1"/>
    <xf numFmtId="0" fontId="4" fillId="0" borderId="5" xfId="0" applyFont="1" applyBorder="1" applyAlignment="1"/>
    <xf numFmtId="0" fontId="4" fillId="0" borderId="4" xfId="0" applyFont="1" applyBorder="1"/>
    <xf numFmtId="0" fontId="4" fillId="0" borderId="0" xfId="0" applyFont="1" applyBorder="1"/>
    <xf numFmtId="0" fontId="4" fillId="0" borderId="5" xfId="0" applyFont="1" applyBorder="1"/>
    <xf numFmtId="0" fontId="4" fillId="0" borderId="6" xfId="0" applyFont="1" applyBorder="1"/>
    <xf numFmtId="0" fontId="4" fillId="0" borderId="7" xfId="0" applyFont="1" applyBorder="1"/>
    <xf numFmtId="0" fontId="4" fillId="0" borderId="8" xfId="0" applyFont="1" applyBorder="1"/>
    <xf numFmtId="0" fontId="4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0" fontId="12" fillId="3" borderId="0" xfId="0" applyFont="1" applyFill="1"/>
    <xf numFmtId="0" fontId="13" fillId="0" borderId="0" xfId="0" applyFont="1"/>
    <xf numFmtId="0" fontId="9" fillId="2" borderId="10" xfId="0" applyFont="1" applyFill="1" applyBorder="1" applyAlignment="1">
      <alignment horizontal="center" vertical="center" wrapText="1"/>
    </xf>
    <xf numFmtId="1" fontId="9" fillId="2" borderId="10" xfId="0" applyNumberFormat="1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14" fillId="0" borderId="0" xfId="0" applyFont="1" applyBorder="1" applyAlignment="1">
      <alignment horizontal="center" vertical="center" wrapText="1"/>
    </xf>
    <xf numFmtId="3" fontId="13" fillId="0" borderId="0" xfId="0" applyNumberFormat="1" applyFont="1"/>
    <xf numFmtId="1" fontId="13" fillId="0" borderId="0" xfId="0" applyNumberFormat="1" applyFont="1"/>
    <xf numFmtId="0" fontId="16" fillId="3" borderId="0" xfId="0" applyFont="1" applyFill="1"/>
    <xf numFmtId="0" fontId="17" fillId="3" borderId="0" xfId="0" applyFont="1" applyFill="1"/>
    <xf numFmtId="0" fontId="18" fillId="0" borderId="0" xfId="0" applyFont="1" applyBorder="1"/>
    <xf numFmtId="0" fontId="18" fillId="0" borderId="0" xfId="0" applyFont="1" applyBorder="1" applyAlignment="1">
      <alignment vertical="top"/>
    </xf>
    <xf numFmtId="0" fontId="20" fillId="3" borderId="0" xfId="0" applyFont="1" applyFill="1"/>
    <xf numFmtId="0" fontId="22" fillId="2" borderId="10" xfId="4" applyFont="1" applyFill="1" applyBorder="1" applyAlignment="1">
      <alignment horizontal="center" vertical="center" wrapText="1"/>
    </xf>
    <xf numFmtId="1" fontId="22" fillId="2" borderId="10" xfId="4" applyNumberFormat="1" applyFont="1" applyFill="1" applyBorder="1" applyAlignment="1">
      <alignment horizontal="center" vertical="center" wrapText="1"/>
    </xf>
    <xf numFmtId="0" fontId="9" fillId="2" borderId="10" xfId="4" applyFont="1" applyFill="1" applyBorder="1" applyAlignment="1">
      <alignment horizontal="center" vertical="center" wrapText="1"/>
    </xf>
    <xf numFmtId="0" fontId="13" fillId="3" borderId="0" xfId="0" applyFont="1" applyFill="1"/>
    <xf numFmtId="0" fontId="23" fillId="3" borderId="0" xfId="0" applyFont="1" applyFill="1" applyAlignment="1"/>
    <xf numFmtId="0" fontId="20" fillId="3" borderId="0" xfId="0" applyFont="1" applyFill="1" applyAlignment="1">
      <alignment vertical="center"/>
    </xf>
    <xf numFmtId="0" fontId="13" fillId="3" borderId="0" xfId="0" applyFont="1" applyFill="1" applyBorder="1"/>
    <xf numFmtId="3" fontId="13" fillId="3" borderId="0" xfId="0" applyNumberFormat="1" applyFont="1" applyFill="1" applyBorder="1"/>
    <xf numFmtId="1" fontId="13" fillId="3" borderId="0" xfId="0" applyNumberFormat="1" applyFont="1" applyFill="1" applyBorder="1"/>
    <xf numFmtId="0" fontId="20" fillId="3" borderId="0" xfId="0" applyFont="1" applyFill="1" applyBorder="1"/>
    <xf numFmtId="0" fontId="20" fillId="3" borderId="0" xfId="0" applyFont="1" applyFill="1" applyBorder="1" applyAlignment="1">
      <alignment vertical="center"/>
    </xf>
    <xf numFmtId="0" fontId="0" fillId="3" borderId="0" xfId="0" applyFont="1" applyFill="1"/>
    <xf numFmtId="0" fontId="12" fillId="3" borderId="0" xfId="0" applyFont="1" applyFill="1"/>
    <xf numFmtId="0" fontId="0" fillId="3" borderId="0" xfId="0" applyFont="1" applyFill="1"/>
    <xf numFmtId="0" fontId="12" fillId="3" borderId="0" xfId="0" applyFont="1" applyFill="1"/>
    <xf numFmtId="3" fontId="12" fillId="3" borderId="0" xfId="0" applyNumberFormat="1" applyFont="1" applyFill="1"/>
    <xf numFmtId="165" fontId="9" fillId="5" borderId="9" xfId="1" applyNumberFormat="1" applyFont="1" applyFill="1" applyBorder="1" applyAlignment="1">
      <alignment vertical="center" wrapText="1"/>
    </xf>
    <xf numFmtId="3" fontId="9" fillId="5" borderId="9" xfId="3" applyNumberFormat="1" applyFont="1" applyFill="1" applyBorder="1" applyAlignment="1">
      <alignment horizontal="right" vertical="center" wrapText="1"/>
    </xf>
    <xf numFmtId="49" fontId="9" fillId="5" borderId="9" xfId="3" applyNumberFormat="1" applyFont="1" applyFill="1" applyBorder="1" applyAlignment="1">
      <alignment vertical="center" wrapText="1"/>
    </xf>
    <xf numFmtId="0" fontId="17" fillId="3" borderId="0" xfId="0" applyFont="1" applyFill="1"/>
    <xf numFmtId="164" fontId="19" fillId="3" borderId="9" xfId="3" applyNumberFormat="1" applyFont="1" applyFill="1" applyBorder="1" applyAlignment="1">
      <alignment horizontal="right" vertical="center" wrapText="1"/>
    </xf>
    <xf numFmtId="166" fontId="19" fillId="3" borderId="9" xfId="3" applyNumberFormat="1" applyFont="1" applyFill="1" applyBorder="1" applyAlignment="1">
      <alignment horizontal="right" vertical="center" wrapText="1"/>
    </xf>
    <xf numFmtId="49" fontId="19" fillId="3" borderId="9" xfId="3" applyNumberFormat="1" applyFont="1" applyFill="1" applyBorder="1" applyAlignment="1">
      <alignment vertical="center" wrapText="1"/>
    </xf>
    <xf numFmtId="0" fontId="0" fillId="3" borderId="0" xfId="0" applyFont="1" applyFill="1"/>
    <xf numFmtId="3" fontId="0" fillId="3" borderId="0" xfId="0" applyNumberFormat="1" applyFont="1" applyFill="1"/>
    <xf numFmtId="164" fontId="9" fillId="4" borderId="9" xfId="0" applyNumberFormat="1" applyFont="1" applyFill="1" applyBorder="1" applyAlignment="1">
      <alignment horizontal="right" vertical="top" wrapText="1"/>
    </xf>
    <xf numFmtId="3" fontId="9" fillId="4" borderId="9" xfId="0" applyNumberFormat="1" applyFont="1" applyFill="1" applyBorder="1" applyAlignment="1">
      <alignment horizontal="right" vertical="top" wrapText="1"/>
    </xf>
    <xf numFmtId="49" fontId="9" fillId="4" borderId="9" xfId="0" applyNumberFormat="1" applyFont="1" applyFill="1" applyBorder="1" applyAlignment="1">
      <alignment vertical="top" wrapText="1"/>
    </xf>
    <xf numFmtId="164" fontId="10" fillId="3" borderId="9" xfId="0" applyNumberFormat="1" applyFont="1" applyFill="1" applyBorder="1" applyAlignment="1">
      <alignment horizontal="right" vertical="top" wrapText="1"/>
    </xf>
    <xf numFmtId="3" fontId="10" fillId="3" borderId="9" xfId="0" applyNumberFormat="1" applyFont="1" applyFill="1" applyBorder="1" applyAlignment="1">
      <alignment horizontal="right" vertical="top" wrapText="1"/>
    </xf>
    <xf numFmtId="49" fontId="11" fillId="3" borderId="9" xfId="0" applyNumberFormat="1" applyFont="1" applyFill="1" applyBorder="1" applyAlignment="1">
      <alignment vertical="top" wrapText="1"/>
    </xf>
    <xf numFmtId="0" fontId="12" fillId="3" borderId="0" xfId="0" applyFont="1" applyFill="1"/>
    <xf numFmtId="0" fontId="0" fillId="0" borderId="0" xfId="0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3" fontId="9" fillId="4" borderId="9" xfId="0" applyNumberFormat="1" applyFont="1" applyFill="1" applyBorder="1" applyAlignment="1">
      <alignment horizontal="right" vertical="center" wrapText="1"/>
    </xf>
    <xf numFmtId="164" fontId="9" fillId="4" borderId="9" xfId="0" applyNumberFormat="1" applyFont="1" applyFill="1" applyBorder="1" applyAlignment="1">
      <alignment horizontal="right" vertical="center" wrapText="1"/>
    </xf>
    <xf numFmtId="0" fontId="18" fillId="0" borderId="0" xfId="0" applyFont="1" applyAlignment="1">
      <alignment horizontal="justify" vertical="center"/>
    </xf>
    <xf numFmtId="0" fontId="18" fillId="0" borderId="0" xfId="0" applyFont="1" applyAlignment="1">
      <alignment vertical="top"/>
    </xf>
    <xf numFmtId="0" fontId="6" fillId="0" borderId="0" xfId="2" applyFont="1" applyBorder="1" applyAlignment="1">
      <alignment horizontal="left"/>
    </xf>
    <xf numFmtId="0" fontId="6" fillId="0" borderId="5" xfId="2" applyFont="1" applyBorder="1" applyAlignment="1">
      <alignment horizontal="left"/>
    </xf>
    <xf numFmtId="0" fontId="6" fillId="0" borderId="4" xfId="2" applyFont="1" applyBorder="1" applyAlignment="1">
      <alignment horizontal="left"/>
    </xf>
    <xf numFmtId="0" fontId="2" fillId="2" borderId="1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4" fillId="0" borderId="4" xfId="0" applyFont="1" applyBorder="1" applyAlignment="1">
      <alignment horizontal="left" wrapText="1"/>
    </xf>
    <xf numFmtId="0" fontId="4" fillId="0" borderId="0" xfId="0" applyFont="1" applyBorder="1" applyAlignment="1">
      <alignment horizontal="left" wrapText="1"/>
    </xf>
    <xf numFmtId="0" fontId="4" fillId="0" borderId="5" xfId="0" applyFont="1" applyBorder="1" applyAlignment="1">
      <alignment horizontal="left" wrapText="1"/>
    </xf>
    <xf numFmtId="0" fontId="15" fillId="0" borderId="0" xfId="0" applyFont="1" applyBorder="1" applyAlignment="1">
      <alignment horizontal="center" vertical="center" wrapText="1"/>
    </xf>
    <xf numFmtId="49" fontId="19" fillId="3" borderId="10" xfId="3" applyNumberFormat="1" applyFont="1" applyFill="1" applyBorder="1" applyAlignment="1">
      <alignment horizontal="center" vertical="center" wrapText="1"/>
    </xf>
    <xf numFmtId="49" fontId="19" fillId="3" borderId="15" xfId="3" applyNumberFormat="1" applyFont="1" applyFill="1" applyBorder="1" applyAlignment="1">
      <alignment horizontal="center" vertical="center" wrapText="1"/>
    </xf>
    <xf numFmtId="49" fontId="19" fillId="3" borderId="14" xfId="3" applyNumberFormat="1" applyFont="1" applyFill="1" applyBorder="1" applyAlignment="1">
      <alignment horizontal="center" vertical="center" wrapText="1"/>
    </xf>
    <xf numFmtId="0" fontId="12" fillId="3" borderId="0" xfId="0" applyFont="1" applyFill="1" applyAlignment="1">
      <alignment horizontal="center" wrapText="1"/>
    </xf>
    <xf numFmtId="49" fontId="9" fillId="4" borderId="13" xfId="0" applyNumberFormat="1" applyFont="1" applyFill="1" applyBorder="1" applyAlignment="1">
      <alignment horizontal="center" vertical="center" wrapText="1"/>
    </xf>
    <xf numFmtId="49" fontId="9" fillId="4" borderId="12" xfId="0" applyNumberFormat="1" applyFont="1" applyFill="1" applyBorder="1" applyAlignment="1">
      <alignment horizontal="center" vertical="center" wrapText="1"/>
    </xf>
  </cellXfs>
  <cellStyles count="5">
    <cellStyle name="Hipervínculo" xfId="2" builtinId="8"/>
    <cellStyle name="Normal" xfId="0" builtinId="0"/>
    <cellStyle name="Normal 2" xfId="3"/>
    <cellStyle name="Normal_Hoja1" xfId="4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475073</xdr:colOff>
      <xdr:row>1</xdr:row>
      <xdr:rowOff>209880</xdr:rowOff>
    </xdr:from>
    <xdr:to>
      <xdr:col>3</xdr:col>
      <xdr:colOff>987170</xdr:colOff>
      <xdr:row>2</xdr:row>
      <xdr:rowOff>200356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799298" y="743280"/>
          <a:ext cx="512097" cy="2286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MASSACHUSETTS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7</xdr:row>
      <xdr:rowOff>38100</xdr:rowOff>
    </xdr:from>
    <xdr:to>
      <xdr:col>5</xdr:col>
      <xdr:colOff>26322</xdr:colOff>
      <xdr:row>8</xdr:row>
      <xdr:rowOff>26895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181350" y="1371600"/>
          <a:ext cx="654972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ESTADO DE MASSACHUSETTS DE EE.UU. POR ESTADO Y MUNICIPIO DE LA REPÚBLICA MEXICANA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5657435" cy="10774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MASSACHUSETTS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28403" y="2028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65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481263</xdr:colOff>
      <xdr:row>7</xdr:row>
      <xdr:rowOff>160421</xdr:rowOff>
    </xdr:from>
    <xdr:to>
      <xdr:col>4</xdr:col>
      <xdr:colOff>993360</xdr:colOff>
      <xdr:row>7</xdr:row>
      <xdr:rowOff>339716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19938" y="1903496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MASSACHUSETTS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179295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019675" y="1714500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EE.UU A MEXICANOS EN EL ESTADO DE  MASSACHUSETTS, POR NIVEL DE EDUCACIÓN Y ESTADO DE LA REPÚBLICA, DURANTE EL 2021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MASSACHUSETTS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447091</xdr:colOff>
      <xdr:row>6</xdr:row>
      <xdr:rowOff>92736</xdr:rowOff>
    </xdr:from>
    <xdr:to>
      <xdr:col>5</xdr:col>
      <xdr:colOff>1001096</xdr:colOff>
      <xdr:row>6</xdr:row>
      <xdr:rowOff>287124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6206915" y="1504677"/>
          <a:ext cx="554005" cy="19438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MASSACHUSETTS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104775</xdr:colOff>
      <xdr:row>8</xdr:row>
      <xdr:rowOff>19050</xdr:rowOff>
    </xdr:from>
    <xdr:to>
      <xdr:col>4</xdr:col>
      <xdr:colOff>616872</xdr:colOff>
      <xdr:row>8</xdr:row>
      <xdr:rowOff>198345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33900" y="1733550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EE.UU A MEXICANOS EN EL ESTADO DE MASSACHUSETTS, POR ESTADO DE LA REPÚBLICA MEXICANA Y GÉNERO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MASSACHUSETTS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542925</xdr:colOff>
      <xdr:row>7</xdr:row>
      <xdr:rowOff>200026</xdr:rowOff>
    </xdr:from>
    <xdr:to>
      <xdr:col>4</xdr:col>
      <xdr:colOff>1057275</xdr:colOff>
      <xdr:row>7</xdr:row>
      <xdr:rowOff>371476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1600" y="1943101"/>
          <a:ext cx="514350" cy="1714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EE.UU A MEXICANOS EN EL ESTADO DE MASSACHUSETTS, POR GÉNERO Y RANGO DE EDAD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MASSACHUSETTS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545224</xdr:colOff>
      <xdr:row>7</xdr:row>
      <xdr:rowOff>197069</xdr:rowOff>
    </xdr:from>
    <xdr:to>
      <xdr:col>4</xdr:col>
      <xdr:colOff>1057321</xdr:colOff>
      <xdr:row>7</xdr:row>
      <xdr:rowOff>376364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2914" y="1937845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MASSACHUSETTS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114300</xdr:colOff>
      <xdr:row>8</xdr:row>
      <xdr:rowOff>0</xdr:rowOff>
    </xdr:from>
    <xdr:to>
      <xdr:col>5</xdr:col>
      <xdr:colOff>7272</xdr:colOff>
      <xdr:row>8</xdr:row>
      <xdr:rowOff>179295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43425" y="1714500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22"/>
  <sheetViews>
    <sheetView showGridLines="0" tabSelected="1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8.85546875" style="1" customWidth="1"/>
    <col min="5" max="16384" width="11.42578125" style="1"/>
  </cols>
  <sheetData>
    <row r="1" spans="1:4" ht="42" customHeight="1" thickBot="1">
      <c r="A1" s="76" t="s">
        <v>418</v>
      </c>
      <c r="B1" s="77"/>
      <c r="C1" s="77"/>
      <c r="D1" s="78"/>
    </row>
    <row r="2" spans="1:4" ht="18.75">
      <c r="A2" s="2"/>
      <c r="B2" s="3"/>
      <c r="C2" s="3"/>
      <c r="D2" s="4"/>
    </row>
    <row r="3" spans="1:4">
      <c r="A3" s="79" t="s">
        <v>0</v>
      </c>
      <c r="B3" s="80"/>
      <c r="C3" s="80"/>
      <c r="D3" s="81"/>
    </row>
    <row r="4" spans="1:4">
      <c r="A4" s="79"/>
      <c r="B4" s="80"/>
      <c r="C4" s="80"/>
      <c r="D4" s="81"/>
    </row>
    <row r="5" spans="1:4" ht="18.75">
      <c r="A5" s="5"/>
      <c r="B5" s="6"/>
      <c r="C5" s="6"/>
      <c r="D5" s="7"/>
    </row>
    <row r="6" spans="1:4" ht="18.75">
      <c r="A6" s="75" t="s">
        <v>1</v>
      </c>
      <c r="B6" s="73"/>
      <c r="C6" s="73"/>
      <c r="D6" s="74"/>
    </row>
    <row r="7" spans="1:4" ht="18.75">
      <c r="A7" s="8"/>
      <c r="B7" s="9"/>
      <c r="C7" s="9"/>
      <c r="D7" s="10"/>
    </row>
    <row r="8" spans="1:4" ht="18.75">
      <c r="A8" s="11" t="s">
        <v>2</v>
      </c>
      <c r="B8" s="12"/>
      <c r="C8" s="12"/>
      <c r="D8" s="13"/>
    </row>
    <row r="9" spans="1:4" ht="18.75">
      <c r="A9" s="11"/>
      <c r="B9" s="73" t="s">
        <v>3</v>
      </c>
      <c r="C9" s="73"/>
      <c r="D9" s="74"/>
    </row>
    <row r="10" spans="1:4" ht="18.75">
      <c r="A10" s="11" t="s">
        <v>4</v>
      </c>
      <c r="B10" s="12"/>
      <c r="C10" s="12"/>
      <c r="D10" s="13"/>
    </row>
    <row r="11" spans="1:4" ht="18.75">
      <c r="A11" s="11"/>
      <c r="B11" s="73" t="s">
        <v>5</v>
      </c>
      <c r="C11" s="73"/>
      <c r="D11" s="74"/>
    </row>
    <row r="12" spans="1:4" ht="18.75">
      <c r="A12" s="11"/>
      <c r="B12" s="73" t="s">
        <v>6</v>
      </c>
      <c r="C12" s="73"/>
      <c r="D12" s="74"/>
    </row>
    <row r="13" spans="1:4" ht="18.75">
      <c r="A13" s="11"/>
      <c r="B13" s="12"/>
      <c r="C13" s="12"/>
      <c r="D13" s="13"/>
    </row>
    <row r="14" spans="1:4" ht="18.75">
      <c r="A14" s="11" t="s">
        <v>7</v>
      </c>
      <c r="B14" s="12"/>
      <c r="C14" s="12"/>
      <c r="D14" s="13"/>
    </row>
    <row r="15" spans="1:4" ht="18.75">
      <c r="A15" s="11"/>
      <c r="B15" s="73" t="s">
        <v>8</v>
      </c>
      <c r="C15" s="73"/>
      <c r="D15" s="74"/>
    </row>
    <row r="16" spans="1:4" ht="18.75">
      <c r="A16" s="11"/>
      <c r="B16" s="73" t="s">
        <v>9</v>
      </c>
      <c r="C16" s="73"/>
      <c r="D16" s="74"/>
    </row>
    <row r="17" spans="1:4" ht="18.75">
      <c r="A17" s="11"/>
      <c r="B17" s="12"/>
      <c r="C17" s="12"/>
      <c r="D17" s="13"/>
    </row>
    <row r="18" spans="1:4" ht="18.75">
      <c r="A18" s="75" t="s">
        <v>10</v>
      </c>
      <c r="B18" s="73"/>
      <c r="C18" s="73"/>
      <c r="D18" s="74"/>
    </row>
    <row r="19" spans="1:4" ht="18.75">
      <c r="A19" s="11"/>
      <c r="B19" s="12"/>
      <c r="C19" s="12"/>
      <c r="D19" s="13"/>
    </row>
    <row r="20" spans="1:4" ht="18.75">
      <c r="A20" s="75" t="s">
        <v>11</v>
      </c>
      <c r="B20" s="73"/>
      <c r="C20" s="73"/>
      <c r="D20" s="74"/>
    </row>
    <row r="21" spans="1:4" ht="19.5" thickBot="1">
      <c r="A21" s="14"/>
      <c r="B21" s="15"/>
      <c r="C21" s="15"/>
      <c r="D21" s="16"/>
    </row>
    <row r="22" spans="1:4" ht="18.75">
      <c r="A22" s="17"/>
      <c r="B22" s="17"/>
      <c r="C22" s="17"/>
      <c r="D22" s="17"/>
    </row>
  </sheetData>
  <mergeCells count="10">
    <mergeCell ref="B15:D15"/>
    <mergeCell ref="B16:D16"/>
    <mergeCell ref="A18:D18"/>
    <mergeCell ref="A20:D20"/>
    <mergeCell ref="A1:D1"/>
    <mergeCell ref="A3:D4"/>
    <mergeCell ref="A6:D6"/>
    <mergeCell ref="B9:D9"/>
    <mergeCell ref="B11:D11"/>
    <mergeCell ref="B12:D12"/>
  </mergeCells>
  <hyperlinks>
    <hyperlink ref="A6" location="Aguascalientes_EdoUsa!A1" display="1. Por Estados de USA"/>
    <hyperlink ref="B11" location="Aguascalientes_educ_gral!A1" display="4.1 Educación general"/>
    <hyperlink ref="B12" location="Aguascalientes_NivelE_Cons!A1" display="4.2 Por Estado de USA"/>
    <hyperlink ref="B15" location="Aguascalientes_GenGral!A1" display="5.1 Género General"/>
    <hyperlink ref="B16" location="Aguascalientes_GENERO!A1" display="5.3 Por Circunscripción Consular"/>
    <hyperlink ref="A18" location="Aguascalientes_Gen_Edad!A1" display="6. Por estructura de Edad"/>
    <hyperlink ref="A20" location="Aguascalientes_ocup_gral!A1" display="7. Por Ocupación"/>
    <hyperlink ref="A6:D6" location="Massachusetts_Edomexgral!A1" display="1. Por Estados de la República Mexicana"/>
    <hyperlink ref="B9" location="Alabama_EDOMEX!Área_de_impresión" display="2.1 Por estado de la República Mexicana y municipio de origen"/>
    <hyperlink ref="B11:D11" location="Massachusetts_Educagral!A1" display="3.1 Educación general"/>
    <hyperlink ref="B12:D12" location="Massachusetts_Eduedo!A1" display="3.2 Por Estado de la República Mexicana"/>
    <hyperlink ref="B15:D15" location="Massachusetts_gengral!A1" display="4.1 Género General"/>
    <hyperlink ref="B16:D16" location="Massachusetts_edomexgen!A1" display="4.2 Por Estados de la República Mexicana"/>
    <hyperlink ref="A18:D18" location="Massachusetts_edadgen!A1" display="5. Por estructura de Edad"/>
    <hyperlink ref="A20:D20" location="Massachusetts_ocupgral!A1" display="6. Por Ocupación"/>
    <hyperlink ref="B9:D9" location="Massachusetts_EDOMEX!A1" display="2.1 Por estado de la República Mexicana y municipio de orige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FF0000"/>
    <pageSetUpPr fitToPage="1"/>
  </sheetPr>
  <dimension ref="A1:E47"/>
  <sheetViews>
    <sheetView showGridLines="0" topLeftCell="A13" zoomScaleNormal="100" zoomScaleSheetLayoutView="115" workbookViewId="0"/>
  </sheetViews>
  <sheetFormatPr baseColWidth="10" defaultColWidth="11.42578125" defaultRowHeight="15"/>
  <cols>
    <col min="1" max="1" width="9.28515625" style="18" customWidth="1"/>
    <col min="2" max="2" width="21.7109375" style="18" customWidth="1"/>
    <col min="3" max="3" width="17.7109375" style="19" customWidth="1"/>
    <col min="4" max="4" width="17.7109375" style="18" customWidth="1"/>
    <col min="5" max="5" width="9.28515625" style="18" customWidth="1"/>
    <col min="6" max="6" width="5.7109375" style="18" customWidth="1"/>
    <col min="7" max="16384" width="11.42578125" style="18"/>
  </cols>
  <sheetData>
    <row r="1" spans="1:5" s="21" customFormat="1" ht="15" customHeight="1">
      <c r="C1" s="27"/>
    </row>
    <row r="2" spans="1:5" s="21" customFormat="1" ht="15" customHeight="1">
      <c r="C2" s="27"/>
    </row>
    <row r="3" spans="1:5" s="21" customFormat="1" ht="15" customHeight="1">
      <c r="C3" s="27"/>
    </row>
    <row r="4" spans="1:5" s="21" customFormat="1" ht="30" customHeight="1">
      <c r="C4" s="27"/>
      <c r="D4" s="26"/>
    </row>
    <row r="5" spans="1:5" s="21" customFormat="1" ht="15" customHeight="1">
      <c r="C5" s="27"/>
      <c r="D5" s="26"/>
    </row>
    <row r="6" spans="1:5" s="21" customFormat="1" ht="15" customHeight="1">
      <c r="C6" s="27"/>
      <c r="D6" s="26"/>
    </row>
    <row r="7" spans="1:5" s="21" customFormat="1" ht="15" customHeight="1">
      <c r="B7" s="82" t="s">
        <v>220</v>
      </c>
      <c r="C7" s="82"/>
      <c r="D7" s="82"/>
    </row>
    <row r="8" spans="1:5" s="21" customFormat="1" ht="15" customHeight="1">
      <c r="B8" s="82"/>
      <c r="C8" s="82"/>
      <c r="D8" s="82"/>
    </row>
    <row r="9" spans="1:5" s="21" customFormat="1" ht="33" customHeight="1">
      <c r="B9" s="82"/>
      <c r="C9" s="82"/>
      <c r="D9" s="82"/>
    </row>
    <row r="10" spans="1:5" s="21" customFormat="1" ht="4.5" customHeight="1">
      <c r="B10" s="25"/>
      <c r="C10" s="25"/>
      <c r="D10" s="25"/>
    </row>
    <row r="11" spans="1:5" s="21" customFormat="1" ht="33" customHeight="1">
      <c r="B11" s="24" t="s">
        <v>46</v>
      </c>
      <c r="C11" s="23" t="s">
        <v>45</v>
      </c>
      <c r="D11" s="22" t="s">
        <v>44</v>
      </c>
    </row>
    <row r="12" spans="1:5">
      <c r="B12" s="63" t="s">
        <v>42</v>
      </c>
      <c r="C12" s="62">
        <v>90</v>
      </c>
      <c r="D12" s="61">
        <v>0.12362637362637363</v>
      </c>
    </row>
    <row r="13" spans="1:5">
      <c r="B13" s="63" t="s">
        <v>38</v>
      </c>
      <c r="C13" s="62">
        <v>83</v>
      </c>
      <c r="D13" s="61">
        <v>0.11401098901098901</v>
      </c>
    </row>
    <row r="14" spans="1:5">
      <c r="A14" s="20"/>
      <c r="B14" s="63" t="s">
        <v>43</v>
      </c>
      <c r="C14" s="62">
        <v>81</v>
      </c>
      <c r="D14" s="61">
        <v>0.11126373626373626</v>
      </c>
      <c r="E14" s="20"/>
    </row>
    <row r="15" spans="1:5">
      <c r="A15" s="20"/>
      <c r="B15" s="63" t="s">
        <v>41</v>
      </c>
      <c r="C15" s="62">
        <v>69</v>
      </c>
      <c r="D15" s="61">
        <v>9.4780219780219777E-2</v>
      </c>
      <c r="E15" s="20"/>
    </row>
    <row r="16" spans="1:5">
      <c r="B16" s="63" t="s">
        <v>36</v>
      </c>
      <c r="C16" s="62">
        <v>65</v>
      </c>
      <c r="D16" s="61">
        <v>8.9285714285714288E-2</v>
      </c>
    </row>
    <row r="17" spans="2:4">
      <c r="B17" s="63" t="s">
        <v>39</v>
      </c>
      <c r="C17" s="62">
        <v>52</v>
      </c>
      <c r="D17" s="61">
        <v>7.1428571428571425E-2</v>
      </c>
    </row>
    <row r="18" spans="2:4">
      <c r="B18" s="63" t="s">
        <v>40</v>
      </c>
      <c r="C18" s="62">
        <v>44</v>
      </c>
      <c r="D18" s="61">
        <v>6.043956043956044E-2</v>
      </c>
    </row>
    <row r="19" spans="2:4">
      <c r="B19" s="63" t="s">
        <v>34</v>
      </c>
      <c r="C19" s="62">
        <v>38</v>
      </c>
      <c r="D19" s="61">
        <v>5.21978021978022E-2</v>
      </c>
    </row>
    <row r="20" spans="2:4">
      <c r="B20" s="63" t="s">
        <v>37</v>
      </c>
      <c r="C20" s="62">
        <v>32</v>
      </c>
      <c r="D20" s="61">
        <v>4.3956043956043959E-2</v>
      </c>
    </row>
    <row r="21" spans="2:4">
      <c r="B21" s="63" t="s">
        <v>31</v>
      </c>
      <c r="C21" s="62">
        <v>27</v>
      </c>
      <c r="D21" s="61">
        <v>3.7087912087912088E-2</v>
      </c>
    </row>
    <row r="22" spans="2:4">
      <c r="B22" s="63" t="s">
        <v>35</v>
      </c>
      <c r="C22" s="62">
        <v>25</v>
      </c>
      <c r="D22" s="61">
        <v>3.4340659340659344E-2</v>
      </c>
    </row>
    <row r="23" spans="2:4">
      <c r="B23" s="63" t="s">
        <v>33</v>
      </c>
      <c r="C23" s="62">
        <v>21</v>
      </c>
      <c r="D23" s="61">
        <v>2.8846153846153848E-2</v>
      </c>
    </row>
    <row r="24" spans="2:4">
      <c r="B24" s="63" t="s">
        <v>30</v>
      </c>
      <c r="C24" s="62">
        <v>13</v>
      </c>
      <c r="D24" s="61">
        <v>1.7857142857142856E-2</v>
      </c>
    </row>
    <row r="25" spans="2:4">
      <c r="B25" s="63" t="s">
        <v>27</v>
      </c>
      <c r="C25" s="62">
        <v>13</v>
      </c>
      <c r="D25" s="61">
        <v>1.7857142857142856E-2</v>
      </c>
    </row>
    <row r="26" spans="2:4">
      <c r="B26" s="63" t="s">
        <v>29</v>
      </c>
      <c r="C26" s="62">
        <v>11</v>
      </c>
      <c r="D26" s="61">
        <v>1.510989010989011E-2</v>
      </c>
    </row>
    <row r="27" spans="2:4">
      <c r="B27" s="63" t="s">
        <v>32</v>
      </c>
      <c r="C27" s="62">
        <v>8</v>
      </c>
      <c r="D27" s="61">
        <v>1.098901098901099E-2</v>
      </c>
    </row>
    <row r="28" spans="2:4">
      <c r="B28" s="63" t="s">
        <v>17</v>
      </c>
      <c r="C28" s="62">
        <v>8</v>
      </c>
      <c r="D28" s="61">
        <v>1.098901098901099E-2</v>
      </c>
    </row>
    <row r="29" spans="2:4">
      <c r="B29" s="63" t="s">
        <v>21</v>
      </c>
      <c r="C29" s="62">
        <v>7</v>
      </c>
      <c r="D29" s="61">
        <v>9.6153846153846159E-3</v>
      </c>
    </row>
    <row r="30" spans="2:4">
      <c r="B30" s="63" t="s">
        <v>16</v>
      </c>
      <c r="C30" s="62">
        <v>7</v>
      </c>
      <c r="D30" s="61">
        <v>9.6153846153846159E-3</v>
      </c>
    </row>
    <row r="31" spans="2:4">
      <c r="B31" s="63" t="s">
        <v>18</v>
      </c>
      <c r="C31" s="62">
        <v>6</v>
      </c>
      <c r="D31" s="61">
        <v>8.241758241758242E-3</v>
      </c>
    </row>
    <row r="32" spans="2:4">
      <c r="B32" s="63" t="s">
        <v>25</v>
      </c>
      <c r="C32" s="62">
        <v>5</v>
      </c>
      <c r="D32" s="61">
        <v>6.868131868131868E-3</v>
      </c>
    </row>
    <row r="33" spans="2:4">
      <c r="B33" s="63" t="s">
        <v>20</v>
      </c>
      <c r="C33" s="62">
        <v>5</v>
      </c>
      <c r="D33" s="61">
        <v>6.868131868131868E-3</v>
      </c>
    </row>
    <row r="34" spans="2:4">
      <c r="B34" s="63" t="s">
        <v>26</v>
      </c>
      <c r="C34" s="62">
        <v>5</v>
      </c>
      <c r="D34" s="61">
        <v>6.868131868131868E-3</v>
      </c>
    </row>
    <row r="35" spans="2:4">
      <c r="B35" s="63" t="s">
        <v>24</v>
      </c>
      <c r="C35" s="62">
        <v>4</v>
      </c>
      <c r="D35" s="61">
        <v>5.4945054945054949E-3</v>
      </c>
    </row>
    <row r="36" spans="2:4">
      <c r="B36" s="63" t="s">
        <v>184</v>
      </c>
      <c r="C36" s="62">
        <v>3</v>
      </c>
      <c r="D36" s="61">
        <v>4.120879120879121E-3</v>
      </c>
    </row>
    <row r="37" spans="2:4">
      <c r="B37" s="63" t="s">
        <v>23</v>
      </c>
      <c r="C37" s="62">
        <v>2</v>
      </c>
      <c r="D37" s="61">
        <v>2.7472527472527475E-3</v>
      </c>
    </row>
    <row r="38" spans="2:4">
      <c r="B38" s="63" t="s">
        <v>22</v>
      </c>
      <c r="C38" s="62">
        <v>2</v>
      </c>
      <c r="D38" s="61">
        <v>2.7472527472527475E-3</v>
      </c>
    </row>
    <row r="39" spans="2:4">
      <c r="B39" s="63" t="s">
        <v>19</v>
      </c>
      <c r="C39" s="62">
        <v>1</v>
      </c>
      <c r="D39" s="61">
        <v>1.3736263736263737E-3</v>
      </c>
    </row>
    <row r="40" spans="2:4">
      <c r="B40" s="63" t="s">
        <v>28</v>
      </c>
      <c r="C40" s="62">
        <v>1</v>
      </c>
      <c r="D40" s="61">
        <v>1.3736263736263737E-3</v>
      </c>
    </row>
    <row r="41" spans="2:4">
      <c r="B41" s="60" t="s">
        <v>15</v>
      </c>
      <c r="C41" s="59">
        <v>728</v>
      </c>
      <c r="D41" s="58">
        <v>1</v>
      </c>
    </row>
    <row r="42" spans="2:4">
      <c r="B42" s="56"/>
      <c r="C42" s="57"/>
      <c r="D42" s="56"/>
    </row>
    <row r="43" spans="2:4">
      <c r="B43" s="66" t="s">
        <v>218</v>
      </c>
      <c r="C43" s="57"/>
      <c r="D43" s="56"/>
    </row>
    <row r="44" spans="2:4">
      <c r="B44" s="68" t="s">
        <v>14</v>
      </c>
      <c r="C44" s="57"/>
      <c r="D44" s="56"/>
    </row>
    <row r="45" spans="2:4">
      <c r="B45" s="67" t="s">
        <v>13</v>
      </c>
      <c r="C45" s="57"/>
      <c r="D45" s="56"/>
    </row>
    <row r="46" spans="2:4">
      <c r="B46" s="66" t="s">
        <v>12</v>
      </c>
      <c r="C46" s="57"/>
      <c r="D46" s="56"/>
    </row>
    <row r="47" spans="2:4">
      <c r="B47" s="66" t="s">
        <v>219</v>
      </c>
      <c r="C47" s="57"/>
      <c r="D47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367"/>
  <sheetViews>
    <sheetView showGridLines="0" topLeftCell="A328" zoomScaleNormal="100" zoomScaleSheetLayoutView="100" workbookViewId="0">
      <selection activeCell="B10" sqref="B10:B11"/>
    </sheetView>
  </sheetViews>
  <sheetFormatPr baseColWidth="10" defaultColWidth="35" defaultRowHeight="15" customHeight="1"/>
  <cols>
    <col min="1" max="1" width="1" style="28" customWidth="1"/>
    <col min="2" max="2" width="22.85546875" style="29" customWidth="1"/>
    <col min="3" max="3" width="31.42578125" style="29" customWidth="1"/>
    <col min="4" max="4" width="14.28515625" style="29" customWidth="1"/>
    <col min="5" max="5" width="16.85546875" style="29" customWidth="1"/>
    <col min="6" max="16384" width="35" style="28"/>
  </cols>
  <sheetData>
    <row r="1" spans="1:5" s="39" customFormat="1" ht="12" customHeight="1">
      <c r="B1" s="43"/>
      <c r="C1" s="42"/>
      <c r="D1" s="42"/>
      <c r="E1" s="42"/>
    </row>
    <row r="2" spans="1:5" s="39" customFormat="1" ht="15" customHeight="1">
      <c r="C2" s="41"/>
    </row>
    <row r="3" spans="1:5" s="39" customFormat="1" ht="15" customHeight="1">
      <c r="C3" s="41"/>
    </row>
    <row r="4" spans="1:5" s="39" customFormat="1" ht="30" customHeight="1">
      <c r="C4" s="41"/>
      <c r="D4" s="40"/>
    </row>
    <row r="5" spans="1:5" s="39" customFormat="1" ht="15" customHeight="1">
      <c r="C5" s="41"/>
      <c r="D5" s="40"/>
    </row>
    <row r="6" spans="1:5" s="36" customFormat="1" ht="24" customHeight="1">
      <c r="B6" s="38"/>
      <c r="C6" s="32"/>
      <c r="D6" s="32"/>
      <c r="E6" s="32"/>
    </row>
    <row r="7" spans="1:5" s="36" customFormat="1" ht="26.25" customHeight="1">
      <c r="A7" s="37"/>
      <c r="B7" s="86"/>
      <c r="C7" s="86"/>
      <c r="D7" s="86"/>
      <c r="E7" s="86"/>
    </row>
    <row r="8" spans="1:5" s="36" customFormat="1" ht="33" customHeight="1">
      <c r="A8" s="37"/>
      <c r="B8" s="86"/>
      <c r="C8" s="86"/>
      <c r="D8" s="86"/>
      <c r="E8" s="86"/>
    </row>
    <row r="9" spans="1:5" s="21" customFormat="1" ht="40.5" customHeight="1">
      <c r="B9" s="33" t="s">
        <v>46</v>
      </c>
      <c r="C9" s="35" t="s">
        <v>136</v>
      </c>
      <c r="D9" s="34" t="s">
        <v>45</v>
      </c>
      <c r="E9" s="33" t="s">
        <v>44</v>
      </c>
    </row>
    <row r="10" spans="1:5" ht="15" customHeight="1">
      <c r="B10" s="83" t="s">
        <v>25</v>
      </c>
      <c r="C10" s="55" t="s">
        <v>25</v>
      </c>
      <c r="D10" s="54">
        <v>5</v>
      </c>
      <c r="E10" s="53">
        <v>6.868131868131868E-3</v>
      </c>
    </row>
    <row r="11" spans="1:5" ht="15" customHeight="1">
      <c r="B11" s="85"/>
      <c r="C11" s="51" t="s">
        <v>15</v>
      </c>
      <c r="D11" s="50">
        <v>5</v>
      </c>
      <c r="E11" s="49">
        <v>6.868131868131868E-3</v>
      </c>
    </row>
    <row r="12" spans="1:5" ht="15" customHeight="1">
      <c r="B12" s="83" t="s">
        <v>24</v>
      </c>
      <c r="C12" s="55" t="s">
        <v>185</v>
      </c>
      <c r="D12" s="54">
        <v>1</v>
      </c>
      <c r="E12" s="53">
        <v>1.3736263736263737E-3</v>
      </c>
    </row>
    <row r="13" spans="1:5" ht="15" customHeight="1">
      <c r="B13" s="84"/>
      <c r="C13" s="55" t="s">
        <v>221</v>
      </c>
      <c r="D13" s="54">
        <v>2</v>
      </c>
      <c r="E13" s="53">
        <v>2.7472527472527475E-3</v>
      </c>
    </row>
    <row r="14" spans="1:5" ht="15" customHeight="1">
      <c r="B14" s="84"/>
      <c r="C14" s="55" t="s">
        <v>135</v>
      </c>
      <c r="D14" s="54">
        <v>1</v>
      </c>
      <c r="E14" s="53">
        <v>1.3736263736263737E-3</v>
      </c>
    </row>
    <row r="15" spans="1:5" ht="15" customHeight="1">
      <c r="B15" s="85"/>
      <c r="C15" s="51" t="s">
        <v>15</v>
      </c>
      <c r="D15" s="50">
        <v>4</v>
      </c>
      <c r="E15" s="49">
        <v>5.4945054945054949E-3</v>
      </c>
    </row>
    <row r="16" spans="1:5" ht="15" customHeight="1">
      <c r="B16" s="83" t="s">
        <v>20</v>
      </c>
      <c r="C16" s="55" t="s">
        <v>186</v>
      </c>
      <c r="D16" s="54">
        <v>2</v>
      </c>
      <c r="E16" s="53">
        <v>2.7472527472527475E-3</v>
      </c>
    </row>
    <row r="17" spans="2:5" ht="15" customHeight="1">
      <c r="B17" s="84"/>
      <c r="C17" s="55" t="s">
        <v>222</v>
      </c>
      <c r="D17" s="54">
        <v>1</v>
      </c>
      <c r="E17" s="53">
        <v>1.3736263736263737E-3</v>
      </c>
    </row>
    <row r="18" spans="2:5" ht="15" customHeight="1">
      <c r="B18" s="84"/>
      <c r="C18" s="55" t="s">
        <v>223</v>
      </c>
      <c r="D18" s="54">
        <v>1</v>
      </c>
      <c r="E18" s="53">
        <v>1.3736263736263737E-3</v>
      </c>
    </row>
    <row r="19" spans="2:5" ht="15" customHeight="1">
      <c r="B19" s="84"/>
      <c r="C19" s="55" t="s">
        <v>224</v>
      </c>
      <c r="D19" s="54">
        <v>1</v>
      </c>
      <c r="E19" s="53">
        <v>1.3736263736263737E-3</v>
      </c>
    </row>
    <row r="20" spans="2:5" ht="15" customHeight="1">
      <c r="B20" s="85"/>
      <c r="C20" s="51" t="s">
        <v>15</v>
      </c>
      <c r="D20" s="50">
        <v>5</v>
      </c>
      <c r="E20" s="49">
        <v>6.868131868131868E-3</v>
      </c>
    </row>
    <row r="21" spans="2:5" ht="15" customHeight="1">
      <c r="B21" s="83" t="s">
        <v>42</v>
      </c>
      <c r="C21" s="55" t="s">
        <v>134</v>
      </c>
      <c r="D21" s="54">
        <v>2</v>
      </c>
      <c r="E21" s="53">
        <v>2.7472527472527475E-3</v>
      </c>
    </row>
    <row r="22" spans="2:5" ht="15" customHeight="1">
      <c r="B22" s="84"/>
      <c r="C22" s="55" t="s">
        <v>187</v>
      </c>
      <c r="D22" s="54">
        <v>2</v>
      </c>
      <c r="E22" s="53">
        <v>2.7472527472527475E-3</v>
      </c>
    </row>
    <row r="23" spans="2:5" ht="15" customHeight="1">
      <c r="B23" s="84"/>
      <c r="C23" s="55" t="s">
        <v>225</v>
      </c>
      <c r="D23" s="54">
        <v>1</v>
      </c>
      <c r="E23" s="53">
        <v>1.3736263736263737E-3</v>
      </c>
    </row>
    <row r="24" spans="2:5" ht="15" customHeight="1">
      <c r="B24" s="84"/>
      <c r="C24" s="55" t="s">
        <v>226</v>
      </c>
      <c r="D24" s="54">
        <v>2</v>
      </c>
      <c r="E24" s="53">
        <v>2.7472527472527475E-3</v>
      </c>
    </row>
    <row r="25" spans="2:5" ht="15" customHeight="1">
      <c r="B25" s="84"/>
      <c r="C25" s="55" t="s">
        <v>133</v>
      </c>
      <c r="D25" s="54">
        <v>3</v>
      </c>
      <c r="E25" s="53">
        <v>4.120879120879121E-3</v>
      </c>
    </row>
    <row r="26" spans="2:5" ht="15" customHeight="1">
      <c r="B26" s="84"/>
      <c r="C26" s="55" t="s">
        <v>227</v>
      </c>
      <c r="D26" s="54">
        <v>2</v>
      </c>
      <c r="E26" s="53">
        <v>2.7472527472527475E-3</v>
      </c>
    </row>
    <row r="27" spans="2:5" ht="15" customHeight="1">
      <c r="B27" s="84"/>
      <c r="C27" s="55" t="s">
        <v>228</v>
      </c>
      <c r="D27" s="54">
        <v>1</v>
      </c>
      <c r="E27" s="53">
        <v>1.3736263736263737E-3</v>
      </c>
    </row>
    <row r="28" spans="2:5" ht="15" customHeight="1">
      <c r="B28" s="84"/>
      <c r="C28" s="55" t="s">
        <v>132</v>
      </c>
      <c r="D28" s="54">
        <v>3</v>
      </c>
      <c r="E28" s="53">
        <v>4.120879120879121E-3</v>
      </c>
    </row>
    <row r="29" spans="2:5" ht="15" customHeight="1">
      <c r="B29" s="84"/>
      <c r="C29" s="55" t="s">
        <v>131</v>
      </c>
      <c r="D29" s="54">
        <v>2</v>
      </c>
      <c r="E29" s="53">
        <v>2.7472527472527475E-3</v>
      </c>
    </row>
    <row r="30" spans="2:5" ht="15" customHeight="1">
      <c r="B30" s="84"/>
      <c r="C30" s="55" t="s">
        <v>130</v>
      </c>
      <c r="D30" s="54">
        <v>5</v>
      </c>
      <c r="E30" s="53">
        <v>6.868131868131868E-3</v>
      </c>
    </row>
    <row r="31" spans="2:5" ht="15" customHeight="1">
      <c r="B31" s="84"/>
      <c r="C31" s="55" t="s">
        <v>129</v>
      </c>
      <c r="D31" s="54">
        <v>3</v>
      </c>
      <c r="E31" s="53">
        <v>4.120879120879121E-3</v>
      </c>
    </row>
    <row r="32" spans="2:5" ht="15" customHeight="1">
      <c r="B32" s="84"/>
      <c r="C32" s="55" t="s">
        <v>229</v>
      </c>
      <c r="D32" s="54">
        <v>1</v>
      </c>
      <c r="E32" s="53">
        <v>1.3736263736263737E-3</v>
      </c>
    </row>
    <row r="33" spans="2:5" ht="15" customHeight="1">
      <c r="B33" s="84"/>
      <c r="C33" s="55" t="s">
        <v>128</v>
      </c>
      <c r="D33" s="54">
        <v>3</v>
      </c>
      <c r="E33" s="53">
        <v>4.120879120879121E-3</v>
      </c>
    </row>
    <row r="34" spans="2:5" ht="15" customHeight="1">
      <c r="B34" s="84"/>
      <c r="C34" s="55" t="s">
        <v>127</v>
      </c>
      <c r="D34" s="54">
        <v>1</v>
      </c>
      <c r="E34" s="53">
        <v>1.3736263736263737E-3</v>
      </c>
    </row>
    <row r="35" spans="2:5" ht="15" customHeight="1">
      <c r="B35" s="84"/>
      <c r="C35" s="55" t="s">
        <v>230</v>
      </c>
      <c r="D35" s="54">
        <v>1</v>
      </c>
      <c r="E35" s="53">
        <v>1.3736263736263737E-3</v>
      </c>
    </row>
    <row r="36" spans="2:5" ht="15" customHeight="1">
      <c r="B36" s="84"/>
      <c r="C36" s="55" t="s">
        <v>126</v>
      </c>
      <c r="D36" s="54">
        <v>1</v>
      </c>
      <c r="E36" s="53">
        <v>1.3736263736263737E-3</v>
      </c>
    </row>
    <row r="37" spans="2:5" ht="15" customHeight="1">
      <c r="B37" s="84"/>
      <c r="C37" s="55" t="s">
        <v>125</v>
      </c>
      <c r="D37" s="54">
        <v>2</v>
      </c>
      <c r="E37" s="53">
        <v>2.7472527472527475E-3</v>
      </c>
    </row>
    <row r="38" spans="2:5" ht="15" customHeight="1">
      <c r="B38" s="84"/>
      <c r="C38" s="55" t="s">
        <v>188</v>
      </c>
      <c r="D38" s="54">
        <v>1</v>
      </c>
      <c r="E38" s="53">
        <v>1.3736263736263737E-3</v>
      </c>
    </row>
    <row r="39" spans="2:5" ht="15" customHeight="1">
      <c r="B39" s="84"/>
      <c r="C39" s="55" t="s">
        <v>124</v>
      </c>
      <c r="D39" s="54">
        <v>5</v>
      </c>
      <c r="E39" s="53">
        <v>6.868131868131868E-3</v>
      </c>
    </row>
    <row r="40" spans="2:5" ht="15" customHeight="1">
      <c r="B40" s="84"/>
      <c r="C40" s="55" t="s">
        <v>231</v>
      </c>
      <c r="D40" s="54">
        <v>2</v>
      </c>
      <c r="E40" s="53">
        <v>2.7472527472527475E-3</v>
      </c>
    </row>
    <row r="41" spans="2:5" ht="15" customHeight="1">
      <c r="B41" s="84"/>
      <c r="C41" s="55" t="s">
        <v>232</v>
      </c>
      <c r="D41" s="54">
        <v>1</v>
      </c>
      <c r="E41" s="53">
        <v>1.3736263736263737E-3</v>
      </c>
    </row>
    <row r="42" spans="2:5" ht="15" customHeight="1">
      <c r="B42" s="84"/>
      <c r="C42" s="55" t="s">
        <v>123</v>
      </c>
      <c r="D42" s="54">
        <v>5</v>
      </c>
      <c r="E42" s="53">
        <v>6.868131868131868E-3</v>
      </c>
    </row>
    <row r="43" spans="2:5" ht="15" customHeight="1">
      <c r="B43" s="84"/>
      <c r="C43" s="55" t="s">
        <v>122</v>
      </c>
      <c r="D43" s="54">
        <v>3</v>
      </c>
      <c r="E43" s="53">
        <v>4.120879120879121E-3</v>
      </c>
    </row>
    <row r="44" spans="2:5" ht="15" customHeight="1">
      <c r="B44" s="84"/>
      <c r="C44" s="55" t="s">
        <v>121</v>
      </c>
      <c r="D44" s="54">
        <v>2</v>
      </c>
      <c r="E44" s="53">
        <v>2.7472527472527475E-3</v>
      </c>
    </row>
    <row r="45" spans="2:5" ht="15" customHeight="1">
      <c r="B45" s="84"/>
      <c r="C45" s="55" t="s">
        <v>233</v>
      </c>
      <c r="D45" s="54">
        <v>1</v>
      </c>
      <c r="E45" s="53">
        <v>1.3736263736263737E-3</v>
      </c>
    </row>
    <row r="46" spans="2:5" ht="15" customHeight="1">
      <c r="B46" s="84"/>
      <c r="C46" s="55" t="s">
        <v>234</v>
      </c>
      <c r="D46" s="54">
        <v>1</v>
      </c>
      <c r="E46" s="53">
        <v>1.3736263736263737E-3</v>
      </c>
    </row>
    <row r="47" spans="2:5" ht="15" customHeight="1">
      <c r="B47" s="84"/>
      <c r="C47" s="55" t="s">
        <v>235</v>
      </c>
      <c r="D47" s="54">
        <v>1</v>
      </c>
      <c r="E47" s="53">
        <v>1.3736263736263737E-3</v>
      </c>
    </row>
    <row r="48" spans="2:5" ht="15" customHeight="1">
      <c r="B48" s="84"/>
      <c r="C48" s="55" t="s">
        <v>236</v>
      </c>
      <c r="D48" s="54">
        <v>3</v>
      </c>
      <c r="E48" s="53">
        <v>4.120879120879121E-3</v>
      </c>
    </row>
    <row r="49" spans="2:5" ht="15" customHeight="1">
      <c r="B49" s="84"/>
      <c r="C49" s="55" t="s">
        <v>237</v>
      </c>
      <c r="D49" s="54">
        <v>2</v>
      </c>
      <c r="E49" s="53">
        <v>2.7472527472527475E-3</v>
      </c>
    </row>
    <row r="50" spans="2:5" ht="15" customHeight="1">
      <c r="B50" s="84"/>
      <c r="C50" s="55" t="s">
        <v>120</v>
      </c>
      <c r="D50" s="54">
        <v>6</v>
      </c>
      <c r="E50" s="53">
        <v>8.241758241758242E-3</v>
      </c>
    </row>
    <row r="51" spans="2:5" ht="15" customHeight="1">
      <c r="B51" s="84"/>
      <c r="C51" s="55" t="s">
        <v>119</v>
      </c>
      <c r="D51" s="54">
        <v>1</v>
      </c>
      <c r="E51" s="53">
        <v>1.3736263736263737E-3</v>
      </c>
    </row>
    <row r="52" spans="2:5" ht="15" customHeight="1">
      <c r="B52" s="84"/>
      <c r="C52" s="55" t="s">
        <v>118</v>
      </c>
      <c r="D52" s="54">
        <v>7</v>
      </c>
      <c r="E52" s="53">
        <v>9.6153846153846159E-3</v>
      </c>
    </row>
    <row r="53" spans="2:5" ht="15" customHeight="1">
      <c r="B53" s="84"/>
      <c r="C53" s="55" t="s">
        <v>117</v>
      </c>
      <c r="D53" s="54">
        <v>4</v>
      </c>
      <c r="E53" s="53">
        <v>5.4945054945054949E-3</v>
      </c>
    </row>
    <row r="54" spans="2:5" ht="15" customHeight="1">
      <c r="B54" s="84"/>
      <c r="C54" s="55" t="s">
        <v>189</v>
      </c>
      <c r="D54" s="54">
        <v>1</v>
      </c>
      <c r="E54" s="53">
        <v>1.3736263736263737E-3</v>
      </c>
    </row>
    <row r="55" spans="2:5" ht="15" customHeight="1">
      <c r="B55" s="84"/>
      <c r="C55" s="55" t="s">
        <v>190</v>
      </c>
      <c r="D55" s="54">
        <v>1</v>
      </c>
      <c r="E55" s="53">
        <v>1.3736263736263737E-3</v>
      </c>
    </row>
    <row r="56" spans="2:5" ht="15" customHeight="1">
      <c r="B56" s="84"/>
      <c r="C56" s="55" t="s">
        <v>116</v>
      </c>
      <c r="D56" s="54">
        <v>8</v>
      </c>
      <c r="E56" s="53">
        <v>1.098901098901099E-2</v>
      </c>
    </row>
    <row r="57" spans="2:5" ht="15" customHeight="1">
      <c r="B57" s="85"/>
      <c r="C57" s="51" t="s">
        <v>15</v>
      </c>
      <c r="D57" s="50">
        <v>90</v>
      </c>
      <c r="E57" s="49">
        <v>0.12362637362637363</v>
      </c>
    </row>
    <row r="58" spans="2:5" ht="15" customHeight="1">
      <c r="B58" s="83" t="s">
        <v>23</v>
      </c>
      <c r="C58" s="55" t="s">
        <v>43</v>
      </c>
      <c r="D58" s="54">
        <v>1</v>
      </c>
      <c r="E58" s="53">
        <v>1.3736263736263737E-3</v>
      </c>
    </row>
    <row r="59" spans="2:5" ht="15" customHeight="1">
      <c r="B59" s="84"/>
      <c r="C59" s="55" t="s">
        <v>238</v>
      </c>
      <c r="D59" s="54">
        <v>1</v>
      </c>
      <c r="E59" s="53">
        <v>1.3736263736263737E-3</v>
      </c>
    </row>
    <row r="60" spans="2:5" ht="15" customHeight="1">
      <c r="B60" s="85"/>
      <c r="C60" s="51" t="s">
        <v>15</v>
      </c>
      <c r="D60" s="50">
        <v>2</v>
      </c>
      <c r="E60" s="49">
        <v>2.7472527472527475E-3</v>
      </c>
    </row>
    <row r="61" spans="2:5" ht="15" customHeight="1">
      <c r="B61" s="83" t="s">
        <v>184</v>
      </c>
      <c r="C61" s="55" t="s">
        <v>239</v>
      </c>
      <c r="D61" s="54">
        <v>1</v>
      </c>
      <c r="E61" s="53">
        <v>1.3736263736263737E-3</v>
      </c>
    </row>
    <row r="62" spans="2:5" ht="15" customHeight="1">
      <c r="B62" s="84"/>
      <c r="C62" s="55" t="s">
        <v>240</v>
      </c>
      <c r="D62" s="54">
        <v>2</v>
      </c>
      <c r="E62" s="53">
        <v>2.7472527472527475E-3</v>
      </c>
    </row>
    <row r="63" spans="2:5" ht="15" customHeight="1">
      <c r="B63" s="85"/>
      <c r="C63" s="51" t="s">
        <v>15</v>
      </c>
      <c r="D63" s="50">
        <v>3</v>
      </c>
      <c r="E63" s="49">
        <v>4.120879120879121E-3</v>
      </c>
    </row>
    <row r="64" spans="2:5" ht="15" customHeight="1">
      <c r="B64" s="83" t="s">
        <v>19</v>
      </c>
      <c r="C64" s="55" t="s">
        <v>191</v>
      </c>
      <c r="D64" s="54">
        <v>1</v>
      </c>
      <c r="E64" s="53">
        <v>1.3736263736263737E-3</v>
      </c>
    </row>
    <row r="65" spans="2:5" ht="15" customHeight="1">
      <c r="B65" s="85"/>
      <c r="C65" s="51" t="s">
        <v>15</v>
      </c>
      <c r="D65" s="50">
        <v>1</v>
      </c>
      <c r="E65" s="49">
        <v>1.3736263736263737E-3</v>
      </c>
    </row>
    <row r="66" spans="2:5" ht="15" customHeight="1">
      <c r="B66" s="83" t="s">
        <v>36</v>
      </c>
      <c r="C66" s="55" t="s">
        <v>115</v>
      </c>
      <c r="D66" s="54">
        <v>11</v>
      </c>
      <c r="E66" s="53">
        <v>1.510989010989011E-2</v>
      </c>
    </row>
    <row r="67" spans="2:5" ht="15" customHeight="1">
      <c r="B67" s="84"/>
      <c r="C67" s="55" t="s">
        <v>114</v>
      </c>
      <c r="D67" s="54">
        <v>1</v>
      </c>
      <c r="E67" s="53">
        <v>1.3736263736263737E-3</v>
      </c>
    </row>
    <row r="68" spans="2:5" ht="15" customHeight="1">
      <c r="B68" s="84"/>
      <c r="C68" s="55" t="s">
        <v>113</v>
      </c>
      <c r="D68" s="54">
        <v>2</v>
      </c>
      <c r="E68" s="53">
        <v>2.7472527472527475E-3</v>
      </c>
    </row>
    <row r="69" spans="2:5" ht="15" customHeight="1">
      <c r="B69" s="84"/>
      <c r="C69" s="55" t="s">
        <v>112</v>
      </c>
      <c r="D69" s="54">
        <v>1</v>
      </c>
      <c r="E69" s="53">
        <v>1.3736263736263737E-3</v>
      </c>
    </row>
    <row r="70" spans="2:5" ht="15" customHeight="1">
      <c r="B70" s="84"/>
      <c r="C70" s="55" t="s">
        <v>111</v>
      </c>
      <c r="D70" s="54">
        <v>6</v>
      </c>
      <c r="E70" s="53">
        <v>8.241758241758242E-3</v>
      </c>
    </row>
    <row r="71" spans="2:5" ht="15" customHeight="1">
      <c r="B71" s="84"/>
      <c r="C71" s="55" t="s">
        <v>241</v>
      </c>
      <c r="D71" s="54">
        <v>12</v>
      </c>
      <c r="E71" s="53">
        <v>1.6483516483516484E-2</v>
      </c>
    </row>
    <row r="72" spans="2:5" ht="15" customHeight="1">
      <c r="B72" s="84"/>
      <c r="C72" s="55" t="s">
        <v>110</v>
      </c>
      <c r="D72" s="54">
        <v>7</v>
      </c>
      <c r="E72" s="53">
        <v>9.6153846153846159E-3</v>
      </c>
    </row>
    <row r="73" spans="2:5" ht="15" customHeight="1">
      <c r="B73" s="84"/>
      <c r="C73" s="55" t="s">
        <v>242</v>
      </c>
      <c r="D73" s="54">
        <v>8</v>
      </c>
      <c r="E73" s="53">
        <v>1.098901098901099E-2</v>
      </c>
    </row>
    <row r="74" spans="2:5" ht="15" customHeight="1">
      <c r="B74" s="84"/>
      <c r="C74" s="55" t="s">
        <v>243</v>
      </c>
      <c r="D74" s="54">
        <v>2</v>
      </c>
      <c r="E74" s="53">
        <v>2.7472527472527475E-3</v>
      </c>
    </row>
    <row r="75" spans="2:5" ht="15" customHeight="1">
      <c r="B75" s="84"/>
      <c r="C75" s="55" t="s">
        <v>244</v>
      </c>
      <c r="D75" s="54">
        <v>2</v>
      </c>
      <c r="E75" s="53">
        <v>2.7472527472527475E-3</v>
      </c>
    </row>
    <row r="76" spans="2:5" ht="15" customHeight="1">
      <c r="B76" s="84"/>
      <c r="C76" s="55" t="s">
        <v>245</v>
      </c>
      <c r="D76" s="54">
        <v>3</v>
      </c>
      <c r="E76" s="53">
        <v>4.120879120879121E-3</v>
      </c>
    </row>
    <row r="77" spans="2:5" ht="15" customHeight="1">
      <c r="B77" s="84"/>
      <c r="C77" s="55" t="s">
        <v>246</v>
      </c>
      <c r="D77" s="54">
        <v>5</v>
      </c>
      <c r="E77" s="53">
        <v>6.868131868131868E-3</v>
      </c>
    </row>
    <row r="78" spans="2:5" ht="15" customHeight="1">
      <c r="B78" s="84"/>
      <c r="C78" s="55" t="s">
        <v>81</v>
      </c>
      <c r="D78" s="54">
        <v>5</v>
      </c>
      <c r="E78" s="53">
        <v>6.868131868131868E-3</v>
      </c>
    </row>
    <row r="79" spans="2:5" ht="15" customHeight="1">
      <c r="B79" s="85"/>
      <c r="C79" s="51" t="s">
        <v>15</v>
      </c>
      <c r="D79" s="50">
        <v>65</v>
      </c>
      <c r="E79" s="49">
        <v>8.9285714285714288E-2</v>
      </c>
    </row>
    <row r="80" spans="2:5" ht="15" customHeight="1">
      <c r="B80" s="83" t="s">
        <v>18</v>
      </c>
      <c r="C80" s="55" t="s">
        <v>18</v>
      </c>
      <c r="D80" s="54">
        <v>1</v>
      </c>
      <c r="E80" s="53">
        <v>1.3736263736263737E-3</v>
      </c>
    </row>
    <row r="81" spans="2:5" ht="15" customHeight="1">
      <c r="B81" s="84"/>
      <c r="C81" s="55" t="s">
        <v>247</v>
      </c>
      <c r="D81" s="54">
        <v>1</v>
      </c>
      <c r="E81" s="53">
        <v>1.3736263736263737E-3</v>
      </c>
    </row>
    <row r="82" spans="2:5" ht="15" customHeight="1">
      <c r="B82" s="84"/>
      <c r="C82" s="55" t="s">
        <v>248</v>
      </c>
      <c r="D82" s="54">
        <v>2</v>
      </c>
      <c r="E82" s="53">
        <v>2.7472527472527475E-3</v>
      </c>
    </row>
    <row r="83" spans="2:5" ht="15" customHeight="1">
      <c r="B83" s="84"/>
      <c r="C83" s="55" t="s">
        <v>249</v>
      </c>
      <c r="D83" s="54">
        <v>1</v>
      </c>
      <c r="E83" s="53">
        <v>1.3736263736263737E-3</v>
      </c>
    </row>
    <row r="84" spans="2:5" ht="15" customHeight="1">
      <c r="B84" s="84"/>
      <c r="C84" s="55" t="s">
        <v>250</v>
      </c>
      <c r="D84" s="54">
        <v>1</v>
      </c>
      <c r="E84" s="53">
        <v>1.3736263736263737E-3</v>
      </c>
    </row>
    <row r="85" spans="2:5" ht="15" customHeight="1">
      <c r="B85" s="85"/>
      <c r="C85" s="51" t="s">
        <v>15</v>
      </c>
      <c r="D85" s="50">
        <v>6</v>
      </c>
      <c r="E85" s="49">
        <v>8.241758241758242E-3</v>
      </c>
    </row>
    <row r="86" spans="2:5" ht="15" customHeight="1">
      <c r="B86" s="83" t="s">
        <v>34</v>
      </c>
      <c r="C86" s="55" t="s">
        <v>192</v>
      </c>
      <c r="D86" s="54">
        <v>1</v>
      </c>
      <c r="E86" s="53">
        <v>1.3736263736263737E-3</v>
      </c>
    </row>
    <row r="87" spans="2:5" ht="15" customHeight="1">
      <c r="B87" s="84"/>
      <c r="C87" s="55" t="s">
        <v>251</v>
      </c>
      <c r="D87" s="54">
        <v>1</v>
      </c>
      <c r="E87" s="53">
        <v>1.3736263736263737E-3</v>
      </c>
    </row>
    <row r="88" spans="2:5" ht="15" customHeight="1">
      <c r="B88" s="84"/>
      <c r="C88" s="55" t="s">
        <v>252</v>
      </c>
      <c r="D88" s="54">
        <v>1</v>
      </c>
      <c r="E88" s="53">
        <v>1.3736263736263737E-3</v>
      </c>
    </row>
    <row r="89" spans="2:5" ht="15" customHeight="1">
      <c r="B89" s="84"/>
      <c r="C89" s="55" t="s">
        <v>253</v>
      </c>
      <c r="D89" s="54">
        <v>1</v>
      </c>
      <c r="E89" s="53">
        <v>1.3736263736263737E-3</v>
      </c>
    </row>
    <row r="90" spans="2:5" ht="15" customHeight="1">
      <c r="B90" s="84"/>
      <c r="C90" s="55" t="s">
        <v>254</v>
      </c>
      <c r="D90" s="54">
        <v>1</v>
      </c>
      <c r="E90" s="53">
        <v>1.3736263736263737E-3</v>
      </c>
    </row>
    <row r="91" spans="2:5" ht="15" customHeight="1">
      <c r="B91" s="84"/>
      <c r="C91" s="55" t="s">
        <v>255</v>
      </c>
      <c r="D91" s="54">
        <v>1</v>
      </c>
      <c r="E91" s="53">
        <v>1.3736263736263737E-3</v>
      </c>
    </row>
    <row r="92" spans="2:5" ht="15" customHeight="1">
      <c r="B92" s="84"/>
      <c r="C92" s="55" t="s">
        <v>256</v>
      </c>
      <c r="D92" s="54">
        <v>1</v>
      </c>
      <c r="E92" s="53">
        <v>1.3736263736263737E-3</v>
      </c>
    </row>
    <row r="93" spans="2:5" ht="15" customHeight="1">
      <c r="B93" s="84"/>
      <c r="C93" s="55" t="s">
        <v>257</v>
      </c>
      <c r="D93" s="54">
        <v>4</v>
      </c>
      <c r="E93" s="53">
        <v>5.4945054945054949E-3</v>
      </c>
    </row>
    <row r="94" spans="2:5" ht="15" customHeight="1">
      <c r="B94" s="84"/>
      <c r="C94" s="55" t="s">
        <v>258</v>
      </c>
      <c r="D94" s="54">
        <v>1</v>
      </c>
      <c r="E94" s="53">
        <v>1.3736263736263737E-3</v>
      </c>
    </row>
    <row r="95" spans="2:5" ht="15" customHeight="1">
      <c r="B95" s="84"/>
      <c r="C95" s="55" t="s">
        <v>259</v>
      </c>
      <c r="D95" s="54">
        <v>2</v>
      </c>
      <c r="E95" s="53">
        <v>2.7472527472527475E-3</v>
      </c>
    </row>
    <row r="96" spans="2:5" ht="15" customHeight="1">
      <c r="B96" s="84"/>
      <c r="C96" s="55" t="s">
        <v>260</v>
      </c>
      <c r="D96" s="54">
        <v>1</v>
      </c>
      <c r="E96" s="53">
        <v>1.3736263736263737E-3</v>
      </c>
    </row>
    <row r="97" spans="2:5" ht="15" customHeight="1">
      <c r="B97" s="84"/>
      <c r="C97" s="55" t="s">
        <v>261</v>
      </c>
      <c r="D97" s="54">
        <v>1</v>
      </c>
      <c r="E97" s="53">
        <v>1.3736263736263737E-3</v>
      </c>
    </row>
    <row r="98" spans="2:5" ht="15" customHeight="1">
      <c r="B98" s="84"/>
      <c r="C98" s="55" t="s">
        <v>193</v>
      </c>
      <c r="D98" s="54">
        <v>1</v>
      </c>
      <c r="E98" s="53">
        <v>1.3736263736263737E-3</v>
      </c>
    </row>
    <row r="99" spans="2:5" ht="15" customHeight="1">
      <c r="B99" s="84"/>
      <c r="C99" s="55" t="s">
        <v>262</v>
      </c>
      <c r="D99" s="54">
        <v>6</v>
      </c>
      <c r="E99" s="53">
        <v>8.241758241758242E-3</v>
      </c>
    </row>
    <row r="100" spans="2:5" ht="15" customHeight="1">
      <c r="B100" s="84"/>
      <c r="C100" s="55" t="s">
        <v>263</v>
      </c>
      <c r="D100" s="54">
        <v>1</v>
      </c>
      <c r="E100" s="53">
        <v>1.3736263736263737E-3</v>
      </c>
    </row>
    <row r="101" spans="2:5" ht="15" customHeight="1">
      <c r="B101" s="84"/>
      <c r="C101" s="55" t="s">
        <v>264</v>
      </c>
      <c r="D101" s="54">
        <v>1</v>
      </c>
      <c r="E101" s="53">
        <v>1.3736263736263737E-3</v>
      </c>
    </row>
    <row r="102" spans="2:5" ht="15" customHeight="1">
      <c r="B102" s="84"/>
      <c r="C102" s="55" t="s">
        <v>109</v>
      </c>
      <c r="D102" s="54">
        <v>2</v>
      </c>
      <c r="E102" s="53">
        <v>2.7472527472527475E-3</v>
      </c>
    </row>
    <row r="103" spans="2:5" ht="15" customHeight="1">
      <c r="B103" s="84"/>
      <c r="C103" s="55" t="s">
        <v>265</v>
      </c>
      <c r="D103" s="54">
        <v>1</v>
      </c>
      <c r="E103" s="53">
        <v>1.3736263736263737E-3</v>
      </c>
    </row>
    <row r="104" spans="2:5" ht="15" customHeight="1">
      <c r="B104" s="84"/>
      <c r="C104" s="55" t="s">
        <v>266</v>
      </c>
      <c r="D104" s="54">
        <v>1</v>
      </c>
      <c r="E104" s="53">
        <v>1.3736263736263737E-3</v>
      </c>
    </row>
    <row r="105" spans="2:5" ht="15" customHeight="1">
      <c r="B105" s="84"/>
      <c r="C105" s="55" t="s">
        <v>194</v>
      </c>
      <c r="D105" s="54">
        <v>4</v>
      </c>
      <c r="E105" s="53">
        <v>5.4945054945054949E-3</v>
      </c>
    </row>
    <row r="106" spans="2:5" ht="15" customHeight="1">
      <c r="B106" s="84"/>
      <c r="C106" s="55" t="s">
        <v>108</v>
      </c>
      <c r="D106" s="54">
        <v>2</v>
      </c>
      <c r="E106" s="53">
        <v>2.7472527472527475E-3</v>
      </c>
    </row>
    <row r="107" spans="2:5" ht="15" customHeight="1">
      <c r="B107" s="84"/>
      <c r="C107" s="55" t="s">
        <v>267</v>
      </c>
      <c r="D107" s="54">
        <v>1</v>
      </c>
      <c r="E107" s="53">
        <v>1.3736263736263737E-3</v>
      </c>
    </row>
    <row r="108" spans="2:5" ht="15" customHeight="1">
      <c r="B108" s="84"/>
      <c r="C108" s="55" t="s">
        <v>268</v>
      </c>
      <c r="D108" s="54">
        <v>1</v>
      </c>
      <c r="E108" s="53">
        <v>1.3736263736263737E-3</v>
      </c>
    </row>
    <row r="109" spans="2:5" ht="15" customHeight="1">
      <c r="B109" s="84"/>
      <c r="C109" s="55" t="s">
        <v>269</v>
      </c>
      <c r="D109" s="54">
        <v>1</v>
      </c>
      <c r="E109" s="53">
        <v>1.3736263736263737E-3</v>
      </c>
    </row>
    <row r="110" spans="2:5" ht="15" customHeight="1">
      <c r="B110" s="85"/>
      <c r="C110" s="51" t="s">
        <v>15</v>
      </c>
      <c r="D110" s="50">
        <v>38</v>
      </c>
      <c r="E110" s="49">
        <v>5.21978021978022E-2</v>
      </c>
    </row>
    <row r="111" spans="2:5" ht="15" customHeight="1">
      <c r="B111" s="83" t="s">
        <v>35</v>
      </c>
      <c r="C111" s="55" t="s">
        <v>270</v>
      </c>
      <c r="D111" s="54">
        <v>1</v>
      </c>
      <c r="E111" s="53">
        <v>1.3736263736263737E-3</v>
      </c>
    </row>
    <row r="112" spans="2:5" ht="15" customHeight="1">
      <c r="B112" s="84"/>
      <c r="C112" s="55" t="s">
        <v>195</v>
      </c>
      <c r="D112" s="54">
        <v>3</v>
      </c>
      <c r="E112" s="53">
        <v>4.120879120879121E-3</v>
      </c>
    </row>
    <row r="113" spans="2:5" ht="15" customHeight="1">
      <c r="B113" s="84"/>
      <c r="C113" s="55" t="s">
        <v>107</v>
      </c>
      <c r="D113" s="54">
        <v>5</v>
      </c>
      <c r="E113" s="53">
        <v>6.868131868131868E-3</v>
      </c>
    </row>
    <row r="114" spans="2:5" ht="15" customHeight="1">
      <c r="B114" s="84"/>
      <c r="C114" s="55" t="s">
        <v>271</v>
      </c>
      <c r="D114" s="54">
        <v>1</v>
      </c>
      <c r="E114" s="53">
        <v>1.3736263736263737E-3</v>
      </c>
    </row>
    <row r="115" spans="2:5" ht="15" customHeight="1">
      <c r="B115" s="84"/>
      <c r="C115" s="55" t="s">
        <v>106</v>
      </c>
      <c r="D115" s="54">
        <v>1</v>
      </c>
      <c r="E115" s="53">
        <v>1.3736263736263737E-3</v>
      </c>
    </row>
    <row r="116" spans="2:5" ht="15" customHeight="1">
      <c r="B116" s="84"/>
      <c r="C116" s="55" t="s">
        <v>35</v>
      </c>
      <c r="D116" s="54">
        <v>3</v>
      </c>
      <c r="E116" s="53">
        <v>4.120879120879121E-3</v>
      </c>
    </row>
    <row r="117" spans="2:5" ht="15" customHeight="1">
      <c r="B117" s="84"/>
      <c r="C117" s="55" t="s">
        <v>272</v>
      </c>
      <c r="D117" s="54">
        <v>1</v>
      </c>
      <c r="E117" s="53">
        <v>1.3736263736263737E-3</v>
      </c>
    </row>
    <row r="118" spans="2:5" ht="15" customHeight="1">
      <c r="B118" s="84"/>
      <c r="C118" s="55" t="s">
        <v>105</v>
      </c>
      <c r="D118" s="54">
        <v>1</v>
      </c>
      <c r="E118" s="53">
        <v>1.3736263736263737E-3</v>
      </c>
    </row>
    <row r="119" spans="2:5" ht="15" customHeight="1">
      <c r="B119" s="84"/>
      <c r="C119" s="55" t="s">
        <v>273</v>
      </c>
      <c r="D119" s="54">
        <v>1</v>
      </c>
      <c r="E119" s="53">
        <v>1.3736263736263737E-3</v>
      </c>
    </row>
    <row r="120" spans="2:5" ht="15" customHeight="1">
      <c r="B120" s="84"/>
      <c r="C120" s="55" t="s">
        <v>104</v>
      </c>
      <c r="D120" s="54">
        <v>2</v>
      </c>
      <c r="E120" s="53">
        <v>2.7472527472527475E-3</v>
      </c>
    </row>
    <row r="121" spans="2:5" ht="15" customHeight="1">
      <c r="B121" s="84"/>
      <c r="C121" s="55" t="s">
        <v>274</v>
      </c>
      <c r="D121" s="54">
        <v>2</v>
      </c>
      <c r="E121" s="53">
        <v>2.7472527472527475E-3</v>
      </c>
    </row>
    <row r="122" spans="2:5" ht="15" customHeight="1">
      <c r="B122" s="84"/>
      <c r="C122" s="55" t="s">
        <v>196</v>
      </c>
      <c r="D122" s="54">
        <v>3</v>
      </c>
      <c r="E122" s="53">
        <v>4.120879120879121E-3</v>
      </c>
    </row>
    <row r="123" spans="2:5" ht="15" customHeight="1">
      <c r="B123" s="84"/>
      <c r="C123" s="55" t="s">
        <v>275</v>
      </c>
      <c r="D123" s="54">
        <v>1</v>
      </c>
      <c r="E123" s="53">
        <v>1.3736263736263737E-3</v>
      </c>
    </row>
    <row r="124" spans="2:5" ht="15" customHeight="1">
      <c r="B124" s="85"/>
      <c r="C124" s="51" t="s">
        <v>15</v>
      </c>
      <c r="D124" s="50">
        <v>25</v>
      </c>
      <c r="E124" s="49">
        <v>3.4340659340659344E-2</v>
      </c>
    </row>
    <row r="125" spans="2:5" ht="15" customHeight="1">
      <c r="B125" s="83" t="s">
        <v>43</v>
      </c>
      <c r="C125" s="55" t="s">
        <v>103</v>
      </c>
      <c r="D125" s="54">
        <v>7</v>
      </c>
      <c r="E125" s="53">
        <v>9.6153846153846159E-3</v>
      </c>
    </row>
    <row r="126" spans="2:5" ht="15" customHeight="1">
      <c r="B126" s="84"/>
      <c r="C126" s="55" t="s">
        <v>276</v>
      </c>
      <c r="D126" s="54">
        <v>1</v>
      </c>
      <c r="E126" s="53">
        <v>1.3736263736263737E-3</v>
      </c>
    </row>
    <row r="127" spans="2:5" ht="15" customHeight="1">
      <c r="B127" s="84"/>
      <c r="C127" s="55" t="s">
        <v>197</v>
      </c>
      <c r="D127" s="54">
        <v>1</v>
      </c>
      <c r="E127" s="53">
        <v>1.3736263736263737E-3</v>
      </c>
    </row>
    <row r="128" spans="2:5" ht="15" customHeight="1">
      <c r="B128" s="84"/>
      <c r="C128" s="55" t="s">
        <v>102</v>
      </c>
      <c r="D128" s="54">
        <v>1</v>
      </c>
      <c r="E128" s="53">
        <v>1.3736263736263737E-3</v>
      </c>
    </row>
    <row r="129" spans="2:5" ht="15" customHeight="1">
      <c r="B129" s="84"/>
      <c r="C129" s="55" t="s">
        <v>277</v>
      </c>
      <c r="D129" s="54">
        <v>1</v>
      </c>
      <c r="E129" s="53">
        <v>1.3736263736263737E-3</v>
      </c>
    </row>
    <row r="130" spans="2:5" ht="15" customHeight="1">
      <c r="B130" s="84"/>
      <c r="C130" s="55" t="s">
        <v>101</v>
      </c>
      <c r="D130" s="54">
        <v>1</v>
      </c>
      <c r="E130" s="53">
        <v>1.3736263736263737E-3</v>
      </c>
    </row>
    <row r="131" spans="2:5" ht="15" customHeight="1">
      <c r="B131" s="84"/>
      <c r="C131" s="55" t="s">
        <v>100</v>
      </c>
      <c r="D131" s="54">
        <v>2</v>
      </c>
      <c r="E131" s="53">
        <v>2.7472527472527475E-3</v>
      </c>
    </row>
    <row r="132" spans="2:5" ht="15" customHeight="1">
      <c r="B132" s="84"/>
      <c r="C132" s="55" t="s">
        <v>278</v>
      </c>
      <c r="D132" s="54">
        <v>1</v>
      </c>
      <c r="E132" s="53">
        <v>1.3736263736263737E-3</v>
      </c>
    </row>
    <row r="133" spans="2:5" ht="15" customHeight="1">
      <c r="B133" s="84"/>
      <c r="C133" s="55" t="s">
        <v>279</v>
      </c>
      <c r="D133" s="54">
        <v>1</v>
      </c>
      <c r="E133" s="53">
        <v>1.3736263736263737E-3</v>
      </c>
    </row>
    <row r="134" spans="2:5" ht="15" customHeight="1">
      <c r="B134" s="84"/>
      <c r="C134" s="55" t="s">
        <v>280</v>
      </c>
      <c r="D134" s="54">
        <v>3</v>
      </c>
      <c r="E134" s="53">
        <v>4.120879120879121E-3</v>
      </c>
    </row>
    <row r="135" spans="2:5" ht="15" customHeight="1">
      <c r="B135" s="84"/>
      <c r="C135" s="55" t="s">
        <v>281</v>
      </c>
      <c r="D135" s="54">
        <v>1</v>
      </c>
      <c r="E135" s="53">
        <v>1.3736263736263737E-3</v>
      </c>
    </row>
    <row r="136" spans="2:5" ht="15" customHeight="1">
      <c r="B136" s="84"/>
      <c r="C136" s="55" t="s">
        <v>99</v>
      </c>
      <c r="D136" s="54">
        <v>9</v>
      </c>
      <c r="E136" s="53">
        <v>1.2362637362637362E-2</v>
      </c>
    </row>
    <row r="137" spans="2:5" ht="15" customHeight="1">
      <c r="B137" s="84"/>
      <c r="C137" s="55" t="s">
        <v>198</v>
      </c>
      <c r="D137" s="54">
        <v>2</v>
      </c>
      <c r="E137" s="53">
        <v>2.7472527472527475E-3</v>
      </c>
    </row>
    <row r="138" spans="2:5" ht="15" customHeight="1">
      <c r="B138" s="84"/>
      <c r="C138" s="55" t="s">
        <v>98</v>
      </c>
      <c r="D138" s="54">
        <v>36</v>
      </c>
      <c r="E138" s="53">
        <v>4.9450549450549448E-2</v>
      </c>
    </row>
    <row r="139" spans="2:5" ht="15" customHeight="1">
      <c r="B139" s="84"/>
      <c r="C139" s="55" t="s">
        <v>282</v>
      </c>
      <c r="D139" s="54">
        <v>1</v>
      </c>
      <c r="E139" s="53">
        <v>1.3736263736263737E-3</v>
      </c>
    </row>
    <row r="140" spans="2:5" ht="15" customHeight="1">
      <c r="B140" s="84"/>
      <c r="C140" s="55" t="s">
        <v>283</v>
      </c>
      <c r="D140" s="54">
        <v>1</v>
      </c>
      <c r="E140" s="53">
        <v>1.3736263736263737E-3</v>
      </c>
    </row>
    <row r="141" spans="2:5" ht="15" customHeight="1">
      <c r="B141" s="84"/>
      <c r="C141" s="55" t="s">
        <v>284</v>
      </c>
      <c r="D141" s="54">
        <v>1</v>
      </c>
      <c r="E141" s="53">
        <v>1.3736263736263737E-3</v>
      </c>
    </row>
    <row r="142" spans="2:5" ht="15" customHeight="1">
      <c r="B142" s="84"/>
      <c r="C142" s="55" t="s">
        <v>285</v>
      </c>
      <c r="D142" s="54">
        <v>4</v>
      </c>
      <c r="E142" s="53">
        <v>5.4945054945054949E-3</v>
      </c>
    </row>
    <row r="143" spans="2:5" ht="15" customHeight="1">
      <c r="B143" s="84"/>
      <c r="C143" s="55" t="s">
        <v>97</v>
      </c>
      <c r="D143" s="54">
        <v>5</v>
      </c>
      <c r="E143" s="53">
        <v>6.868131868131868E-3</v>
      </c>
    </row>
    <row r="144" spans="2:5" ht="15" customHeight="1">
      <c r="B144" s="84"/>
      <c r="C144" s="55" t="s">
        <v>286</v>
      </c>
      <c r="D144" s="54">
        <v>1</v>
      </c>
      <c r="E144" s="53">
        <v>1.3736263736263737E-3</v>
      </c>
    </row>
    <row r="145" spans="2:5" ht="15" customHeight="1">
      <c r="B145" s="84"/>
      <c r="C145" s="55" t="s">
        <v>287</v>
      </c>
      <c r="D145" s="54">
        <v>1</v>
      </c>
      <c r="E145" s="53">
        <v>1.3736263736263737E-3</v>
      </c>
    </row>
    <row r="146" spans="2:5" ht="15" customHeight="1">
      <c r="B146" s="85"/>
      <c r="C146" s="51" t="s">
        <v>15</v>
      </c>
      <c r="D146" s="50">
        <v>81</v>
      </c>
      <c r="E146" s="49">
        <v>0.11126373626373626</v>
      </c>
    </row>
    <row r="147" spans="2:5" ht="15" customHeight="1">
      <c r="B147" s="83" t="s">
        <v>33</v>
      </c>
      <c r="C147" s="55" t="s">
        <v>57</v>
      </c>
      <c r="D147" s="54">
        <v>1</v>
      </c>
      <c r="E147" s="53">
        <v>1.3736263736263737E-3</v>
      </c>
    </row>
    <row r="148" spans="2:5" ht="15" customHeight="1">
      <c r="B148" s="84"/>
      <c r="C148" s="55" t="s">
        <v>96</v>
      </c>
      <c r="D148" s="54">
        <v>1</v>
      </c>
      <c r="E148" s="53">
        <v>1.3736263736263737E-3</v>
      </c>
    </row>
    <row r="149" spans="2:5" ht="15" customHeight="1">
      <c r="B149" s="84"/>
      <c r="C149" s="55" t="s">
        <v>95</v>
      </c>
      <c r="D149" s="54">
        <v>3</v>
      </c>
      <c r="E149" s="53">
        <v>4.120879120879121E-3</v>
      </c>
    </row>
    <row r="150" spans="2:5" ht="15" customHeight="1">
      <c r="B150" s="84"/>
      <c r="C150" s="55" t="s">
        <v>288</v>
      </c>
      <c r="D150" s="54">
        <v>1</v>
      </c>
      <c r="E150" s="53">
        <v>1.3736263736263737E-3</v>
      </c>
    </row>
    <row r="151" spans="2:5" ht="15" customHeight="1">
      <c r="B151" s="84"/>
      <c r="C151" s="55" t="s">
        <v>94</v>
      </c>
      <c r="D151" s="54">
        <v>3</v>
      </c>
      <c r="E151" s="53">
        <v>4.120879120879121E-3</v>
      </c>
    </row>
    <row r="152" spans="2:5" ht="15" customHeight="1">
      <c r="B152" s="84"/>
      <c r="C152" s="55" t="s">
        <v>289</v>
      </c>
      <c r="D152" s="54">
        <v>1</v>
      </c>
      <c r="E152" s="53">
        <v>1.3736263736263737E-3</v>
      </c>
    </row>
    <row r="153" spans="2:5" ht="15" customHeight="1">
      <c r="B153" s="84"/>
      <c r="C153" s="55" t="s">
        <v>290</v>
      </c>
      <c r="D153" s="54">
        <v>1</v>
      </c>
      <c r="E153" s="53">
        <v>1.3736263736263737E-3</v>
      </c>
    </row>
    <row r="154" spans="2:5" ht="15" customHeight="1">
      <c r="B154" s="84"/>
      <c r="C154" s="55" t="s">
        <v>291</v>
      </c>
      <c r="D154" s="54">
        <v>1</v>
      </c>
      <c r="E154" s="53">
        <v>1.3736263736263737E-3</v>
      </c>
    </row>
    <row r="155" spans="2:5" ht="15" customHeight="1">
      <c r="B155" s="84"/>
      <c r="C155" s="55" t="s">
        <v>292</v>
      </c>
      <c r="D155" s="54">
        <v>3</v>
      </c>
      <c r="E155" s="53">
        <v>4.120879120879121E-3</v>
      </c>
    </row>
    <row r="156" spans="2:5" ht="15" customHeight="1">
      <c r="B156" s="84"/>
      <c r="C156" s="55" t="s">
        <v>293</v>
      </c>
      <c r="D156" s="54">
        <v>1</v>
      </c>
      <c r="E156" s="53">
        <v>1.3736263736263737E-3</v>
      </c>
    </row>
    <row r="157" spans="2:5" ht="15" customHeight="1">
      <c r="B157" s="84"/>
      <c r="C157" s="55" t="s">
        <v>199</v>
      </c>
      <c r="D157" s="54">
        <v>1</v>
      </c>
      <c r="E157" s="53">
        <v>1.3736263736263737E-3</v>
      </c>
    </row>
    <row r="158" spans="2:5" ht="15" customHeight="1">
      <c r="B158" s="84"/>
      <c r="C158" s="55" t="s">
        <v>294</v>
      </c>
      <c r="D158" s="54">
        <v>2</v>
      </c>
      <c r="E158" s="53">
        <v>2.7472527472527475E-3</v>
      </c>
    </row>
    <row r="159" spans="2:5" ht="15" customHeight="1">
      <c r="B159" s="84"/>
      <c r="C159" s="55" t="s">
        <v>295</v>
      </c>
      <c r="D159" s="54">
        <v>1</v>
      </c>
      <c r="E159" s="53">
        <v>1.3736263736263737E-3</v>
      </c>
    </row>
    <row r="160" spans="2:5" ht="15" customHeight="1">
      <c r="B160" s="84"/>
      <c r="C160" s="55" t="s">
        <v>296</v>
      </c>
      <c r="D160" s="54">
        <v>1</v>
      </c>
      <c r="E160" s="53">
        <v>1.3736263736263737E-3</v>
      </c>
    </row>
    <row r="161" spans="2:5" ht="15" customHeight="1">
      <c r="B161" s="85"/>
      <c r="C161" s="51" t="s">
        <v>15</v>
      </c>
      <c r="D161" s="50">
        <v>21</v>
      </c>
      <c r="E161" s="49">
        <v>2.8846153846153848E-2</v>
      </c>
    </row>
    <row r="162" spans="2:5" ht="15" customHeight="1">
      <c r="B162" s="83" t="s">
        <v>41</v>
      </c>
      <c r="C162" s="55" t="s">
        <v>297</v>
      </c>
      <c r="D162" s="54">
        <v>1</v>
      </c>
      <c r="E162" s="53">
        <v>1.3736263736263737E-3</v>
      </c>
    </row>
    <row r="163" spans="2:5" ht="15" customHeight="1">
      <c r="B163" s="84"/>
      <c r="C163" s="55" t="s">
        <v>298</v>
      </c>
      <c r="D163" s="54">
        <v>1</v>
      </c>
      <c r="E163" s="53">
        <v>1.3736263736263737E-3</v>
      </c>
    </row>
    <row r="164" spans="2:5" ht="15" customHeight="1">
      <c r="B164" s="84"/>
      <c r="C164" s="55" t="s">
        <v>299</v>
      </c>
      <c r="D164" s="54">
        <v>1</v>
      </c>
      <c r="E164" s="53">
        <v>1.3736263736263737E-3</v>
      </c>
    </row>
    <row r="165" spans="2:5" ht="15" customHeight="1">
      <c r="B165" s="84"/>
      <c r="C165" s="55" t="s">
        <v>93</v>
      </c>
      <c r="D165" s="54">
        <v>8</v>
      </c>
      <c r="E165" s="53">
        <v>1.098901098901099E-2</v>
      </c>
    </row>
    <row r="166" spans="2:5" ht="15" customHeight="1">
      <c r="B166" s="84"/>
      <c r="C166" s="55" t="s">
        <v>92</v>
      </c>
      <c r="D166" s="54">
        <v>1</v>
      </c>
      <c r="E166" s="53">
        <v>1.3736263736263737E-3</v>
      </c>
    </row>
    <row r="167" spans="2:5" ht="15" customHeight="1">
      <c r="B167" s="84"/>
      <c r="C167" s="55" t="s">
        <v>91</v>
      </c>
      <c r="D167" s="54">
        <v>5</v>
      </c>
      <c r="E167" s="53">
        <v>6.868131868131868E-3</v>
      </c>
    </row>
    <row r="168" spans="2:5" ht="15" customHeight="1">
      <c r="B168" s="84"/>
      <c r="C168" s="55" t="s">
        <v>300</v>
      </c>
      <c r="D168" s="54">
        <v>1</v>
      </c>
      <c r="E168" s="53">
        <v>1.3736263736263737E-3</v>
      </c>
    </row>
    <row r="169" spans="2:5" ht="15" customHeight="1">
      <c r="B169" s="84"/>
      <c r="C169" s="55" t="s">
        <v>301</v>
      </c>
      <c r="D169" s="54">
        <v>1</v>
      </c>
      <c r="E169" s="53">
        <v>1.3736263736263737E-3</v>
      </c>
    </row>
    <row r="170" spans="2:5" ht="15" customHeight="1">
      <c r="B170" s="84"/>
      <c r="C170" s="55" t="s">
        <v>302</v>
      </c>
      <c r="D170" s="54">
        <v>1</v>
      </c>
      <c r="E170" s="53">
        <v>1.3736263736263737E-3</v>
      </c>
    </row>
    <row r="171" spans="2:5" ht="15" customHeight="1">
      <c r="B171" s="84"/>
      <c r="C171" s="55" t="s">
        <v>90</v>
      </c>
      <c r="D171" s="54">
        <v>23</v>
      </c>
      <c r="E171" s="53">
        <v>3.1593406593406592E-2</v>
      </c>
    </row>
    <row r="172" spans="2:5" ht="15" customHeight="1">
      <c r="B172" s="84"/>
      <c r="C172" s="55" t="s">
        <v>303</v>
      </c>
      <c r="D172" s="54">
        <v>1</v>
      </c>
      <c r="E172" s="53">
        <v>1.3736263736263737E-3</v>
      </c>
    </row>
    <row r="173" spans="2:5" ht="15" customHeight="1">
      <c r="B173" s="84"/>
      <c r="C173" s="55" t="s">
        <v>89</v>
      </c>
      <c r="D173" s="54">
        <v>2</v>
      </c>
      <c r="E173" s="53">
        <v>2.7472527472527475E-3</v>
      </c>
    </row>
    <row r="174" spans="2:5" ht="15" customHeight="1">
      <c r="B174" s="84"/>
      <c r="C174" s="55" t="s">
        <v>304</v>
      </c>
      <c r="D174" s="54">
        <v>2</v>
      </c>
      <c r="E174" s="53">
        <v>2.7472527472527475E-3</v>
      </c>
    </row>
    <row r="175" spans="2:5" ht="15" customHeight="1">
      <c r="B175" s="84"/>
      <c r="C175" s="55" t="s">
        <v>305</v>
      </c>
      <c r="D175" s="54">
        <v>1</v>
      </c>
      <c r="E175" s="53">
        <v>1.3736263736263737E-3</v>
      </c>
    </row>
    <row r="176" spans="2:5" ht="15" customHeight="1">
      <c r="B176" s="84"/>
      <c r="C176" s="55" t="s">
        <v>88</v>
      </c>
      <c r="D176" s="54">
        <v>5</v>
      </c>
      <c r="E176" s="53">
        <v>6.868131868131868E-3</v>
      </c>
    </row>
    <row r="177" spans="1:5" ht="15" customHeight="1">
      <c r="B177" s="84"/>
      <c r="C177" s="55" t="s">
        <v>87</v>
      </c>
      <c r="D177" s="54">
        <v>2</v>
      </c>
      <c r="E177" s="53">
        <v>2.7472527472527475E-3</v>
      </c>
    </row>
    <row r="178" spans="1:5" ht="15" customHeight="1">
      <c r="B178" s="84"/>
      <c r="C178" s="55" t="s">
        <v>86</v>
      </c>
      <c r="D178" s="54">
        <v>3</v>
      </c>
      <c r="E178" s="53">
        <v>4.120879120879121E-3</v>
      </c>
    </row>
    <row r="179" spans="1:5" ht="15" customHeight="1">
      <c r="B179" s="84"/>
      <c r="C179" s="55" t="s">
        <v>306</v>
      </c>
      <c r="D179" s="54">
        <v>2</v>
      </c>
      <c r="E179" s="53">
        <v>2.7472527472527475E-3</v>
      </c>
    </row>
    <row r="180" spans="1:5" ht="15" customHeight="1">
      <c r="B180" s="84"/>
      <c r="C180" s="55" t="s">
        <v>307</v>
      </c>
      <c r="D180" s="54">
        <v>1</v>
      </c>
      <c r="E180" s="53">
        <v>1.3736263736263737E-3</v>
      </c>
    </row>
    <row r="181" spans="1:5" ht="15" customHeight="1">
      <c r="B181" s="84"/>
      <c r="C181" s="55" t="s">
        <v>85</v>
      </c>
      <c r="D181" s="54">
        <v>5</v>
      </c>
      <c r="E181" s="53">
        <v>6.868131868131868E-3</v>
      </c>
    </row>
    <row r="182" spans="1:5" ht="15" customHeight="1">
      <c r="B182" s="84"/>
      <c r="C182" s="55" t="s">
        <v>308</v>
      </c>
      <c r="D182" s="54">
        <v>1</v>
      </c>
      <c r="E182" s="53">
        <v>1.3736263736263737E-3</v>
      </c>
    </row>
    <row r="183" spans="1:5" ht="15" customHeight="1">
      <c r="B183" s="84"/>
      <c r="C183" s="55" t="s">
        <v>309</v>
      </c>
      <c r="D183" s="54">
        <v>1</v>
      </c>
      <c r="E183" s="53">
        <v>1.3736263736263737E-3</v>
      </c>
    </row>
    <row r="184" spans="1:5" s="29" customFormat="1" ht="15" customHeight="1">
      <c r="A184" s="28"/>
      <c r="B184" s="85"/>
      <c r="C184" s="51" t="s">
        <v>15</v>
      </c>
      <c r="D184" s="50">
        <v>69</v>
      </c>
      <c r="E184" s="49">
        <v>9.4780219780219777E-2</v>
      </c>
    </row>
    <row r="185" spans="1:5" s="29" customFormat="1" ht="15" customHeight="1">
      <c r="A185" s="28"/>
      <c r="B185" s="83" t="s">
        <v>37</v>
      </c>
      <c r="C185" s="55" t="s">
        <v>310</v>
      </c>
      <c r="D185" s="54">
        <v>3</v>
      </c>
      <c r="E185" s="53">
        <v>4.120879120879121E-3</v>
      </c>
    </row>
    <row r="186" spans="1:5" s="29" customFormat="1" ht="15" customHeight="1">
      <c r="A186" s="28"/>
      <c r="B186" s="84"/>
      <c r="C186" s="55" t="s">
        <v>84</v>
      </c>
      <c r="D186" s="54">
        <v>1</v>
      </c>
      <c r="E186" s="53">
        <v>1.3736263736263737E-3</v>
      </c>
    </row>
    <row r="187" spans="1:5" s="29" customFormat="1" ht="15" customHeight="1">
      <c r="A187" s="28"/>
      <c r="B187" s="84"/>
      <c r="C187" s="55" t="s">
        <v>311</v>
      </c>
      <c r="D187" s="54">
        <v>1</v>
      </c>
      <c r="E187" s="53">
        <v>1.3736263736263737E-3</v>
      </c>
    </row>
    <row r="188" spans="1:5" s="29" customFormat="1" ht="15" customHeight="1">
      <c r="A188" s="28"/>
      <c r="B188" s="84"/>
      <c r="C188" s="55" t="s">
        <v>312</v>
      </c>
      <c r="D188" s="54">
        <v>1</v>
      </c>
      <c r="E188" s="53">
        <v>1.3736263736263737E-3</v>
      </c>
    </row>
    <row r="189" spans="1:5" ht="15" customHeight="1">
      <c r="B189" s="84"/>
      <c r="C189" s="55" t="s">
        <v>313</v>
      </c>
      <c r="D189" s="54">
        <v>1</v>
      </c>
      <c r="E189" s="53">
        <v>1.3736263736263737E-3</v>
      </c>
    </row>
    <row r="190" spans="1:5" ht="15" customHeight="1">
      <c r="B190" s="84"/>
      <c r="C190" s="55" t="s">
        <v>314</v>
      </c>
      <c r="D190" s="54">
        <v>2</v>
      </c>
      <c r="E190" s="53">
        <v>2.7472527472527475E-3</v>
      </c>
    </row>
    <row r="191" spans="1:5" ht="15" customHeight="1">
      <c r="B191" s="84"/>
      <c r="C191" s="55" t="s">
        <v>315</v>
      </c>
      <c r="D191" s="54">
        <v>1</v>
      </c>
      <c r="E191" s="53">
        <v>1.3736263736263737E-3</v>
      </c>
    </row>
    <row r="192" spans="1:5" ht="15" customHeight="1">
      <c r="B192" s="84"/>
      <c r="C192" s="55" t="s">
        <v>316</v>
      </c>
      <c r="D192" s="54">
        <v>1</v>
      </c>
      <c r="E192" s="53">
        <v>1.3736263736263737E-3</v>
      </c>
    </row>
    <row r="193" spans="2:5" ht="15" customHeight="1">
      <c r="B193" s="84"/>
      <c r="C193" s="55" t="s">
        <v>317</v>
      </c>
      <c r="D193" s="54">
        <v>5</v>
      </c>
      <c r="E193" s="53">
        <v>6.868131868131868E-3</v>
      </c>
    </row>
    <row r="194" spans="2:5" ht="15" customHeight="1">
      <c r="B194" s="84"/>
      <c r="C194" s="55" t="s">
        <v>318</v>
      </c>
      <c r="D194" s="54">
        <v>4</v>
      </c>
      <c r="E194" s="53">
        <v>5.4945054945054949E-3</v>
      </c>
    </row>
    <row r="195" spans="2:5" ht="15" customHeight="1">
      <c r="B195" s="84"/>
      <c r="C195" s="55" t="s">
        <v>83</v>
      </c>
      <c r="D195" s="54">
        <v>5</v>
      </c>
      <c r="E195" s="53">
        <v>6.868131868131868E-3</v>
      </c>
    </row>
    <row r="196" spans="2:5" ht="15" customHeight="1">
      <c r="B196" s="84"/>
      <c r="C196" s="55" t="s">
        <v>319</v>
      </c>
      <c r="D196" s="54">
        <v>3</v>
      </c>
      <c r="E196" s="53">
        <v>4.120879120879121E-3</v>
      </c>
    </row>
    <row r="197" spans="2:5" ht="15" customHeight="1">
      <c r="B197" s="84"/>
      <c r="C197" s="55" t="s">
        <v>320</v>
      </c>
      <c r="D197" s="54">
        <v>1</v>
      </c>
      <c r="E197" s="53">
        <v>1.3736263736263737E-3</v>
      </c>
    </row>
    <row r="198" spans="2:5" ht="15" customHeight="1">
      <c r="B198" s="84"/>
      <c r="C198" s="55" t="s">
        <v>321</v>
      </c>
      <c r="D198" s="54">
        <v>1</v>
      </c>
      <c r="E198" s="53">
        <v>1.3736263736263737E-3</v>
      </c>
    </row>
    <row r="199" spans="2:5" ht="15" customHeight="1">
      <c r="B199" s="84"/>
      <c r="C199" s="55" t="s">
        <v>82</v>
      </c>
      <c r="D199" s="54">
        <v>1</v>
      </c>
      <c r="E199" s="53">
        <v>1.3736263736263737E-3</v>
      </c>
    </row>
    <row r="200" spans="2:5" ht="15" customHeight="1">
      <c r="B200" s="84"/>
      <c r="C200" s="55" t="s">
        <v>81</v>
      </c>
      <c r="D200" s="54">
        <v>1</v>
      </c>
      <c r="E200" s="53">
        <v>1.3736263736263737E-3</v>
      </c>
    </row>
    <row r="201" spans="2:5" ht="15" customHeight="1">
      <c r="B201" s="85"/>
      <c r="C201" s="51" t="s">
        <v>15</v>
      </c>
      <c r="D201" s="50">
        <v>32</v>
      </c>
      <c r="E201" s="49">
        <v>4.3956043956043959E-2</v>
      </c>
    </row>
    <row r="202" spans="2:5" ht="15" customHeight="1">
      <c r="B202" s="83" t="s">
        <v>30</v>
      </c>
      <c r="C202" s="55" t="s">
        <v>322</v>
      </c>
      <c r="D202" s="54">
        <v>1</v>
      </c>
      <c r="E202" s="53">
        <v>1.3736263736263737E-3</v>
      </c>
    </row>
    <row r="203" spans="2:5" ht="15" customHeight="1">
      <c r="B203" s="84"/>
      <c r="C203" s="55" t="s">
        <v>323</v>
      </c>
      <c r="D203" s="54">
        <v>1</v>
      </c>
      <c r="E203" s="53">
        <v>1.3736263736263737E-3</v>
      </c>
    </row>
    <row r="204" spans="2:5" ht="15" customHeight="1">
      <c r="B204" s="84"/>
      <c r="C204" s="55" t="s">
        <v>200</v>
      </c>
      <c r="D204" s="54">
        <v>6</v>
      </c>
      <c r="E204" s="53">
        <v>8.241758241758242E-3</v>
      </c>
    </row>
    <row r="205" spans="2:5" ht="15" customHeight="1">
      <c r="B205" s="84"/>
      <c r="C205" s="55" t="s">
        <v>324</v>
      </c>
      <c r="D205" s="54">
        <v>1</v>
      </c>
      <c r="E205" s="53">
        <v>1.3736263736263737E-3</v>
      </c>
    </row>
    <row r="206" spans="2:5" ht="15" customHeight="1">
      <c r="B206" s="84"/>
      <c r="C206" s="55" t="s">
        <v>325</v>
      </c>
      <c r="D206" s="54">
        <v>3</v>
      </c>
      <c r="E206" s="53">
        <v>4.120879120879121E-3</v>
      </c>
    </row>
    <row r="207" spans="2:5" ht="15" customHeight="1">
      <c r="B207" s="84"/>
      <c r="C207" s="55" t="s">
        <v>326</v>
      </c>
      <c r="D207" s="54">
        <v>1</v>
      </c>
      <c r="E207" s="53">
        <v>1.3736263736263737E-3</v>
      </c>
    </row>
    <row r="208" spans="2:5" ht="15" customHeight="1">
      <c r="B208" s="85"/>
      <c r="C208" s="51" t="s">
        <v>15</v>
      </c>
      <c r="D208" s="50">
        <v>13</v>
      </c>
      <c r="E208" s="49">
        <v>1.7857142857142856E-2</v>
      </c>
    </row>
    <row r="209" spans="2:5" ht="15" customHeight="1">
      <c r="B209" s="83" t="s">
        <v>22</v>
      </c>
      <c r="C209" s="55" t="s">
        <v>327</v>
      </c>
      <c r="D209" s="54">
        <v>1</v>
      </c>
      <c r="E209" s="53">
        <v>1.3736263736263737E-3</v>
      </c>
    </row>
    <row r="210" spans="2:5" ht="15" customHeight="1">
      <c r="B210" s="84"/>
      <c r="C210" s="55" t="s">
        <v>328</v>
      </c>
      <c r="D210" s="54">
        <v>1</v>
      </c>
      <c r="E210" s="53">
        <v>1.3736263736263737E-3</v>
      </c>
    </row>
    <row r="211" spans="2:5" ht="15" customHeight="1">
      <c r="B211" s="85"/>
      <c r="C211" s="51" t="s">
        <v>15</v>
      </c>
      <c r="D211" s="50">
        <v>2</v>
      </c>
      <c r="E211" s="49">
        <v>2.7472527472527475E-3</v>
      </c>
    </row>
    <row r="212" spans="2:5" ht="15" customHeight="1">
      <c r="B212" s="83" t="s">
        <v>28</v>
      </c>
      <c r="C212" s="55" t="s">
        <v>80</v>
      </c>
      <c r="D212" s="54">
        <v>1</v>
      </c>
      <c r="E212" s="53">
        <v>1.3736263736263737E-3</v>
      </c>
    </row>
    <row r="213" spans="2:5" ht="15" customHeight="1">
      <c r="B213" s="85"/>
      <c r="C213" s="51" t="s">
        <v>15</v>
      </c>
      <c r="D213" s="50">
        <v>1</v>
      </c>
      <c r="E213" s="49">
        <v>1.3736263736263737E-3</v>
      </c>
    </row>
    <row r="214" spans="2:5" ht="15" customHeight="1">
      <c r="B214" s="83" t="s">
        <v>40</v>
      </c>
      <c r="C214" s="55" t="s">
        <v>329</v>
      </c>
      <c r="D214" s="54">
        <v>1</v>
      </c>
      <c r="E214" s="53">
        <v>1.3736263736263737E-3</v>
      </c>
    </row>
    <row r="215" spans="2:5" ht="15" customHeight="1">
      <c r="B215" s="84"/>
      <c r="C215" s="55" t="s">
        <v>330</v>
      </c>
      <c r="D215" s="54">
        <v>1</v>
      </c>
      <c r="E215" s="53">
        <v>1.3736263736263737E-3</v>
      </c>
    </row>
    <row r="216" spans="2:5" ht="15" customHeight="1">
      <c r="B216" s="84"/>
      <c r="C216" s="55" t="s">
        <v>331</v>
      </c>
      <c r="D216" s="54">
        <v>1</v>
      </c>
      <c r="E216" s="53">
        <v>1.3736263736263737E-3</v>
      </c>
    </row>
    <row r="217" spans="2:5" ht="15" customHeight="1">
      <c r="B217" s="84"/>
      <c r="C217" s="55" t="s">
        <v>332</v>
      </c>
      <c r="D217" s="54">
        <v>1</v>
      </c>
      <c r="E217" s="53">
        <v>1.3736263736263737E-3</v>
      </c>
    </row>
    <row r="218" spans="2:5" ht="15" customHeight="1">
      <c r="B218" s="84"/>
      <c r="C218" s="55" t="s">
        <v>333</v>
      </c>
      <c r="D218" s="54">
        <v>1</v>
      </c>
      <c r="E218" s="53">
        <v>1.3736263736263737E-3</v>
      </c>
    </row>
    <row r="219" spans="2:5" ht="15" customHeight="1">
      <c r="B219" s="84"/>
      <c r="C219" s="55" t="s">
        <v>79</v>
      </c>
      <c r="D219" s="54">
        <v>3</v>
      </c>
      <c r="E219" s="53">
        <v>4.120879120879121E-3</v>
      </c>
    </row>
    <row r="220" spans="2:5" ht="15" customHeight="1">
      <c r="B220" s="84"/>
      <c r="C220" s="55" t="s">
        <v>334</v>
      </c>
      <c r="D220" s="54">
        <v>1</v>
      </c>
      <c r="E220" s="53">
        <v>1.3736263736263737E-3</v>
      </c>
    </row>
    <row r="221" spans="2:5" ht="15" customHeight="1">
      <c r="B221" s="84"/>
      <c r="C221" s="55" t="s">
        <v>335</v>
      </c>
      <c r="D221" s="54">
        <v>3</v>
      </c>
      <c r="E221" s="53">
        <v>4.120879120879121E-3</v>
      </c>
    </row>
    <row r="222" spans="2:5" ht="15" customHeight="1">
      <c r="B222" s="84"/>
      <c r="C222" s="55" t="s">
        <v>336</v>
      </c>
      <c r="D222" s="54">
        <v>1</v>
      </c>
      <c r="E222" s="53">
        <v>1.3736263736263737E-3</v>
      </c>
    </row>
    <row r="223" spans="2:5" ht="15" customHeight="1">
      <c r="B223" s="84"/>
      <c r="C223" s="55" t="s">
        <v>337</v>
      </c>
      <c r="D223" s="54">
        <v>1</v>
      </c>
      <c r="E223" s="53">
        <v>1.3736263736263737E-3</v>
      </c>
    </row>
    <row r="224" spans="2:5" ht="15" customHeight="1">
      <c r="B224" s="84"/>
      <c r="C224" s="55" t="s">
        <v>78</v>
      </c>
      <c r="D224" s="54">
        <v>5</v>
      </c>
      <c r="E224" s="53">
        <v>6.868131868131868E-3</v>
      </c>
    </row>
    <row r="225" spans="2:5" ht="15" customHeight="1">
      <c r="B225" s="84"/>
      <c r="C225" s="55" t="s">
        <v>338</v>
      </c>
      <c r="D225" s="54">
        <v>1</v>
      </c>
      <c r="E225" s="53">
        <v>1.3736263736263737E-3</v>
      </c>
    </row>
    <row r="226" spans="2:5" ht="15" customHeight="1">
      <c r="B226" s="84"/>
      <c r="C226" s="55" t="s">
        <v>339</v>
      </c>
      <c r="D226" s="54">
        <v>1</v>
      </c>
      <c r="E226" s="53">
        <v>1.3736263736263737E-3</v>
      </c>
    </row>
    <row r="227" spans="2:5" ht="15" customHeight="1">
      <c r="B227" s="84"/>
      <c r="C227" s="55" t="s">
        <v>77</v>
      </c>
      <c r="D227" s="54">
        <v>5</v>
      </c>
      <c r="E227" s="53">
        <v>6.868131868131868E-3</v>
      </c>
    </row>
    <row r="228" spans="2:5" ht="15" customHeight="1">
      <c r="B228" s="84"/>
      <c r="C228" s="55" t="s">
        <v>76</v>
      </c>
      <c r="D228" s="54">
        <v>2</v>
      </c>
      <c r="E228" s="53">
        <v>2.7472527472527475E-3</v>
      </c>
    </row>
    <row r="229" spans="2:5" ht="15" customHeight="1">
      <c r="B229" s="84"/>
      <c r="C229" s="55" t="s">
        <v>340</v>
      </c>
      <c r="D229" s="54">
        <v>2</v>
      </c>
      <c r="E229" s="53">
        <v>2.7472527472527475E-3</v>
      </c>
    </row>
    <row r="230" spans="2:5" ht="15" customHeight="1">
      <c r="B230" s="84"/>
      <c r="C230" s="55" t="s">
        <v>341</v>
      </c>
      <c r="D230" s="54">
        <v>1</v>
      </c>
      <c r="E230" s="53">
        <v>1.3736263736263737E-3</v>
      </c>
    </row>
    <row r="231" spans="2:5" ht="15" customHeight="1">
      <c r="B231" s="84"/>
      <c r="C231" s="55" t="s">
        <v>342</v>
      </c>
      <c r="D231" s="54">
        <v>1</v>
      </c>
      <c r="E231" s="53">
        <v>1.3736263736263737E-3</v>
      </c>
    </row>
    <row r="232" spans="2:5" ht="15" customHeight="1">
      <c r="B232" s="84"/>
      <c r="C232" s="55" t="s">
        <v>343</v>
      </c>
      <c r="D232" s="54">
        <v>1</v>
      </c>
      <c r="E232" s="53">
        <v>1.3736263736263737E-3</v>
      </c>
    </row>
    <row r="233" spans="2:5" ht="15" customHeight="1">
      <c r="B233" s="84"/>
      <c r="C233" s="55" t="s">
        <v>344</v>
      </c>
      <c r="D233" s="54">
        <v>1</v>
      </c>
      <c r="E233" s="53">
        <v>1.3736263736263737E-3</v>
      </c>
    </row>
    <row r="234" spans="2:5" ht="15" customHeight="1">
      <c r="B234" s="84"/>
      <c r="C234" s="55" t="s">
        <v>201</v>
      </c>
      <c r="D234" s="54">
        <v>2</v>
      </c>
      <c r="E234" s="53">
        <v>2.7472527472527475E-3</v>
      </c>
    </row>
    <row r="235" spans="2:5" ht="15" customHeight="1">
      <c r="B235" s="84"/>
      <c r="C235" s="55" t="s">
        <v>345</v>
      </c>
      <c r="D235" s="54">
        <v>1</v>
      </c>
      <c r="E235" s="53">
        <v>1.3736263736263737E-3</v>
      </c>
    </row>
    <row r="236" spans="2:5" ht="15" customHeight="1">
      <c r="B236" s="84"/>
      <c r="C236" s="55" t="s">
        <v>346</v>
      </c>
      <c r="D236" s="54">
        <v>2</v>
      </c>
      <c r="E236" s="53">
        <v>2.7472527472527475E-3</v>
      </c>
    </row>
    <row r="237" spans="2:5" ht="15" customHeight="1">
      <c r="B237" s="84"/>
      <c r="C237" s="55" t="s">
        <v>347</v>
      </c>
      <c r="D237" s="54">
        <v>1</v>
      </c>
      <c r="E237" s="53">
        <v>1.3736263736263737E-3</v>
      </c>
    </row>
    <row r="238" spans="2:5" ht="15" customHeight="1">
      <c r="B238" s="84"/>
      <c r="C238" s="55" t="s">
        <v>348</v>
      </c>
      <c r="D238" s="54">
        <v>1</v>
      </c>
      <c r="E238" s="53">
        <v>1.3736263736263737E-3</v>
      </c>
    </row>
    <row r="239" spans="2:5" ht="15" customHeight="1">
      <c r="B239" s="84"/>
      <c r="C239" s="55" t="s">
        <v>75</v>
      </c>
      <c r="D239" s="54">
        <v>3</v>
      </c>
      <c r="E239" s="53">
        <v>4.120879120879121E-3</v>
      </c>
    </row>
    <row r="240" spans="2:5" ht="15" customHeight="1">
      <c r="B240" s="85"/>
      <c r="C240" s="51" t="s">
        <v>15</v>
      </c>
      <c r="D240" s="50">
        <v>44</v>
      </c>
      <c r="E240" s="49">
        <v>6.043956043956044E-2</v>
      </c>
    </row>
    <row r="241" spans="2:5" ht="15" customHeight="1">
      <c r="B241" s="83" t="s">
        <v>38</v>
      </c>
      <c r="C241" s="55" t="s">
        <v>349</v>
      </c>
      <c r="D241" s="54">
        <v>2</v>
      </c>
      <c r="E241" s="53">
        <v>2.7472527472527475E-3</v>
      </c>
    </row>
    <row r="242" spans="2:5" ht="15" customHeight="1">
      <c r="B242" s="84"/>
      <c r="C242" s="55" t="s">
        <v>74</v>
      </c>
      <c r="D242" s="54">
        <v>18</v>
      </c>
      <c r="E242" s="53">
        <v>2.4725274725274724E-2</v>
      </c>
    </row>
    <row r="243" spans="2:5" ht="15" customHeight="1">
      <c r="B243" s="84"/>
      <c r="C243" s="55" t="s">
        <v>73</v>
      </c>
      <c r="D243" s="54">
        <v>1</v>
      </c>
      <c r="E243" s="53">
        <v>1.3736263736263737E-3</v>
      </c>
    </row>
    <row r="244" spans="2:5" ht="15" customHeight="1">
      <c r="B244" s="84"/>
      <c r="C244" s="55" t="s">
        <v>72</v>
      </c>
      <c r="D244" s="54">
        <v>1</v>
      </c>
      <c r="E244" s="53">
        <v>1.3736263736263737E-3</v>
      </c>
    </row>
    <row r="245" spans="2:5" ht="15" customHeight="1">
      <c r="B245" s="84"/>
      <c r="C245" s="55" t="s">
        <v>350</v>
      </c>
      <c r="D245" s="54">
        <v>1</v>
      </c>
      <c r="E245" s="53">
        <v>1.3736263736263737E-3</v>
      </c>
    </row>
    <row r="246" spans="2:5" ht="15" customHeight="1">
      <c r="B246" s="84"/>
      <c r="C246" s="55" t="s">
        <v>202</v>
      </c>
      <c r="D246" s="54">
        <v>1</v>
      </c>
      <c r="E246" s="53">
        <v>1.3736263736263737E-3</v>
      </c>
    </row>
    <row r="247" spans="2:5" ht="15" customHeight="1">
      <c r="B247" s="84"/>
      <c r="C247" s="55" t="s">
        <v>203</v>
      </c>
      <c r="D247" s="54">
        <v>4</v>
      </c>
      <c r="E247" s="53">
        <v>5.4945054945054949E-3</v>
      </c>
    </row>
    <row r="248" spans="2:5" ht="15" customHeight="1">
      <c r="B248" s="84"/>
      <c r="C248" s="55" t="s">
        <v>351</v>
      </c>
      <c r="D248" s="54">
        <v>1</v>
      </c>
      <c r="E248" s="53">
        <v>1.3736263736263737E-3</v>
      </c>
    </row>
    <row r="249" spans="2:5" ht="15" customHeight="1">
      <c r="B249" s="84"/>
      <c r="C249" s="55" t="s">
        <v>204</v>
      </c>
      <c r="D249" s="54">
        <v>2</v>
      </c>
      <c r="E249" s="53">
        <v>2.7472527472527475E-3</v>
      </c>
    </row>
    <row r="250" spans="2:5" ht="15" customHeight="1">
      <c r="B250" s="84"/>
      <c r="C250" s="55" t="s">
        <v>71</v>
      </c>
      <c r="D250" s="54">
        <v>3</v>
      </c>
      <c r="E250" s="53">
        <v>4.120879120879121E-3</v>
      </c>
    </row>
    <row r="251" spans="2:5" ht="15" customHeight="1">
      <c r="B251" s="84"/>
      <c r="C251" s="55" t="s">
        <v>352</v>
      </c>
      <c r="D251" s="54">
        <v>1</v>
      </c>
      <c r="E251" s="53">
        <v>1.3736263736263737E-3</v>
      </c>
    </row>
    <row r="252" spans="2:5" ht="15" customHeight="1">
      <c r="B252" s="84"/>
      <c r="C252" s="55" t="s">
        <v>70</v>
      </c>
      <c r="D252" s="54">
        <v>1</v>
      </c>
      <c r="E252" s="53">
        <v>1.3736263736263737E-3</v>
      </c>
    </row>
    <row r="253" spans="2:5" ht="15" customHeight="1">
      <c r="B253" s="84"/>
      <c r="C253" s="55" t="s">
        <v>353</v>
      </c>
      <c r="D253" s="54">
        <v>1</v>
      </c>
      <c r="E253" s="53">
        <v>1.3736263736263737E-3</v>
      </c>
    </row>
    <row r="254" spans="2:5" ht="15" customHeight="1">
      <c r="B254" s="84"/>
      <c r="C254" s="55" t="s">
        <v>354</v>
      </c>
      <c r="D254" s="54">
        <v>1</v>
      </c>
      <c r="E254" s="53">
        <v>1.3736263736263737E-3</v>
      </c>
    </row>
    <row r="255" spans="2:5" ht="15" customHeight="1">
      <c r="B255" s="84"/>
      <c r="C255" s="55" t="s">
        <v>69</v>
      </c>
      <c r="D255" s="54">
        <v>2</v>
      </c>
      <c r="E255" s="53">
        <v>2.7472527472527475E-3</v>
      </c>
    </row>
    <row r="256" spans="2:5" ht="15" customHeight="1">
      <c r="B256" s="84"/>
      <c r="C256" s="55" t="s">
        <v>38</v>
      </c>
      <c r="D256" s="54">
        <v>12</v>
      </c>
      <c r="E256" s="53">
        <v>1.6483516483516484E-2</v>
      </c>
    </row>
    <row r="257" spans="2:5" ht="15" customHeight="1">
      <c r="B257" s="84"/>
      <c r="C257" s="55" t="s">
        <v>68</v>
      </c>
      <c r="D257" s="54">
        <v>2</v>
      </c>
      <c r="E257" s="53">
        <v>2.7472527472527475E-3</v>
      </c>
    </row>
    <row r="258" spans="2:5" ht="15" customHeight="1">
      <c r="B258" s="84"/>
      <c r="C258" s="55" t="s">
        <v>205</v>
      </c>
      <c r="D258" s="54">
        <v>2</v>
      </c>
      <c r="E258" s="53">
        <v>2.7472527472527475E-3</v>
      </c>
    </row>
    <row r="259" spans="2:5" ht="15" customHeight="1">
      <c r="B259" s="84"/>
      <c r="C259" s="55" t="s">
        <v>355</v>
      </c>
      <c r="D259" s="54">
        <v>1</v>
      </c>
      <c r="E259" s="53">
        <v>1.3736263736263737E-3</v>
      </c>
    </row>
    <row r="260" spans="2:5" ht="15" customHeight="1">
      <c r="B260" s="84"/>
      <c r="C260" s="55" t="s">
        <v>356</v>
      </c>
      <c r="D260" s="54">
        <v>1</v>
      </c>
      <c r="E260" s="53">
        <v>1.3736263736263737E-3</v>
      </c>
    </row>
    <row r="261" spans="2:5" ht="15" customHeight="1">
      <c r="B261" s="84"/>
      <c r="C261" s="55" t="s">
        <v>357</v>
      </c>
      <c r="D261" s="54">
        <v>1</v>
      </c>
      <c r="E261" s="53">
        <v>1.3736263736263737E-3</v>
      </c>
    </row>
    <row r="262" spans="2:5" ht="15" customHeight="1">
      <c r="B262" s="84"/>
      <c r="C262" s="55" t="s">
        <v>358</v>
      </c>
      <c r="D262" s="54">
        <v>5</v>
      </c>
      <c r="E262" s="53">
        <v>6.868131868131868E-3</v>
      </c>
    </row>
    <row r="263" spans="2:5" ht="15" customHeight="1">
      <c r="B263" s="84"/>
      <c r="C263" s="55" t="s">
        <v>67</v>
      </c>
      <c r="D263" s="54">
        <v>5</v>
      </c>
      <c r="E263" s="53">
        <v>6.868131868131868E-3</v>
      </c>
    </row>
    <row r="264" spans="2:5" ht="15" customHeight="1">
      <c r="B264" s="84"/>
      <c r="C264" s="55" t="s">
        <v>359</v>
      </c>
      <c r="D264" s="54">
        <v>1</v>
      </c>
      <c r="E264" s="53">
        <v>1.3736263736263737E-3</v>
      </c>
    </row>
    <row r="265" spans="2:5" ht="15" customHeight="1">
      <c r="B265" s="84"/>
      <c r="C265" s="55" t="s">
        <v>66</v>
      </c>
      <c r="D265" s="54">
        <v>1</v>
      </c>
      <c r="E265" s="53">
        <v>1.3736263736263737E-3</v>
      </c>
    </row>
    <row r="266" spans="2:5" ht="15" customHeight="1">
      <c r="B266" s="84"/>
      <c r="C266" s="55" t="s">
        <v>65</v>
      </c>
      <c r="D266" s="54">
        <v>2</v>
      </c>
      <c r="E266" s="53">
        <v>2.7472527472527475E-3</v>
      </c>
    </row>
    <row r="267" spans="2:5" ht="15" customHeight="1">
      <c r="B267" s="84"/>
      <c r="C267" s="55" t="s">
        <v>206</v>
      </c>
      <c r="D267" s="54">
        <v>1</v>
      </c>
      <c r="E267" s="53">
        <v>1.3736263736263737E-3</v>
      </c>
    </row>
    <row r="268" spans="2:5" ht="15" customHeight="1">
      <c r="B268" s="84"/>
      <c r="C268" s="55" t="s">
        <v>360</v>
      </c>
      <c r="D268" s="54">
        <v>4</v>
      </c>
      <c r="E268" s="53">
        <v>5.4945054945054949E-3</v>
      </c>
    </row>
    <row r="269" spans="2:5" ht="15" customHeight="1">
      <c r="B269" s="84"/>
      <c r="C269" s="55" t="s">
        <v>361</v>
      </c>
      <c r="D269" s="54">
        <v>1</v>
      </c>
      <c r="E269" s="53">
        <v>1.3736263736263737E-3</v>
      </c>
    </row>
    <row r="270" spans="2:5" ht="15" customHeight="1">
      <c r="B270" s="84"/>
      <c r="C270" s="55" t="s">
        <v>362</v>
      </c>
      <c r="D270" s="54">
        <v>1</v>
      </c>
      <c r="E270" s="53">
        <v>1.3736263736263737E-3</v>
      </c>
    </row>
    <row r="271" spans="2:5" ht="15" customHeight="1">
      <c r="B271" s="84"/>
      <c r="C271" s="55" t="s">
        <v>363</v>
      </c>
      <c r="D271" s="54">
        <v>1</v>
      </c>
      <c r="E271" s="53">
        <v>1.3736263736263737E-3</v>
      </c>
    </row>
    <row r="272" spans="2:5" ht="15" customHeight="1">
      <c r="B272" s="84"/>
      <c r="C272" s="55" t="s">
        <v>364</v>
      </c>
      <c r="D272" s="54">
        <v>1</v>
      </c>
      <c r="E272" s="53">
        <v>1.3736263736263737E-3</v>
      </c>
    </row>
    <row r="273" spans="2:5" ht="15" customHeight="1">
      <c r="B273" s="84"/>
      <c r="C273" s="55" t="s">
        <v>365</v>
      </c>
      <c r="D273" s="54">
        <v>1</v>
      </c>
      <c r="E273" s="53">
        <v>1.3736263736263737E-3</v>
      </c>
    </row>
    <row r="274" spans="2:5" ht="15" customHeight="1">
      <c r="B274" s="85"/>
      <c r="C274" s="51" t="s">
        <v>15</v>
      </c>
      <c r="D274" s="50">
        <v>83</v>
      </c>
      <c r="E274" s="49">
        <v>0.11401098901098901</v>
      </c>
    </row>
    <row r="275" spans="2:5" ht="15" customHeight="1">
      <c r="B275" s="83" t="s">
        <v>32</v>
      </c>
      <c r="C275" s="55" t="s">
        <v>64</v>
      </c>
      <c r="D275" s="54">
        <v>1</v>
      </c>
      <c r="E275" s="53">
        <v>1.3736263736263737E-3</v>
      </c>
    </row>
    <row r="276" spans="2:5" ht="15" customHeight="1">
      <c r="B276" s="84"/>
      <c r="C276" s="55" t="s">
        <v>366</v>
      </c>
      <c r="D276" s="54">
        <v>1</v>
      </c>
      <c r="E276" s="53">
        <v>1.3736263736263737E-3</v>
      </c>
    </row>
    <row r="277" spans="2:5" ht="15" customHeight="1">
      <c r="B277" s="84"/>
      <c r="C277" s="55" t="s">
        <v>367</v>
      </c>
      <c r="D277" s="54">
        <v>1</v>
      </c>
      <c r="E277" s="53">
        <v>1.3736263736263737E-3</v>
      </c>
    </row>
    <row r="278" spans="2:5" ht="15" customHeight="1">
      <c r="B278" s="84"/>
      <c r="C278" s="55" t="s">
        <v>368</v>
      </c>
      <c r="D278" s="54">
        <v>1</v>
      </c>
      <c r="E278" s="53">
        <v>1.3736263736263737E-3</v>
      </c>
    </row>
    <row r="279" spans="2:5" ht="15" customHeight="1">
      <c r="B279" s="84"/>
      <c r="C279" s="55" t="s">
        <v>32</v>
      </c>
      <c r="D279" s="54">
        <v>3</v>
      </c>
      <c r="E279" s="53">
        <v>4.120879120879121E-3</v>
      </c>
    </row>
    <row r="280" spans="2:5" ht="15" customHeight="1">
      <c r="B280" s="84"/>
      <c r="C280" s="55" t="s">
        <v>369</v>
      </c>
      <c r="D280" s="54">
        <v>1</v>
      </c>
      <c r="E280" s="53">
        <v>1.3736263736263737E-3</v>
      </c>
    </row>
    <row r="281" spans="2:5" ht="15" customHeight="1">
      <c r="B281" s="85"/>
      <c r="C281" s="51" t="s">
        <v>15</v>
      </c>
      <c r="D281" s="50">
        <v>8</v>
      </c>
      <c r="E281" s="49">
        <v>1.098901098901099E-2</v>
      </c>
    </row>
    <row r="282" spans="2:5" ht="15" customHeight="1">
      <c r="B282" s="83" t="s">
        <v>31</v>
      </c>
      <c r="C282" s="55" t="s">
        <v>370</v>
      </c>
      <c r="D282" s="54">
        <v>1</v>
      </c>
      <c r="E282" s="53">
        <v>1.3736263736263737E-3</v>
      </c>
    </row>
    <row r="283" spans="2:5" ht="15" customHeight="1">
      <c r="B283" s="84"/>
      <c r="C283" s="55" t="s">
        <v>210</v>
      </c>
      <c r="D283" s="54">
        <v>1</v>
      </c>
      <c r="E283" s="53">
        <v>1.3736263736263737E-3</v>
      </c>
    </row>
    <row r="284" spans="2:5" ht="15" customHeight="1">
      <c r="B284" s="84"/>
      <c r="C284" s="55" t="s">
        <v>207</v>
      </c>
      <c r="D284" s="54">
        <v>1</v>
      </c>
      <c r="E284" s="53">
        <v>1.3736263736263737E-3</v>
      </c>
    </row>
    <row r="285" spans="2:5" ht="15" customHeight="1">
      <c r="B285" s="84"/>
      <c r="C285" s="55" t="s">
        <v>371</v>
      </c>
      <c r="D285" s="54">
        <v>1</v>
      </c>
      <c r="E285" s="53">
        <v>1.3736263736263737E-3</v>
      </c>
    </row>
    <row r="286" spans="2:5" ht="15" customHeight="1">
      <c r="B286" s="84"/>
      <c r="C286" s="55" t="s">
        <v>372</v>
      </c>
      <c r="D286" s="54">
        <v>1</v>
      </c>
      <c r="E286" s="53">
        <v>1.3736263736263737E-3</v>
      </c>
    </row>
    <row r="287" spans="2:5" ht="15" customHeight="1">
      <c r="B287" s="84"/>
      <c r="C287" s="55" t="s">
        <v>373</v>
      </c>
      <c r="D287" s="54">
        <v>2</v>
      </c>
      <c r="E287" s="53">
        <v>2.7472527472527475E-3</v>
      </c>
    </row>
    <row r="288" spans="2:5" ht="15" customHeight="1">
      <c r="B288" s="84"/>
      <c r="C288" s="55" t="s">
        <v>63</v>
      </c>
      <c r="D288" s="54">
        <v>13</v>
      </c>
      <c r="E288" s="53">
        <v>1.7857142857142856E-2</v>
      </c>
    </row>
    <row r="289" spans="2:5" ht="15" customHeight="1">
      <c r="B289" s="84"/>
      <c r="C289" s="55" t="s">
        <v>31</v>
      </c>
      <c r="D289" s="54">
        <v>3</v>
      </c>
      <c r="E289" s="53">
        <v>4.120879120879121E-3</v>
      </c>
    </row>
    <row r="290" spans="2:5" ht="15" customHeight="1">
      <c r="B290" s="84"/>
      <c r="C290" s="55" t="s">
        <v>374</v>
      </c>
      <c r="D290" s="54">
        <v>1</v>
      </c>
      <c r="E290" s="53">
        <v>1.3736263736263737E-3</v>
      </c>
    </row>
    <row r="291" spans="2:5" ht="15" customHeight="1">
      <c r="B291" s="84"/>
      <c r="C291" s="55" t="s">
        <v>62</v>
      </c>
      <c r="D291" s="54">
        <v>3</v>
      </c>
      <c r="E291" s="53">
        <v>4.120879120879121E-3</v>
      </c>
    </row>
    <row r="292" spans="2:5" ht="15" customHeight="1">
      <c r="B292" s="85"/>
      <c r="C292" s="51" t="s">
        <v>15</v>
      </c>
      <c r="D292" s="50">
        <v>27</v>
      </c>
      <c r="E292" s="49">
        <v>3.7087912087912088E-2</v>
      </c>
    </row>
    <row r="293" spans="2:5" ht="15" customHeight="1">
      <c r="B293" s="83" t="s">
        <v>17</v>
      </c>
      <c r="C293" s="55" t="s">
        <v>208</v>
      </c>
      <c r="D293" s="54">
        <v>1</v>
      </c>
      <c r="E293" s="53">
        <v>1.3736263736263737E-3</v>
      </c>
    </row>
    <row r="294" spans="2:5" ht="15" customHeight="1">
      <c r="B294" s="84"/>
      <c r="C294" s="55" t="s">
        <v>375</v>
      </c>
      <c r="D294" s="54">
        <v>1</v>
      </c>
      <c r="E294" s="53">
        <v>1.3736263736263737E-3</v>
      </c>
    </row>
    <row r="295" spans="2:5" ht="15" customHeight="1">
      <c r="B295" s="84"/>
      <c r="C295" s="55" t="s">
        <v>61</v>
      </c>
      <c r="D295" s="54">
        <v>3</v>
      </c>
      <c r="E295" s="53">
        <v>4.120879120879121E-3</v>
      </c>
    </row>
    <row r="296" spans="2:5" ht="15" customHeight="1">
      <c r="B296" s="84"/>
      <c r="C296" s="55" t="s">
        <v>376</v>
      </c>
      <c r="D296" s="54">
        <v>2</v>
      </c>
      <c r="E296" s="53">
        <v>2.7472527472527475E-3</v>
      </c>
    </row>
    <row r="297" spans="2:5" ht="15" customHeight="1">
      <c r="B297" s="84"/>
      <c r="C297" s="55" t="s">
        <v>377</v>
      </c>
      <c r="D297" s="54">
        <v>1</v>
      </c>
      <c r="E297" s="53">
        <v>1.3736263736263737E-3</v>
      </c>
    </row>
    <row r="298" spans="2:5" ht="15" customHeight="1">
      <c r="B298" s="85"/>
      <c r="C298" s="51" t="s">
        <v>15</v>
      </c>
      <c r="D298" s="50">
        <v>8</v>
      </c>
      <c r="E298" s="49">
        <v>1.098901098901099E-2</v>
      </c>
    </row>
    <row r="299" spans="2:5" ht="15" customHeight="1">
      <c r="B299" s="83" t="s">
        <v>29</v>
      </c>
      <c r="C299" s="55" t="s">
        <v>378</v>
      </c>
      <c r="D299" s="54">
        <v>1</v>
      </c>
      <c r="E299" s="53">
        <v>1.3736263736263737E-3</v>
      </c>
    </row>
    <row r="300" spans="2:5" ht="15" customHeight="1">
      <c r="B300" s="84"/>
      <c r="C300" s="55" t="s">
        <v>379</v>
      </c>
      <c r="D300" s="54">
        <v>6</v>
      </c>
      <c r="E300" s="53">
        <v>8.241758241758242E-3</v>
      </c>
    </row>
    <row r="301" spans="2:5" ht="15" customHeight="1">
      <c r="B301" s="84"/>
      <c r="C301" s="55" t="s">
        <v>209</v>
      </c>
      <c r="D301" s="54">
        <v>2</v>
      </c>
      <c r="E301" s="53">
        <v>2.7472527472527475E-3</v>
      </c>
    </row>
    <row r="302" spans="2:5" ht="15" customHeight="1">
      <c r="B302" s="84"/>
      <c r="C302" s="55" t="s">
        <v>380</v>
      </c>
      <c r="D302" s="54">
        <v>1</v>
      </c>
      <c r="E302" s="53">
        <v>1.3736263736263737E-3</v>
      </c>
    </row>
    <row r="303" spans="2:5" ht="15" customHeight="1">
      <c r="B303" s="84"/>
      <c r="C303" s="55" t="s">
        <v>381</v>
      </c>
      <c r="D303" s="54">
        <v>1</v>
      </c>
      <c r="E303" s="53">
        <v>1.3736263736263737E-3</v>
      </c>
    </row>
    <row r="304" spans="2:5" ht="15" customHeight="1">
      <c r="B304" s="85"/>
      <c r="C304" s="51" t="s">
        <v>15</v>
      </c>
      <c r="D304" s="50">
        <v>11</v>
      </c>
      <c r="E304" s="49">
        <v>1.510989010989011E-2</v>
      </c>
    </row>
    <row r="305" spans="2:5" ht="15" customHeight="1">
      <c r="B305" s="83" t="s">
        <v>21</v>
      </c>
      <c r="C305" s="55" t="s">
        <v>60</v>
      </c>
      <c r="D305" s="54">
        <v>2</v>
      </c>
      <c r="E305" s="53">
        <v>2.7472527472527475E-3</v>
      </c>
    </row>
    <row r="306" spans="2:5" ht="15" customHeight="1">
      <c r="B306" s="84"/>
      <c r="C306" s="55" t="s">
        <v>210</v>
      </c>
      <c r="D306" s="54">
        <v>2</v>
      </c>
      <c r="E306" s="53">
        <v>2.7472527472527475E-3</v>
      </c>
    </row>
    <row r="307" spans="2:5" ht="15" customHeight="1">
      <c r="B307" s="84"/>
      <c r="C307" s="55" t="s">
        <v>382</v>
      </c>
      <c r="D307" s="54">
        <v>1</v>
      </c>
      <c r="E307" s="53">
        <v>1.3736263736263737E-3</v>
      </c>
    </row>
    <row r="308" spans="2:5" ht="15" customHeight="1">
      <c r="B308" s="84"/>
      <c r="C308" s="55" t="s">
        <v>383</v>
      </c>
      <c r="D308" s="54">
        <v>1</v>
      </c>
      <c r="E308" s="53">
        <v>1.3736263736263737E-3</v>
      </c>
    </row>
    <row r="309" spans="2:5" ht="15" customHeight="1">
      <c r="B309" s="84"/>
      <c r="C309" s="55" t="s">
        <v>384</v>
      </c>
      <c r="D309" s="54">
        <v>1</v>
      </c>
      <c r="E309" s="53">
        <v>1.3736263736263737E-3</v>
      </c>
    </row>
    <row r="310" spans="2:5" ht="15" customHeight="1">
      <c r="B310" s="85"/>
      <c r="C310" s="51" t="s">
        <v>15</v>
      </c>
      <c r="D310" s="50">
        <v>7</v>
      </c>
      <c r="E310" s="49">
        <v>9.6153846153846159E-3</v>
      </c>
    </row>
    <row r="311" spans="2:5" ht="15" customHeight="1">
      <c r="B311" s="83" t="s">
        <v>27</v>
      </c>
      <c r="C311" s="55" t="s">
        <v>270</v>
      </c>
      <c r="D311" s="54">
        <v>1</v>
      </c>
      <c r="E311" s="53">
        <v>1.3736263736263737E-3</v>
      </c>
    </row>
    <row r="312" spans="2:5" ht="15" customHeight="1">
      <c r="B312" s="84"/>
      <c r="C312" s="55" t="s">
        <v>211</v>
      </c>
      <c r="D312" s="54">
        <v>2</v>
      </c>
      <c r="E312" s="53">
        <v>2.7472527472527475E-3</v>
      </c>
    </row>
    <row r="313" spans="2:5" ht="15" customHeight="1">
      <c r="B313" s="84"/>
      <c r="C313" s="55" t="s">
        <v>385</v>
      </c>
      <c r="D313" s="54">
        <v>3</v>
      </c>
      <c r="E313" s="53">
        <v>4.120879120879121E-3</v>
      </c>
    </row>
    <row r="314" spans="2:5" ht="15" customHeight="1">
      <c r="B314" s="84"/>
      <c r="C314" s="55" t="s">
        <v>386</v>
      </c>
      <c r="D314" s="54">
        <v>1</v>
      </c>
      <c r="E314" s="53">
        <v>1.3736263736263737E-3</v>
      </c>
    </row>
    <row r="315" spans="2:5" ht="15" customHeight="1">
      <c r="B315" s="84"/>
      <c r="C315" s="55" t="s">
        <v>59</v>
      </c>
      <c r="D315" s="54">
        <v>5</v>
      </c>
      <c r="E315" s="53">
        <v>6.868131868131868E-3</v>
      </c>
    </row>
    <row r="316" spans="2:5" ht="15" customHeight="1">
      <c r="B316" s="84"/>
      <c r="C316" s="55" t="s">
        <v>387</v>
      </c>
      <c r="D316" s="54">
        <v>1</v>
      </c>
      <c r="E316" s="53">
        <v>1.3736263736263737E-3</v>
      </c>
    </row>
    <row r="317" spans="2:5" ht="15" customHeight="1">
      <c r="B317" s="85"/>
      <c r="C317" s="51" t="s">
        <v>15</v>
      </c>
      <c r="D317" s="50">
        <v>13</v>
      </c>
      <c r="E317" s="49">
        <v>1.7857142857142856E-2</v>
      </c>
    </row>
    <row r="318" spans="2:5" ht="15" customHeight="1">
      <c r="B318" s="83" t="s">
        <v>26</v>
      </c>
      <c r="C318" s="55" t="s">
        <v>58</v>
      </c>
      <c r="D318" s="54">
        <v>1</v>
      </c>
      <c r="E318" s="53">
        <v>1.3736263736263737E-3</v>
      </c>
    </row>
    <row r="319" spans="2:5" ht="15" customHeight="1">
      <c r="B319" s="84"/>
      <c r="C319" s="55" t="s">
        <v>388</v>
      </c>
      <c r="D319" s="54">
        <v>1</v>
      </c>
      <c r="E319" s="53">
        <v>1.3736263736263737E-3</v>
      </c>
    </row>
    <row r="320" spans="2:5" ht="15" customHeight="1">
      <c r="B320" s="84"/>
      <c r="C320" s="55" t="s">
        <v>26</v>
      </c>
      <c r="D320" s="54">
        <v>1</v>
      </c>
      <c r="E320" s="53">
        <v>1.3736263736263737E-3</v>
      </c>
    </row>
    <row r="321" spans="2:5" ht="15" customHeight="1">
      <c r="B321" s="84"/>
      <c r="C321" s="55" t="s">
        <v>389</v>
      </c>
      <c r="D321" s="54">
        <v>1</v>
      </c>
      <c r="E321" s="53">
        <v>1.3736263736263737E-3</v>
      </c>
    </row>
    <row r="322" spans="2:5" ht="15" customHeight="1">
      <c r="B322" s="84"/>
      <c r="C322" s="55" t="s">
        <v>390</v>
      </c>
      <c r="D322" s="54">
        <v>1</v>
      </c>
      <c r="E322" s="53">
        <v>1.3736263736263737E-3</v>
      </c>
    </row>
    <row r="323" spans="2:5" ht="15" customHeight="1">
      <c r="B323" s="85"/>
      <c r="C323" s="51" t="s">
        <v>15</v>
      </c>
      <c r="D323" s="50">
        <v>5</v>
      </c>
      <c r="E323" s="49">
        <v>6.868131868131868E-3</v>
      </c>
    </row>
    <row r="324" spans="2:5" ht="15" customHeight="1">
      <c r="B324" s="83" t="s">
        <v>39</v>
      </c>
      <c r="C324" s="55" t="s">
        <v>56</v>
      </c>
      <c r="D324" s="54">
        <v>4</v>
      </c>
      <c r="E324" s="53">
        <v>5.4945054945054949E-3</v>
      </c>
    </row>
    <row r="325" spans="2:5" ht="15" customHeight="1">
      <c r="B325" s="84"/>
      <c r="C325" s="55" t="s">
        <v>391</v>
      </c>
      <c r="D325" s="54">
        <v>1</v>
      </c>
      <c r="E325" s="53">
        <v>1.3736263736263737E-3</v>
      </c>
    </row>
    <row r="326" spans="2:5" ht="15" customHeight="1">
      <c r="B326" s="84"/>
      <c r="C326" s="55" t="s">
        <v>392</v>
      </c>
      <c r="D326" s="54">
        <v>1</v>
      </c>
      <c r="E326" s="53">
        <v>1.3736263736263737E-3</v>
      </c>
    </row>
    <row r="327" spans="2:5" ht="15" customHeight="1">
      <c r="B327" s="84"/>
      <c r="C327" s="55" t="s">
        <v>55</v>
      </c>
      <c r="D327" s="54">
        <v>2</v>
      </c>
      <c r="E327" s="53">
        <v>2.7472527472527475E-3</v>
      </c>
    </row>
    <row r="328" spans="2:5" ht="15" customHeight="1">
      <c r="B328" s="84"/>
      <c r="C328" s="55" t="s">
        <v>212</v>
      </c>
      <c r="D328" s="54">
        <v>1</v>
      </c>
      <c r="E328" s="53">
        <v>1.3736263736263737E-3</v>
      </c>
    </row>
    <row r="329" spans="2:5" ht="15" customHeight="1">
      <c r="B329" s="84"/>
      <c r="C329" s="55" t="s">
        <v>393</v>
      </c>
      <c r="D329" s="54">
        <v>1</v>
      </c>
      <c r="E329" s="53">
        <v>1.3736263736263737E-3</v>
      </c>
    </row>
    <row r="330" spans="2:5" ht="15" customHeight="1">
      <c r="B330" s="84"/>
      <c r="C330" s="55" t="s">
        <v>394</v>
      </c>
      <c r="D330" s="54">
        <v>1</v>
      </c>
      <c r="E330" s="53">
        <v>1.3736263736263737E-3</v>
      </c>
    </row>
    <row r="331" spans="2:5" ht="15" customHeight="1">
      <c r="B331" s="84"/>
      <c r="C331" s="55" t="s">
        <v>213</v>
      </c>
      <c r="D331" s="54">
        <v>4</v>
      </c>
      <c r="E331" s="53">
        <v>5.4945054945054949E-3</v>
      </c>
    </row>
    <row r="332" spans="2:5" ht="15" customHeight="1">
      <c r="B332" s="84"/>
      <c r="C332" s="55" t="s">
        <v>54</v>
      </c>
      <c r="D332" s="54">
        <v>2</v>
      </c>
      <c r="E332" s="53">
        <v>2.7472527472527475E-3</v>
      </c>
    </row>
    <row r="333" spans="2:5" ht="15" customHeight="1">
      <c r="B333" s="84"/>
      <c r="C333" s="55" t="s">
        <v>53</v>
      </c>
      <c r="D333" s="54">
        <v>4</v>
      </c>
      <c r="E333" s="53">
        <v>5.4945054945054949E-3</v>
      </c>
    </row>
    <row r="334" spans="2:5" ht="15" customHeight="1">
      <c r="B334" s="84"/>
      <c r="C334" s="55" t="s">
        <v>395</v>
      </c>
      <c r="D334" s="54">
        <v>1</v>
      </c>
      <c r="E334" s="53">
        <v>1.3736263736263737E-3</v>
      </c>
    </row>
    <row r="335" spans="2:5" ht="15" customHeight="1">
      <c r="B335" s="84"/>
      <c r="C335" s="55" t="s">
        <v>396</v>
      </c>
      <c r="D335" s="54">
        <v>1</v>
      </c>
      <c r="E335" s="53">
        <v>1.3736263736263737E-3</v>
      </c>
    </row>
    <row r="336" spans="2:5" ht="15" customHeight="1">
      <c r="B336" s="84"/>
      <c r="C336" s="55" t="s">
        <v>397</v>
      </c>
      <c r="D336" s="54">
        <v>1</v>
      </c>
      <c r="E336" s="53">
        <v>1.3736263736263737E-3</v>
      </c>
    </row>
    <row r="337" spans="2:5" ht="15" customHeight="1">
      <c r="B337" s="84"/>
      <c r="C337" s="55" t="s">
        <v>52</v>
      </c>
      <c r="D337" s="54">
        <v>1</v>
      </c>
      <c r="E337" s="53">
        <v>1.3736263736263737E-3</v>
      </c>
    </row>
    <row r="338" spans="2:5" ht="15" customHeight="1">
      <c r="B338" s="84"/>
      <c r="C338" s="55" t="s">
        <v>51</v>
      </c>
      <c r="D338" s="54">
        <v>1</v>
      </c>
      <c r="E338" s="53">
        <v>1.3736263736263737E-3</v>
      </c>
    </row>
    <row r="339" spans="2:5" ht="15" customHeight="1">
      <c r="B339" s="84"/>
      <c r="C339" s="55" t="s">
        <v>398</v>
      </c>
      <c r="D339" s="54">
        <v>1</v>
      </c>
      <c r="E339" s="53">
        <v>1.3736263736263737E-3</v>
      </c>
    </row>
    <row r="340" spans="2:5" ht="15" customHeight="1">
      <c r="B340" s="84"/>
      <c r="C340" s="55" t="s">
        <v>399</v>
      </c>
      <c r="D340" s="54">
        <v>1</v>
      </c>
      <c r="E340" s="53">
        <v>1.3736263736263737E-3</v>
      </c>
    </row>
    <row r="341" spans="2:5" ht="15" customHeight="1">
      <c r="B341" s="84"/>
      <c r="C341" s="55" t="s">
        <v>400</v>
      </c>
      <c r="D341" s="54">
        <v>1</v>
      </c>
      <c r="E341" s="53">
        <v>1.3736263736263737E-3</v>
      </c>
    </row>
    <row r="342" spans="2:5" ht="15" customHeight="1">
      <c r="B342" s="84"/>
      <c r="C342" s="55" t="s">
        <v>401</v>
      </c>
      <c r="D342" s="54">
        <v>1</v>
      </c>
      <c r="E342" s="53">
        <v>1.3736263736263737E-3</v>
      </c>
    </row>
    <row r="343" spans="2:5" ht="15" customHeight="1">
      <c r="B343" s="84"/>
      <c r="C343" s="55" t="s">
        <v>214</v>
      </c>
      <c r="D343" s="54">
        <v>1</v>
      </c>
      <c r="E343" s="53">
        <v>1.3736263736263737E-3</v>
      </c>
    </row>
    <row r="344" spans="2:5" ht="15" customHeight="1">
      <c r="B344" s="84"/>
      <c r="C344" s="55" t="s">
        <v>50</v>
      </c>
      <c r="D344" s="54">
        <v>1</v>
      </c>
      <c r="E344" s="53">
        <v>1.3736263736263737E-3</v>
      </c>
    </row>
    <row r="345" spans="2:5" ht="15" customHeight="1">
      <c r="B345" s="84"/>
      <c r="C345" s="55" t="s">
        <v>402</v>
      </c>
      <c r="D345" s="54">
        <v>1</v>
      </c>
      <c r="E345" s="53">
        <v>1.3736263736263737E-3</v>
      </c>
    </row>
    <row r="346" spans="2:5" ht="15" customHeight="1">
      <c r="B346" s="84"/>
      <c r="C346" s="55" t="s">
        <v>49</v>
      </c>
      <c r="D346" s="54">
        <v>3</v>
      </c>
      <c r="E346" s="53">
        <v>4.120879120879121E-3</v>
      </c>
    </row>
    <row r="347" spans="2:5" ht="15" customHeight="1">
      <c r="B347" s="84"/>
      <c r="C347" s="55" t="s">
        <v>48</v>
      </c>
      <c r="D347" s="54">
        <v>2</v>
      </c>
      <c r="E347" s="53">
        <v>2.7472527472527475E-3</v>
      </c>
    </row>
    <row r="348" spans="2:5" ht="15" customHeight="1">
      <c r="B348" s="84"/>
      <c r="C348" s="55" t="s">
        <v>403</v>
      </c>
      <c r="D348" s="54">
        <v>1</v>
      </c>
      <c r="E348" s="53">
        <v>1.3736263736263737E-3</v>
      </c>
    </row>
    <row r="349" spans="2:5" ht="15" customHeight="1">
      <c r="B349" s="84"/>
      <c r="C349" s="55" t="s">
        <v>39</v>
      </c>
      <c r="D349" s="54">
        <v>5</v>
      </c>
      <c r="E349" s="53">
        <v>6.868131868131868E-3</v>
      </c>
    </row>
    <row r="350" spans="2:5" ht="15" customHeight="1">
      <c r="B350" s="84"/>
      <c r="C350" s="55" t="s">
        <v>404</v>
      </c>
      <c r="D350" s="54">
        <v>5</v>
      </c>
      <c r="E350" s="53">
        <v>6.868131868131868E-3</v>
      </c>
    </row>
    <row r="351" spans="2:5" ht="15" customHeight="1">
      <c r="B351" s="84"/>
      <c r="C351" s="55" t="s">
        <v>405</v>
      </c>
      <c r="D351" s="54">
        <v>1</v>
      </c>
      <c r="E351" s="53">
        <v>1.3736263736263737E-3</v>
      </c>
    </row>
    <row r="352" spans="2:5" ht="15" customHeight="1">
      <c r="B352" s="84"/>
      <c r="C352" s="55" t="s">
        <v>406</v>
      </c>
      <c r="D352" s="54">
        <v>2</v>
      </c>
      <c r="E352" s="53">
        <v>2.7472527472527475E-3</v>
      </c>
    </row>
    <row r="353" spans="2:5" ht="15" customHeight="1">
      <c r="B353" s="85"/>
      <c r="C353" s="51" t="s">
        <v>15</v>
      </c>
      <c r="D353" s="50">
        <v>52</v>
      </c>
      <c r="E353" s="49">
        <v>7.1428571428571425E-2</v>
      </c>
    </row>
    <row r="354" spans="2:5" ht="15" customHeight="1">
      <c r="B354" s="83" t="s">
        <v>16</v>
      </c>
      <c r="C354" s="55" t="s">
        <v>407</v>
      </c>
      <c r="D354" s="54">
        <v>1</v>
      </c>
      <c r="E354" s="53">
        <v>1.3736263736263737E-3</v>
      </c>
    </row>
    <row r="355" spans="2:5" ht="15" customHeight="1">
      <c r="B355" s="84"/>
      <c r="C355" s="55" t="s">
        <v>408</v>
      </c>
      <c r="D355" s="54">
        <v>1</v>
      </c>
      <c r="E355" s="53">
        <v>1.3736263736263737E-3</v>
      </c>
    </row>
    <row r="356" spans="2:5" ht="15" customHeight="1">
      <c r="B356" s="84"/>
      <c r="C356" s="55" t="s">
        <v>47</v>
      </c>
      <c r="D356" s="54">
        <v>2</v>
      </c>
      <c r="E356" s="53">
        <v>2.7472527472527475E-3</v>
      </c>
    </row>
    <row r="357" spans="2:5" ht="15" customHeight="1">
      <c r="B357" s="84"/>
      <c r="C357" s="55" t="s">
        <v>409</v>
      </c>
      <c r="D357" s="54">
        <v>1</v>
      </c>
      <c r="E357" s="53">
        <v>1.3736263736263737E-3</v>
      </c>
    </row>
    <row r="358" spans="2:5" ht="15" customHeight="1">
      <c r="B358" s="84"/>
      <c r="C358" s="55" t="s">
        <v>410</v>
      </c>
      <c r="D358" s="54">
        <v>1</v>
      </c>
      <c r="E358" s="53">
        <v>1.3736263736263737E-3</v>
      </c>
    </row>
    <row r="359" spans="2:5" ht="15" customHeight="1">
      <c r="B359" s="84"/>
      <c r="C359" s="55" t="s">
        <v>411</v>
      </c>
      <c r="D359" s="54">
        <v>1</v>
      </c>
      <c r="E359" s="53">
        <v>1.3736263736263737E-3</v>
      </c>
    </row>
    <row r="360" spans="2:5" ht="15" customHeight="1">
      <c r="B360" s="85"/>
      <c r="C360" s="51" t="s">
        <v>15</v>
      </c>
      <c r="D360" s="50">
        <v>7</v>
      </c>
      <c r="E360" s="49">
        <v>9.6153846153846159E-3</v>
      </c>
    </row>
    <row r="361" spans="2:5" ht="15" customHeight="1">
      <c r="B361" s="87" t="s">
        <v>15</v>
      </c>
      <c r="C361" s="88"/>
      <c r="D361" s="69">
        <f>SUMIF(C$10:C360,"Total",D$10:D360)</f>
        <v>728</v>
      </c>
      <c r="E361" s="70">
        <v>1</v>
      </c>
    </row>
    <row r="362" spans="2:5" ht="15" customHeight="1">
      <c r="B362" s="52"/>
      <c r="C362" s="52"/>
      <c r="D362" s="52"/>
      <c r="E362" s="52"/>
    </row>
    <row r="363" spans="2:5" ht="15" customHeight="1">
      <c r="B363" s="66" t="s">
        <v>218</v>
      </c>
      <c r="C363" s="52"/>
      <c r="D363" s="52"/>
      <c r="E363" s="52"/>
    </row>
    <row r="364" spans="2:5" ht="15" customHeight="1">
      <c r="B364" s="68" t="s">
        <v>14</v>
      </c>
      <c r="C364" s="52"/>
      <c r="D364" s="52"/>
      <c r="E364" s="52"/>
    </row>
    <row r="365" spans="2:5" ht="15" customHeight="1">
      <c r="B365" s="67" t="s">
        <v>13</v>
      </c>
      <c r="C365" s="52"/>
      <c r="D365" s="52"/>
      <c r="E365" s="52"/>
    </row>
    <row r="366" spans="2:5" ht="15" customHeight="1">
      <c r="B366" s="66" t="s">
        <v>12</v>
      </c>
      <c r="C366" s="52"/>
      <c r="D366" s="52"/>
      <c r="E366" s="52"/>
    </row>
    <row r="367" spans="2:5" ht="15" customHeight="1">
      <c r="B367" s="66" t="s">
        <v>219</v>
      </c>
      <c r="C367" s="52"/>
      <c r="D367" s="52"/>
      <c r="E367" s="52"/>
    </row>
  </sheetData>
  <mergeCells count="31">
    <mergeCell ref="B311:B317"/>
    <mergeCell ref="B318:B323"/>
    <mergeCell ref="B324:B353"/>
    <mergeCell ref="B354:B360"/>
    <mergeCell ref="B361:C361"/>
    <mergeCell ref="B275:B281"/>
    <mergeCell ref="B282:B292"/>
    <mergeCell ref="B293:B298"/>
    <mergeCell ref="B299:B304"/>
    <mergeCell ref="B305:B310"/>
    <mergeCell ref="B7:E8"/>
    <mergeCell ref="B10:B11"/>
    <mergeCell ref="B12:B15"/>
    <mergeCell ref="B16:B20"/>
    <mergeCell ref="B21:B57"/>
    <mergeCell ref="B58:B60"/>
    <mergeCell ref="B64:B65"/>
    <mergeCell ref="B66:B79"/>
    <mergeCell ref="B61:B63"/>
    <mergeCell ref="B80:B85"/>
    <mergeCell ref="B241:B274"/>
    <mergeCell ref="B86:B110"/>
    <mergeCell ref="B111:B124"/>
    <mergeCell ref="B125:B146"/>
    <mergeCell ref="B147:B161"/>
    <mergeCell ref="B214:B240"/>
    <mergeCell ref="B162:B184"/>
    <mergeCell ref="B185:B201"/>
    <mergeCell ref="B202:B208"/>
    <mergeCell ref="B209:B211"/>
    <mergeCell ref="B212:B213"/>
  </mergeCells>
  <printOptions horizont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92D050"/>
    <pageSetUpPr fitToPage="1"/>
  </sheetPr>
  <dimension ref="A1:D40"/>
  <sheetViews>
    <sheetView showGridLines="0" topLeftCell="A4" zoomScaleNormal="100" zoomScaleSheetLayoutView="115" workbookViewId="0">
      <selection activeCell="B16" sqref="B16"/>
    </sheetView>
  </sheetViews>
  <sheetFormatPr baseColWidth="10" defaultColWidth="11.42578125" defaultRowHeight="15"/>
  <cols>
    <col min="1" max="1" width="9.28515625" style="18" customWidth="1"/>
    <col min="2" max="2" width="30.5703125" style="18" customWidth="1"/>
    <col min="3" max="3" width="17.7109375" style="19" customWidth="1"/>
    <col min="4" max="4" width="17.7109375" style="18" customWidth="1"/>
    <col min="5" max="5" width="9.28515625" style="18" customWidth="1"/>
    <col min="6" max="6" width="5.7109375" style="18" customWidth="1"/>
    <col min="7" max="16384" width="11.42578125" style="18"/>
  </cols>
  <sheetData>
    <row r="1" spans="1:4" s="21" customFormat="1" ht="15" customHeight="1">
      <c r="C1" s="27"/>
    </row>
    <row r="2" spans="1:4" s="21" customFormat="1" ht="15" customHeight="1">
      <c r="C2" s="27"/>
    </row>
    <row r="3" spans="1:4" s="21" customFormat="1" ht="15" customHeight="1">
      <c r="C3" s="27"/>
    </row>
    <row r="4" spans="1:4" s="21" customFormat="1" ht="30" customHeight="1">
      <c r="C4" s="27"/>
      <c r="D4" s="26"/>
    </row>
    <row r="5" spans="1:4" s="21" customFormat="1" ht="15" customHeight="1">
      <c r="C5" s="27"/>
      <c r="D5" s="26"/>
    </row>
    <row r="6" spans="1:4" s="21" customFormat="1" ht="15" customHeight="1">
      <c r="C6" s="27"/>
      <c r="D6" s="26"/>
    </row>
    <row r="7" spans="1:4" s="21" customFormat="1" ht="15" customHeight="1">
      <c r="B7" s="82" t="s">
        <v>156</v>
      </c>
      <c r="C7" s="82"/>
      <c r="D7" s="82"/>
    </row>
    <row r="8" spans="1:4" s="21" customFormat="1" ht="15" customHeight="1">
      <c r="B8" s="82"/>
      <c r="C8" s="82"/>
      <c r="D8" s="82"/>
    </row>
    <row r="9" spans="1:4" s="21" customFormat="1" ht="33" customHeight="1">
      <c r="B9" s="82"/>
      <c r="C9" s="82"/>
      <c r="D9" s="82"/>
    </row>
    <row r="10" spans="1:4" s="21" customFormat="1" ht="4.5" customHeight="1">
      <c r="B10" s="25"/>
      <c r="C10" s="25"/>
      <c r="D10" s="25"/>
    </row>
    <row r="11" spans="1:4" s="21" customFormat="1" ht="33" customHeight="1">
      <c r="B11" s="24" t="s">
        <v>155</v>
      </c>
      <c r="C11" s="23" t="s">
        <v>45</v>
      </c>
      <c r="D11" s="22" t="s">
        <v>44</v>
      </c>
    </row>
    <row r="12" spans="1:4">
      <c r="A12" s="44"/>
      <c r="B12" s="63" t="s">
        <v>154</v>
      </c>
      <c r="C12" s="62">
        <v>8</v>
      </c>
      <c r="D12" s="61">
        <v>1.098901098901099E-2</v>
      </c>
    </row>
    <row r="13" spans="1:4">
      <c r="A13" s="44"/>
      <c r="B13" s="63" t="s">
        <v>412</v>
      </c>
      <c r="C13" s="62">
        <v>6</v>
      </c>
      <c r="D13" s="61">
        <v>8.241758241758242E-3</v>
      </c>
    </row>
    <row r="14" spans="1:4">
      <c r="A14" s="45"/>
      <c r="B14" s="63" t="s">
        <v>153</v>
      </c>
      <c r="C14" s="62">
        <v>5</v>
      </c>
      <c r="D14" s="61">
        <v>6.868131868131868E-3</v>
      </c>
    </row>
    <row r="15" spans="1:4">
      <c r="A15" s="45"/>
      <c r="B15" s="63" t="s">
        <v>152</v>
      </c>
      <c r="C15" s="62">
        <v>14</v>
      </c>
      <c r="D15" s="61">
        <v>1.9230769230769232E-2</v>
      </c>
    </row>
    <row r="16" spans="1:4">
      <c r="A16" s="44"/>
      <c r="B16" s="63" t="s">
        <v>151</v>
      </c>
      <c r="C16" s="62">
        <v>9</v>
      </c>
      <c r="D16" s="61">
        <v>1.2362637362637362E-2</v>
      </c>
    </row>
    <row r="17" spans="1:4">
      <c r="A17" s="44"/>
      <c r="B17" s="63" t="s">
        <v>150</v>
      </c>
      <c r="C17" s="62">
        <v>10</v>
      </c>
      <c r="D17" s="61">
        <v>1.3736263736263736E-2</v>
      </c>
    </row>
    <row r="18" spans="1:4">
      <c r="A18" s="44"/>
      <c r="B18" s="63" t="s">
        <v>149</v>
      </c>
      <c r="C18" s="62">
        <v>35</v>
      </c>
      <c r="D18" s="61">
        <v>4.807692307692308E-2</v>
      </c>
    </row>
    <row r="19" spans="1:4">
      <c r="A19" s="44"/>
      <c r="B19" s="63" t="s">
        <v>148</v>
      </c>
      <c r="C19" s="62">
        <v>112</v>
      </c>
      <c r="D19" s="61">
        <v>0.15384615384615385</v>
      </c>
    </row>
    <row r="20" spans="1:4">
      <c r="A20" s="44"/>
      <c r="B20" s="63" t="s">
        <v>147</v>
      </c>
      <c r="C20" s="62">
        <v>12</v>
      </c>
      <c r="D20" s="61">
        <v>1.6483516483516484E-2</v>
      </c>
    </row>
    <row r="21" spans="1:4">
      <c r="A21" s="44"/>
      <c r="B21" s="63" t="s">
        <v>146</v>
      </c>
      <c r="C21" s="62">
        <v>15</v>
      </c>
      <c r="D21" s="61">
        <v>2.0604395604395604E-2</v>
      </c>
    </row>
    <row r="22" spans="1:4">
      <c r="A22" s="44"/>
      <c r="B22" s="63" t="s">
        <v>145</v>
      </c>
      <c r="C22" s="62">
        <v>23</v>
      </c>
      <c r="D22" s="61">
        <v>3.1593406593406592E-2</v>
      </c>
    </row>
    <row r="23" spans="1:4">
      <c r="A23" s="44"/>
      <c r="B23" s="63" t="s">
        <v>144</v>
      </c>
      <c r="C23" s="62">
        <v>224</v>
      </c>
      <c r="D23" s="61">
        <v>0.30769230769230771</v>
      </c>
    </row>
    <row r="24" spans="1:4">
      <c r="A24" s="44"/>
      <c r="B24" s="63" t="s">
        <v>143</v>
      </c>
      <c r="C24" s="62">
        <v>9</v>
      </c>
      <c r="D24" s="61">
        <v>1.2362637362637362E-2</v>
      </c>
    </row>
    <row r="25" spans="1:4">
      <c r="A25" s="44"/>
      <c r="B25" s="63" t="s">
        <v>142</v>
      </c>
      <c r="C25" s="62">
        <v>32</v>
      </c>
      <c r="D25" s="61">
        <v>4.3956043956043959E-2</v>
      </c>
    </row>
    <row r="26" spans="1:4">
      <c r="A26" s="44"/>
      <c r="B26" s="63" t="s">
        <v>141</v>
      </c>
      <c r="C26" s="62">
        <v>147</v>
      </c>
      <c r="D26" s="61">
        <v>0.20192307692307693</v>
      </c>
    </row>
    <row r="27" spans="1:4">
      <c r="A27" s="44"/>
      <c r="B27" s="63" t="s">
        <v>140</v>
      </c>
      <c r="C27" s="62">
        <v>4</v>
      </c>
      <c r="D27" s="61">
        <v>5.4945054945054949E-3</v>
      </c>
    </row>
    <row r="28" spans="1:4">
      <c r="A28" s="44"/>
      <c r="B28" s="63" t="s">
        <v>413</v>
      </c>
      <c r="C28" s="62">
        <v>2</v>
      </c>
      <c r="D28" s="61">
        <v>2.7472527472527475E-3</v>
      </c>
    </row>
    <row r="29" spans="1:4">
      <c r="A29" s="44"/>
      <c r="B29" s="63" t="s">
        <v>215</v>
      </c>
      <c r="C29" s="62">
        <v>2</v>
      </c>
      <c r="D29" s="61">
        <v>2.7472527472527475E-3</v>
      </c>
    </row>
    <row r="30" spans="1:4">
      <c r="A30" s="44"/>
      <c r="B30" s="63" t="s">
        <v>139</v>
      </c>
      <c r="C30" s="62">
        <v>9</v>
      </c>
      <c r="D30" s="61">
        <v>1.2362637362637362E-2</v>
      </c>
    </row>
    <row r="31" spans="1:4">
      <c r="A31" s="44"/>
      <c r="B31" s="63" t="s">
        <v>138</v>
      </c>
      <c r="C31" s="62">
        <v>40</v>
      </c>
      <c r="D31" s="61">
        <v>5.4945054945054944E-2</v>
      </c>
    </row>
    <row r="32" spans="1:4">
      <c r="A32" s="44"/>
      <c r="B32" s="63" t="s">
        <v>137</v>
      </c>
      <c r="C32" s="62">
        <v>7</v>
      </c>
      <c r="D32" s="61">
        <v>9.6153846153846159E-3</v>
      </c>
    </row>
    <row r="33" spans="1:4">
      <c r="A33" s="44"/>
      <c r="B33" s="63" t="s">
        <v>414</v>
      </c>
      <c r="C33" s="62">
        <v>3</v>
      </c>
      <c r="D33" s="61">
        <v>4.120879120879121E-3</v>
      </c>
    </row>
    <row r="34" spans="1:4">
      <c r="B34" s="60" t="s">
        <v>15</v>
      </c>
      <c r="C34" s="59">
        <v>728</v>
      </c>
      <c r="D34" s="58">
        <v>1</v>
      </c>
    </row>
    <row r="35" spans="1:4">
      <c r="B35" s="56"/>
      <c r="C35" s="57"/>
      <c r="D35" s="56"/>
    </row>
    <row r="36" spans="1:4">
      <c r="B36" s="66" t="s">
        <v>218</v>
      </c>
      <c r="C36" s="57"/>
      <c r="D36" s="56"/>
    </row>
    <row r="37" spans="1:4">
      <c r="B37" s="68" t="s">
        <v>14</v>
      </c>
      <c r="C37" s="57"/>
      <c r="D37" s="56"/>
    </row>
    <row r="38" spans="1:4">
      <c r="B38" s="67" t="s">
        <v>13</v>
      </c>
      <c r="C38" s="57"/>
      <c r="D38" s="56"/>
    </row>
    <row r="39" spans="1:4">
      <c r="B39" s="66" t="s">
        <v>12</v>
      </c>
      <c r="C39" s="57"/>
      <c r="D39" s="56"/>
    </row>
    <row r="40" spans="1:4">
      <c r="B40" s="66" t="s">
        <v>219</v>
      </c>
      <c r="C40" s="57"/>
      <c r="D40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9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43"/>
  <sheetViews>
    <sheetView showGridLines="0" topLeftCell="A207" zoomScaleNormal="100" zoomScaleSheetLayoutView="100" workbookViewId="0">
      <selection activeCell="B10" sqref="B10:B14"/>
    </sheetView>
  </sheetViews>
  <sheetFormatPr baseColWidth="10" defaultColWidth="35" defaultRowHeight="15" customHeight="1"/>
  <cols>
    <col min="1" max="1" width="1" style="28" customWidth="1"/>
    <col min="2" max="2" width="22.85546875" style="29" customWidth="1"/>
    <col min="3" max="3" width="31.42578125" style="29" customWidth="1"/>
    <col min="4" max="4" width="14.28515625" style="29" customWidth="1"/>
    <col min="5" max="5" width="16.85546875" style="29" customWidth="1"/>
    <col min="6" max="16384" width="35" style="28"/>
  </cols>
  <sheetData>
    <row r="1" spans="1:5" s="39" customFormat="1" ht="12" customHeight="1">
      <c r="B1" s="43"/>
      <c r="C1" s="42"/>
      <c r="D1" s="42"/>
      <c r="E1" s="42"/>
    </row>
    <row r="2" spans="1:5" s="39" customFormat="1" ht="15" customHeight="1">
      <c r="C2" s="41"/>
    </row>
    <row r="3" spans="1:5" s="39" customFormat="1" ht="15" customHeight="1">
      <c r="C3" s="41"/>
    </row>
    <row r="4" spans="1:5" s="39" customFormat="1" ht="30" customHeight="1">
      <c r="C4" s="41"/>
      <c r="D4" s="40"/>
    </row>
    <row r="5" spans="1:5" s="39" customFormat="1" ht="15" customHeight="1">
      <c r="C5" s="41"/>
      <c r="D5" s="40"/>
    </row>
    <row r="6" spans="1:5" s="36" customFormat="1" ht="24" customHeight="1">
      <c r="B6" s="38"/>
      <c r="C6" s="32"/>
      <c r="D6" s="32"/>
      <c r="E6" s="32"/>
    </row>
    <row r="7" spans="1:5" s="36" customFormat="1" ht="26.25" customHeight="1">
      <c r="A7" s="37"/>
      <c r="B7" s="86"/>
      <c r="C7" s="86"/>
      <c r="D7" s="86"/>
      <c r="E7" s="86"/>
    </row>
    <row r="8" spans="1:5" s="36" customFormat="1" ht="33" customHeight="1">
      <c r="A8" s="37"/>
      <c r="B8" s="86"/>
      <c r="C8" s="86"/>
      <c r="D8" s="86"/>
      <c r="E8" s="86"/>
    </row>
    <row r="9" spans="1:5" s="21" customFormat="1" ht="40.5" customHeight="1">
      <c r="B9" s="33" t="s">
        <v>155</v>
      </c>
      <c r="C9" s="35" t="s">
        <v>46</v>
      </c>
      <c r="D9" s="34" t="s">
        <v>45</v>
      </c>
      <c r="E9" s="33" t="s">
        <v>44</v>
      </c>
    </row>
    <row r="10" spans="1:5" ht="15" customHeight="1">
      <c r="B10" s="83" t="s">
        <v>154</v>
      </c>
      <c r="C10" s="55" t="s">
        <v>42</v>
      </c>
      <c r="D10" s="54">
        <v>4</v>
      </c>
      <c r="E10" s="53">
        <v>5.4945054945054949E-3</v>
      </c>
    </row>
    <row r="11" spans="1:5" ht="15" customHeight="1">
      <c r="B11" s="84"/>
      <c r="C11" s="55" t="s">
        <v>37</v>
      </c>
      <c r="D11" s="54">
        <v>2</v>
      </c>
      <c r="E11" s="53">
        <v>2.7472527472527475E-3</v>
      </c>
    </row>
    <row r="12" spans="1:5" ht="15" customHeight="1">
      <c r="B12" s="84"/>
      <c r="C12" s="55" t="s">
        <v>40</v>
      </c>
      <c r="D12" s="54">
        <v>1</v>
      </c>
      <c r="E12" s="53">
        <v>1.3736263736263737E-3</v>
      </c>
    </row>
    <row r="13" spans="1:5" ht="15" customHeight="1">
      <c r="B13" s="84"/>
      <c r="C13" s="55" t="s">
        <v>39</v>
      </c>
      <c r="D13" s="54">
        <v>1</v>
      </c>
      <c r="E13" s="53">
        <v>1.3736263736263737E-3</v>
      </c>
    </row>
    <row r="14" spans="1:5" ht="15" customHeight="1">
      <c r="B14" s="85"/>
      <c r="C14" s="51" t="s">
        <v>15</v>
      </c>
      <c r="D14" s="50">
        <v>8</v>
      </c>
      <c r="E14" s="49">
        <v>1.098901098901099E-2</v>
      </c>
    </row>
    <row r="15" spans="1:5" ht="15" customHeight="1">
      <c r="B15" s="83" t="s">
        <v>412</v>
      </c>
      <c r="C15" s="55" t="s">
        <v>37</v>
      </c>
      <c r="D15" s="54">
        <v>1</v>
      </c>
      <c r="E15" s="53">
        <v>1.3736263736263737E-3</v>
      </c>
    </row>
    <row r="16" spans="1:5" ht="15" customHeight="1">
      <c r="B16" s="84"/>
      <c r="C16" s="55" t="s">
        <v>38</v>
      </c>
      <c r="D16" s="54">
        <v>2</v>
      </c>
      <c r="E16" s="53">
        <v>2.7472527472527475E-3</v>
      </c>
    </row>
    <row r="17" spans="2:5" ht="15" customHeight="1">
      <c r="B17" s="84"/>
      <c r="C17" s="55" t="s">
        <v>31</v>
      </c>
      <c r="D17" s="54">
        <v>2</v>
      </c>
      <c r="E17" s="53">
        <v>2.7472527472527475E-3</v>
      </c>
    </row>
    <row r="18" spans="2:5" ht="15" customHeight="1">
      <c r="B18" s="84"/>
      <c r="C18" s="55" t="s">
        <v>27</v>
      </c>
      <c r="D18" s="54">
        <v>1</v>
      </c>
      <c r="E18" s="53">
        <v>1.3736263736263737E-3</v>
      </c>
    </row>
    <row r="19" spans="2:5" ht="15" customHeight="1">
      <c r="B19" s="85"/>
      <c r="C19" s="51" t="s">
        <v>15</v>
      </c>
      <c r="D19" s="50">
        <v>6</v>
      </c>
      <c r="E19" s="49">
        <v>8.241758241758242E-3</v>
      </c>
    </row>
    <row r="20" spans="2:5" ht="15" customHeight="1">
      <c r="B20" s="83" t="s">
        <v>153</v>
      </c>
      <c r="C20" s="55" t="s">
        <v>20</v>
      </c>
      <c r="D20" s="54">
        <v>1</v>
      </c>
      <c r="E20" s="53">
        <v>1.3736263736263737E-3</v>
      </c>
    </row>
    <row r="21" spans="2:5" ht="15" customHeight="1">
      <c r="B21" s="84"/>
      <c r="C21" s="55" t="s">
        <v>42</v>
      </c>
      <c r="D21" s="54">
        <v>2</v>
      </c>
      <c r="E21" s="53">
        <v>2.7472527472527475E-3</v>
      </c>
    </row>
    <row r="22" spans="2:5" ht="15" customHeight="1">
      <c r="B22" s="84"/>
      <c r="C22" s="55" t="s">
        <v>34</v>
      </c>
      <c r="D22" s="54">
        <v>1</v>
      </c>
      <c r="E22" s="53">
        <v>1.3736263736263737E-3</v>
      </c>
    </row>
    <row r="23" spans="2:5" ht="15" customHeight="1">
      <c r="B23" s="84"/>
      <c r="C23" s="55" t="s">
        <v>39</v>
      </c>
      <c r="D23" s="54">
        <v>1</v>
      </c>
      <c r="E23" s="53">
        <v>1.3736263736263737E-3</v>
      </c>
    </row>
    <row r="24" spans="2:5" ht="15" customHeight="1">
      <c r="B24" s="85"/>
      <c r="C24" s="51" t="s">
        <v>15</v>
      </c>
      <c r="D24" s="50">
        <v>5</v>
      </c>
      <c r="E24" s="49">
        <v>6.868131868131868E-3</v>
      </c>
    </row>
    <row r="25" spans="2:5" ht="15" customHeight="1">
      <c r="B25" s="83" t="s">
        <v>152</v>
      </c>
      <c r="C25" s="55" t="s">
        <v>42</v>
      </c>
      <c r="D25" s="54">
        <v>4</v>
      </c>
      <c r="E25" s="53">
        <v>5.4945054945054949E-3</v>
      </c>
    </row>
    <row r="26" spans="2:5" ht="15" customHeight="1">
      <c r="B26" s="84"/>
      <c r="C26" s="55" t="s">
        <v>34</v>
      </c>
      <c r="D26" s="54">
        <v>1</v>
      </c>
      <c r="E26" s="53">
        <v>1.3736263736263737E-3</v>
      </c>
    </row>
    <row r="27" spans="2:5" ht="15" customHeight="1">
      <c r="B27" s="84"/>
      <c r="C27" s="55" t="s">
        <v>43</v>
      </c>
      <c r="D27" s="54">
        <v>1</v>
      </c>
      <c r="E27" s="53">
        <v>1.3736263736263737E-3</v>
      </c>
    </row>
    <row r="28" spans="2:5" ht="15" customHeight="1">
      <c r="B28" s="84"/>
      <c r="C28" s="55" t="s">
        <v>41</v>
      </c>
      <c r="D28" s="54">
        <v>1</v>
      </c>
      <c r="E28" s="53">
        <v>1.3736263736263737E-3</v>
      </c>
    </row>
    <row r="29" spans="2:5" ht="15" customHeight="1">
      <c r="B29" s="84"/>
      <c r="C29" s="55" t="s">
        <v>37</v>
      </c>
      <c r="D29" s="54">
        <v>1</v>
      </c>
      <c r="E29" s="53">
        <v>1.3736263736263737E-3</v>
      </c>
    </row>
    <row r="30" spans="2:5" ht="15" customHeight="1">
      <c r="B30" s="84"/>
      <c r="C30" s="55" t="s">
        <v>38</v>
      </c>
      <c r="D30" s="54">
        <v>4</v>
      </c>
      <c r="E30" s="53">
        <v>5.4945054945054949E-3</v>
      </c>
    </row>
    <row r="31" spans="2:5" ht="15" customHeight="1">
      <c r="B31" s="84"/>
      <c r="C31" s="55" t="s">
        <v>17</v>
      </c>
      <c r="D31" s="54">
        <v>1</v>
      </c>
      <c r="E31" s="53">
        <v>1.3736263736263737E-3</v>
      </c>
    </row>
    <row r="32" spans="2:5" ht="15" customHeight="1">
      <c r="B32" s="84"/>
      <c r="C32" s="55" t="s">
        <v>39</v>
      </c>
      <c r="D32" s="54">
        <v>1</v>
      </c>
      <c r="E32" s="53">
        <v>1.3736263736263737E-3</v>
      </c>
    </row>
    <row r="33" spans="2:5" ht="15" customHeight="1">
      <c r="B33" s="85"/>
      <c r="C33" s="51" t="s">
        <v>15</v>
      </c>
      <c r="D33" s="50">
        <v>14</v>
      </c>
      <c r="E33" s="49">
        <v>1.9230769230769232E-2</v>
      </c>
    </row>
    <row r="34" spans="2:5" ht="15" customHeight="1">
      <c r="B34" s="83" t="s">
        <v>151</v>
      </c>
      <c r="C34" s="55" t="s">
        <v>42</v>
      </c>
      <c r="D34" s="54">
        <v>3</v>
      </c>
      <c r="E34" s="53">
        <v>4.120879120879121E-3</v>
      </c>
    </row>
    <row r="35" spans="2:5" ht="15" customHeight="1">
      <c r="B35" s="84"/>
      <c r="C35" s="55" t="s">
        <v>36</v>
      </c>
      <c r="D35" s="54">
        <v>1</v>
      </c>
      <c r="E35" s="53">
        <v>1.3736263736263737E-3</v>
      </c>
    </row>
    <row r="36" spans="2:5" ht="15" customHeight="1">
      <c r="B36" s="84"/>
      <c r="C36" s="55" t="s">
        <v>34</v>
      </c>
      <c r="D36" s="54">
        <v>1</v>
      </c>
      <c r="E36" s="53">
        <v>1.3736263736263737E-3</v>
      </c>
    </row>
    <row r="37" spans="2:5" ht="15" customHeight="1">
      <c r="B37" s="84"/>
      <c r="C37" s="55" t="s">
        <v>41</v>
      </c>
      <c r="D37" s="54">
        <v>1</v>
      </c>
      <c r="E37" s="53">
        <v>1.3736263736263737E-3</v>
      </c>
    </row>
    <row r="38" spans="2:5" ht="15" customHeight="1">
      <c r="B38" s="84"/>
      <c r="C38" s="55" t="s">
        <v>40</v>
      </c>
      <c r="D38" s="54">
        <v>2</v>
      </c>
      <c r="E38" s="53">
        <v>2.7472527472527475E-3</v>
      </c>
    </row>
    <row r="39" spans="2:5" ht="15" customHeight="1">
      <c r="B39" s="84"/>
      <c r="C39" s="55" t="s">
        <v>38</v>
      </c>
      <c r="D39" s="54">
        <v>1</v>
      </c>
      <c r="E39" s="53">
        <v>1.3736263736263737E-3</v>
      </c>
    </row>
    <row r="40" spans="2:5" ht="15" customHeight="1">
      <c r="B40" s="85"/>
      <c r="C40" s="51" t="s">
        <v>15</v>
      </c>
      <c r="D40" s="50">
        <v>9</v>
      </c>
      <c r="E40" s="49">
        <v>1.2362637362637362E-2</v>
      </c>
    </row>
    <row r="41" spans="2:5" ht="15" customHeight="1">
      <c r="B41" s="83" t="s">
        <v>150</v>
      </c>
      <c r="C41" s="55" t="s">
        <v>24</v>
      </c>
      <c r="D41" s="54">
        <v>1</v>
      </c>
      <c r="E41" s="53">
        <v>1.3736263736263737E-3</v>
      </c>
    </row>
    <row r="42" spans="2:5" ht="15" customHeight="1">
      <c r="B42" s="84"/>
      <c r="C42" s="55" t="s">
        <v>42</v>
      </c>
      <c r="D42" s="54">
        <v>2</v>
      </c>
      <c r="E42" s="53">
        <v>2.7472527472527475E-3</v>
      </c>
    </row>
    <row r="43" spans="2:5" ht="15" customHeight="1">
      <c r="B43" s="84"/>
      <c r="C43" s="55" t="s">
        <v>36</v>
      </c>
      <c r="D43" s="54">
        <v>1</v>
      </c>
      <c r="E43" s="53">
        <v>1.3736263736263737E-3</v>
      </c>
    </row>
    <row r="44" spans="2:5" ht="15" customHeight="1">
      <c r="B44" s="84"/>
      <c r="C44" s="55" t="s">
        <v>34</v>
      </c>
      <c r="D44" s="54">
        <v>1</v>
      </c>
      <c r="E44" s="53">
        <v>1.3736263736263737E-3</v>
      </c>
    </row>
    <row r="45" spans="2:5" ht="15" customHeight="1">
      <c r="B45" s="84"/>
      <c r="C45" s="55" t="s">
        <v>35</v>
      </c>
      <c r="D45" s="54">
        <v>1</v>
      </c>
      <c r="E45" s="53">
        <v>1.3736263736263737E-3</v>
      </c>
    </row>
    <row r="46" spans="2:5" ht="15" customHeight="1">
      <c r="B46" s="84"/>
      <c r="C46" s="55" t="s">
        <v>33</v>
      </c>
      <c r="D46" s="54">
        <v>1</v>
      </c>
      <c r="E46" s="53">
        <v>1.3736263736263737E-3</v>
      </c>
    </row>
    <row r="47" spans="2:5" ht="15" customHeight="1">
      <c r="B47" s="84"/>
      <c r="C47" s="55" t="s">
        <v>41</v>
      </c>
      <c r="D47" s="54">
        <v>1</v>
      </c>
      <c r="E47" s="53">
        <v>1.3736263736263737E-3</v>
      </c>
    </row>
    <row r="48" spans="2:5" ht="15" customHeight="1">
      <c r="B48" s="84"/>
      <c r="C48" s="55" t="s">
        <v>40</v>
      </c>
      <c r="D48" s="54">
        <v>1</v>
      </c>
      <c r="E48" s="53">
        <v>1.3736263736263737E-3</v>
      </c>
    </row>
    <row r="49" spans="2:5" ht="15" customHeight="1">
      <c r="B49" s="84"/>
      <c r="C49" s="55" t="s">
        <v>39</v>
      </c>
      <c r="D49" s="54">
        <v>1</v>
      </c>
      <c r="E49" s="53">
        <v>1.3736263736263737E-3</v>
      </c>
    </row>
    <row r="50" spans="2:5" ht="15" customHeight="1">
      <c r="B50" s="85"/>
      <c r="C50" s="51" t="s">
        <v>15</v>
      </c>
      <c r="D50" s="50">
        <v>10</v>
      </c>
      <c r="E50" s="49">
        <v>1.3736263736263736E-2</v>
      </c>
    </row>
    <row r="51" spans="2:5" ht="15" customHeight="1">
      <c r="B51" s="83" t="s">
        <v>149</v>
      </c>
      <c r="C51" s="55" t="s">
        <v>42</v>
      </c>
      <c r="D51" s="54">
        <v>8</v>
      </c>
      <c r="E51" s="53">
        <v>1.098901098901099E-2</v>
      </c>
    </row>
    <row r="52" spans="2:5" ht="15" customHeight="1">
      <c r="B52" s="84"/>
      <c r="C52" s="55" t="s">
        <v>34</v>
      </c>
      <c r="D52" s="54">
        <v>3</v>
      </c>
      <c r="E52" s="53">
        <v>4.120879120879121E-3</v>
      </c>
    </row>
    <row r="53" spans="2:5" ht="15" customHeight="1">
      <c r="B53" s="84"/>
      <c r="C53" s="55" t="s">
        <v>43</v>
      </c>
      <c r="D53" s="54">
        <v>3</v>
      </c>
      <c r="E53" s="53">
        <v>4.120879120879121E-3</v>
      </c>
    </row>
    <row r="54" spans="2:5" ht="15" customHeight="1">
      <c r="B54" s="84"/>
      <c r="C54" s="55" t="s">
        <v>41</v>
      </c>
      <c r="D54" s="54">
        <v>5</v>
      </c>
      <c r="E54" s="53">
        <v>6.868131868131868E-3</v>
      </c>
    </row>
    <row r="55" spans="2:5" ht="15" customHeight="1">
      <c r="B55" s="84"/>
      <c r="C55" s="55" t="s">
        <v>37</v>
      </c>
      <c r="D55" s="54">
        <v>2</v>
      </c>
      <c r="E55" s="53">
        <v>2.7472527472527475E-3</v>
      </c>
    </row>
    <row r="56" spans="2:5" ht="15" customHeight="1">
      <c r="B56" s="84"/>
      <c r="C56" s="55" t="s">
        <v>40</v>
      </c>
      <c r="D56" s="54">
        <v>2</v>
      </c>
      <c r="E56" s="53">
        <v>2.7472527472527475E-3</v>
      </c>
    </row>
    <row r="57" spans="2:5" ht="15" customHeight="1">
      <c r="B57" s="84"/>
      <c r="C57" s="55" t="s">
        <v>38</v>
      </c>
      <c r="D57" s="54">
        <v>3</v>
      </c>
      <c r="E57" s="53">
        <v>4.120879120879121E-3</v>
      </c>
    </row>
    <row r="58" spans="2:5" ht="15" customHeight="1">
      <c r="B58" s="84"/>
      <c r="C58" s="55" t="s">
        <v>32</v>
      </c>
      <c r="D58" s="54">
        <v>2</v>
      </c>
      <c r="E58" s="53">
        <v>2.7472527472527475E-3</v>
      </c>
    </row>
    <row r="59" spans="2:5" ht="15" customHeight="1">
      <c r="B59" s="84"/>
      <c r="C59" s="55" t="s">
        <v>31</v>
      </c>
      <c r="D59" s="54">
        <v>4</v>
      </c>
      <c r="E59" s="53">
        <v>5.4945054945054949E-3</v>
      </c>
    </row>
    <row r="60" spans="2:5" ht="15" customHeight="1">
      <c r="B60" s="84"/>
      <c r="C60" s="55" t="s">
        <v>17</v>
      </c>
      <c r="D60" s="54">
        <v>1</v>
      </c>
      <c r="E60" s="53">
        <v>1.3736263736263737E-3</v>
      </c>
    </row>
    <row r="61" spans="2:5" ht="15" customHeight="1">
      <c r="B61" s="84"/>
      <c r="C61" s="55" t="s">
        <v>29</v>
      </c>
      <c r="D61" s="54">
        <v>1</v>
      </c>
      <c r="E61" s="53">
        <v>1.3736263736263737E-3</v>
      </c>
    </row>
    <row r="62" spans="2:5" ht="15" customHeight="1">
      <c r="B62" s="84"/>
      <c r="C62" s="55" t="s">
        <v>39</v>
      </c>
      <c r="D62" s="54">
        <v>1</v>
      </c>
      <c r="E62" s="53">
        <v>1.3736263736263737E-3</v>
      </c>
    </row>
    <row r="63" spans="2:5" ht="15" customHeight="1">
      <c r="B63" s="85"/>
      <c r="C63" s="51" t="s">
        <v>15</v>
      </c>
      <c r="D63" s="50">
        <v>35</v>
      </c>
      <c r="E63" s="49">
        <v>4.807692307692308E-2</v>
      </c>
    </row>
    <row r="64" spans="2:5" ht="15" customHeight="1">
      <c r="B64" s="83" t="s">
        <v>148</v>
      </c>
      <c r="C64" s="55" t="s">
        <v>20</v>
      </c>
      <c r="D64" s="54">
        <v>1</v>
      </c>
      <c r="E64" s="53">
        <v>1.3736263736263737E-3</v>
      </c>
    </row>
    <row r="65" spans="2:5" ht="15" customHeight="1">
      <c r="B65" s="84"/>
      <c r="C65" s="55" t="s">
        <v>42</v>
      </c>
      <c r="D65" s="54">
        <v>18</v>
      </c>
      <c r="E65" s="53">
        <v>2.4725274725274724E-2</v>
      </c>
    </row>
    <row r="66" spans="2:5" ht="15" customHeight="1">
      <c r="B66" s="84"/>
      <c r="C66" s="55" t="s">
        <v>23</v>
      </c>
      <c r="D66" s="54">
        <v>1</v>
      </c>
      <c r="E66" s="53">
        <v>1.3736263736263737E-3</v>
      </c>
    </row>
    <row r="67" spans="2:5" ht="15" customHeight="1">
      <c r="B67" s="84"/>
      <c r="C67" s="55" t="s">
        <v>184</v>
      </c>
      <c r="D67" s="54">
        <v>1</v>
      </c>
      <c r="E67" s="53">
        <v>1.3736263736263737E-3</v>
      </c>
    </row>
    <row r="68" spans="2:5" ht="15" customHeight="1">
      <c r="B68" s="84"/>
      <c r="C68" s="55" t="s">
        <v>19</v>
      </c>
      <c r="D68" s="54">
        <v>1</v>
      </c>
      <c r="E68" s="53">
        <v>1.3736263736263737E-3</v>
      </c>
    </row>
    <row r="69" spans="2:5" ht="15" customHeight="1">
      <c r="B69" s="84"/>
      <c r="C69" s="55" t="s">
        <v>36</v>
      </c>
      <c r="D69" s="54">
        <v>8</v>
      </c>
      <c r="E69" s="53">
        <v>1.098901098901099E-2</v>
      </c>
    </row>
    <row r="70" spans="2:5" ht="15" customHeight="1">
      <c r="B70" s="84"/>
      <c r="C70" s="55" t="s">
        <v>18</v>
      </c>
      <c r="D70" s="54">
        <v>1</v>
      </c>
      <c r="E70" s="53">
        <v>1.3736263736263737E-3</v>
      </c>
    </row>
    <row r="71" spans="2:5" ht="15" customHeight="1">
      <c r="B71" s="84"/>
      <c r="C71" s="55" t="s">
        <v>34</v>
      </c>
      <c r="D71" s="54">
        <v>5</v>
      </c>
      <c r="E71" s="53">
        <v>6.868131868131868E-3</v>
      </c>
    </row>
    <row r="72" spans="2:5" ht="15" customHeight="1">
      <c r="B72" s="84"/>
      <c r="C72" s="55" t="s">
        <v>35</v>
      </c>
      <c r="D72" s="54">
        <v>1</v>
      </c>
      <c r="E72" s="53">
        <v>1.3736263736263737E-3</v>
      </c>
    </row>
    <row r="73" spans="2:5" ht="15" customHeight="1">
      <c r="B73" s="84"/>
      <c r="C73" s="55" t="s">
        <v>43</v>
      </c>
      <c r="D73" s="54">
        <v>7</v>
      </c>
      <c r="E73" s="53">
        <v>9.6153846153846159E-3</v>
      </c>
    </row>
    <row r="74" spans="2:5" ht="15" customHeight="1">
      <c r="B74" s="84"/>
      <c r="C74" s="55" t="s">
        <v>33</v>
      </c>
      <c r="D74" s="54">
        <v>2</v>
      </c>
      <c r="E74" s="53">
        <v>2.7472527472527475E-3</v>
      </c>
    </row>
    <row r="75" spans="2:5" ht="15" customHeight="1">
      <c r="B75" s="84"/>
      <c r="C75" s="55" t="s">
        <v>41</v>
      </c>
      <c r="D75" s="54">
        <v>15</v>
      </c>
      <c r="E75" s="53">
        <v>2.0604395604395604E-2</v>
      </c>
    </row>
    <row r="76" spans="2:5" ht="15" customHeight="1">
      <c r="B76" s="84"/>
      <c r="C76" s="55" t="s">
        <v>37</v>
      </c>
      <c r="D76" s="54">
        <v>6</v>
      </c>
      <c r="E76" s="53">
        <v>8.241758241758242E-3</v>
      </c>
    </row>
    <row r="77" spans="2:5" ht="15" customHeight="1">
      <c r="B77" s="84"/>
      <c r="C77" s="55" t="s">
        <v>30</v>
      </c>
      <c r="D77" s="54">
        <v>3</v>
      </c>
      <c r="E77" s="53">
        <v>4.120879120879121E-3</v>
      </c>
    </row>
    <row r="78" spans="2:5" ht="15" customHeight="1">
      <c r="B78" s="84"/>
      <c r="C78" s="55" t="s">
        <v>40</v>
      </c>
      <c r="D78" s="54">
        <v>8</v>
      </c>
      <c r="E78" s="53">
        <v>1.098901098901099E-2</v>
      </c>
    </row>
    <row r="79" spans="2:5" ht="15" customHeight="1">
      <c r="B79" s="84"/>
      <c r="C79" s="55" t="s">
        <v>38</v>
      </c>
      <c r="D79" s="54">
        <v>16</v>
      </c>
      <c r="E79" s="53">
        <v>2.197802197802198E-2</v>
      </c>
    </row>
    <row r="80" spans="2:5" ht="15" customHeight="1">
      <c r="B80" s="84"/>
      <c r="C80" s="55" t="s">
        <v>31</v>
      </c>
      <c r="D80" s="54">
        <v>3</v>
      </c>
      <c r="E80" s="53">
        <v>4.120879120879121E-3</v>
      </c>
    </row>
    <row r="81" spans="2:5" ht="15" customHeight="1">
      <c r="B81" s="84"/>
      <c r="C81" s="55" t="s">
        <v>17</v>
      </c>
      <c r="D81" s="54">
        <v>2</v>
      </c>
      <c r="E81" s="53">
        <v>2.7472527472527475E-3</v>
      </c>
    </row>
    <row r="82" spans="2:5" ht="15" customHeight="1">
      <c r="B82" s="84"/>
      <c r="C82" s="55" t="s">
        <v>21</v>
      </c>
      <c r="D82" s="54">
        <v>1</v>
      </c>
      <c r="E82" s="53">
        <v>1.3736263736263737E-3</v>
      </c>
    </row>
    <row r="83" spans="2:5" ht="15" customHeight="1">
      <c r="B83" s="84"/>
      <c r="C83" s="55" t="s">
        <v>27</v>
      </c>
      <c r="D83" s="54">
        <v>1</v>
      </c>
      <c r="E83" s="53">
        <v>1.3736263736263737E-3</v>
      </c>
    </row>
    <row r="84" spans="2:5" ht="15" customHeight="1">
      <c r="B84" s="84"/>
      <c r="C84" s="55" t="s">
        <v>26</v>
      </c>
      <c r="D84" s="54">
        <v>1</v>
      </c>
      <c r="E84" s="53">
        <v>1.3736263736263737E-3</v>
      </c>
    </row>
    <row r="85" spans="2:5" ht="15" customHeight="1">
      <c r="B85" s="84"/>
      <c r="C85" s="55" t="s">
        <v>39</v>
      </c>
      <c r="D85" s="54">
        <v>10</v>
      </c>
      <c r="E85" s="53">
        <v>1.3736263736263736E-2</v>
      </c>
    </row>
    <row r="86" spans="2:5" ht="15" customHeight="1">
      <c r="B86" s="85"/>
      <c r="C86" s="51" t="s">
        <v>15</v>
      </c>
      <c r="D86" s="50">
        <v>112</v>
      </c>
      <c r="E86" s="49">
        <v>0.15384615384615385</v>
      </c>
    </row>
    <row r="87" spans="2:5" ht="15" customHeight="1">
      <c r="B87" s="83" t="s">
        <v>147</v>
      </c>
      <c r="C87" s="55" t="s">
        <v>42</v>
      </c>
      <c r="D87" s="54">
        <v>1</v>
      </c>
      <c r="E87" s="53">
        <v>1.3736263736263737E-3</v>
      </c>
    </row>
    <row r="88" spans="2:5" ht="15" customHeight="1">
      <c r="B88" s="84"/>
      <c r="C88" s="55" t="s">
        <v>36</v>
      </c>
      <c r="D88" s="54">
        <v>1</v>
      </c>
      <c r="E88" s="53">
        <v>1.3736263736263737E-3</v>
      </c>
    </row>
    <row r="89" spans="2:5" ht="15" customHeight="1">
      <c r="B89" s="84"/>
      <c r="C89" s="55" t="s">
        <v>34</v>
      </c>
      <c r="D89" s="54">
        <v>2</v>
      </c>
      <c r="E89" s="53">
        <v>2.7472527472527475E-3</v>
      </c>
    </row>
    <row r="90" spans="2:5" ht="15" customHeight="1">
      <c r="B90" s="84"/>
      <c r="C90" s="55" t="s">
        <v>35</v>
      </c>
      <c r="D90" s="54">
        <v>2</v>
      </c>
      <c r="E90" s="53">
        <v>2.7472527472527475E-3</v>
      </c>
    </row>
    <row r="91" spans="2:5" ht="15" customHeight="1">
      <c r="B91" s="84"/>
      <c r="C91" s="55" t="s">
        <v>41</v>
      </c>
      <c r="D91" s="54">
        <v>2</v>
      </c>
      <c r="E91" s="53">
        <v>2.7472527472527475E-3</v>
      </c>
    </row>
    <row r="92" spans="2:5" ht="15" customHeight="1">
      <c r="B92" s="84"/>
      <c r="C92" s="55" t="s">
        <v>37</v>
      </c>
      <c r="D92" s="54">
        <v>1</v>
      </c>
      <c r="E92" s="53">
        <v>1.3736263736263737E-3</v>
      </c>
    </row>
    <row r="93" spans="2:5" ht="15" customHeight="1">
      <c r="B93" s="84"/>
      <c r="C93" s="55" t="s">
        <v>38</v>
      </c>
      <c r="D93" s="54">
        <v>1</v>
      </c>
      <c r="E93" s="53">
        <v>1.3736263736263737E-3</v>
      </c>
    </row>
    <row r="94" spans="2:5" ht="15" customHeight="1">
      <c r="B94" s="84"/>
      <c r="C94" s="55" t="s">
        <v>39</v>
      </c>
      <c r="D94" s="54">
        <v>1</v>
      </c>
      <c r="E94" s="53">
        <v>1.3736263736263737E-3</v>
      </c>
    </row>
    <row r="95" spans="2:5" ht="15" customHeight="1">
      <c r="B95" s="84"/>
      <c r="C95" s="55" t="s">
        <v>16</v>
      </c>
      <c r="D95" s="54">
        <v>1</v>
      </c>
      <c r="E95" s="53">
        <v>1.3736263736263737E-3</v>
      </c>
    </row>
    <row r="96" spans="2:5" ht="15" customHeight="1">
      <c r="B96" s="85"/>
      <c r="C96" s="51" t="s">
        <v>15</v>
      </c>
      <c r="D96" s="50">
        <v>12</v>
      </c>
      <c r="E96" s="49">
        <v>1.6483516483516484E-2</v>
      </c>
    </row>
    <row r="97" spans="2:5" ht="15" customHeight="1">
      <c r="B97" s="83" t="s">
        <v>146</v>
      </c>
      <c r="C97" s="55" t="s">
        <v>20</v>
      </c>
      <c r="D97" s="54">
        <v>1</v>
      </c>
      <c r="E97" s="53">
        <v>1.3736263736263737E-3</v>
      </c>
    </row>
    <row r="98" spans="2:5" ht="15" customHeight="1">
      <c r="B98" s="84"/>
      <c r="C98" s="55" t="s">
        <v>42</v>
      </c>
      <c r="D98" s="54">
        <v>2</v>
      </c>
      <c r="E98" s="53">
        <v>2.7472527472527475E-3</v>
      </c>
    </row>
    <row r="99" spans="2:5" ht="15" customHeight="1">
      <c r="B99" s="84"/>
      <c r="C99" s="55" t="s">
        <v>36</v>
      </c>
      <c r="D99" s="54">
        <v>1</v>
      </c>
      <c r="E99" s="53">
        <v>1.3736263736263737E-3</v>
      </c>
    </row>
    <row r="100" spans="2:5" ht="15" customHeight="1">
      <c r="B100" s="84"/>
      <c r="C100" s="55" t="s">
        <v>35</v>
      </c>
      <c r="D100" s="54">
        <v>1</v>
      </c>
      <c r="E100" s="53">
        <v>1.3736263736263737E-3</v>
      </c>
    </row>
    <row r="101" spans="2:5" ht="15" customHeight="1">
      <c r="B101" s="84"/>
      <c r="C101" s="55" t="s">
        <v>33</v>
      </c>
      <c r="D101" s="54">
        <v>1</v>
      </c>
      <c r="E101" s="53">
        <v>1.3736263736263737E-3</v>
      </c>
    </row>
    <row r="102" spans="2:5" ht="15" customHeight="1">
      <c r="B102" s="84"/>
      <c r="C102" s="55" t="s">
        <v>41</v>
      </c>
      <c r="D102" s="54">
        <v>4</v>
      </c>
      <c r="E102" s="53">
        <v>5.4945054945054949E-3</v>
      </c>
    </row>
    <row r="103" spans="2:5" ht="15" customHeight="1">
      <c r="B103" s="84"/>
      <c r="C103" s="55" t="s">
        <v>38</v>
      </c>
      <c r="D103" s="54">
        <v>3</v>
      </c>
      <c r="E103" s="53">
        <v>4.120879120879121E-3</v>
      </c>
    </row>
    <row r="104" spans="2:5" ht="15" customHeight="1">
      <c r="B104" s="84"/>
      <c r="C104" s="55" t="s">
        <v>31</v>
      </c>
      <c r="D104" s="54">
        <v>1</v>
      </c>
      <c r="E104" s="53">
        <v>1.3736263736263737E-3</v>
      </c>
    </row>
    <row r="105" spans="2:5" ht="15" customHeight="1">
      <c r="B105" s="84"/>
      <c r="C105" s="55" t="s">
        <v>16</v>
      </c>
      <c r="D105" s="54">
        <v>1</v>
      </c>
      <c r="E105" s="53">
        <v>1.3736263736263737E-3</v>
      </c>
    </row>
    <row r="106" spans="2:5" ht="15" customHeight="1">
      <c r="B106" s="85"/>
      <c r="C106" s="51" t="s">
        <v>15</v>
      </c>
      <c r="D106" s="50">
        <v>15</v>
      </c>
      <c r="E106" s="49">
        <v>2.0604395604395604E-2</v>
      </c>
    </row>
    <row r="107" spans="2:5" ht="15" customHeight="1">
      <c r="B107" s="83" t="s">
        <v>145</v>
      </c>
      <c r="C107" s="55" t="s">
        <v>42</v>
      </c>
      <c r="D107" s="54">
        <v>2</v>
      </c>
      <c r="E107" s="53">
        <v>2.7472527472527475E-3</v>
      </c>
    </row>
    <row r="108" spans="2:5" ht="15" customHeight="1">
      <c r="B108" s="84"/>
      <c r="C108" s="55" t="s">
        <v>36</v>
      </c>
      <c r="D108" s="54">
        <v>4</v>
      </c>
      <c r="E108" s="53">
        <v>5.4945054945054949E-3</v>
      </c>
    </row>
    <row r="109" spans="2:5" ht="15" customHeight="1">
      <c r="B109" s="84"/>
      <c r="C109" s="55" t="s">
        <v>34</v>
      </c>
      <c r="D109" s="54">
        <v>2</v>
      </c>
      <c r="E109" s="53">
        <v>2.7472527472527475E-3</v>
      </c>
    </row>
    <row r="110" spans="2:5" ht="15" customHeight="1">
      <c r="B110" s="84"/>
      <c r="C110" s="55" t="s">
        <v>35</v>
      </c>
      <c r="D110" s="54">
        <v>1</v>
      </c>
      <c r="E110" s="53">
        <v>1.3736263736263737E-3</v>
      </c>
    </row>
    <row r="111" spans="2:5" ht="15" customHeight="1">
      <c r="B111" s="84"/>
      <c r="C111" s="55" t="s">
        <v>43</v>
      </c>
      <c r="D111" s="54">
        <v>4</v>
      </c>
      <c r="E111" s="53">
        <v>5.4945054945054949E-3</v>
      </c>
    </row>
    <row r="112" spans="2:5" ht="15" customHeight="1">
      <c r="B112" s="84"/>
      <c r="C112" s="55" t="s">
        <v>41</v>
      </c>
      <c r="D112" s="54">
        <v>2</v>
      </c>
      <c r="E112" s="53">
        <v>2.7472527472527475E-3</v>
      </c>
    </row>
    <row r="113" spans="2:5" ht="15" customHeight="1">
      <c r="B113" s="84"/>
      <c r="C113" s="55" t="s">
        <v>37</v>
      </c>
      <c r="D113" s="54">
        <v>2</v>
      </c>
      <c r="E113" s="53">
        <v>2.7472527472527475E-3</v>
      </c>
    </row>
    <row r="114" spans="2:5" ht="15" customHeight="1">
      <c r="B114" s="84"/>
      <c r="C114" s="55" t="s">
        <v>40</v>
      </c>
      <c r="D114" s="54">
        <v>3</v>
      </c>
      <c r="E114" s="53">
        <v>4.120879120879121E-3</v>
      </c>
    </row>
    <row r="115" spans="2:5" ht="15" customHeight="1">
      <c r="B115" s="84"/>
      <c r="C115" s="55" t="s">
        <v>38</v>
      </c>
      <c r="D115" s="54">
        <v>2</v>
      </c>
      <c r="E115" s="53">
        <v>2.7472527472527475E-3</v>
      </c>
    </row>
    <row r="116" spans="2:5" ht="15" customHeight="1">
      <c r="B116" s="84"/>
      <c r="C116" s="55" t="s">
        <v>31</v>
      </c>
      <c r="D116" s="54">
        <v>1</v>
      </c>
      <c r="E116" s="53">
        <v>1.3736263736263737E-3</v>
      </c>
    </row>
    <row r="117" spans="2:5" ht="15" customHeight="1">
      <c r="B117" s="85"/>
      <c r="C117" s="51" t="s">
        <v>15</v>
      </c>
      <c r="D117" s="50">
        <v>23</v>
      </c>
      <c r="E117" s="49">
        <v>3.1593406593406592E-2</v>
      </c>
    </row>
    <row r="118" spans="2:5" ht="15" customHeight="1">
      <c r="B118" s="83" t="s">
        <v>144</v>
      </c>
      <c r="C118" s="55" t="s">
        <v>25</v>
      </c>
      <c r="D118" s="54">
        <v>4</v>
      </c>
      <c r="E118" s="53">
        <v>5.4945054945054949E-3</v>
      </c>
    </row>
    <row r="119" spans="2:5" ht="15" customHeight="1">
      <c r="B119" s="84"/>
      <c r="C119" s="55" t="s">
        <v>24</v>
      </c>
      <c r="D119" s="54">
        <v>1</v>
      </c>
      <c r="E119" s="53">
        <v>1.3736263736263737E-3</v>
      </c>
    </row>
    <row r="120" spans="2:5" ht="15" customHeight="1">
      <c r="B120" s="84"/>
      <c r="C120" s="55" t="s">
        <v>20</v>
      </c>
      <c r="D120" s="54">
        <v>1</v>
      </c>
      <c r="E120" s="53">
        <v>1.3736263736263737E-3</v>
      </c>
    </row>
    <row r="121" spans="2:5" ht="15" customHeight="1">
      <c r="B121" s="84"/>
      <c r="C121" s="55" t="s">
        <v>42</v>
      </c>
      <c r="D121" s="54">
        <v>22</v>
      </c>
      <c r="E121" s="53">
        <v>3.021978021978022E-2</v>
      </c>
    </row>
    <row r="122" spans="2:5" ht="15" customHeight="1">
      <c r="B122" s="84"/>
      <c r="C122" s="55" t="s">
        <v>184</v>
      </c>
      <c r="D122" s="54">
        <v>1</v>
      </c>
      <c r="E122" s="53">
        <v>1.3736263736263737E-3</v>
      </c>
    </row>
    <row r="123" spans="2:5" ht="15" customHeight="1">
      <c r="B123" s="84"/>
      <c r="C123" s="55" t="s">
        <v>36</v>
      </c>
      <c r="D123" s="54">
        <v>13</v>
      </c>
      <c r="E123" s="53">
        <v>1.7857142857142856E-2</v>
      </c>
    </row>
    <row r="124" spans="2:5" ht="15" customHeight="1">
      <c r="B124" s="84"/>
      <c r="C124" s="55" t="s">
        <v>18</v>
      </c>
      <c r="D124" s="54">
        <v>3</v>
      </c>
      <c r="E124" s="53">
        <v>4.120879120879121E-3</v>
      </c>
    </row>
    <row r="125" spans="2:5" ht="15" customHeight="1">
      <c r="B125" s="84"/>
      <c r="C125" s="55" t="s">
        <v>34</v>
      </c>
      <c r="D125" s="54">
        <v>12</v>
      </c>
      <c r="E125" s="53">
        <v>1.6483516483516484E-2</v>
      </c>
    </row>
    <row r="126" spans="2:5" ht="15" customHeight="1">
      <c r="B126" s="84"/>
      <c r="C126" s="55" t="s">
        <v>35</v>
      </c>
      <c r="D126" s="54">
        <v>11</v>
      </c>
      <c r="E126" s="53">
        <v>1.510989010989011E-2</v>
      </c>
    </row>
    <row r="127" spans="2:5" ht="15" customHeight="1">
      <c r="B127" s="84"/>
      <c r="C127" s="55" t="s">
        <v>43</v>
      </c>
      <c r="D127" s="54">
        <v>26</v>
      </c>
      <c r="E127" s="53">
        <v>3.5714285714285712E-2</v>
      </c>
    </row>
    <row r="128" spans="2:5" ht="15" customHeight="1">
      <c r="B128" s="84"/>
      <c r="C128" s="55" t="s">
        <v>33</v>
      </c>
      <c r="D128" s="54">
        <v>9</v>
      </c>
      <c r="E128" s="53">
        <v>1.2362637362637362E-2</v>
      </c>
    </row>
    <row r="129" spans="2:5" ht="15" customHeight="1">
      <c r="B129" s="84"/>
      <c r="C129" s="55" t="s">
        <v>41</v>
      </c>
      <c r="D129" s="54">
        <v>21</v>
      </c>
      <c r="E129" s="53">
        <v>2.8846153846153848E-2</v>
      </c>
    </row>
    <row r="130" spans="2:5" ht="15" customHeight="1">
      <c r="B130" s="84"/>
      <c r="C130" s="55" t="s">
        <v>37</v>
      </c>
      <c r="D130" s="54">
        <v>6</v>
      </c>
      <c r="E130" s="53">
        <v>8.241758241758242E-3</v>
      </c>
    </row>
    <row r="131" spans="2:5" ht="15" customHeight="1">
      <c r="B131" s="84"/>
      <c r="C131" s="55" t="s">
        <v>30</v>
      </c>
      <c r="D131" s="54">
        <v>4</v>
      </c>
      <c r="E131" s="53">
        <v>5.4945054945054949E-3</v>
      </c>
    </row>
    <row r="132" spans="2:5" ht="15" customHeight="1">
      <c r="B132" s="84"/>
      <c r="C132" s="55" t="s">
        <v>22</v>
      </c>
      <c r="D132" s="54">
        <v>1</v>
      </c>
      <c r="E132" s="53">
        <v>1.3736263736263737E-3</v>
      </c>
    </row>
    <row r="133" spans="2:5" ht="15" customHeight="1">
      <c r="B133" s="84"/>
      <c r="C133" s="55" t="s">
        <v>40</v>
      </c>
      <c r="D133" s="54">
        <v>18</v>
      </c>
      <c r="E133" s="53">
        <v>2.4725274725274724E-2</v>
      </c>
    </row>
    <row r="134" spans="2:5" ht="15" customHeight="1">
      <c r="B134" s="84"/>
      <c r="C134" s="55" t="s">
        <v>38</v>
      </c>
      <c r="D134" s="54">
        <v>22</v>
      </c>
      <c r="E134" s="53">
        <v>3.021978021978022E-2</v>
      </c>
    </row>
    <row r="135" spans="2:5" ht="15" customHeight="1">
      <c r="B135" s="84"/>
      <c r="C135" s="55" t="s">
        <v>32</v>
      </c>
      <c r="D135" s="54">
        <v>1</v>
      </c>
      <c r="E135" s="53">
        <v>1.3736263736263737E-3</v>
      </c>
    </row>
    <row r="136" spans="2:5" ht="15" customHeight="1">
      <c r="B136" s="84"/>
      <c r="C136" s="55" t="s">
        <v>31</v>
      </c>
      <c r="D136" s="54">
        <v>13</v>
      </c>
      <c r="E136" s="53">
        <v>1.7857142857142856E-2</v>
      </c>
    </row>
    <row r="137" spans="2:5" ht="15" customHeight="1">
      <c r="B137" s="84"/>
      <c r="C137" s="55" t="s">
        <v>17</v>
      </c>
      <c r="D137" s="54">
        <v>3</v>
      </c>
      <c r="E137" s="53">
        <v>4.120879120879121E-3</v>
      </c>
    </row>
    <row r="138" spans="2:5" ht="15" customHeight="1">
      <c r="B138" s="84"/>
      <c r="C138" s="55" t="s">
        <v>21</v>
      </c>
      <c r="D138" s="54">
        <v>3</v>
      </c>
      <c r="E138" s="53">
        <v>4.120879120879121E-3</v>
      </c>
    </row>
    <row r="139" spans="2:5" ht="15" customHeight="1">
      <c r="B139" s="84"/>
      <c r="C139" s="55" t="s">
        <v>27</v>
      </c>
      <c r="D139" s="54">
        <v>7</v>
      </c>
      <c r="E139" s="53">
        <v>9.6153846153846159E-3</v>
      </c>
    </row>
    <row r="140" spans="2:5" ht="15" customHeight="1">
      <c r="B140" s="84"/>
      <c r="C140" s="55" t="s">
        <v>26</v>
      </c>
      <c r="D140" s="54">
        <v>1</v>
      </c>
      <c r="E140" s="53">
        <v>1.3736263736263737E-3</v>
      </c>
    </row>
    <row r="141" spans="2:5" ht="15" customHeight="1">
      <c r="B141" s="84"/>
      <c r="C141" s="55" t="s">
        <v>39</v>
      </c>
      <c r="D141" s="54">
        <v>18</v>
      </c>
      <c r="E141" s="53">
        <v>2.4725274725274724E-2</v>
      </c>
    </row>
    <row r="142" spans="2:5" ht="15" customHeight="1">
      <c r="B142" s="84"/>
      <c r="C142" s="55" t="s">
        <v>16</v>
      </c>
      <c r="D142" s="54">
        <v>3</v>
      </c>
      <c r="E142" s="53">
        <v>4.120879120879121E-3</v>
      </c>
    </row>
    <row r="143" spans="2:5" ht="15" customHeight="1">
      <c r="B143" s="85"/>
      <c r="C143" s="51" t="s">
        <v>15</v>
      </c>
      <c r="D143" s="50">
        <v>224</v>
      </c>
      <c r="E143" s="49">
        <v>0.30769230769230771</v>
      </c>
    </row>
    <row r="144" spans="2:5" ht="15" customHeight="1">
      <c r="B144" s="83" t="s">
        <v>183</v>
      </c>
      <c r="C144" s="55" t="s">
        <v>36</v>
      </c>
      <c r="D144" s="54">
        <v>2</v>
      </c>
      <c r="E144" s="53">
        <v>2.7472527472527475E-3</v>
      </c>
    </row>
    <row r="145" spans="2:5" ht="15" customHeight="1">
      <c r="B145" s="84"/>
      <c r="C145" s="55" t="s">
        <v>35</v>
      </c>
      <c r="D145" s="54">
        <v>1</v>
      </c>
      <c r="E145" s="53">
        <v>1.3736263736263737E-3</v>
      </c>
    </row>
    <row r="146" spans="2:5" ht="15" customHeight="1">
      <c r="B146" s="84"/>
      <c r="C146" s="55" t="s">
        <v>41</v>
      </c>
      <c r="D146" s="54">
        <v>1</v>
      </c>
      <c r="E146" s="53">
        <v>1.3736263736263737E-3</v>
      </c>
    </row>
    <row r="147" spans="2:5" ht="15" customHeight="1">
      <c r="B147" s="84"/>
      <c r="C147" s="55" t="s">
        <v>37</v>
      </c>
      <c r="D147" s="54">
        <v>1</v>
      </c>
      <c r="E147" s="53">
        <v>1.3736263736263737E-3</v>
      </c>
    </row>
    <row r="148" spans="2:5" ht="15" customHeight="1">
      <c r="B148" s="84"/>
      <c r="C148" s="55" t="s">
        <v>38</v>
      </c>
      <c r="D148" s="54">
        <v>3</v>
      </c>
      <c r="E148" s="53">
        <v>4.120879120879121E-3</v>
      </c>
    </row>
    <row r="149" spans="2:5" ht="15" customHeight="1">
      <c r="B149" s="84"/>
      <c r="C149" s="55" t="s">
        <v>31</v>
      </c>
      <c r="D149" s="54">
        <v>1</v>
      </c>
      <c r="E149" s="53">
        <v>1.3736263736263737E-3</v>
      </c>
    </row>
    <row r="150" spans="2:5" ht="15" customHeight="1">
      <c r="B150" s="85"/>
      <c r="C150" s="51" t="s">
        <v>15</v>
      </c>
      <c r="D150" s="50">
        <v>9</v>
      </c>
      <c r="E150" s="49">
        <v>1.2362637362637362E-2</v>
      </c>
    </row>
    <row r="151" spans="2:5" ht="15" customHeight="1">
      <c r="B151" s="83" t="s">
        <v>142</v>
      </c>
      <c r="C151" s="55" t="s">
        <v>42</v>
      </c>
      <c r="D151" s="54">
        <v>3</v>
      </c>
      <c r="E151" s="53">
        <v>4.120879120879121E-3</v>
      </c>
    </row>
    <row r="152" spans="2:5" ht="15" customHeight="1">
      <c r="B152" s="84"/>
      <c r="C152" s="55" t="s">
        <v>36</v>
      </c>
      <c r="D152" s="54">
        <v>3</v>
      </c>
      <c r="E152" s="53">
        <v>4.120879120879121E-3</v>
      </c>
    </row>
    <row r="153" spans="2:5" ht="15" customHeight="1">
      <c r="B153" s="84"/>
      <c r="C153" s="55" t="s">
        <v>34</v>
      </c>
      <c r="D153" s="54">
        <v>2</v>
      </c>
      <c r="E153" s="53">
        <v>2.7472527472527475E-3</v>
      </c>
    </row>
    <row r="154" spans="2:5" ht="15" customHeight="1">
      <c r="B154" s="84"/>
      <c r="C154" s="55" t="s">
        <v>35</v>
      </c>
      <c r="D154" s="54">
        <v>1</v>
      </c>
      <c r="E154" s="53">
        <v>1.3736263736263737E-3</v>
      </c>
    </row>
    <row r="155" spans="2:5" ht="15" customHeight="1">
      <c r="B155" s="84"/>
      <c r="C155" s="55" t="s">
        <v>43</v>
      </c>
      <c r="D155" s="54">
        <v>5</v>
      </c>
      <c r="E155" s="53">
        <v>6.868131868131868E-3</v>
      </c>
    </row>
    <row r="156" spans="2:5" ht="15" customHeight="1">
      <c r="B156" s="84"/>
      <c r="C156" s="55" t="s">
        <v>41</v>
      </c>
      <c r="D156" s="54">
        <v>1</v>
      </c>
      <c r="E156" s="53">
        <v>1.3736263736263737E-3</v>
      </c>
    </row>
    <row r="157" spans="2:5" ht="15" customHeight="1">
      <c r="B157" s="84"/>
      <c r="C157" s="55" t="s">
        <v>37</v>
      </c>
      <c r="D157" s="54">
        <v>3</v>
      </c>
      <c r="E157" s="53">
        <v>4.120879120879121E-3</v>
      </c>
    </row>
    <row r="158" spans="2:5" ht="15" customHeight="1">
      <c r="B158" s="84"/>
      <c r="C158" s="55" t="s">
        <v>30</v>
      </c>
      <c r="D158" s="54">
        <v>3</v>
      </c>
      <c r="E158" s="53">
        <v>4.120879120879121E-3</v>
      </c>
    </row>
    <row r="159" spans="2:5" ht="15" customHeight="1">
      <c r="B159" s="84"/>
      <c r="C159" s="55" t="s">
        <v>22</v>
      </c>
      <c r="D159" s="54">
        <v>1</v>
      </c>
      <c r="E159" s="53">
        <v>1.3736263736263737E-3</v>
      </c>
    </row>
    <row r="160" spans="2:5" ht="15" customHeight="1">
      <c r="B160" s="84"/>
      <c r="C160" s="55" t="s">
        <v>40</v>
      </c>
      <c r="D160" s="54">
        <v>2</v>
      </c>
      <c r="E160" s="53">
        <v>2.7472527472527475E-3</v>
      </c>
    </row>
    <row r="161" spans="2:5" ht="15" customHeight="1">
      <c r="B161" s="84"/>
      <c r="C161" s="55" t="s">
        <v>38</v>
      </c>
      <c r="D161" s="54">
        <v>5</v>
      </c>
      <c r="E161" s="53">
        <v>6.868131868131868E-3</v>
      </c>
    </row>
    <row r="162" spans="2:5" ht="15" customHeight="1">
      <c r="B162" s="84"/>
      <c r="C162" s="55" t="s">
        <v>32</v>
      </c>
      <c r="D162" s="54">
        <v>1</v>
      </c>
      <c r="E162" s="53">
        <v>1.3736263736263737E-3</v>
      </c>
    </row>
    <row r="163" spans="2:5" ht="15" customHeight="1">
      <c r="B163" s="84"/>
      <c r="C163" s="55" t="s">
        <v>17</v>
      </c>
      <c r="D163" s="54">
        <v>1</v>
      </c>
      <c r="E163" s="53">
        <v>1.3736263736263737E-3</v>
      </c>
    </row>
    <row r="164" spans="2:5" ht="15" customHeight="1">
      <c r="B164" s="84"/>
      <c r="C164" s="55" t="s">
        <v>39</v>
      </c>
      <c r="D164" s="54">
        <v>1</v>
      </c>
      <c r="E164" s="53">
        <v>1.3736263736263737E-3</v>
      </c>
    </row>
    <row r="165" spans="2:5" ht="15" customHeight="1">
      <c r="B165" s="85"/>
      <c r="C165" s="51" t="s">
        <v>15</v>
      </c>
      <c r="D165" s="50">
        <v>32</v>
      </c>
      <c r="E165" s="49">
        <v>4.3956043956043959E-2</v>
      </c>
    </row>
    <row r="166" spans="2:5" ht="15" customHeight="1">
      <c r="B166" s="83" t="s">
        <v>141</v>
      </c>
      <c r="C166" s="55" t="s">
        <v>24</v>
      </c>
      <c r="D166" s="54">
        <v>1</v>
      </c>
      <c r="E166" s="53">
        <v>1.3736263736263737E-3</v>
      </c>
    </row>
    <row r="167" spans="2:5" ht="15" customHeight="1">
      <c r="B167" s="84"/>
      <c r="C167" s="55" t="s">
        <v>20</v>
      </c>
      <c r="D167" s="54">
        <v>1</v>
      </c>
      <c r="E167" s="53">
        <v>1.3736263736263737E-3</v>
      </c>
    </row>
    <row r="168" spans="2:5" ht="15" customHeight="1">
      <c r="B168" s="84"/>
      <c r="C168" s="55" t="s">
        <v>42</v>
      </c>
      <c r="D168" s="54">
        <v>16</v>
      </c>
      <c r="E168" s="53">
        <v>2.197802197802198E-2</v>
      </c>
    </row>
    <row r="169" spans="2:5" ht="15" customHeight="1">
      <c r="B169" s="84"/>
      <c r="C169" s="55" t="s">
        <v>184</v>
      </c>
      <c r="D169" s="54">
        <v>1</v>
      </c>
      <c r="E169" s="53">
        <v>1.3736263736263737E-3</v>
      </c>
    </row>
    <row r="170" spans="2:5" ht="15" customHeight="1">
      <c r="B170" s="84"/>
      <c r="C170" s="55" t="s">
        <v>36</v>
      </c>
      <c r="D170" s="54">
        <v>17</v>
      </c>
      <c r="E170" s="53">
        <v>2.3351648351648352E-2</v>
      </c>
    </row>
    <row r="171" spans="2:5" ht="15" customHeight="1">
      <c r="B171" s="84"/>
      <c r="C171" s="55" t="s">
        <v>18</v>
      </c>
      <c r="D171" s="54">
        <v>1</v>
      </c>
      <c r="E171" s="53">
        <v>1.3736263736263737E-3</v>
      </c>
    </row>
    <row r="172" spans="2:5" ht="15" customHeight="1">
      <c r="B172" s="84"/>
      <c r="C172" s="55" t="s">
        <v>34</v>
      </c>
      <c r="D172" s="54">
        <v>5</v>
      </c>
      <c r="E172" s="53">
        <v>6.868131868131868E-3</v>
      </c>
    </row>
    <row r="173" spans="2:5" ht="15" customHeight="1">
      <c r="B173" s="84"/>
      <c r="C173" s="55" t="s">
        <v>35</v>
      </c>
      <c r="D173" s="54">
        <v>2</v>
      </c>
      <c r="E173" s="53">
        <v>2.7472527472527475E-3</v>
      </c>
    </row>
    <row r="174" spans="2:5" ht="15" customHeight="1">
      <c r="B174" s="84"/>
      <c r="C174" s="55" t="s">
        <v>43</v>
      </c>
      <c r="D174" s="54">
        <v>31</v>
      </c>
      <c r="E174" s="53">
        <v>4.2582417582417584E-2</v>
      </c>
    </row>
    <row r="175" spans="2:5" ht="15" customHeight="1">
      <c r="B175" s="84"/>
      <c r="C175" s="55" t="s">
        <v>33</v>
      </c>
      <c r="D175" s="54">
        <v>8</v>
      </c>
      <c r="E175" s="53">
        <v>1.098901098901099E-2</v>
      </c>
    </row>
    <row r="176" spans="2:5" ht="15" customHeight="1">
      <c r="B176" s="84"/>
      <c r="C176" s="55" t="s">
        <v>41</v>
      </c>
      <c r="D176" s="54">
        <v>10</v>
      </c>
      <c r="E176" s="53">
        <v>1.3736263736263736E-2</v>
      </c>
    </row>
    <row r="177" spans="2:5" ht="15" customHeight="1">
      <c r="B177" s="84"/>
      <c r="C177" s="55" t="s">
        <v>37</v>
      </c>
      <c r="D177" s="54">
        <v>4</v>
      </c>
      <c r="E177" s="53">
        <v>5.4945054945054949E-3</v>
      </c>
    </row>
    <row r="178" spans="2:5" ht="15" customHeight="1">
      <c r="B178" s="84"/>
      <c r="C178" s="55" t="s">
        <v>30</v>
      </c>
      <c r="D178" s="54">
        <v>1</v>
      </c>
      <c r="E178" s="53">
        <v>1.3736263736263737E-3</v>
      </c>
    </row>
    <row r="179" spans="2:5" ht="15" customHeight="1">
      <c r="B179" s="84"/>
      <c r="C179" s="55" t="s">
        <v>40</v>
      </c>
      <c r="D179" s="54">
        <v>6</v>
      </c>
      <c r="E179" s="53">
        <v>8.241758241758242E-3</v>
      </c>
    </row>
    <row r="180" spans="2:5" ht="15" customHeight="1">
      <c r="B180" s="84"/>
      <c r="C180" s="55" t="s">
        <v>38</v>
      </c>
      <c r="D180" s="54">
        <v>16</v>
      </c>
      <c r="E180" s="53">
        <v>2.197802197802198E-2</v>
      </c>
    </row>
    <row r="181" spans="2:5" ht="15" customHeight="1">
      <c r="B181" s="84"/>
      <c r="C181" s="55" t="s">
        <v>32</v>
      </c>
      <c r="D181" s="54">
        <v>3</v>
      </c>
      <c r="E181" s="53">
        <v>4.120879120879121E-3</v>
      </c>
    </row>
    <row r="182" spans="2:5" ht="15" customHeight="1">
      <c r="B182" s="84"/>
      <c r="C182" s="55" t="s">
        <v>31</v>
      </c>
      <c r="D182" s="54">
        <v>2</v>
      </c>
      <c r="E182" s="53">
        <v>2.7472527472527475E-3</v>
      </c>
    </row>
    <row r="183" spans="2:5" ht="15" customHeight="1">
      <c r="B183" s="84"/>
      <c r="C183" s="55" t="s">
        <v>29</v>
      </c>
      <c r="D183" s="54">
        <v>2</v>
      </c>
      <c r="E183" s="53">
        <v>2.7472527472527475E-3</v>
      </c>
    </row>
    <row r="184" spans="2:5" ht="15" customHeight="1">
      <c r="B184" s="84"/>
      <c r="C184" s="55" t="s">
        <v>21</v>
      </c>
      <c r="D184" s="54">
        <v>2</v>
      </c>
      <c r="E184" s="53">
        <v>2.7472527472527475E-3</v>
      </c>
    </row>
    <row r="185" spans="2:5" ht="15" customHeight="1">
      <c r="B185" s="84"/>
      <c r="C185" s="55" t="s">
        <v>27</v>
      </c>
      <c r="D185" s="54">
        <v>1</v>
      </c>
      <c r="E185" s="53">
        <v>1.3736263736263737E-3</v>
      </c>
    </row>
    <row r="186" spans="2:5" ht="15" customHeight="1">
      <c r="B186" s="84"/>
      <c r="C186" s="55" t="s">
        <v>26</v>
      </c>
      <c r="D186" s="54">
        <v>3</v>
      </c>
      <c r="E186" s="53">
        <v>4.120879120879121E-3</v>
      </c>
    </row>
    <row r="187" spans="2:5" ht="15" customHeight="1">
      <c r="B187" s="84"/>
      <c r="C187" s="55" t="s">
        <v>39</v>
      </c>
      <c r="D187" s="54">
        <v>13</v>
      </c>
      <c r="E187" s="53">
        <v>1.7857142857142856E-2</v>
      </c>
    </row>
    <row r="188" spans="2:5" ht="15" customHeight="1">
      <c r="B188" s="84"/>
      <c r="C188" s="55" t="s">
        <v>16</v>
      </c>
      <c r="D188" s="54">
        <v>1</v>
      </c>
      <c r="E188" s="53">
        <v>1.3736263736263737E-3</v>
      </c>
    </row>
    <row r="189" spans="2:5" ht="15" customHeight="1">
      <c r="B189" s="85"/>
      <c r="C189" s="51" t="s">
        <v>15</v>
      </c>
      <c r="D189" s="50">
        <v>147</v>
      </c>
      <c r="E189" s="49">
        <v>0.20192307692307693</v>
      </c>
    </row>
    <row r="190" spans="2:5" ht="15" customHeight="1">
      <c r="B190" s="83" t="s">
        <v>140</v>
      </c>
      <c r="C190" s="55" t="s">
        <v>36</v>
      </c>
      <c r="D190" s="54">
        <v>1</v>
      </c>
      <c r="E190" s="53">
        <v>1.3736263736263737E-3</v>
      </c>
    </row>
    <row r="191" spans="2:5" ht="15" customHeight="1">
      <c r="B191" s="84"/>
      <c r="C191" s="55" t="s">
        <v>34</v>
      </c>
      <c r="D191" s="54">
        <v>1</v>
      </c>
      <c r="E191" s="53">
        <v>1.3736263736263737E-3</v>
      </c>
    </row>
    <row r="192" spans="2:5" ht="15" customHeight="1">
      <c r="B192" s="84"/>
      <c r="C192" s="55" t="s">
        <v>38</v>
      </c>
      <c r="D192" s="54">
        <v>1</v>
      </c>
      <c r="E192" s="53">
        <v>1.3736263736263737E-3</v>
      </c>
    </row>
    <row r="193" spans="2:5" ht="15" customHeight="1">
      <c r="B193" s="84"/>
      <c r="C193" s="55" t="s">
        <v>16</v>
      </c>
      <c r="D193" s="54">
        <v>1</v>
      </c>
      <c r="E193" s="53">
        <v>1.3736263736263737E-3</v>
      </c>
    </row>
    <row r="194" spans="2:5" ht="15" customHeight="1">
      <c r="B194" s="85"/>
      <c r="C194" s="51" t="s">
        <v>15</v>
      </c>
      <c r="D194" s="50">
        <v>4</v>
      </c>
      <c r="E194" s="49">
        <v>5.4945054945054949E-3</v>
      </c>
    </row>
    <row r="195" spans="2:5" ht="15" customHeight="1">
      <c r="B195" s="83" t="s">
        <v>413</v>
      </c>
      <c r="C195" s="55" t="s">
        <v>36</v>
      </c>
      <c r="D195" s="54">
        <v>1</v>
      </c>
      <c r="E195" s="53">
        <v>1.3736263736263737E-3</v>
      </c>
    </row>
    <row r="196" spans="2:5" ht="15" customHeight="1">
      <c r="B196" s="84"/>
      <c r="C196" s="55" t="s">
        <v>29</v>
      </c>
      <c r="D196" s="54">
        <v>1</v>
      </c>
      <c r="E196" s="53">
        <v>1.3736263736263737E-3</v>
      </c>
    </row>
    <row r="197" spans="2:5" ht="15" customHeight="1">
      <c r="B197" s="85"/>
      <c r="C197" s="51" t="s">
        <v>15</v>
      </c>
      <c r="D197" s="50">
        <v>2</v>
      </c>
      <c r="E197" s="49">
        <v>2.7472527472527475E-3</v>
      </c>
    </row>
    <row r="198" spans="2:5" ht="15" customHeight="1">
      <c r="B198" s="83" t="s">
        <v>215</v>
      </c>
      <c r="C198" s="55" t="s">
        <v>41</v>
      </c>
      <c r="D198" s="54">
        <v>1</v>
      </c>
      <c r="E198" s="53">
        <v>1.3736263736263737E-3</v>
      </c>
    </row>
    <row r="199" spans="2:5" ht="15" customHeight="1">
      <c r="B199" s="84"/>
      <c r="C199" s="55" t="s">
        <v>38</v>
      </c>
      <c r="D199" s="54">
        <v>1</v>
      </c>
      <c r="E199" s="53">
        <v>1.3736263736263737E-3</v>
      </c>
    </row>
    <row r="200" spans="2:5" ht="15" customHeight="1">
      <c r="B200" s="85"/>
      <c r="C200" s="51" t="s">
        <v>15</v>
      </c>
      <c r="D200" s="50">
        <v>2</v>
      </c>
      <c r="E200" s="49">
        <v>2.7472527472527475E-3</v>
      </c>
    </row>
    <row r="201" spans="2:5" ht="15" customHeight="1">
      <c r="B201" s="83" t="s">
        <v>139</v>
      </c>
      <c r="C201" s="55" t="s">
        <v>42</v>
      </c>
      <c r="D201" s="54">
        <v>1</v>
      </c>
      <c r="E201" s="53">
        <v>1.3736263736263737E-3</v>
      </c>
    </row>
    <row r="202" spans="2:5" ht="15" customHeight="1">
      <c r="B202" s="84"/>
      <c r="C202" s="55" t="s">
        <v>36</v>
      </c>
      <c r="D202" s="54">
        <v>1</v>
      </c>
      <c r="E202" s="53">
        <v>1.3736263736263737E-3</v>
      </c>
    </row>
    <row r="203" spans="2:5" ht="15" customHeight="1">
      <c r="B203" s="84"/>
      <c r="C203" s="55" t="s">
        <v>34</v>
      </c>
      <c r="D203" s="54">
        <v>1</v>
      </c>
      <c r="E203" s="53">
        <v>1.3736263736263737E-3</v>
      </c>
    </row>
    <row r="204" spans="2:5" ht="15" customHeight="1">
      <c r="B204" s="84"/>
      <c r="C204" s="55" t="s">
        <v>35</v>
      </c>
      <c r="D204" s="54">
        <v>1</v>
      </c>
      <c r="E204" s="53">
        <v>1.3736263736263737E-3</v>
      </c>
    </row>
    <row r="205" spans="2:5" ht="15" customHeight="1">
      <c r="B205" s="84"/>
      <c r="C205" s="55" t="s">
        <v>43</v>
      </c>
      <c r="D205" s="54">
        <v>1</v>
      </c>
      <c r="E205" s="53">
        <v>1.3736263736263737E-3</v>
      </c>
    </row>
    <row r="206" spans="2:5" ht="15" customHeight="1">
      <c r="B206" s="84"/>
      <c r="C206" s="55" t="s">
        <v>30</v>
      </c>
      <c r="D206" s="54">
        <v>1</v>
      </c>
      <c r="E206" s="53">
        <v>1.3736263736263737E-3</v>
      </c>
    </row>
    <row r="207" spans="2:5" ht="15" customHeight="1">
      <c r="B207" s="84"/>
      <c r="C207" s="55" t="s">
        <v>27</v>
      </c>
      <c r="D207" s="54">
        <v>3</v>
      </c>
      <c r="E207" s="53">
        <v>4.120879120879121E-3</v>
      </c>
    </row>
    <row r="208" spans="2:5" ht="15" customHeight="1">
      <c r="B208" s="85"/>
      <c r="C208" s="51" t="s">
        <v>15</v>
      </c>
      <c r="D208" s="50">
        <v>9</v>
      </c>
      <c r="E208" s="49">
        <v>1.2362637362637362E-2</v>
      </c>
    </row>
    <row r="209" spans="2:5" ht="15" customHeight="1">
      <c r="B209" s="83" t="s">
        <v>182</v>
      </c>
      <c r="C209" s="55" t="s">
        <v>25</v>
      </c>
      <c r="D209" s="54">
        <v>1</v>
      </c>
      <c r="E209" s="53">
        <v>1.3736263736263737E-3</v>
      </c>
    </row>
    <row r="210" spans="2:5" ht="15" customHeight="1">
      <c r="B210" s="84"/>
      <c r="C210" s="55" t="s">
        <v>24</v>
      </c>
      <c r="D210" s="54">
        <v>1</v>
      </c>
      <c r="E210" s="53">
        <v>1.3736263736263737E-3</v>
      </c>
    </row>
    <row r="211" spans="2:5" ht="15" customHeight="1">
      <c r="B211" s="84"/>
      <c r="C211" s="55" t="s">
        <v>42</v>
      </c>
      <c r="D211" s="54">
        <v>2</v>
      </c>
      <c r="E211" s="53">
        <v>2.7472527472527475E-3</v>
      </c>
    </row>
    <row r="212" spans="2:5" ht="15" customHeight="1">
      <c r="B212" s="84"/>
      <c r="C212" s="55" t="s">
        <v>23</v>
      </c>
      <c r="D212" s="54">
        <v>1</v>
      </c>
      <c r="E212" s="53">
        <v>1.3736263736263737E-3</v>
      </c>
    </row>
    <row r="213" spans="2:5" ht="15" customHeight="1">
      <c r="B213" s="84"/>
      <c r="C213" s="55" t="s">
        <v>36</v>
      </c>
      <c r="D213" s="54">
        <v>8</v>
      </c>
      <c r="E213" s="53">
        <v>1.098901098901099E-2</v>
      </c>
    </row>
    <row r="214" spans="2:5" ht="15" customHeight="1">
      <c r="B214" s="84"/>
      <c r="C214" s="55" t="s">
        <v>34</v>
      </c>
      <c r="D214" s="54">
        <v>1</v>
      </c>
      <c r="E214" s="53">
        <v>1.3736263736263737E-3</v>
      </c>
    </row>
    <row r="215" spans="2:5" ht="15" customHeight="1">
      <c r="B215" s="84"/>
      <c r="C215" s="55" t="s">
        <v>35</v>
      </c>
      <c r="D215" s="54">
        <v>2</v>
      </c>
      <c r="E215" s="53">
        <v>2.7472527472527475E-3</v>
      </c>
    </row>
    <row r="216" spans="2:5" ht="15" customHeight="1">
      <c r="B216" s="84"/>
      <c r="C216" s="55" t="s">
        <v>43</v>
      </c>
      <c r="D216" s="54">
        <v>2</v>
      </c>
      <c r="E216" s="53">
        <v>2.7472527472527475E-3</v>
      </c>
    </row>
    <row r="217" spans="2:5" ht="15" customHeight="1">
      <c r="B217" s="84"/>
      <c r="C217" s="55" t="s">
        <v>41</v>
      </c>
      <c r="D217" s="54">
        <v>4</v>
      </c>
      <c r="E217" s="53">
        <v>5.4945054945054949E-3</v>
      </c>
    </row>
    <row r="218" spans="2:5" ht="15" customHeight="1">
      <c r="B218" s="84"/>
      <c r="C218" s="55" t="s">
        <v>37</v>
      </c>
      <c r="D218" s="54">
        <v>2</v>
      </c>
      <c r="E218" s="53">
        <v>2.7472527472527475E-3</v>
      </c>
    </row>
    <row r="219" spans="2:5" ht="15" customHeight="1">
      <c r="B219" s="84"/>
      <c r="C219" s="55" t="s">
        <v>30</v>
      </c>
      <c r="D219" s="54">
        <v>1</v>
      </c>
      <c r="E219" s="53">
        <v>1.3736263736263737E-3</v>
      </c>
    </row>
    <row r="220" spans="2:5" ht="15" customHeight="1">
      <c r="B220" s="84"/>
      <c r="C220" s="55" t="s">
        <v>28</v>
      </c>
      <c r="D220" s="54">
        <v>1</v>
      </c>
      <c r="E220" s="53">
        <v>1.3736263736263737E-3</v>
      </c>
    </row>
    <row r="221" spans="2:5" ht="15" customHeight="1">
      <c r="B221" s="84"/>
      <c r="C221" s="55" t="s">
        <v>40</v>
      </c>
      <c r="D221" s="54">
        <v>1</v>
      </c>
      <c r="E221" s="53">
        <v>1.3736263736263737E-3</v>
      </c>
    </row>
    <row r="222" spans="2:5" ht="15" customHeight="1">
      <c r="B222" s="84"/>
      <c r="C222" s="55" t="s">
        <v>38</v>
      </c>
      <c r="D222" s="54">
        <v>2</v>
      </c>
      <c r="E222" s="53">
        <v>2.7472527472527475E-3</v>
      </c>
    </row>
    <row r="223" spans="2:5" ht="15" customHeight="1">
      <c r="B223" s="84"/>
      <c r="C223" s="55" t="s">
        <v>32</v>
      </c>
      <c r="D223" s="54">
        <v>1</v>
      </c>
      <c r="E223" s="53">
        <v>1.3736263736263737E-3</v>
      </c>
    </row>
    <row r="224" spans="2:5" ht="15" customHeight="1">
      <c r="B224" s="84"/>
      <c r="C224" s="55" t="s">
        <v>29</v>
      </c>
      <c r="D224" s="54">
        <v>5</v>
      </c>
      <c r="E224" s="53">
        <v>6.868131868131868E-3</v>
      </c>
    </row>
    <row r="225" spans="2:5" ht="15" customHeight="1">
      <c r="B225" s="84"/>
      <c r="C225" s="55" t="s">
        <v>21</v>
      </c>
      <c r="D225" s="54">
        <v>1</v>
      </c>
      <c r="E225" s="53">
        <v>1.3736263736263737E-3</v>
      </c>
    </row>
    <row r="226" spans="2:5" ht="15" customHeight="1">
      <c r="B226" s="84"/>
      <c r="C226" s="55" t="s">
        <v>39</v>
      </c>
      <c r="D226" s="54">
        <v>4</v>
      </c>
      <c r="E226" s="53">
        <v>5.4945054945054949E-3</v>
      </c>
    </row>
    <row r="227" spans="2:5" ht="15" customHeight="1">
      <c r="B227" s="85"/>
      <c r="C227" s="51" t="s">
        <v>15</v>
      </c>
      <c r="D227" s="50">
        <v>40</v>
      </c>
      <c r="E227" s="49">
        <v>5.4945054945054944E-2</v>
      </c>
    </row>
    <row r="228" spans="2:5" ht="15" customHeight="1">
      <c r="B228" s="83" t="s">
        <v>137</v>
      </c>
      <c r="C228" s="55" t="s">
        <v>36</v>
      </c>
      <c r="D228" s="54">
        <v>3</v>
      </c>
      <c r="E228" s="53">
        <v>4.120879120879121E-3</v>
      </c>
    </row>
    <row r="229" spans="2:5" ht="15" customHeight="1">
      <c r="B229" s="84"/>
      <c r="C229" s="55" t="s">
        <v>43</v>
      </c>
      <c r="D229" s="54">
        <v>1</v>
      </c>
      <c r="E229" s="53">
        <v>1.3736263736263737E-3</v>
      </c>
    </row>
    <row r="230" spans="2:5" ht="15" customHeight="1">
      <c r="B230" s="84"/>
      <c r="C230" s="55" t="s">
        <v>37</v>
      </c>
      <c r="D230" s="54">
        <v>1</v>
      </c>
      <c r="E230" s="53">
        <v>1.3736263736263737E-3</v>
      </c>
    </row>
    <row r="231" spans="2:5" ht="15" customHeight="1">
      <c r="B231" s="84"/>
      <c r="C231" s="55" t="s">
        <v>29</v>
      </c>
      <c r="D231" s="54">
        <v>2</v>
      </c>
      <c r="E231" s="53">
        <v>2.7472527472527475E-3</v>
      </c>
    </row>
    <row r="232" spans="2:5" ht="15" customHeight="1">
      <c r="B232" s="85"/>
      <c r="C232" s="51" t="s">
        <v>15</v>
      </c>
      <c r="D232" s="50">
        <v>7</v>
      </c>
      <c r="E232" s="49">
        <v>9.6153846153846159E-3</v>
      </c>
    </row>
    <row r="233" spans="2:5" ht="15" customHeight="1">
      <c r="B233" s="83" t="s">
        <v>414</v>
      </c>
      <c r="C233" s="55" t="s">
        <v>18</v>
      </c>
      <c r="D233" s="54">
        <v>1</v>
      </c>
      <c r="E233" s="53">
        <v>1.3736263736263737E-3</v>
      </c>
    </row>
    <row r="234" spans="2:5" ht="15" customHeight="1">
      <c r="B234" s="84"/>
      <c r="C234" s="55" t="s">
        <v>35</v>
      </c>
      <c r="D234" s="54">
        <v>1</v>
      </c>
      <c r="E234" s="53">
        <v>1.3736263736263737E-3</v>
      </c>
    </row>
    <row r="235" spans="2:5" ht="15" customHeight="1">
      <c r="B235" s="84"/>
      <c r="C235" s="55" t="s">
        <v>38</v>
      </c>
      <c r="D235" s="54">
        <v>1</v>
      </c>
      <c r="E235" s="53">
        <v>1.3736263736263737E-3</v>
      </c>
    </row>
    <row r="236" spans="2:5" ht="15" customHeight="1">
      <c r="B236" s="85"/>
      <c r="C236" s="51" t="s">
        <v>15</v>
      </c>
      <c r="D236" s="50">
        <v>3</v>
      </c>
      <c r="E236" s="49">
        <v>4.120879120879121E-3</v>
      </c>
    </row>
    <row r="237" spans="2:5" ht="15" customHeight="1">
      <c r="B237" s="87" t="s">
        <v>15</v>
      </c>
      <c r="C237" s="88"/>
      <c r="D237" s="69">
        <v>728</v>
      </c>
      <c r="E237" s="70">
        <v>1</v>
      </c>
    </row>
    <row r="238" spans="2:5" ht="15" customHeight="1">
      <c r="B238" s="52"/>
      <c r="C238" s="52"/>
      <c r="D238" s="52"/>
      <c r="E238" s="52"/>
    </row>
    <row r="239" spans="2:5" ht="15" customHeight="1">
      <c r="B239" s="66" t="s">
        <v>218</v>
      </c>
      <c r="C239" s="52"/>
      <c r="D239" s="52"/>
      <c r="E239" s="52"/>
    </row>
    <row r="240" spans="2:5" ht="15" customHeight="1">
      <c r="B240" s="68" t="s">
        <v>14</v>
      </c>
      <c r="C240" s="52"/>
      <c r="D240" s="52"/>
      <c r="E240" s="52"/>
    </row>
    <row r="241" spans="2:5" ht="15" customHeight="1">
      <c r="B241" s="67" t="s">
        <v>13</v>
      </c>
      <c r="C241" s="52"/>
      <c r="D241" s="52"/>
      <c r="E241" s="52"/>
    </row>
    <row r="242" spans="2:5" ht="15" customHeight="1">
      <c r="B242" s="66" t="s">
        <v>12</v>
      </c>
      <c r="C242" s="52"/>
      <c r="D242" s="52"/>
      <c r="E242" s="52"/>
    </row>
    <row r="243" spans="2:5" ht="15" customHeight="1">
      <c r="B243" s="66" t="s">
        <v>219</v>
      </c>
      <c r="C243" s="52"/>
      <c r="D243" s="52"/>
      <c r="E243" s="52"/>
    </row>
  </sheetData>
  <mergeCells count="24">
    <mergeCell ref="B228:B232"/>
    <mergeCell ref="B233:B236"/>
    <mergeCell ref="B237:C237"/>
    <mergeCell ref="B190:B194"/>
    <mergeCell ref="B195:B197"/>
    <mergeCell ref="B198:B200"/>
    <mergeCell ref="B201:B208"/>
    <mergeCell ref="B209:B227"/>
    <mergeCell ref="B7:E8"/>
    <mergeCell ref="B10:B14"/>
    <mergeCell ref="B15:B19"/>
    <mergeCell ref="B20:B24"/>
    <mergeCell ref="B25:B33"/>
    <mergeCell ref="B34:B40"/>
    <mergeCell ref="B41:B50"/>
    <mergeCell ref="B51:B63"/>
    <mergeCell ref="B64:B86"/>
    <mergeCell ref="B87:B96"/>
    <mergeCell ref="B166:B189"/>
    <mergeCell ref="B97:B106"/>
    <mergeCell ref="B107:B117"/>
    <mergeCell ref="B118:B143"/>
    <mergeCell ref="B144:B150"/>
    <mergeCell ref="B151:B165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2">
    <tabColor rgb="FF00B050"/>
    <pageSetUpPr fitToPage="1"/>
  </sheetPr>
  <dimension ref="A1:E22"/>
  <sheetViews>
    <sheetView showGridLines="0" zoomScaleNormal="100" zoomScaleSheetLayoutView="115" workbookViewId="0">
      <selection activeCell="E21" sqref="E21"/>
    </sheetView>
  </sheetViews>
  <sheetFormatPr baseColWidth="10" defaultColWidth="11.42578125" defaultRowHeight="15"/>
  <cols>
    <col min="1" max="1" width="9.28515625" style="18" customWidth="1"/>
    <col min="2" max="2" width="21.7109375" style="18" customWidth="1"/>
    <col min="3" max="3" width="17.7109375" style="19" customWidth="1"/>
    <col min="4" max="4" width="17.7109375" style="18" customWidth="1"/>
    <col min="5" max="5" width="9.28515625" style="18" customWidth="1"/>
    <col min="6" max="6" width="5.7109375" style="18" customWidth="1"/>
    <col min="7" max="16384" width="11.42578125" style="18"/>
  </cols>
  <sheetData>
    <row r="1" spans="1:5" s="21" customFormat="1" ht="15" customHeight="1">
      <c r="C1" s="27"/>
    </row>
    <row r="2" spans="1:5" s="21" customFormat="1" ht="15" customHeight="1">
      <c r="C2" s="27"/>
    </row>
    <row r="3" spans="1:5" s="21" customFormat="1" ht="15" customHeight="1">
      <c r="C3" s="27"/>
    </row>
    <row r="4" spans="1:5" s="21" customFormat="1" ht="30" customHeight="1">
      <c r="C4" s="27"/>
      <c r="D4" s="26"/>
    </row>
    <row r="5" spans="1:5" s="21" customFormat="1" ht="15" customHeight="1">
      <c r="C5" s="27"/>
      <c r="D5" s="26"/>
    </row>
    <row r="6" spans="1:5" s="21" customFormat="1" ht="15" customHeight="1">
      <c r="C6" s="27"/>
      <c r="D6" s="26"/>
    </row>
    <row r="7" spans="1:5" s="21" customFormat="1" ht="15" customHeight="1">
      <c r="B7" s="82" t="s">
        <v>415</v>
      </c>
      <c r="C7" s="82"/>
      <c r="D7" s="82"/>
    </row>
    <row r="8" spans="1:5" s="21" customFormat="1" ht="15" customHeight="1">
      <c r="B8" s="82"/>
      <c r="C8" s="82"/>
      <c r="D8" s="82"/>
    </row>
    <row r="9" spans="1:5" s="21" customFormat="1" ht="33" customHeight="1">
      <c r="B9" s="82"/>
      <c r="C9" s="82"/>
      <c r="D9" s="82"/>
    </row>
    <row r="10" spans="1:5" s="21" customFormat="1" ht="4.5" customHeight="1">
      <c r="B10" s="25"/>
      <c r="C10" s="25"/>
      <c r="D10" s="25"/>
    </row>
    <row r="11" spans="1:5" s="21" customFormat="1" ht="33" customHeight="1">
      <c r="B11" s="24" t="s">
        <v>160</v>
      </c>
      <c r="C11" s="23" t="s">
        <v>45</v>
      </c>
      <c r="D11" s="22" t="s">
        <v>44</v>
      </c>
    </row>
    <row r="12" spans="1:5">
      <c r="A12" s="46"/>
      <c r="B12" s="63" t="s">
        <v>159</v>
      </c>
      <c r="C12" s="62">
        <v>523</v>
      </c>
      <c r="D12" s="61">
        <v>0.71840659340659341</v>
      </c>
      <c r="E12" s="46"/>
    </row>
    <row r="13" spans="1:5">
      <c r="A13" s="46"/>
      <c r="B13" s="63" t="s">
        <v>158</v>
      </c>
      <c r="C13" s="62">
        <v>205</v>
      </c>
      <c r="D13" s="61">
        <v>0.28159340659340659</v>
      </c>
      <c r="E13" s="46"/>
    </row>
    <row r="14" spans="1:5">
      <c r="A14" s="46"/>
      <c r="B14" s="60" t="s">
        <v>157</v>
      </c>
      <c r="C14" s="59">
        <v>728</v>
      </c>
      <c r="D14" s="58">
        <v>1</v>
      </c>
      <c r="E14" s="46"/>
    </row>
    <row r="15" spans="1:5">
      <c r="A15" s="47"/>
      <c r="B15" s="64"/>
      <c r="C15" s="48"/>
      <c r="D15" s="64"/>
      <c r="E15" s="47"/>
    </row>
    <row r="16" spans="1:5">
      <c r="B16" s="66" t="s">
        <v>218</v>
      </c>
      <c r="C16" s="48"/>
      <c r="D16" s="64"/>
    </row>
    <row r="17" spans="2:4">
      <c r="B17" s="68" t="s">
        <v>14</v>
      </c>
      <c r="C17" s="71"/>
      <c r="D17" s="71"/>
    </row>
    <row r="18" spans="2:4">
      <c r="B18" s="67" t="s">
        <v>13</v>
      </c>
      <c r="C18" s="72"/>
      <c r="D18" s="72"/>
    </row>
    <row r="19" spans="2:4">
      <c r="B19" s="66" t="s">
        <v>12</v>
      </c>
      <c r="C19" s="57"/>
      <c r="D19" s="56"/>
    </row>
    <row r="20" spans="2:4">
      <c r="B20" s="66" t="s">
        <v>219</v>
      </c>
      <c r="C20" s="57"/>
      <c r="D20" s="56"/>
    </row>
    <row r="21" spans="2:4">
      <c r="B21" s="56"/>
      <c r="C21" s="57"/>
      <c r="D21" s="56"/>
    </row>
    <row r="22" spans="2:4">
      <c r="B22" s="56"/>
      <c r="C22" s="57"/>
      <c r="D22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381"/>
  <sheetViews>
    <sheetView showGridLines="0" topLeftCell="A76" zoomScaleNormal="100" zoomScaleSheetLayoutView="100" workbookViewId="0">
      <selection activeCell="B10" sqref="B10:B12"/>
    </sheetView>
  </sheetViews>
  <sheetFormatPr baseColWidth="10" defaultColWidth="35" defaultRowHeight="15" customHeight="1"/>
  <cols>
    <col min="1" max="1" width="1" style="28" customWidth="1"/>
    <col min="2" max="2" width="22.85546875" style="29" customWidth="1"/>
    <col min="3" max="3" width="31.42578125" style="29" customWidth="1"/>
    <col min="4" max="4" width="14.28515625" style="29" customWidth="1"/>
    <col min="5" max="5" width="16.85546875" style="29" customWidth="1"/>
    <col min="6" max="16384" width="35" style="28"/>
  </cols>
  <sheetData>
    <row r="1" spans="1:5" s="39" customFormat="1" ht="12" customHeight="1">
      <c r="B1" s="43"/>
      <c r="C1" s="42"/>
      <c r="D1" s="42"/>
      <c r="E1" s="42"/>
    </row>
    <row r="2" spans="1:5" s="39" customFormat="1" ht="15" customHeight="1">
      <c r="C2" s="41"/>
    </row>
    <row r="3" spans="1:5" s="39" customFormat="1" ht="15" customHeight="1">
      <c r="C3" s="41"/>
    </row>
    <row r="4" spans="1:5" s="39" customFormat="1" ht="30" customHeight="1">
      <c r="C4" s="41"/>
      <c r="D4" s="40"/>
    </row>
    <row r="5" spans="1:5" s="39" customFormat="1" ht="15" customHeight="1">
      <c r="C5" s="41"/>
      <c r="D5" s="40"/>
    </row>
    <row r="6" spans="1:5" s="36" customFormat="1" ht="24" customHeight="1">
      <c r="B6" s="38"/>
      <c r="C6" s="32"/>
      <c r="D6" s="32"/>
      <c r="E6" s="32"/>
    </row>
    <row r="7" spans="1:5" s="36" customFormat="1" ht="26.25" customHeight="1">
      <c r="A7" s="37"/>
      <c r="B7" s="86"/>
      <c r="C7" s="86"/>
      <c r="D7" s="86"/>
      <c r="E7" s="86"/>
    </row>
    <row r="8" spans="1:5" s="36" customFormat="1" ht="33" customHeight="1">
      <c r="A8" s="37"/>
      <c r="B8" s="86"/>
      <c r="C8" s="86"/>
      <c r="D8" s="86"/>
      <c r="E8" s="86"/>
    </row>
    <row r="9" spans="1:5" s="21" customFormat="1" ht="40.5" customHeight="1">
      <c r="B9" s="33" t="s">
        <v>46</v>
      </c>
      <c r="C9" s="35" t="s">
        <v>160</v>
      </c>
      <c r="D9" s="34" t="s">
        <v>45</v>
      </c>
      <c r="E9" s="33" t="s">
        <v>44</v>
      </c>
    </row>
    <row r="10" spans="1:5" ht="15" customHeight="1">
      <c r="B10" s="83" t="s">
        <v>25</v>
      </c>
      <c r="C10" s="55" t="s">
        <v>162</v>
      </c>
      <c r="D10" s="54">
        <v>4</v>
      </c>
      <c r="E10" s="53">
        <v>5.4945054945054949E-3</v>
      </c>
    </row>
    <row r="11" spans="1:5" ht="15" customHeight="1">
      <c r="B11" s="84"/>
      <c r="C11" s="55" t="s">
        <v>161</v>
      </c>
      <c r="D11" s="54">
        <v>1</v>
      </c>
      <c r="E11" s="53">
        <v>1.3736263736263737E-3</v>
      </c>
    </row>
    <row r="12" spans="1:5" ht="15" customHeight="1">
      <c r="B12" s="85"/>
      <c r="C12" s="51" t="s">
        <v>15</v>
      </c>
      <c r="D12" s="50">
        <v>5</v>
      </c>
      <c r="E12" s="49">
        <v>6.868131868131868E-3</v>
      </c>
    </row>
    <row r="13" spans="1:5" ht="15" customHeight="1">
      <c r="B13" s="83" t="s">
        <v>24</v>
      </c>
      <c r="C13" s="55" t="s">
        <v>162</v>
      </c>
      <c r="D13" s="54">
        <v>4</v>
      </c>
      <c r="E13" s="53">
        <v>5.4945054945054949E-3</v>
      </c>
    </row>
    <row r="14" spans="1:5" ht="15" customHeight="1">
      <c r="B14" s="85"/>
      <c r="C14" s="51" t="s">
        <v>15</v>
      </c>
      <c r="D14" s="50">
        <v>4</v>
      </c>
      <c r="E14" s="49">
        <v>5.4945054945054949E-3</v>
      </c>
    </row>
    <row r="15" spans="1:5" ht="15" customHeight="1">
      <c r="B15" s="83" t="s">
        <v>20</v>
      </c>
      <c r="C15" s="55" t="s">
        <v>162</v>
      </c>
      <c r="D15" s="54">
        <v>5</v>
      </c>
      <c r="E15" s="53">
        <v>6.868131868131868E-3</v>
      </c>
    </row>
    <row r="16" spans="1:5" ht="15" customHeight="1">
      <c r="B16" s="85"/>
      <c r="C16" s="51" t="s">
        <v>15</v>
      </c>
      <c r="D16" s="50">
        <v>5</v>
      </c>
      <c r="E16" s="49">
        <v>6.868131868131868E-3</v>
      </c>
    </row>
    <row r="17" spans="2:5" ht="15" customHeight="1">
      <c r="B17" s="83" t="s">
        <v>42</v>
      </c>
      <c r="C17" s="55" t="s">
        <v>162</v>
      </c>
      <c r="D17" s="54">
        <v>63</v>
      </c>
      <c r="E17" s="53">
        <v>8.6538461538461536E-2</v>
      </c>
    </row>
    <row r="18" spans="2:5" ht="15" customHeight="1">
      <c r="B18" s="84"/>
      <c r="C18" s="55" t="s">
        <v>161</v>
      </c>
      <c r="D18" s="54">
        <v>27</v>
      </c>
      <c r="E18" s="53">
        <v>3.7087912087912088E-2</v>
      </c>
    </row>
    <row r="19" spans="2:5" ht="15" customHeight="1">
      <c r="B19" s="85"/>
      <c r="C19" s="51" t="s">
        <v>15</v>
      </c>
      <c r="D19" s="50">
        <v>90</v>
      </c>
      <c r="E19" s="49">
        <v>0.12362637362637363</v>
      </c>
    </row>
    <row r="20" spans="2:5" ht="15" customHeight="1">
      <c r="B20" s="83" t="s">
        <v>23</v>
      </c>
      <c r="C20" s="55" t="s">
        <v>162</v>
      </c>
      <c r="D20" s="54">
        <v>1</v>
      </c>
      <c r="E20" s="53">
        <v>1.3736263736263737E-3</v>
      </c>
    </row>
    <row r="21" spans="2:5" ht="15" customHeight="1">
      <c r="B21" s="84"/>
      <c r="C21" s="55" t="s">
        <v>161</v>
      </c>
      <c r="D21" s="54">
        <v>1</v>
      </c>
      <c r="E21" s="53">
        <v>1.3736263736263737E-3</v>
      </c>
    </row>
    <row r="22" spans="2:5" ht="15" customHeight="1">
      <c r="B22" s="85"/>
      <c r="C22" s="51" t="s">
        <v>15</v>
      </c>
      <c r="D22" s="50">
        <v>2</v>
      </c>
      <c r="E22" s="49">
        <v>2.7472527472527475E-3</v>
      </c>
    </row>
    <row r="23" spans="2:5" ht="15" customHeight="1">
      <c r="B23" s="83" t="s">
        <v>184</v>
      </c>
      <c r="C23" s="55" t="s">
        <v>162</v>
      </c>
      <c r="D23" s="54">
        <v>3</v>
      </c>
      <c r="E23" s="53">
        <v>4.120879120879121E-3</v>
      </c>
    </row>
    <row r="24" spans="2:5" ht="15" customHeight="1">
      <c r="B24" s="85"/>
      <c r="C24" s="51" t="s">
        <v>15</v>
      </c>
      <c r="D24" s="50">
        <v>3</v>
      </c>
      <c r="E24" s="49">
        <v>4.120879120879121E-3</v>
      </c>
    </row>
    <row r="25" spans="2:5" ht="15" customHeight="1">
      <c r="B25" s="83" t="s">
        <v>19</v>
      </c>
      <c r="C25" s="55" t="s">
        <v>162</v>
      </c>
      <c r="D25" s="54">
        <v>1</v>
      </c>
      <c r="E25" s="53">
        <v>1.3736263736263737E-3</v>
      </c>
    </row>
    <row r="26" spans="2:5" ht="15" customHeight="1">
      <c r="B26" s="85"/>
      <c r="C26" s="51" t="s">
        <v>15</v>
      </c>
      <c r="D26" s="50">
        <v>1</v>
      </c>
      <c r="E26" s="49">
        <v>1.3736263736263737E-3</v>
      </c>
    </row>
    <row r="27" spans="2:5" ht="15" customHeight="1">
      <c r="B27" s="83" t="s">
        <v>36</v>
      </c>
      <c r="C27" s="55" t="s">
        <v>162</v>
      </c>
      <c r="D27" s="54">
        <v>43</v>
      </c>
      <c r="E27" s="53">
        <v>5.9065934065934064E-2</v>
      </c>
    </row>
    <row r="28" spans="2:5" ht="15" customHeight="1">
      <c r="B28" s="84"/>
      <c r="C28" s="55" t="s">
        <v>161</v>
      </c>
      <c r="D28" s="54">
        <v>22</v>
      </c>
      <c r="E28" s="53">
        <v>3.021978021978022E-2</v>
      </c>
    </row>
    <row r="29" spans="2:5" ht="15" customHeight="1">
      <c r="B29" s="85"/>
      <c r="C29" s="51" t="s">
        <v>15</v>
      </c>
      <c r="D29" s="50">
        <v>65</v>
      </c>
      <c r="E29" s="49">
        <v>8.9285714285714288E-2</v>
      </c>
    </row>
    <row r="30" spans="2:5" ht="15" customHeight="1">
      <c r="B30" s="83" t="s">
        <v>18</v>
      </c>
      <c r="C30" s="55" t="s">
        <v>162</v>
      </c>
      <c r="D30" s="54">
        <v>5</v>
      </c>
      <c r="E30" s="53">
        <v>6.868131868131868E-3</v>
      </c>
    </row>
    <row r="31" spans="2:5" ht="15" customHeight="1">
      <c r="B31" s="84"/>
      <c r="C31" s="55" t="s">
        <v>161</v>
      </c>
      <c r="D31" s="54">
        <v>1</v>
      </c>
      <c r="E31" s="53">
        <v>1.3736263736263737E-3</v>
      </c>
    </row>
    <row r="32" spans="2:5" ht="15" customHeight="1">
      <c r="B32" s="85"/>
      <c r="C32" s="51" t="s">
        <v>15</v>
      </c>
      <c r="D32" s="50">
        <v>6</v>
      </c>
      <c r="E32" s="49">
        <v>8.241758241758242E-3</v>
      </c>
    </row>
    <row r="33" spans="2:5" ht="15" customHeight="1">
      <c r="B33" s="83" t="s">
        <v>34</v>
      </c>
      <c r="C33" s="55" t="s">
        <v>162</v>
      </c>
      <c r="D33" s="54">
        <v>30</v>
      </c>
      <c r="E33" s="53">
        <v>4.1208791208791208E-2</v>
      </c>
    </row>
    <row r="34" spans="2:5" ht="15" customHeight="1">
      <c r="B34" s="84"/>
      <c r="C34" s="55" t="s">
        <v>161</v>
      </c>
      <c r="D34" s="54">
        <v>8</v>
      </c>
      <c r="E34" s="53">
        <v>1.098901098901099E-2</v>
      </c>
    </row>
    <row r="35" spans="2:5" ht="15" customHeight="1">
      <c r="B35" s="85"/>
      <c r="C35" s="51" t="s">
        <v>15</v>
      </c>
      <c r="D35" s="50">
        <v>38</v>
      </c>
      <c r="E35" s="49">
        <v>5.21978021978022E-2</v>
      </c>
    </row>
    <row r="36" spans="2:5" ht="15" customHeight="1">
      <c r="B36" s="83" t="s">
        <v>35</v>
      </c>
      <c r="C36" s="55" t="s">
        <v>162</v>
      </c>
      <c r="D36" s="54">
        <v>19</v>
      </c>
      <c r="E36" s="53">
        <v>2.60989010989011E-2</v>
      </c>
    </row>
    <row r="37" spans="2:5" ht="15" customHeight="1">
      <c r="B37" s="84"/>
      <c r="C37" s="55" t="s">
        <v>161</v>
      </c>
      <c r="D37" s="54">
        <v>6</v>
      </c>
      <c r="E37" s="53">
        <v>8.241758241758242E-3</v>
      </c>
    </row>
    <row r="38" spans="2:5" ht="15" customHeight="1">
      <c r="B38" s="85"/>
      <c r="C38" s="51" t="s">
        <v>15</v>
      </c>
      <c r="D38" s="50">
        <v>25</v>
      </c>
      <c r="E38" s="49">
        <v>3.4340659340659344E-2</v>
      </c>
    </row>
    <row r="39" spans="2:5" ht="15" customHeight="1">
      <c r="B39" s="83" t="s">
        <v>43</v>
      </c>
      <c r="C39" s="55" t="s">
        <v>162</v>
      </c>
      <c r="D39" s="54">
        <v>63</v>
      </c>
      <c r="E39" s="53">
        <v>8.6538461538461536E-2</v>
      </c>
    </row>
    <row r="40" spans="2:5" ht="15" customHeight="1">
      <c r="B40" s="84"/>
      <c r="C40" s="55" t="s">
        <v>161</v>
      </c>
      <c r="D40" s="54">
        <v>18</v>
      </c>
      <c r="E40" s="53">
        <v>2.4725274725274724E-2</v>
      </c>
    </row>
    <row r="41" spans="2:5" ht="15" customHeight="1">
      <c r="B41" s="85"/>
      <c r="C41" s="51" t="s">
        <v>15</v>
      </c>
      <c r="D41" s="50">
        <v>81</v>
      </c>
      <c r="E41" s="49">
        <v>0.11126373626373626</v>
      </c>
    </row>
    <row r="42" spans="2:5" ht="15" customHeight="1">
      <c r="B42" s="83" t="s">
        <v>33</v>
      </c>
      <c r="C42" s="55" t="s">
        <v>162</v>
      </c>
      <c r="D42" s="54">
        <v>16</v>
      </c>
      <c r="E42" s="53">
        <v>2.197802197802198E-2</v>
      </c>
    </row>
    <row r="43" spans="2:5" ht="15" customHeight="1">
      <c r="B43" s="84"/>
      <c r="C43" s="55" t="s">
        <v>161</v>
      </c>
      <c r="D43" s="54">
        <v>5</v>
      </c>
      <c r="E43" s="53">
        <v>6.868131868131868E-3</v>
      </c>
    </row>
    <row r="44" spans="2:5" ht="15" customHeight="1">
      <c r="B44" s="85"/>
      <c r="C44" s="51" t="s">
        <v>15</v>
      </c>
      <c r="D44" s="50">
        <v>21</v>
      </c>
      <c r="E44" s="49">
        <v>2.8846153846153848E-2</v>
      </c>
    </row>
    <row r="45" spans="2:5" ht="15" customHeight="1">
      <c r="B45" s="83" t="s">
        <v>41</v>
      </c>
      <c r="C45" s="55" t="s">
        <v>162</v>
      </c>
      <c r="D45" s="54">
        <v>49</v>
      </c>
      <c r="E45" s="53">
        <v>6.7307692307692304E-2</v>
      </c>
    </row>
    <row r="46" spans="2:5" ht="15" customHeight="1">
      <c r="B46" s="84"/>
      <c r="C46" s="55" t="s">
        <v>161</v>
      </c>
      <c r="D46" s="54">
        <v>20</v>
      </c>
      <c r="E46" s="53">
        <v>2.7472527472527472E-2</v>
      </c>
    </row>
    <row r="47" spans="2:5" ht="15" customHeight="1">
      <c r="B47" s="85"/>
      <c r="C47" s="51" t="s">
        <v>15</v>
      </c>
      <c r="D47" s="50">
        <v>69</v>
      </c>
      <c r="E47" s="49">
        <v>9.4780219780219777E-2</v>
      </c>
    </row>
    <row r="48" spans="2:5" ht="15" customHeight="1">
      <c r="B48" s="83" t="s">
        <v>37</v>
      </c>
      <c r="C48" s="55" t="s">
        <v>162</v>
      </c>
      <c r="D48" s="54">
        <v>21</v>
      </c>
      <c r="E48" s="53">
        <v>2.8846153846153848E-2</v>
      </c>
    </row>
    <row r="49" spans="2:5" ht="15" customHeight="1">
      <c r="B49" s="84"/>
      <c r="C49" s="55" t="s">
        <v>161</v>
      </c>
      <c r="D49" s="54">
        <v>11</v>
      </c>
      <c r="E49" s="53">
        <v>1.510989010989011E-2</v>
      </c>
    </row>
    <row r="50" spans="2:5" ht="15" customHeight="1">
      <c r="B50" s="85"/>
      <c r="C50" s="51" t="s">
        <v>15</v>
      </c>
      <c r="D50" s="50">
        <v>32</v>
      </c>
      <c r="E50" s="49">
        <v>4.3956043956043959E-2</v>
      </c>
    </row>
    <row r="51" spans="2:5" ht="15" customHeight="1">
      <c r="B51" s="83" t="s">
        <v>30</v>
      </c>
      <c r="C51" s="55" t="s">
        <v>162</v>
      </c>
      <c r="D51" s="54">
        <v>4</v>
      </c>
      <c r="E51" s="53">
        <v>5.4945054945054949E-3</v>
      </c>
    </row>
    <row r="52" spans="2:5" ht="15" customHeight="1">
      <c r="B52" s="84"/>
      <c r="C52" s="55" t="s">
        <v>161</v>
      </c>
      <c r="D52" s="54">
        <v>9</v>
      </c>
      <c r="E52" s="53">
        <v>1.2362637362637362E-2</v>
      </c>
    </row>
    <row r="53" spans="2:5" ht="15" customHeight="1">
      <c r="B53" s="85"/>
      <c r="C53" s="51" t="s">
        <v>15</v>
      </c>
      <c r="D53" s="50">
        <v>13</v>
      </c>
      <c r="E53" s="49">
        <v>1.7857142857142856E-2</v>
      </c>
    </row>
    <row r="54" spans="2:5" ht="15" customHeight="1">
      <c r="B54" s="83" t="s">
        <v>22</v>
      </c>
      <c r="C54" s="55" t="s">
        <v>162</v>
      </c>
      <c r="D54" s="54">
        <v>2</v>
      </c>
      <c r="E54" s="53">
        <v>2.7472527472527475E-3</v>
      </c>
    </row>
    <row r="55" spans="2:5" ht="15" customHeight="1">
      <c r="B55" s="85"/>
      <c r="C55" s="51" t="s">
        <v>15</v>
      </c>
      <c r="D55" s="50">
        <v>2</v>
      </c>
      <c r="E55" s="49">
        <v>2.7472527472527475E-3</v>
      </c>
    </row>
    <row r="56" spans="2:5" ht="15" customHeight="1">
      <c r="B56" s="83" t="s">
        <v>28</v>
      </c>
      <c r="C56" s="55" t="s">
        <v>161</v>
      </c>
      <c r="D56" s="54">
        <v>1</v>
      </c>
      <c r="E56" s="53">
        <v>1.3736263736263737E-3</v>
      </c>
    </row>
    <row r="57" spans="2:5" ht="15" customHeight="1">
      <c r="B57" s="85"/>
      <c r="C57" s="51" t="s">
        <v>15</v>
      </c>
      <c r="D57" s="50">
        <v>1</v>
      </c>
      <c r="E57" s="49">
        <v>1.3736263736263737E-3</v>
      </c>
    </row>
    <row r="58" spans="2:5" ht="15" customHeight="1">
      <c r="B58" s="83" t="s">
        <v>40</v>
      </c>
      <c r="C58" s="55" t="s">
        <v>162</v>
      </c>
      <c r="D58" s="54">
        <v>32</v>
      </c>
      <c r="E58" s="53">
        <v>4.3956043956043959E-2</v>
      </c>
    </row>
    <row r="59" spans="2:5" ht="15" customHeight="1">
      <c r="B59" s="84"/>
      <c r="C59" s="55" t="s">
        <v>161</v>
      </c>
      <c r="D59" s="54">
        <v>12</v>
      </c>
      <c r="E59" s="53">
        <v>1.6483516483516484E-2</v>
      </c>
    </row>
    <row r="60" spans="2:5" ht="15" customHeight="1">
      <c r="B60" s="85"/>
      <c r="C60" s="51" t="s">
        <v>15</v>
      </c>
      <c r="D60" s="50">
        <v>44</v>
      </c>
      <c r="E60" s="49">
        <v>6.043956043956044E-2</v>
      </c>
    </row>
    <row r="61" spans="2:5" ht="15" customHeight="1">
      <c r="B61" s="83" t="s">
        <v>38</v>
      </c>
      <c r="C61" s="55" t="s">
        <v>162</v>
      </c>
      <c r="D61" s="54">
        <v>53</v>
      </c>
      <c r="E61" s="53">
        <v>7.2802197802197807E-2</v>
      </c>
    </row>
    <row r="62" spans="2:5" ht="15" customHeight="1">
      <c r="B62" s="84"/>
      <c r="C62" s="55" t="s">
        <v>161</v>
      </c>
      <c r="D62" s="54">
        <v>30</v>
      </c>
      <c r="E62" s="53">
        <v>4.1208791208791208E-2</v>
      </c>
    </row>
    <row r="63" spans="2:5" ht="15" customHeight="1">
      <c r="B63" s="85"/>
      <c r="C63" s="51" t="s">
        <v>15</v>
      </c>
      <c r="D63" s="50">
        <v>83</v>
      </c>
      <c r="E63" s="49">
        <v>0.11401098901098901</v>
      </c>
    </row>
    <row r="64" spans="2:5" ht="15" customHeight="1">
      <c r="B64" s="83" t="s">
        <v>32</v>
      </c>
      <c r="C64" s="55" t="s">
        <v>162</v>
      </c>
      <c r="D64" s="54">
        <v>7</v>
      </c>
      <c r="E64" s="53">
        <v>9.6153846153846159E-3</v>
      </c>
    </row>
    <row r="65" spans="2:5" ht="15" customHeight="1">
      <c r="B65" s="84"/>
      <c r="C65" s="55" t="s">
        <v>161</v>
      </c>
      <c r="D65" s="54">
        <v>1</v>
      </c>
      <c r="E65" s="53">
        <v>1.3736263736263737E-3</v>
      </c>
    </row>
    <row r="66" spans="2:5" ht="15" customHeight="1">
      <c r="B66" s="85"/>
      <c r="C66" s="51" t="s">
        <v>15</v>
      </c>
      <c r="D66" s="50">
        <v>8</v>
      </c>
      <c r="E66" s="49">
        <v>1.098901098901099E-2</v>
      </c>
    </row>
    <row r="67" spans="2:5" ht="15" customHeight="1">
      <c r="B67" s="83" t="s">
        <v>31</v>
      </c>
      <c r="C67" s="55" t="s">
        <v>162</v>
      </c>
      <c r="D67" s="54">
        <v>19</v>
      </c>
      <c r="E67" s="53">
        <v>2.60989010989011E-2</v>
      </c>
    </row>
    <row r="68" spans="2:5" ht="15" customHeight="1">
      <c r="B68" s="84"/>
      <c r="C68" s="55" t="s">
        <v>161</v>
      </c>
      <c r="D68" s="54">
        <v>8</v>
      </c>
      <c r="E68" s="53">
        <v>1.098901098901099E-2</v>
      </c>
    </row>
    <row r="69" spans="2:5" ht="15" customHeight="1">
      <c r="B69" s="85"/>
      <c r="C69" s="51" t="s">
        <v>15</v>
      </c>
      <c r="D69" s="50">
        <v>27</v>
      </c>
      <c r="E69" s="49">
        <v>3.7087912087912088E-2</v>
      </c>
    </row>
    <row r="70" spans="2:5" ht="15" customHeight="1">
      <c r="B70" s="83" t="s">
        <v>17</v>
      </c>
      <c r="C70" s="55" t="s">
        <v>162</v>
      </c>
      <c r="D70" s="54">
        <v>6</v>
      </c>
      <c r="E70" s="53">
        <v>8.241758241758242E-3</v>
      </c>
    </row>
    <row r="71" spans="2:5" ht="15" customHeight="1">
      <c r="B71" s="84"/>
      <c r="C71" s="55" t="s">
        <v>161</v>
      </c>
      <c r="D71" s="54">
        <v>2</v>
      </c>
      <c r="E71" s="53">
        <v>2.7472527472527475E-3</v>
      </c>
    </row>
    <row r="72" spans="2:5" ht="15" customHeight="1">
      <c r="B72" s="85"/>
      <c r="C72" s="51" t="s">
        <v>15</v>
      </c>
      <c r="D72" s="50">
        <v>8</v>
      </c>
      <c r="E72" s="49">
        <v>1.098901098901099E-2</v>
      </c>
    </row>
    <row r="73" spans="2:5" ht="15" customHeight="1">
      <c r="B73" s="83" t="s">
        <v>29</v>
      </c>
      <c r="C73" s="55" t="s">
        <v>162</v>
      </c>
      <c r="D73" s="54">
        <v>9</v>
      </c>
      <c r="E73" s="53">
        <v>1.2362637362637362E-2</v>
      </c>
    </row>
    <row r="74" spans="2:5" ht="15" customHeight="1">
      <c r="B74" s="84"/>
      <c r="C74" s="55" t="s">
        <v>161</v>
      </c>
      <c r="D74" s="54">
        <v>2</v>
      </c>
      <c r="E74" s="53">
        <v>2.7472527472527475E-3</v>
      </c>
    </row>
    <row r="75" spans="2:5" ht="15" customHeight="1">
      <c r="B75" s="85"/>
      <c r="C75" s="51" t="s">
        <v>15</v>
      </c>
      <c r="D75" s="50">
        <v>11</v>
      </c>
      <c r="E75" s="49">
        <v>1.510989010989011E-2</v>
      </c>
    </row>
    <row r="76" spans="2:5" ht="15" customHeight="1">
      <c r="B76" s="83" t="s">
        <v>21</v>
      </c>
      <c r="C76" s="55" t="s">
        <v>162</v>
      </c>
      <c r="D76" s="54">
        <v>4</v>
      </c>
      <c r="E76" s="53">
        <v>5.4945054945054949E-3</v>
      </c>
    </row>
    <row r="77" spans="2:5" ht="15" customHeight="1">
      <c r="B77" s="84"/>
      <c r="C77" s="55" t="s">
        <v>161</v>
      </c>
      <c r="D77" s="54">
        <v>3</v>
      </c>
      <c r="E77" s="53">
        <v>4.120879120879121E-3</v>
      </c>
    </row>
    <row r="78" spans="2:5" ht="15" customHeight="1">
      <c r="B78" s="85"/>
      <c r="C78" s="51" t="s">
        <v>15</v>
      </c>
      <c r="D78" s="50">
        <v>7</v>
      </c>
      <c r="E78" s="49">
        <v>9.6153846153846159E-3</v>
      </c>
    </row>
    <row r="79" spans="2:5" ht="15" customHeight="1">
      <c r="B79" s="83" t="s">
        <v>27</v>
      </c>
      <c r="C79" s="55" t="s">
        <v>162</v>
      </c>
      <c r="D79" s="54">
        <v>12</v>
      </c>
      <c r="E79" s="53">
        <v>1.6483516483516484E-2</v>
      </c>
    </row>
    <row r="80" spans="2:5" ht="15" customHeight="1">
      <c r="B80" s="84"/>
      <c r="C80" s="55" t="s">
        <v>161</v>
      </c>
      <c r="D80" s="54">
        <v>1</v>
      </c>
      <c r="E80" s="53">
        <v>1.3736263736263737E-3</v>
      </c>
    </row>
    <row r="81" spans="2:5" ht="15" customHeight="1">
      <c r="B81" s="85"/>
      <c r="C81" s="51" t="s">
        <v>15</v>
      </c>
      <c r="D81" s="50">
        <v>13</v>
      </c>
      <c r="E81" s="49">
        <v>1.7857142857142856E-2</v>
      </c>
    </row>
    <row r="82" spans="2:5" ht="15" customHeight="1">
      <c r="B82" s="83" t="s">
        <v>26</v>
      </c>
      <c r="C82" s="55" t="s">
        <v>162</v>
      </c>
      <c r="D82" s="54">
        <v>4</v>
      </c>
      <c r="E82" s="53">
        <v>5.4945054945054949E-3</v>
      </c>
    </row>
    <row r="83" spans="2:5" ht="15" customHeight="1">
      <c r="B83" s="84"/>
      <c r="C83" s="55" t="s">
        <v>161</v>
      </c>
      <c r="D83" s="54">
        <v>1</v>
      </c>
      <c r="E83" s="53">
        <v>1.3736263736263737E-3</v>
      </c>
    </row>
    <row r="84" spans="2:5" ht="15" customHeight="1">
      <c r="B84" s="85"/>
      <c r="C84" s="51" t="s">
        <v>15</v>
      </c>
      <c r="D84" s="50">
        <v>5</v>
      </c>
      <c r="E84" s="49">
        <v>6.868131868131868E-3</v>
      </c>
    </row>
    <row r="85" spans="2:5" ht="15" customHeight="1">
      <c r="B85" s="83" t="s">
        <v>39</v>
      </c>
      <c r="C85" s="55" t="s">
        <v>162</v>
      </c>
      <c r="D85" s="54">
        <v>37</v>
      </c>
      <c r="E85" s="53">
        <v>5.0824175824175824E-2</v>
      </c>
    </row>
    <row r="86" spans="2:5" ht="15" customHeight="1">
      <c r="B86" s="84"/>
      <c r="C86" s="55" t="s">
        <v>161</v>
      </c>
      <c r="D86" s="54">
        <v>15</v>
      </c>
      <c r="E86" s="53">
        <v>2.0604395604395604E-2</v>
      </c>
    </row>
    <row r="87" spans="2:5" ht="15" customHeight="1">
      <c r="B87" s="85"/>
      <c r="C87" s="51" t="s">
        <v>15</v>
      </c>
      <c r="D87" s="50">
        <v>52</v>
      </c>
      <c r="E87" s="49">
        <v>7.1428571428571425E-2</v>
      </c>
    </row>
    <row r="88" spans="2:5" ht="15" customHeight="1">
      <c r="B88" s="83" t="s">
        <v>16</v>
      </c>
      <c r="C88" s="55" t="s">
        <v>162</v>
      </c>
      <c r="D88" s="54">
        <v>7</v>
      </c>
      <c r="E88" s="53">
        <v>9.6153846153846159E-3</v>
      </c>
    </row>
    <row r="89" spans="2:5" ht="15" customHeight="1">
      <c r="B89" s="85"/>
      <c r="C89" s="51" t="s">
        <v>15</v>
      </c>
      <c r="D89" s="50">
        <v>7</v>
      </c>
      <c r="E89" s="49">
        <v>9.6153846153846159E-3</v>
      </c>
    </row>
    <row r="90" spans="2:5" ht="15" customHeight="1">
      <c r="B90" s="87" t="s">
        <v>15</v>
      </c>
      <c r="C90" s="88"/>
      <c r="D90" s="69">
        <f>SUMIF(C10:C89,"TOTAL",D10:D89)</f>
        <v>728</v>
      </c>
      <c r="E90" s="70">
        <v>1</v>
      </c>
    </row>
    <row r="91" spans="2:5" ht="15" customHeight="1">
      <c r="B91" s="52"/>
      <c r="C91" s="52"/>
      <c r="D91" s="52"/>
      <c r="E91" s="52"/>
    </row>
    <row r="92" spans="2:5" ht="15" customHeight="1">
      <c r="B92" s="66" t="s">
        <v>218</v>
      </c>
      <c r="C92" s="52"/>
      <c r="D92" s="52"/>
      <c r="E92" s="52"/>
    </row>
    <row r="93" spans="2:5" ht="15" customHeight="1">
      <c r="B93" s="68" t="s">
        <v>14</v>
      </c>
      <c r="C93" s="52"/>
      <c r="D93" s="52"/>
      <c r="E93" s="52"/>
    </row>
    <row r="94" spans="2:5" ht="15" customHeight="1">
      <c r="B94" s="67" t="s">
        <v>13</v>
      </c>
      <c r="C94" s="52"/>
      <c r="D94" s="52"/>
      <c r="E94" s="52"/>
    </row>
    <row r="95" spans="2:5" ht="15" customHeight="1">
      <c r="B95" s="66" t="s">
        <v>12</v>
      </c>
      <c r="C95" s="52"/>
      <c r="D95" s="52"/>
      <c r="E95" s="52"/>
    </row>
    <row r="96" spans="2:5" ht="15" customHeight="1">
      <c r="B96" s="66" t="s">
        <v>219</v>
      </c>
      <c r="C96" s="52"/>
      <c r="D96" s="52"/>
      <c r="E96" s="52"/>
    </row>
    <row r="377" spans="2:2" s="29" customFormat="1" ht="15" customHeight="1">
      <c r="B377" s="30"/>
    </row>
    <row r="378" spans="2:2" s="29" customFormat="1" ht="15" customHeight="1">
      <c r="B378" s="31"/>
    </row>
    <row r="379" spans="2:2" s="29" customFormat="1" ht="15" customHeight="1">
      <c r="B379" s="31"/>
    </row>
    <row r="380" spans="2:2" s="29" customFormat="1" ht="15" customHeight="1">
      <c r="B380" s="30"/>
    </row>
    <row r="381" spans="2:2" s="29" customFormat="1" ht="15" customHeight="1">
      <c r="B381" s="30"/>
    </row>
  </sheetData>
  <mergeCells count="31">
    <mergeCell ref="B85:B87"/>
    <mergeCell ref="B88:B89"/>
    <mergeCell ref="B90:C90"/>
    <mergeCell ref="B33:B35"/>
    <mergeCell ref="B36:B38"/>
    <mergeCell ref="B39:B41"/>
    <mergeCell ref="B42:B44"/>
    <mergeCell ref="B45:B47"/>
    <mergeCell ref="B20:B22"/>
    <mergeCell ref="B23:B24"/>
    <mergeCell ref="B25:B26"/>
    <mergeCell ref="B27:B29"/>
    <mergeCell ref="B30:B32"/>
    <mergeCell ref="B51:B53"/>
    <mergeCell ref="B82:B84"/>
    <mergeCell ref="B48:B50"/>
    <mergeCell ref="B54:B55"/>
    <mergeCell ref="B56:B57"/>
    <mergeCell ref="B58:B60"/>
    <mergeCell ref="B61:B63"/>
    <mergeCell ref="B64:B66"/>
    <mergeCell ref="B67:B69"/>
    <mergeCell ref="B70:B72"/>
    <mergeCell ref="B73:B75"/>
    <mergeCell ref="B76:B78"/>
    <mergeCell ref="B79:B81"/>
    <mergeCell ref="B7:E8"/>
    <mergeCell ref="B15:B16"/>
    <mergeCell ref="B17:B19"/>
    <mergeCell ref="B10:B12"/>
    <mergeCell ref="B13:B14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466"/>
  <sheetViews>
    <sheetView showGridLines="0" zoomScaleNormal="100" zoomScaleSheetLayoutView="100" workbookViewId="0">
      <selection activeCell="B10" sqref="B10:B15"/>
    </sheetView>
  </sheetViews>
  <sheetFormatPr baseColWidth="10" defaultColWidth="35" defaultRowHeight="15" customHeight="1"/>
  <cols>
    <col min="1" max="1" width="1" style="28" customWidth="1"/>
    <col min="2" max="2" width="22.85546875" style="29" customWidth="1"/>
    <col min="3" max="3" width="31.42578125" style="29" customWidth="1"/>
    <col min="4" max="4" width="14.28515625" style="29" customWidth="1"/>
    <col min="5" max="5" width="16.85546875" style="29" customWidth="1"/>
    <col min="6" max="16384" width="35" style="28"/>
  </cols>
  <sheetData>
    <row r="1" spans="1:5" s="39" customFormat="1" ht="12" customHeight="1">
      <c r="B1" s="43"/>
      <c r="C1" s="42"/>
      <c r="D1" s="42"/>
      <c r="E1" s="42"/>
    </row>
    <row r="2" spans="1:5" s="39" customFormat="1" ht="15" customHeight="1">
      <c r="C2" s="41"/>
    </row>
    <row r="3" spans="1:5" s="39" customFormat="1" ht="15" customHeight="1">
      <c r="C3" s="41"/>
    </row>
    <row r="4" spans="1:5" s="39" customFormat="1" ht="30" customHeight="1">
      <c r="C4" s="41"/>
      <c r="D4" s="40"/>
    </row>
    <row r="5" spans="1:5" s="39" customFormat="1" ht="15" customHeight="1">
      <c r="C5" s="41"/>
      <c r="D5" s="40"/>
    </row>
    <row r="6" spans="1:5" s="36" customFormat="1" ht="24" customHeight="1">
      <c r="B6" s="38"/>
      <c r="C6" s="32"/>
      <c r="D6" s="32"/>
      <c r="E6" s="32"/>
    </row>
    <row r="7" spans="1:5" s="36" customFormat="1" ht="26.25" customHeight="1">
      <c r="A7" s="37"/>
      <c r="B7" s="86"/>
      <c r="C7" s="86"/>
      <c r="D7" s="86"/>
      <c r="E7" s="86"/>
    </row>
    <row r="8" spans="1:5" s="36" customFormat="1" ht="33" customHeight="1">
      <c r="A8" s="37"/>
      <c r="B8" s="86"/>
      <c r="C8" s="86"/>
      <c r="D8" s="86"/>
      <c r="E8" s="86"/>
    </row>
    <row r="9" spans="1:5" s="21" customFormat="1" ht="40.5" customHeight="1">
      <c r="B9" s="33" t="s">
        <v>160</v>
      </c>
      <c r="C9" s="35" t="s">
        <v>169</v>
      </c>
      <c r="D9" s="34" t="s">
        <v>45</v>
      </c>
      <c r="E9" s="33" t="s">
        <v>44</v>
      </c>
    </row>
    <row r="10" spans="1:5" ht="15" customHeight="1">
      <c r="B10" s="83" t="s">
        <v>162</v>
      </c>
      <c r="C10" s="55" t="s">
        <v>168</v>
      </c>
      <c r="D10" s="54">
        <v>1</v>
      </c>
      <c r="E10" s="53">
        <v>1.3736263736263737E-3</v>
      </c>
    </row>
    <row r="11" spans="1:5" ht="15" customHeight="1">
      <c r="B11" s="84"/>
      <c r="C11" s="55" t="s">
        <v>167</v>
      </c>
      <c r="D11" s="54">
        <v>110</v>
      </c>
      <c r="E11" s="53">
        <v>0.15109890109890109</v>
      </c>
    </row>
    <row r="12" spans="1:5" ht="15" customHeight="1">
      <c r="B12" s="84"/>
      <c r="C12" s="55" t="s">
        <v>166</v>
      </c>
      <c r="D12" s="54">
        <v>185</v>
      </c>
      <c r="E12" s="53">
        <v>0.25412087912087911</v>
      </c>
    </row>
    <row r="13" spans="1:5" ht="15" customHeight="1">
      <c r="B13" s="84"/>
      <c r="C13" s="55" t="s">
        <v>165</v>
      </c>
      <c r="D13" s="54">
        <v>164</v>
      </c>
      <c r="E13" s="53">
        <v>0.22527472527472528</v>
      </c>
    </row>
    <row r="14" spans="1:5" ht="15" customHeight="1">
      <c r="B14" s="84"/>
      <c r="C14" s="55" t="s">
        <v>164</v>
      </c>
      <c r="D14" s="54">
        <v>61</v>
      </c>
      <c r="E14" s="53">
        <v>8.3791208791208785E-2</v>
      </c>
    </row>
    <row r="15" spans="1:5" ht="15" customHeight="1">
      <c r="B15" s="85"/>
      <c r="C15" s="55" t="s">
        <v>163</v>
      </c>
      <c r="D15" s="54">
        <v>2</v>
      </c>
      <c r="E15" s="53">
        <v>2.7472527472527475E-3</v>
      </c>
    </row>
    <row r="16" spans="1:5" ht="15" customHeight="1">
      <c r="B16" s="83" t="s">
        <v>161</v>
      </c>
      <c r="C16" s="55" t="s">
        <v>168</v>
      </c>
      <c r="D16" s="54">
        <v>1</v>
      </c>
      <c r="E16" s="53">
        <v>1.3736263736263737E-3</v>
      </c>
    </row>
    <row r="17" spans="2:5" ht="15" customHeight="1">
      <c r="B17" s="84"/>
      <c r="C17" s="55" t="s">
        <v>167</v>
      </c>
      <c r="D17" s="54">
        <v>38</v>
      </c>
      <c r="E17" s="53">
        <v>5.21978021978022E-2</v>
      </c>
    </row>
    <row r="18" spans="2:5" ht="15" customHeight="1">
      <c r="B18" s="84"/>
      <c r="C18" s="55" t="s">
        <v>166</v>
      </c>
      <c r="D18" s="54">
        <v>64</v>
      </c>
      <c r="E18" s="53">
        <v>8.7912087912087919E-2</v>
      </c>
    </row>
    <row r="19" spans="2:5" ht="15" customHeight="1">
      <c r="B19" s="84"/>
      <c r="C19" s="55" t="s">
        <v>165</v>
      </c>
      <c r="D19" s="54">
        <v>57</v>
      </c>
      <c r="E19" s="53">
        <v>7.8296703296703296E-2</v>
      </c>
    </row>
    <row r="20" spans="2:5" ht="15" customHeight="1">
      <c r="B20" s="84"/>
      <c r="C20" s="55" t="s">
        <v>164</v>
      </c>
      <c r="D20" s="54">
        <v>41</v>
      </c>
      <c r="E20" s="53">
        <v>5.631868131868132E-2</v>
      </c>
    </row>
    <row r="21" spans="2:5" ht="15" customHeight="1">
      <c r="B21" s="85"/>
      <c r="C21" s="55" t="s">
        <v>163</v>
      </c>
      <c r="D21" s="54">
        <v>4</v>
      </c>
      <c r="E21" s="53">
        <v>5.4945054945054949E-3</v>
      </c>
    </row>
    <row r="22" spans="2:5" ht="15" customHeight="1">
      <c r="B22" s="87" t="s">
        <v>15</v>
      </c>
      <c r="C22" s="88"/>
      <c r="D22" s="69">
        <v>728</v>
      </c>
      <c r="E22" s="70">
        <v>1</v>
      </c>
    </row>
    <row r="23" spans="2:5" ht="15" customHeight="1">
      <c r="B23" s="52"/>
      <c r="C23" s="52"/>
      <c r="D23" s="52"/>
      <c r="E23" s="52"/>
    </row>
    <row r="24" spans="2:5" ht="15" customHeight="1">
      <c r="B24" s="66" t="s">
        <v>218</v>
      </c>
      <c r="C24" s="52"/>
      <c r="D24" s="52"/>
      <c r="E24" s="52"/>
    </row>
    <row r="25" spans="2:5" ht="15" customHeight="1">
      <c r="B25" s="68" t="s">
        <v>14</v>
      </c>
      <c r="C25" s="52"/>
      <c r="D25" s="52"/>
      <c r="E25" s="52"/>
    </row>
    <row r="26" spans="2:5" ht="15" customHeight="1">
      <c r="B26" s="67" t="s">
        <v>13</v>
      </c>
      <c r="C26" s="52"/>
      <c r="D26" s="52"/>
      <c r="E26" s="52"/>
    </row>
    <row r="27" spans="2:5" ht="15" customHeight="1">
      <c r="B27" s="66" t="s">
        <v>12</v>
      </c>
      <c r="C27" s="52"/>
      <c r="D27" s="52"/>
      <c r="E27" s="52"/>
    </row>
    <row r="28" spans="2:5" ht="15" customHeight="1">
      <c r="B28" s="66" t="s">
        <v>219</v>
      </c>
      <c r="C28" s="52"/>
      <c r="D28" s="52"/>
      <c r="E28" s="52"/>
    </row>
    <row r="462" spans="2:2" s="29" customFormat="1" ht="15" customHeight="1">
      <c r="B462" s="30"/>
    </row>
    <row r="463" spans="2:2" s="29" customFormat="1" ht="15" customHeight="1">
      <c r="B463" s="31"/>
    </row>
    <row r="464" spans="2:2" s="29" customFormat="1" ht="15" customHeight="1">
      <c r="B464" s="31"/>
    </row>
    <row r="465" spans="2:2" s="29" customFormat="1" ht="15" customHeight="1">
      <c r="B465" s="30"/>
    </row>
    <row r="466" spans="2:2" s="29" customFormat="1" ht="15" customHeight="1">
      <c r="B466" s="30"/>
    </row>
  </sheetData>
  <mergeCells count="4">
    <mergeCell ref="B16:B21"/>
    <mergeCell ref="B22:C22"/>
    <mergeCell ref="B7:E8"/>
    <mergeCell ref="B10:B15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E33"/>
  <sheetViews>
    <sheetView showGridLines="0" zoomScaleNormal="100" zoomScaleSheetLayoutView="115" workbookViewId="0">
      <selection activeCell="B7" sqref="B7:D9"/>
    </sheetView>
  </sheetViews>
  <sheetFormatPr baseColWidth="10" defaultColWidth="11.42578125" defaultRowHeight="15"/>
  <cols>
    <col min="1" max="1" width="9.28515625" style="18" customWidth="1"/>
    <col min="2" max="2" width="21.7109375" style="18" customWidth="1"/>
    <col min="3" max="3" width="17.7109375" style="19" customWidth="1"/>
    <col min="4" max="4" width="17.7109375" style="18" customWidth="1"/>
    <col min="5" max="5" width="9.28515625" style="18" customWidth="1"/>
    <col min="6" max="6" width="5.7109375" style="18" customWidth="1"/>
    <col min="7" max="16384" width="11.42578125" style="18"/>
  </cols>
  <sheetData>
    <row r="1" spans="1:5" s="21" customFormat="1" ht="15" customHeight="1">
      <c r="C1" s="27"/>
    </row>
    <row r="2" spans="1:5" s="21" customFormat="1" ht="15" customHeight="1">
      <c r="C2" s="27"/>
    </row>
    <row r="3" spans="1:5" s="21" customFormat="1" ht="15" customHeight="1">
      <c r="C3" s="27"/>
    </row>
    <row r="4" spans="1:5" s="21" customFormat="1" ht="30" customHeight="1">
      <c r="C4" s="27"/>
      <c r="D4" s="26"/>
    </row>
    <row r="5" spans="1:5" s="21" customFormat="1" ht="15" customHeight="1">
      <c r="C5" s="27"/>
      <c r="D5" s="26"/>
    </row>
    <row r="6" spans="1:5" s="21" customFormat="1" ht="15" customHeight="1">
      <c r="C6" s="27"/>
      <c r="D6" s="26"/>
    </row>
    <row r="7" spans="1:5" s="21" customFormat="1" ht="15" customHeight="1">
      <c r="B7" s="82" t="s">
        <v>417</v>
      </c>
      <c r="C7" s="82"/>
      <c r="D7" s="82"/>
    </row>
    <row r="8" spans="1:5" s="21" customFormat="1" ht="15" customHeight="1">
      <c r="B8" s="82"/>
      <c r="C8" s="82"/>
      <c r="D8" s="82"/>
    </row>
    <row r="9" spans="1:5" s="21" customFormat="1" ht="33" customHeight="1">
      <c r="B9" s="82"/>
      <c r="C9" s="82"/>
      <c r="D9" s="82"/>
    </row>
    <row r="10" spans="1:5" s="21" customFormat="1" ht="4.5" customHeight="1">
      <c r="B10" s="25"/>
      <c r="C10" s="25"/>
      <c r="D10" s="25"/>
    </row>
    <row r="11" spans="1:5" s="21" customFormat="1" ht="33" customHeight="1">
      <c r="B11" s="24" t="s">
        <v>181</v>
      </c>
      <c r="C11" s="23" t="s">
        <v>45</v>
      </c>
      <c r="D11" s="22" t="s">
        <v>44</v>
      </c>
    </row>
    <row r="12" spans="1:5">
      <c r="A12" s="56"/>
      <c r="B12" s="63" t="s">
        <v>180</v>
      </c>
      <c r="C12" s="62">
        <v>555</v>
      </c>
      <c r="D12" s="61">
        <v>0.76236263736263732</v>
      </c>
      <c r="E12" s="56"/>
    </row>
    <row r="13" spans="1:5">
      <c r="A13" s="56"/>
      <c r="B13" s="63" t="s">
        <v>179</v>
      </c>
      <c r="C13" s="62">
        <v>104</v>
      </c>
      <c r="D13" s="61">
        <v>0.14285714285714285</v>
      </c>
      <c r="E13" s="56"/>
    </row>
    <row r="14" spans="1:5">
      <c r="A14" s="64"/>
      <c r="B14" s="63" t="s">
        <v>177</v>
      </c>
      <c r="C14" s="62">
        <v>16</v>
      </c>
      <c r="D14" s="61">
        <v>2.197802197802198E-2</v>
      </c>
      <c r="E14" s="64"/>
    </row>
    <row r="15" spans="1:5">
      <c r="A15" s="64"/>
      <c r="B15" s="63" t="s">
        <v>174</v>
      </c>
      <c r="C15" s="62">
        <v>13</v>
      </c>
      <c r="D15" s="61">
        <v>1.7857142857142856E-2</v>
      </c>
      <c r="E15" s="64"/>
    </row>
    <row r="16" spans="1:5">
      <c r="A16" s="56"/>
      <c r="B16" s="63" t="s">
        <v>176</v>
      </c>
      <c r="C16" s="62">
        <v>12</v>
      </c>
      <c r="D16" s="61">
        <v>1.6483516483516484E-2</v>
      </c>
      <c r="E16" s="56"/>
    </row>
    <row r="17" spans="1:5">
      <c r="A17" s="56"/>
      <c r="B17" s="63" t="s">
        <v>178</v>
      </c>
      <c r="C17" s="62">
        <v>10</v>
      </c>
      <c r="D17" s="61">
        <v>1.3736263736263736E-2</v>
      </c>
      <c r="E17" s="56"/>
    </row>
    <row r="18" spans="1:5">
      <c r="A18" s="56"/>
      <c r="B18" s="63" t="s">
        <v>173</v>
      </c>
      <c r="C18" s="62">
        <v>4</v>
      </c>
      <c r="D18" s="61">
        <v>5.4945054945054949E-3</v>
      </c>
      <c r="E18" s="56"/>
    </row>
    <row r="19" spans="1:5">
      <c r="A19" s="56"/>
      <c r="B19" s="63" t="s">
        <v>175</v>
      </c>
      <c r="C19" s="62">
        <v>4</v>
      </c>
      <c r="D19" s="61">
        <v>5.4945054945054949E-3</v>
      </c>
      <c r="E19" s="56"/>
    </row>
    <row r="20" spans="1:5">
      <c r="A20" s="56"/>
      <c r="B20" s="63" t="s">
        <v>170</v>
      </c>
      <c r="C20" s="62">
        <v>3</v>
      </c>
      <c r="D20" s="61">
        <v>4.120879120879121E-3</v>
      </c>
      <c r="E20" s="56"/>
    </row>
    <row r="21" spans="1:5">
      <c r="A21" s="56"/>
      <c r="B21" s="63" t="s">
        <v>216</v>
      </c>
      <c r="C21" s="62">
        <v>2</v>
      </c>
      <c r="D21" s="61">
        <v>2.7472527472527475E-3</v>
      </c>
      <c r="E21" s="56"/>
    </row>
    <row r="22" spans="1:5">
      <c r="A22" s="56"/>
      <c r="B22" s="63" t="s">
        <v>172</v>
      </c>
      <c r="C22" s="62">
        <v>2</v>
      </c>
      <c r="D22" s="61">
        <v>2.7472527472527475E-3</v>
      </c>
      <c r="E22" s="56"/>
    </row>
    <row r="23" spans="1:5">
      <c r="A23" s="56"/>
      <c r="B23" s="63" t="s">
        <v>416</v>
      </c>
      <c r="C23" s="62">
        <v>1</v>
      </c>
      <c r="D23" s="61">
        <v>1.3736263736263737E-3</v>
      </c>
      <c r="E23" s="56"/>
    </row>
    <row r="24" spans="1:5">
      <c r="A24" s="56"/>
      <c r="B24" s="63" t="s">
        <v>217</v>
      </c>
      <c r="C24" s="62">
        <v>1</v>
      </c>
      <c r="D24" s="61">
        <v>1.3736263736263737E-3</v>
      </c>
      <c r="E24" s="56"/>
    </row>
    <row r="25" spans="1:5">
      <c r="A25" s="56"/>
      <c r="B25" s="63" t="s">
        <v>171</v>
      </c>
      <c r="C25" s="62">
        <v>1</v>
      </c>
      <c r="D25" s="61">
        <v>1.3736263736263737E-3</v>
      </c>
      <c r="E25" s="56"/>
    </row>
    <row r="26" spans="1:5">
      <c r="A26" s="56"/>
      <c r="B26" s="60" t="s">
        <v>15</v>
      </c>
      <c r="C26" s="59">
        <v>728</v>
      </c>
      <c r="D26" s="58">
        <v>1</v>
      </c>
      <c r="E26" s="56"/>
    </row>
    <row r="27" spans="1:5">
      <c r="A27" s="56"/>
      <c r="B27" s="56"/>
      <c r="C27" s="57"/>
      <c r="D27" s="56"/>
      <c r="E27" s="56"/>
    </row>
    <row r="28" spans="1:5">
      <c r="A28" s="56"/>
      <c r="B28" s="66" t="s">
        <v>218</v>
      </c>
      <c r="C28" s="57"/>
      <c r="D28" s="56"/>
      <c r="E28" s="56"/>
    </row>
    <row r="29" spans="1:5">
      <c r="B29" s="68" t="s">
        <v>14</v>
      </c>
      <c r="C29" s="57"/>
      <c r="D29" s="56"/>
    </row>
    <row r="30" spans="1:5">
      <c r="B30" s="67" t="s">
        <v>13</v>
      </c>
      <c r="C30" s="57"/>
      <c r="D30" s="56"/>
    </row>
    <row r="31" spans="1:5">
      <c r="B31" s="66" t="s">
        <v>12</v>
      </c>
      <c r="C31" s="57"/>
      <c r="D31" s="56"/>
    </row>
    <row r="32" spans="1:5">
      <c r="B32" s="66" t="s">
        <v>219</v>
      </c>
      <c r="C32" s="57"/>
      <c r="D32" s="56"/>
    </row>
    <row r="33" spans="2:4">
      <c r="B33" s="66"/>
      <c r="C33" s="65"/>
      <c r="D33" s="65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2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12</vt:i4>
      </vt:variant>
    </vt:vector>
  </HeadingPairs>
  <TitlesOfParts>
    <vt:vector size="21" baseType="lpstr">
      <vt:lpstr>Índice</vt:lpstr>
      <vt:lpstr>Massachusetts_Edomexgral</vt:lpstr>
      <vt:lpstr>Massachusetts_EDOMEX</vt:lpstr>
      <vt:lpstr>Massachusetts_Educagral</vt:lpstr>
      <vt:lpstr>Massachusetts_Eduedo</vt:lpstr>
      <vt:lpstr>Massachusetts_gengral</vt:lpstr>
      <vt:lpstr>Massachusetts_edomexgen</vt:lpstr>
      <vt:lpstr>Massachusetts_edadgen</vt:lpstr>
      <vt:lpstr>Massachusetts_ocupgral</vt:lpstr>
      <vt:lpstr>Massachusetts_edadgen!Área_de_impresión</vt:lpstr>
      <vt:lpstr>Massachusetts_EDOMEX!Área_de_impresión</vt:lpstr>
      <vt:lpstr>Massachusetts_edomexgen!Área_de_impresión</vt:lpstr>
      <vt:lpstr>Massachusetts_Eduedo!Área_de_impresión</vt:lpstr>
      <vt:lpstr>Massachusetts_edadgen!Títulos_a_imprimir</vt:lpstr>
      <vt:lpstr>Massachusetts_EDOMEX!Títulos_a_imprimir</vt:lpstr>
      <vt:lpstr>Massachusetts_edomexgen!Títulos_a_imprimir</vt:lpstr>
      <vt:lpstr>Massachusetts_Edomexgral!Títulos_a_imprimir</vt:lpstr>
      <vt:lpstr>Massachusetts_Educagral!Títulos_a_imprimir</vt:lpstr>
      <vt:lpstr>Massachusetts_Eduedo!Títulos_a_imprimir</vt:lpstr>
      <vt:lpstr>Massachusetts_gengral!Títulos_a_imprimir</vt:lpstr>
      <vt:lpstr>Massachusetts_ocupgral!Títulos_a_imprimir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2020-06-24T18:43:26Z</dcterms:created>
  <dcterms:modified xsi:type="dcterms:W3CDTF">2022-08-03T18:51:05Z</dcterms:modified>
</cp:coreProperties>
</file>