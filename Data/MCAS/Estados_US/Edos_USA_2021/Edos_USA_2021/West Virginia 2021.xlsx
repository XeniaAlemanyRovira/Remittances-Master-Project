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742"/>
  </bookViews>
  <sheets>
    <sheet name="Índice" sheetId="10" r:id="rId1"/>
    <sheet name="West Virginia_Edomexgral" sheetId="2" r:id="rId2"/>
    <sheet name="West Virginia_EDOMEX" sheetId="12" r:id="rId3"/>
    <sheet name="West Virginia_Educagral" sheetId="4" r:id="rId4"/>
    <sheet name="West Virginia_Eduedo" sheetId="11" r:id="rId5"/>
    <sheet name="West Virginia_gengral" sheetId="6" r:id="rId6"/>
    <sheet name="West Virginia_edomexgen" sheetId="7" r:id="rId7"/>
    <sheet name="West Virginia_edadgen" sheetId="8" r:id="rId8"/>
    <sheet name="West Virginia_ocupgral" sheetId="9" r:id="rId9"/>
  </sheets>
  <definedNames>
    <definedName name="_xlnm._FilterDatabase" localSheetId="7" hidden="1">'West Virginia_edadgen'!$B$9:$E$9</definedName>
    <definedName name="_xlnm._FilterDatabase" localSheetId="2" hidden="1">'West Virginia_EDOMEX'!$B$9:$E$9</definedName>
    <definedName name="_xlnm._FilterDatabase" localSheetId="6" hidden="1">'West Virginia_edomexgen'!$B$9:$E$9</definedName>
    <definedName name="_xlnm._FilterDatabase" localSheetId="1" hidden="1">'West Virginia_Edomexgral'!$B$11:$D$11</definedName>
    <definedName name="_xlnm._FilterDatabase" localSheetId="3" hidden="1">'West Virginia_Educagral'!$B$11:$D$11</definedName>
    <definedName name="_xlnm._FilterDatabase" localSheetId="4" hidden="1">'West Virginia_Eduedo'!$B$9:$E$9</definedName>
    <definedName name="_xlnm._FilterDatabase" localSheetId="5" hidden="1">'West Virginia_gengral'!$B$11:$D$11</definedName>
    <definedName name="_xlnm._FilterDatabase" localSheetId="8" hidden="1">'West Virginia_ocupgral'!$B$11:$D$11</definedName>
    <definedName name="_xlnm.Print_Area" localSheetId="0">Índice!$A$1:$D$21</definedName>
    <definedName name="_xlnm.Print_Area" localSheetId="7">'West Virginia_edadgen'!$A$1:$E$9</definedName>
    <definedName name="_xlnm.Print_Area" localSheetId="2">'West Virginia_EDOMEX'!$A$1:$E$9</definedName>
    <definedName name="_xlnm.Print_Area" localSheetId="6">'West Virginia_edomexgen'!$A$1:$E$9</definedName>
    <definedName name="_xlnm.Print_Area" localSheetId="4">'West Virginia_Eduedo'!$A$1:$E$9</definedName>
    <definedName name="_xlnm.Print_Titles" localSheetId="7">'West Virginia_edadgen'!$1:$9</definedName>
    <definedName name="_xlnm.Print_Titles" localSheetId="2">'West Virginia_EDOMEX'!$1:$9</definedName>
    <definedName name="_xlnm.Print_Titles" localSheetId="6">'West Virginia_edomexgen'!$1:$9</definedName>
    <definedName name="_xlnm.Print_Titles" localSheetId="1">'West Virginia_Edomexgral'!$1:$11</definedName>
    <definedName name="_xlnm.Print_Titles" localSheetId="3">'West Virginia_Educagral'!$1:$11</definedName>
    <definedName name="_xlnm.Print_Titles" localSheetId="4">'West Virginia_Eduedo'!$1:$9</definedName>
    <definedName name="_xlnm.Print_Titles" localSheetId="5">'West Virginia_gengral'!$1:$11</definedName>
    <definedName name="_xlnm.Print_Titles" localSheetId="8">'West Virginia_ocupgral'!$1:$11</definedName>
  </definedNames>
  <calcPr calcId="152511"/>
</workbook>
</file>

<file path=xl/calcChain.xml><?xml version="1.0" encoding="utf-8"?>
<calcChain xmlns="http://schemas.openxmlformats.org/spreadsheetml/2006/main">
  <c r="D67" i="7" l="1"/>
  <c r="D118" i="12" l="1"/>
</calcChain>
</file>

<file path=xl/sharedStrings.xml><?xml version="1.0" encoding="utf-8"?>
<sst xmlns="http://schemas.openxmlformats.org/spreadsheetml/2006/main" count="467" uniqueCount="173">
  <si>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</si>
  <si>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</si>
  <si>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</si>
  <si>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</si>
  <si>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</t>
  </si>
  <si>
    <t>Nayarit</t>
  </si>
  <si>
    <t>Morelos</t>
  </si>
  <si>
    <t>Durango</t>
  </si>
  <si>
    <t>Tamaulipas</t>
  </si>
  <si>
    <t>Querétaro</t>
  </si>
  <si>
    <t>Jalisco</t>
  </si>
  <si>
    <t>Zacatecas</t>
  </si>
  <si>
    <t>Chihuahua</t>
  </si>
  <si>
    <t>Hidalgo</t>
  </si>
  <si>
    <t>Chiapas</t>
  </si>
  <si>
    <t>Puebla</t>
  </si>
  <si>
    <t>Ciudad de México</t>
  </si>
  <si>
    <t>Veracruz</t>
  </si>
  <si>
    <t>San Luis Potosí</t>
  </si>
  <si>
    <t>Michoacán</t>
  </si>
  <si>
    <t>Guerrero</t>
  </si>
  <si>
    <t>Estado de México</t>
  </si>
  <si>
    <t>Guanajuato</t>
  </si>
  <si>
    <t>Oaxaca</t>
  </si>
  <si>
    <t>Porcentaje de Matrículas</t>
  </si>
  <si>
    <t>Número de Matrículas</t>
  </si>
  <si>
    <t>Estado de Origen</t>
  </si>
  <si>
    <t>Hidalgotitlán</t>
  </si>
  <si>
    <t>Aquismón</t>
  </si>
  <si>
    <t>Benito Juárez</t>
  </si>
  <si>
    <t>Paracho</t>
  </si>
  <si>
    <t>Degollado</t>
  </si>
  <si>
    <t>Dolores Hidalgo Cuna de la Independencia Nacional</t>
  </si>
  <si>
    <t>Iztacalco</t>
  </si>
  <si>
    <t>Chamula</t>
  </si>
  <si>
    <t>Municipio Origen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</si>
  <si>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</si>
  <si>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</si>
  <si>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</si>
  <si>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</si>
  <si>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</si>
  <si>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</si>
  <si>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Primaria con certificado</t>
  </si>
  <si>
    <t>6° Primaria</t>
  </si>
  <si>
    <t>3° Primaria</t>
  </si>
  <si>
    <t>Sin Estudios</t>
  </si>
  <si>
    <t>Nivel de Estudios</t>
  </si>
  <si>
    <t>MATRÍCULAS CONSULARES EXPEDIDAS EN EL ESTADO DE WEST VIRGINIA EN EE.UU. POR NIVEL DE EDUCACIÓN</t>
  </si>
  <si>
    <t>TOTAL</t>
  </si>
  <si>
    <t>MUJER</t>
  </si>
  <si>
    <t>HOMBRE</t>
  </si>
  <si>
    <t>Género</t>
  </si>
  <si>
    <t>Mujer</t>
  </si>
  <si>
    <t>Hombre</t>
  </si>
  <si>
    <t>Entre 50 y 65 Años</t>
  </si>
  <si>
    <t>Entre 40 y 49 Años</t>
  </si>
  <si>
    <t>Entre 29 y 39 Años</t>
  </si>
  <si>
    <t>Entre 18 y 28 Años</t>
  </si>
  <si>
    <t>Edad cumplida</t>
  </si>
  <si>
    <t>Jardinero(a)</t>
  </si>
  <si>
    <t>Albañil</t>
  </si>
  <si>
    <t>Campesino(a)</t>
  </si>
  <si>
    <t>Obrero(a)</t>
  </si>
  <si>
    <t>Mesero(a)</t>
  </si>
  <si>
    <t>Cocinero(a)</t>
  </si>
  <si>
    <t>Otro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</si>
  <si>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</si>
  <si>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</si>
  <si>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</si>
  <si>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</si>
  <si>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</si>
  <si>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</si>
  <si>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</si>
  <si>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</si>
  <si>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</si>
  <si>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</si>
  <si>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</si>
  <si>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</si>
  <si>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</si>
  <si>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</si>
  <si>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</si>
  <si>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Capacitación técnica</t>
  </si>
  <si>
    <t>Sinaloa</t>
  </si>
  <si>
    <t>Aguascalientes</t>
  </si>
  <si>
    <t>Coahuila</t>
  </si>
  <si>
    <t>Gustavo A. Madero</t>
  </si>
  <si>
    <t>Iztapalapa</t>
  </si>
  <si>
    <t>Manuel Doblado</t>
  </si>
  <si>
    <t>Cutzamala de Pinzón</t>
  </si>
  <si>
    <t>Jesús María</t>
  </si>
  <si>
    <t>Cuernavaca</t>
  </si>
  <si>
    <t>Mazatlán</t>
  </si>
  <si>
    <t>Calcahualco</t>
  </si>
  <si>
    <t>San Andrés Tuxtla</t>
  </si>
  <si>
    <t>Profesional pasante</t>
  </si>
  <si>
    <t>MATRÍCULAS CONSULARES DE ALTA SEGURIDAD EXPEDIDAS EN EL ESTADO DE WEST VIRGINIA EN EE.UU. POR ESTADO DE LA REPÚBLICA MEXICANA DURANTE EL 2021</t>
  </si>
  <si>
    <t>Tamaño de la muestra: 701,861</t>
  </si>
  <si>
    <t>Mayo de 2022</t>
  </si>
  <si>
    <t>Ensenada</t>
  </si>
  <si>
    <t>Frontera Comalapa</t>
  </si>
  <si>
    <t>Pantelhó</t>
  </si>
  <si>
    <t>Balleza</t>
  </si>
  <si>
    <t>Juárez</t>
  </si>
  <si>
    <t>Saltillo</t>
  </si>
  <si>
    <t>Álvaro Obregón</t>
  </si>
  <si>
    <t>Cuauhtémoc</t>
  </si>
  <si>
    <t>Ecatepec de Morelos</t>
  </si>
  <si>
    <t>San Antonio la Isla</t>
  </si>
  <si>
    <t>Tlalnepantla de Baz</t>
  </si>
  <si>
    <t>Toluca</t>
  </si>
  <si>
    <t>Apaseo el Grande</t>
  </si>
  <si>
    <t>Celaya</t>
  </si>
  <si>
    <t>Azoyú</t>
  </si>
  <si>
    <t>Coyuca de Benítez</t>
  </si>
  <si>
    <t>Coyuca de Catalán</t>
  </si>
  <si>
    <t>Petatlán</t>
  </si>
  <si>
    <t>Taxco de Alarcón</t>
  </si>
  <si>
    <t>Eloxochitlán</t>
  </si>
  <si>
    <t>Huichapan</t>
  </si>
  <si>
    <t>Metepec</t>
  </si>
  <si>
    <t>Metztitlán</t>
  </si>
  <si>
    <t>Mineral del Chico</t>
  </si>
  <si>
    <t>Pachuca de Soto</t>
  </si>
  <si>
    <t>Tulancingo de Bravo</t>
  </si>
  <si>
    <t>Atotonilco el Alto</t>
  </si>
  <si>
    <t>Encarnación de Díaz</t>
  </si>
  <si>
    <t>Guadalajara</t>
  </si>
  <si>
    <t>Puerto Vallarta</t>
  </si>
  <si>
    <t>Zapopan</t>
  </si>
  <si>
    <t>Indaparapeo</t>
  </si>
  <si>
    <t>Los Reyes</t>
  </si>
  <si>
    <t>Purépero</t>
  </si>
  <si>
    <t>Cuautla</t>
  </si>
  <si>
    <t>Compostela</t>
  </si>
  <si>
    <t>San José Estancia Grande</t>
  </si>
  <si>
    <t>San Lucas Ojitlán</t>
  </si>
  <si>
    <t>San Pedro Pochutla</t>
  </si>
  <si>
    <t>Santa María Huatulco</t>
  </si>
  <si>
    <t>Santa María Zacatepec</t>
  </si>
  <si>
    <t>Santiago Juxtlahuaca</t>
  </si>
  <si>
    <t>Santiago Yaitepec</t>
  </si>
  <si>
    <t>Tlacolula de Matamoros</t>
  </si>
  <si>
    <t>Unión Hidalgo</t>
  </si>
  <si>
    <t>Chietla</t>
  </si>
  <si>
    <t>Honey</t>
  </si>
  <si>
    <t>Jalpan</t>
  </si>
  <si>
    <t>Teziutlán</t>
  </si>
  <si>
    <t>Tlacuilotepec</t>
  </si>
  <si>
    <t>Cadereyta de Montes</t>
  </si>
  <si>
    <t>Matehuala</t>
  </si>
  <si>
    <t>Rioverde</t>
  </si>
  <si>
    <t>Tampico</t>
  </si>
  <si>
    <t>Alpatláhuac</t>
  </si>
  <si>
    <t>Atzalan</t>
  </si>
  <si>
    <t>Córdoba</t>
  </si>
  <si>
    <t>Coscomatepec</t>
  </si>
  <si>
    <t>Huatusco</t>
  </si>
  <si>
    <t>Martínez de la Torre</t>
  </si>
  <si>
    <t>Omealca</t>
  </si>
  <si>
    <t>Playa Vicente</t>
  </si>
  <si>
    <t>Tlachichilco</t>
  </si>
  <si>
    <t>Tlapacoyan</t>
  </si>
  <si>
    <t>Pinos</t>
  </si>
  <si>
    <t>2° Primaria</t>
  </si>
  <si>
    <t>4° Primaria</t>
  </si>
  <si>
    <t>5° Primaria</t>
  </si>
  <si>
    <t>1° Secundaria</t>
  </si>
  <si>
    <t>Profesional Titulado</t>
  </si>
  <si>
    <t>Posgrado [Maestría]</t>
  </si>
  <si>
    <t>Profesional titulado</t>
  </si>
  <si>
    <t>MATRÍCULAS CONSULARES DE ALTA SEGURIDAD EXPEDIDAS EN EE.UU A MEXICANOS EN EL ESTADO DE WEST VIRGINIA, POR GÉNERO 2021</t>
  </si>
  <si>
    <t>MATRÍCULAS CONSULARES DE ALTA SEGURIDAD EXPEDIDAS EN EE.UU A MEXICANOS EN EL ESTADO DE  WEST VIRGINIA, POR PERFIL OCUPACIONAL 2021</t>
  </si>
  <si>
    <t>Matrículas consulares expedidas a mexicanos  en el estado de West Virginia 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</si>
</sst>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6" fillId="0" borderId="0"/>
    <xf numFmtId="0" fontId="22" fillId="0" borderId="0" applyNumberFormat="0" applyFill="0" applyBorder="0" applyAlignment="0" applyProtection="0"/>
  </cellStyleXfs>
  <cellXfs count="80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3" fontId="5" fillId="3" borderId="1" xfId="0" applyNumberFormat="1" applyFont="1" applyFill="1" applyBorder="1" applyAlignment="1">
      <alignment horizontal="right" vertical="top" wrapText="1"/>
    </xf>
    <xf numFmtId="49" fontId="6" fillId="3" borderId="1" xfId="0" applyNumberFormat="1" applyFont="1" applyFill="1" applyBorder="1" applyAlignment="1">
      <alignment vertical="top" wrapText="1"/>
    </xf>
    <xf numFmtId="0" fontId="7" fillId="3" borderId="0" xfId="0" applyFont="1" applyFill="1"/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0" fontId="13" fillId="0" borderId="0" xfId="0" applyFont="1" applyBorder="1"/>
    <xf numFmtId="0" fontId="13" fillId="0" borderId="0" xfId="0" applyFont="1" applyBorder="1" applyAlignment="1">
      <alignment vertical="top"/>
    </xf>
    <xf numFmtId="165" fontId="4" fillId="5" borderId="1" xfId="1" applyNumberFormat="1" applyFont="1" applyFill="1" applyBorder="1" applyAlignment="1">
      <alignment vertical="center" wrapText="1"/>
    </xf>
    <xf numFmtId="3" fontId="4" fillId="5" borderId="1" xfId="2" applyNumberFormat="1" applyFont="1" applyFill="1" applyBorder="1" applyAlignment="1">
      <alignment horizontal="right" vertical="center" wrapText="1"/>
    </xf>
    <xf numFmtId="49" fontId="4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7" fillId="2" borderId="2" xfId="3" applyFont="1" applyFill="1" applyBorder="1" applyAlignment="1">
      <alignment horizontal="center" vertical="center" wrapText="1"/>
    </xf>
    <xf numFmtId="1" fontId="17" fillId="2" borderId="2" xfId="3" applyNumberFormat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8" fillId="3" borderId="0" xfId="0" applyFont="1" applyFill="1"/>
    <xf numFmtId="0" fontId="18" fillId="3" borderId="0" xfId="0" applyFont="1" applyFill="1" applyAlignment="1"/>
    <xf numFmtId="0" fontId="15" fillId="3" borderId="0" xfId="0" applyFont="1" applyFill="1" applyAlignment="1">
      <alignment vertical="center"/>
    </xf>
    <xf numFmtId="0" fontId="8" fillId="3" borderId="0" xfId="0" applyFont="1" applyFill="1" applyBorder="1"/>
    <xf numFmtId="3" fontId="8" fillId="3" borderId="0" xfId="0" applyNumberFormat="1" applyFont="1" applyFill="1" applyBorder="1"/>
    <xf numFmtId="1" fontId="8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7" fillId="3" borderId="0" xfId="0" applyNumberFormat="1" applyFont="1" applyFill="1"/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horizontal="justify" vertical="center"/>
    </xf>
    <xf numFmtId="0" fontId="13" fillId="0" borderId="0" xfId="0" applyFont="1" applyAlignment="1">
      <alignment vertical="top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0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495246</xdr:colOff>
      <xdr:row>1</xdr:row>
      <xdr:rowOff>228929</xdr:rowOff>
    </xdr:from>
    <xdr:to>
      <xdr:col>3</xdr:col>
      <xdr:colOff>1007343</xdr:colOff>
      <xdr:row>2</xdr:row>
      <xdr:rowOff>219405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19471" y="76232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7</xdr:row>
      <xdr:rowOff>180975</xdr:rowOff>
    </xdr:from>
    <xdr:to>
      <xdr:col>4</xdr:col>
      <xdr:colOff>588297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05325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WEST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609599</xdr:colOff>
      <xdr:row>7</xdr:row>
      <xdr:rowOff>104775</xdr:rowOff>
    </xdr:from>
    <xdr:to>
      <xdr:col>5</xdr:col>
      <xdr:colOff>9524</xdr:colOff>
      <xdr:row>7</xdr:row>
      <xdr:rowOff>284070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8274" y="1847850"/>
          <a:ext cx="523875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WEST VIRGINIA,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151086</xdr:rowOff>
    </xdr:from>
    <xdr:to>
      <xdr:col>4</xdr:col>
      <xdr:colOff>1070459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WEST VIRGINIA,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WEST VIRGINIA,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152400</xdr:rowOff>
    </xdr:from>
    <xdr:to>
      <xdr:col>5</xdr:col>
      <xdr:colOff>35847</xdr:colOff>
      <xdr:row>8</xdr:row>
      <xdr:rowOff>342901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67" t="s">
        <v>172</v>
      </c>
      <c r="B1" s="68"/>
      <c r="C1" s="68"/>
      <c r="D1" s="69"/>
    </row>
    <row r="2" spans="1:4" ht="18.75">
      <c r="A2" s="44"/>
      <c r="B2" s="45"/>
      <c r="C2" s="45"/>
      <c r="D2" s="46"/>
    </row>
    <row r="3" spans="1:4">
      <c r="A3" s="70" t="s">
        <v>69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47"/>
      <c r="B5" s="48"/>
      <c r="C5" s="48"/>
      <c r="D5" s="49"/>
    </row>
    <row r="6" spans="1:4" ht="18.75">
      <c r="A6" s="66" t="s">
        <v>70</v>
      </c>
      <c r="B6" s="64"/>
      <c r="C6" s="64"/>
      <c r="D6" s="65"/>
    </row>
    <row r="7" spans="1:4" ht="18.75">
      <c r="A7" s="50"/>
      <c r="B7" s="51"/>
      <c r="C7" s="51"/>
      <c r="D7" s="52"/>
    </row>
    <row r="8" spans="1:4" ht="18.75">
      <c r="A8" s="53" t="s">
        <v>71</v>
      </c>
      <c r="B8" s="54"/>
      <c r="C8" s="54"/>
      <c r="D8" s="55"/>
    </row>
    <row r="9" spans="1:4" ht="18.75">
      <c r="A9" s="53"/>
      <c r="B9" s="64" t="s">
        <v>72</v>
      </c>
      <c r="C9" s="64"/>
      <c r="D9" s="65"/>
    </row>
    <row r="10" spans="1:4" ht="18.75">
      <c r="A10" s="53" t="s">
        <v>73</v>
      </c>
      <c r="B10" s="54"/>
      <c r="C10" s="54"/>
      <c r="D10" s="55"/>
    </row>
    <row r="11" spans="1:4" ht="18.75">
      <c r="A11" s="53"/>
      <c r="B11" s="64" t="s">
        <v>74</v>
      </c>
      <c r="C11" s="64"/>
      <c r="D11" s="65"/>
    </row>
    <row r="12" spans="1:4" ht="18.75">
      <c r="A12" s="53"/>
      <c r="B12" s="64" t="s">
        <v>75</v>
      </c>
      <c r="C12" s="64"/>
      <c r="D12" s="65"/>
    </row>
    <row r="13" spans="1:4" ht="18.75">
      <c r="A13" s="53"/>
      <c r="B13" s="54"/>
      <c r="C13" s="54"/>
      <c r="D13" s="55"/>
    </row>
    <row r="14" spans="1:4" ht="18.75">
      <c r="A14" s="53" t="s">
        <v>76</v>
      </c>
      <c r="B14" s="54"/>
      <c r="C14" s="54"/>
      <c r="D14" s="55"/>
    </row>
    <row r="15" spans="1:4" ht="18.75">
      <c r="A15" s="53"/>
      <c r="B15" s="64" t="s">
        <v>77</v>
      </c>
      <c r="C15" s="64"/>
      <c r="D15" s="65"/>
    </row>
    <row r="16" spans="1:4" ht="18.75">
      <c r="A16" s="53"/>
      <c r="B16" s="64" t="s">
        <v>78</v>
      </c>
      <c r="C16" s="64"/>
      <c r="D16" s="65"/>
    </row>
    <row r="17" spans="1:4" ht="18.75">
      <c r="A17" s="53"/>
      <c r="B17" s="54"/>
      <c r="C17" s="54"/>
      <c r="D17" s="55"/>
    </row>
    <row r="18" spans="1:4" ht="18.75">
      <c r="A18" s="66" t="s">
        <v>79</v>
      </c>
      <c r="B18" s="64"/>
      <c r="C18" s="64"/>
      <c r="D18" s="65"/>
    </row>
    <row r="19" spans="1:4" ht="18.75">
      <c r="A19" s="53"/>
      <c r="B19" s="54"/>
      <c r="C19" s="54"/>
      <c r="D19" s="55"/>
    </row>
    <row r="20" spans="1:4" ht="18.75">
      <c r="A20" s="66" t="s">
        <v>80</v>
      </c>
      <c r="B20" s="64"/>
      <c r="C20" s="64"/>
      <c r="D20" s="65"/>
    </row>
    <row r="21" spans="1:4" ht="19.5" thickBot="1">
      <c r="A21" s="56"/>
      <c r="B21" s="57"/>
      <c r="C21" s="57"/>
      <c r="D21" s="58"/>
    </row>
    <row r="22" spans="1:4" ht="18.75">
      <c r="A22" s="59"/>
      <c r="B22" s="59"/>
      <c r="C22" s="59"/>
      <c r="D22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West Virginia_Edomexgral'!A1" display="1. Por Estados de la República Mexicana"/>
    <hyperlink ref="B9" location="'New Jersey_EDOMEX'!A1" display="2.1 Por estado de la República Mexicana y municipio de origen"/>
    <hyperlink ref="B11:D11" location="'West Virginia_Educagral'!A1" display="3.1 Educación general"/>
    <hyperlink ref="B12:D12" location="'West Virginia_Eduedo'!A1" display="3.2 Por Estado de la República Mexicana"/>
    <hyperlink ref="B15:D15" location="'West Virginia_gengral'!A1" display="4.1 Género General"/>
    <hyperlink ref="B16:D16" location="'West Virginia_edomexgen'!A1" display="4.2 Por Estados de la República Mexicana"/>
    <hyperlink ref="A18:D18" location="'West Virginia_edadgen'!A1" display="5. Por estructura de Edad"/>
    <hyperlink ref="A20:D20" location="'West Virginia_ocupgral'!A1" display="6. Por Ocupación"/>
    <hyperlink ref="B9:D9" location="'West Virgini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1"/>
  <sheetViews>
    <sheetView showGridLines="0" topLeftCell="A28" zoomScaleNormal="100" zoomScaleSheetLayoutView="115" workbookViewId="0">
      <selection activeCell="B12" sqref="B1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95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0" customHeight="1">
      <c r="B11" s="16" t="s">
        <v>26</v>
      </c>
      <c r="C11" s="15" t="s">
        <v>25</v>
      </c>
      <c r="D11" s="14" t="s">
        <v>24</v>
      </c>
    </row>
    <row r="12" spans="1:5">
      <c r="B12" s="11" t="s">
        <v>20</v>
      </c>
      <c r="C12" s="10">
        <v>18</v>
      </c>
      <c r="D12" s="9">
        <v>0.15929203539823009</v>
      </c>
    </row>
    <row r="13" spans="1:5">
      <c r="B13" s="11" t="s">
        <v>10</v>
      </c>
      <c r="C13" s="10">
        <v>14</v>
      </c>
      <c r="D13" s="9">
        <v>0.12389380530973451</v>
      </c>
    </row>
    <row r="14" spans="1:5">
      <c r="A14" s="12"/>
      <c r="B14" s="11" t="s">
        <v>17</v>
      </c>
      <c r="C14" s="10">
        <v>14</v>
      </c>
      <c r="D14" s="9">
        <v>0.12389380530973451</v>
      </c>
      <c r="E14" s="12"/>
    </row>
    <row r="15" spans="1:5">
      <c r="A15" s="12"/>
      <c r="B15" s="11" t="s">
        <v>23</v>
      </c>
      <c r="C15" s="10">
        <v>10</v>
      </c>
      <c r="D15" s="9">
        <v>8.8495575221238937E-2</v>
      </c>
      <c r="E15" s="12"/>
    </row>
    <row r="16" spans="1:5">
      <c r="B16" s="11" t="s">
        <v>13</v>
      </c>
      <c r="C16" s="10">
        <v>9</v>
      </c>
      <c r="D16" s="9">
        <v>7.9646017699115043E-2</v>
      </c>
    </row>
    <row r="17" spans="2:4">
      <c r="B17" s="11" t="s">
        <v>21</v>
      </c>
      <c r="C17" s="10">
        <v>7</v>
      </c>
      <c r="D17" s="9">
        <v>6.1946902654867256E-2</v>
      </c>
    </row>
    <row r="18" spans="2:4">
      <c r="B18" s="11" t="s">
        <v>16</v>
      </c>
      <c r="C18" s="10">
        <v>5</v>
      </c>
      <c r="D18" s="9">
        <v>4.4247787610619468E-2</v>
      </c>
    </row>
    <row r="19" spans="2:4">
      <c r="B19" s="11" t="s">
        <v>15</v>
      </c>
      <c r="C19" s="10">
        <v>5</v>
      </c>
      <c r="D19" s="9">
        <v>4.4247787610619468E-2</v>
      </c>
    </row>
    <row r="20" spans="2:4">
      <c r="B20" s="11" t="s">
        <v>14</v>
      </c>
      <c r="C20" s="10">
        <v>4</v>
      </c>
      <c r="D20" s="9">
        <v>3.5398230088495575E-2</v>
      </c>
    </row>
    <row r="21" spans="2:4">
      <c r="B21" s="11" t="s">
        <v>22</v>
      </c>
      <c r="C21" s="10">
        <v>4</v>
      </c>
      <c r="D21" s="9">
        <v>3.5398230088495575E-2</v>
      </c>
    </row>
    <row r="22" spans="2:4">
      <c r="B22" s="11" t="s">
        <v>19</v>
      </c>
      <c r="C22" s="10">
        <v>4</v>
      </c>
      <c r="D22" s="9">
        <v>3.5398230088495575E-2</v>
      </c>
    </row>
    <row r="23" spans="2:4">
      <c r="B23" s="11" t="s">
        <v>18</v>
      </c>
      <c r="C23" s="10">
        <v>3</v>
      </c>
      <c r="D23" s="9">
        <v>2.6548672566371681E-2</v>
      </c>
    </row>
    <row r="24" spans="2:4">
      <c r="B24" s="11" t="s">
        <v>4</v>
      </c>
      <c r="C24" s="10">
        <v>2</v>
      </c>
      <c r="D24" s="9">
        <v>1.7699115044247787E-2</v>
      </c>
    </row>
    <row r="25" spans="2:4">
      <c r="B25" s="11" t="s">
        <v>12</v>
      </c>
      <c r="C25" s="10">
        <v>2</v>
      </c>
      <c r="D25" s="9">
        <v>1.7699115044247787E-2</v>
      </c>
    </row>
    <row r="26" spans="2:4">
      <c r="B26" s="11" t="s">
        <v>6</v>
      </c>
      <c r="C26" s="10">
        <v>2</v>
      </c>
      <c r="D26" s="9">
        <v>1.7699115044247787E-2</v>
      </c>
    </row>
    <row r="27" spans="2:4">
      <c r="B27" s="11" t="s">
        <v>9</v>
      </c>
      <c r="C27" s="10">
        <v>2</v>
      </c>
      <c r="D27" s="9">
        <v>1.7699115044247787E-2</v>
      </c>
    </row>
    <row r="28" spans="2:4">
      <c r="B28" s="11" t="s">
        <v>11</v>
      </c>
      <c r="C28" s="10">
        <v>2</v>
      </c>
      <c r="D28" s="9">
        <v>1.7699115044247787E-2</v>
      </c>
    </row>
    <row r="29" spans="2:4">
      <c r="B29" s="11" t="s">
        <v>83</v>
      </c>
      <c r="C29" s="10">
        <v>1</v>
      </c>
      <c r="D29" s="9">
        <v>8.8495575221238937E-3</v>
      </c>
    </row>
    <row r="30" spans="2:4">
      <c r="B30" s="11" t="s">
        <v>84</v>
      </c>
      <c r="C30" s="10">
        <v>1</v>
      </c>
      <c r="D30" s="9">
        <v>8.8495575221238937E-3</v>
      </c>
    </row>
    <row r="31" spans="2:4">
      <c r="B31" s="11" t="s">
        <v>7</v>
      </c>
      <c r="C31" s="10">
        <v>1</v>
      </c>
      <c r="D31" s="9">
        <v>8.8495575221238937E-3</v>
      </c>
    </row>
    <row r="32" spans="2:4">
      <c r="B32" s="11" t="s">
        <v>5</v>
      </c>
      <c r="C32" s="10">
        <v>1</v>
      </c>
      <c r="D32" s="9">
        <v>8.8495575221238937E-3</v>
      </c>
    </row>
    <row r="33" spans="2:4">
      <c r="B33" s="11" t="s">
        <v>82</v>
      </c>
      <c r="C33" s="10">
        <v>1</v>
      </c>
      <c r="D33" s="9">
        <v>8.8495575221238937E-3</v>
      </c>
    </row>
    <row r="34" spans="2:4">
      <c r="B34" s="11" t="s">
        <v>8</v>
      </c>
      <c r="C34" s="10">
        <v>1</v>
      </c>
      <c r="D34" s="9">
        <v>8.8495575221238937E-3</v>
      </c>
    </row>
    <row r="35" spans="2:4">
      <c r="B35" s="8" t="s">
        <v>3</v>
      </c>
      <c r="C35" s="7">
        <v>113</v>
      </c>
      <c r="D35" s="6">
        <v>1</v>
      </c>
    </row>
    <row r="37" spans="2:4">
      <c r="B37" s="3" t="s">
        <v>96</v>
      </c>
    </row>
    <row r="38" spans="2:4">
      <c r="B38" s="5" t="s">
        <v>2</v>
      </c>
    </row>
    <row r="39" spans="2:4">
      <c r="B39" s="4" t="s">
        <v>1</v>
      </c>
    </row>
    <row r="40" spans="2:4">
      <c r="B40" s="3" t="s">
        <v>0</v>
      </c>
    </row>
    <row r="41" spans="2:4">
      <c r="B41" s="3" t="s">
        <v>97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53"/>
  <sheetViews>
    <sheetView showGridLines="0" topLeftCell="A112" zoomScaleNormal="100" zoomScaleSheetLayoutView="100" workbookViewId="0">
      <selection activeCell="B10" sqref="B10:B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26</v>
      </c>
      <c r="C9" s="33" t="s">
        <v>35</v>
      </c>
      <c r="D9" s="32" t="s">
        <v>25</v>
      </c>
      <c r="E9" s="31" t="s">
        <v>24</v>
      </c>
    </row>
    <row r="10" spans="1:5" ht="15" customHeight="1">
      <c r="B10" s="74" t="s">
        <v>83</v>
      </c>
      <c r="C10" s="29" t="s">
        <v>83</v>
      </c>
      <c r="D10" s="28">
        <v>1</v>
      </c>
      <c r="E10" s="27">
        <v>8.8495575221238937E-3</v>
      </c>
    </row>
    <row r="11" spans="1:5" ht="15" customHeight="1">
      <c r="B11" s="75"/>
      <c r="C11" s="26" t="s">
        <v>3</v>
      </c>
      <c r="D11" s="25">
        <v>1</v>
      </c>
      <c r="E11" s="24">
        <v>8.8495575221238937E-3</v>
      </c>
    </row>
    <row r="12" spans="1:5" ht="15" customHeight="1">
      <c r="B12" s="74" t="s">
        <v>4</v>
      </c>
      <c r="C12" s="29" t="s">
        <v>98</v>
      </c>
      <c r="D12" s="28">
        <v>2</v>
      </c>
      <c r="E12" s="27">
        <v>1.7699115044247787E-2</v>
      </c>
    </row>
    <row r="13" spans="1:5" ht="15" customHeight="1">
      <c r="B13" s="75"/>
      <c r="C13" s="26" t="s">
        <v>3</v>
      </c>
      <c r="D13" s="25">
        <v>2</v>
      </c>
      <c r="E13" s="24">
        <v>1.7699115044247787E-2</v>
      </c>
    </row>
    <row r="14" spans="1:5" ht="15" customHeight="1">
      <c r="B14" s="74" t="s">
        <v>14</v>
      </c>
      <c r="C14" s="29" t="s">
        <v>34</v>
      </c>
      <c r="D14" s="28">
        <v>1</v>
      </c>
      <c r="E14" s="27">
        <v>8.8495575221238937E-3</v>
      </c>
    </row>
    <row r="15" spans="1:5" ht="15" customHeight="1">
      <c r="B15" s="76"/>
      <c r="C15" s="29" t="s">
        <v>99</v>
      </c>
      <c r="D15" s="28">
        <v>2</v>
      </c>
      <c r="E15" s="27">
        <v>1.7699115044247787E-2</v>
      </c>
    </row>
    <row r="16" spans="1:5" ht="15" customHeight="1">
      <c r="B16" s="76"/>
      <c r="C16" s="29" t="s">
        <v>100</v>
      </c>
      <c r="D16" s="28">
        <v>1</v>
      </c>
      <c r="E16" s="27">
        <v>8.8495575221238937E-3</v>
      </c>
    </row>
    <row r="17" spans="2:5" ht="15" customHeight="1">
      <c r="B17" s="75"/>
      <c r="C17" s="26" t="s">
        <v>3</v>
      </c>
      <c r="D17" s="25">
        <v>4</v>
      </c>
      <c r="E17" s="24">
        <v>3.5398230088495575E-2</v>
      </c>
    </row>
    <row r="18" spans="2:5" ht="15" customHeight="1">
      <c r="B18" s="74" t="s">
        <v>12</v>
      </c>
      <c r="C18" s="29" t="s">
        <v>101</v>
      </c>
      <c r="D18" s="28">
        <v>1</v>
      </c>
      <c r="E18" s="27">
        <v>8.8495575221238937E-3</v>
      </c>
    </row>
    <row r="19" spans="2:5" ht="15" customHeight="1">
      <c r="B19" s="76"/>
      <c r="C19" s="29" t="s">
        <v>102</v>
      </c>
      <c r="D19" s="28">
        <v>1</v>
      </c>
      <c r="E19" s="27">
        <v>8.8495575221238937E-3</v>
      </c>
    </row>
    <row r="20" spans="2:5" ht="15" customHeight="1">
      <c r="B20" s="75"/>
      <c r="C20" s="26" t="s">
        <v>3</v>
      </c>
      <c r="D20" s="25">
        <v>2</v>
      </c>
      <c r="E20" s="24">
        <v>1.7699115044247787E-2</v>
      </c>
    </row>
    <row r="21" spans="2:5" ht="15" customHeight="1">
      <c r="B21" s="74" t="s">
        <v>84</v>
      </c>
      <c r="C21" s="29" t="s">
        <v>103</v>
      </c>
      <c r="D21" s="28">
        <v>1</v>
      </c>
      <c r="E21" s="27">
        <v>8.8495575221238937E-3</v>
      </c>
    </row>
    <row r="22" spans="2:5" ht="15" customHeight="1">
      <c r="B22" s="75"/>
      <c r="C22" s="26" t="s">
        <v>3</v>
      </c>
      <c r="D22" s="25">
        <v>1</v>
      </c>
      <c r="E22" s="24">
        <v>8.8495575221238937E-3</v>
      </c>
    </row>
    <row r="23" spans="2:5" ht="15" customHeight="1">
      <c r="B23" s="74" t="s">
        <v>16</v>
      </c>
      <c r="C23" s="29" t="s">
        <v>104</v>
      </c>
      <c r="D23" s="28">
        <v>1</v>
      </c>
      <c r="E23" s="27">
        <v>8.8495575221238937E-3</v>
      </c>
    </row>
    <row r="24" spans="2:5" ht="15" customHeight="1">
      <c r="B24" s="76"/>
      <c r="C24" s="29" t="s">
        <v>105</v>
      </c>
      <c r="D24" s="28">
        <v>1</v>
      </c>
      <c r="E24" s="27">
        <v>8.8495575221238937E-3</v>
      </c>
    </row>
    <row r="25" spans="2:5" ht="15" customHeight="1">
      <c r="B25" s="76"/>
      <c r="C25" s="29" t="s">
        <v>85</v>
      </c>
      <c r="D25" s="28">
        <v>1</v>
      </c>
      <c r="E25" s="27">
        <v>8.8495575221238937E-3</v>
      </c>
    </row>
    <row r="26" spans="2:5" ht="15" customHeight="1">
      <c r="B26" s="76"/>
      <c r="C26" s="29" t="s">
        <v>33</v>
      </c>
      <c r="D26" s="28">
        <v>1</v>
      </c>
      <c r="E26" s="27">
        <v>8.8495575221238937E-3</v>
      </c>
    </row>
    <row r="27" spans="2:5" ht="15" customHeight="1">
      <c r="B27" s="76"/>
      <c r="C27" s="29" t="s">
        <v>86</v>
      </c>
      <c r="D27" s="28">
        <v>1</v>
      </c>
      <c r="E27" s="27">
        <v>8.8495575221238937E-3</v>
      </c>
    </row>
    <row r="28" spans="2:5" ht="15" customHeight="1">
      <c r="B28" s="75"/>
      <c r="C28" s="26" t="s">
        <v>3</v>
      </c>
      <c r="D28" s="25">
        <v>5</v>
      </c>
      <c r="E28" s="24">
        <v>4.4247787610619468E-2</v>
      </c>
    </row>
    <row r="29" spans="2:5" ht="15" customHeight="1">
      <c r="B29" s="74" t="s">
        <v>7</v>
      </c>
      <c r="C29" s="29" t="s">
        <v>7</v>
      </c>
      <c r="D29" s="28">
        <v>1</v>
      </c>
      <c r="E29" s="27">
        <v>8.8495575221238937E-3</v>
      </c>
    </row>
    <row r="30" spans="2:5" ht="15" customHeight="1">
      <c r="B30" s="75"/>
      <c r="C30" s="26" t="s">
        <v>3</v>
      </c>
      <c r="D30" s="25">
        <v>1</v>
      </c>
      <c r="E30" s="24">
        <v>8.8495575221238937E-3</v>
      </c>
    </row>
    <row r="31" spans="2:5" ht="15" customHeight="1">
      <c r="B31" s="74" t="s">
        <v>21</v>
      </c>
      <c r="C31" s="29" t="s">
        <v>106</v>
      </c>
      <c r="D31" s="28">
        <v>2</v>
      </c>
      <c r="E31" s="27">
        <v>1.7699115044247787E-2</v>
      </c>
    </row>
    <row r="32" spans="2:5" ht="15" customHeight="1">
      <c r="B32" s="76"/>
      <c r="C32" s="29" t="s">
        <v>107</v>
      </c>
      <c r="D32" s="28">
        <v>1</v>
      </c>
      <c r="E32" s="27">
        <v>8.8495575221238937E-3</v>
      </c>
    </row>
    <row r="33" spans="2:5" ht="15" customHeight="1">
      <c r="B33" s="76"/>
      <c r="C33" s="29" t="s">
        <v>108</v>
      </c>
      <c r="D33" s="28">
        <v>2</v>
      </c>
      <c r="E33" s="27">
        <v>1.7699115044247787E-2</v>
      </c>
    </row>
    <row r="34" spans="2:5" ht="15" customHeight="1">
      <c r="B34" s="76"/>
      <c r="C34" s="29" t="s">
        <v>109</v>
      </c>
      <c r="D34" s="28">
        <v>2</v>
      </c>
      <c r="E34" s="27">
        <v>1.7699115044247787E-2</v>
      </c>
    </row>
    <row r="35" spans="2:5" ht="15" customHeight="1">
      <c r="B35" s="75"/>
      <c r="C35" s="26" t="s">
        <v>3</v>
      </c>
      <c r="D35" s="25">
        <v>7</v>
      </c>
      <c r="E35" s="24">
        <v>6.1946902654867256E-2</v>
      </c>
    </row>
    <row r="36" spans="2:5" ht="15" customHeight="1">
      <c r="B36" s="74" t="s">
        <v>22</v>
      </c>
      <c r="C36" s="29" t="s">
        <v>110</v>
      </c>
      <c r="D36" s="28">
        <v>1</v>
      </c>
      <c r="E36" s="27">
        <v>8.8495575221238937E-3</v>
      </c>
    </row>
    <row r="37" spans="2:5" ht="15" customHeight="1">
      <c r="B37" s="76"/>
      <c r="C37" s="29" t="s">
        <v>111</v>
      </c>
      <c r="D37" s="28">
        <v>1</v>
      </c>
      <c r="E37" s="27">
        <v>8.8495575221238937E-3</v>
      </c>
    </row>
    <row r="38" spans="2:5" ht="15" customHeight="1">
      <c r="B38" s="76"/>
      <c r="C38" s="29" t="s">
        <v>32</v>
      </c>
      <c r="D38" s="28">
        <v>1</v>
      </c>
      <c r="E38" s="27">
        <v>8.8495575221238937E-3</v>
      </c>
    </row>
    <row r="39" spans="2:5" ht="15" customHeight="1">
      <c r="B39" s="76"/>
      <c r="C39" s="29" t="s">
        <v>87</v>
      </c>
      <c r="D39" s="28">
        <v>1</v>
      </c>
      <c r="E39" s="27">
        <v>8.8495575221238937E-3</v>
      </c>
    </row>
    <row r="40" spans="2:5" ht="15" customHeight="1">
      <c r="B40" s="75"/>
      <c r="C40" s="26" t="s">
        <v>3</v>
      </c>
      <c r="D40" s="25">
        <v>4</v>
      </c>
      <c r="E40" s="24">
        <v>3.5398230088495575E-2</v>
      </c>
    </row>
    <row r="41" spans="2:5" ht="15" customHeight="1">
      <c r="B41" s="74" t="s">
        <v>20</v>
      </c>
      <c r="C41" s="29" t="s">
        <v>112</v>
      </c>
      <c r="D41" s="28">
        <v>1</v>
      </c>
      <c r="E41" s="27">
        <v>8.8495575221238937E-3</v>
      </c>
    </row>
    <row r="42" spans="2:5" ht="15" customHeight="1">
      <c r="B42" s="76"/>
      <c r="C42" s="29" t="s">
        <v>113</v>
      </c>
      <c r="D42" s="28">
        <v>1</v>
      </c>
      <c r="E42" s="27">
        <v>8.8495575221238937E-3</v>
      </c>
    </row>
    <row r="43" spans="2:5" ht="15" customHeight="1">
      <c r="B43" s="76"/>
      <c r="C43" s="29" t="s">
        <v>114</v>
      </c>
      <c r="D43" s="28">
        <v>7</v>
      </c>
      <c r="E43" s="27">
        <v>6.1946902654867256E-2</v>
      </c>
    </row>
    <row r="44" spans="2:5" ht="15" customHeight="1">
      <c r="B44" s="76"/>
      <c r="C44" s="29" t="s">
        <v>88</v>
      </c>
      <c r="D44" s="28">
        <v>2</v>
      </c>
      <c r="E44" s="27">
        <v>1.7699115044247787E-2</v>
      </c>
    </row>
    <row r="45" spans="2:5" ht="15" customHeight="1">
      <c r="B45" s="76"/>
      <c r="C45" s="29" t="s">
        <v>115</v>
      </c>
      <c r="D45" s="28">
        <v>6</v>
      </c>
      <c r="E45" s="27">
        <v>5.3097345132743362E-2</v>
      </c>
    </row>
    <row r="46" spans="2:5" ht="15" customHeight="1">
      <c r="B46" s="76"/>
      <c r="C46" s="29" t="s">
        <v>116</v>
      </c>
      <c r="D46" s="28">
        <v>1</v>
      </c>
      <c r="E46" s="27">
        <v>8.8495575221238937E-3</v>
      </c>
    </row>
    <row r="47" spans="2:5" ht="15" customHeight="1">
      <c r="B47" s="75"/>
      <c r="C47" s="26" t="s">
        <v>3</v>
      </c>
      <c r="D47" s="25">
        <v>18</v>
      </c>
      <c r="E47" s="24">
        <v>0.15929203539823009</v>
      </c>
    </row>
    <row r="48" spans="2:5" ht="15" customHeight="1">
      <c r="B48" s="74" t="s">
        <v>13</v>
      </c>
      <c r="C48" s="29" t="s">
        <v>117</v>
      </c>
      <c r="D48" s="28">
        <v>1</v>
      </c>
      <c r="E48" s="27">
        <v>8.8495575221238937E-3</v>
      </c>
    </row>
    <row r="49" spans="2:5" ht="15" customHeight="1">
      <c r="B49" s="76"/>
      <c r="C49" s="29" t="s">
        <v>118</v>
      </c>
      <c r="D49" s="28">
        <v>2</v>
      </c>
      <c r="E49" s="27">
        <v>1.7699115044247787E-2</v>
      </c>
    </row>
    <row r="50" spans="2:5" ht="15" customHeight="1">
      <c r="B50" s="76"/>
      <c r="C50" s="29" t="s">
        <v>119</v>
      </c>
      <c r="D50" s="28">
        <v>2</v>
      </c>
      <c r="E50" s="27">
        <v>1.7699115044247787E-2</v>
      </c>
    </row>
    <row r="51" spans="2:5" ht="15" customHeight="1">
      <c r="B51" s="76"/>
      <c r="C51" s="29" t="s">
        <v>120</v>
      </c>
      <c r="D51" s="28">
        <v>1</v>
      </c>
      <c r="E51" s="27">
        <v>8.8495575221238937E-3</v>
      </c>
    </row>
    <row r="52" spans="2:5" ht="15" customHeight="1">
      <c r="B52" s="76"/>
      <c r="C52" s="29" t="s">
        <v>121</v>
      </c>
      <c r="D52" s="28">
        <v>1</v>
      </c>
      <c r="E52" s="27">
        <v>8.8495575221238937E-3</v>
      </c>
    </row>
    <row r="53" spans="2:5" ht="15" customHeight="1">
      <c r="B53" s="76"/>
      <c r="C53" s="29" t="s">
        <v>122</v>
      </c>
      <c r="D53" s="28">
        <v>1</v>
      </c>
      <c r="E53" s="27">
        <v>8.8495575221238937E-3</v>
      </c>
    </row>
    <row r="54" spans="2:5" ht="15" customHeight="1">
      <c r="B54" s="76"/>
      <c r="C54" s="29" t="s">
        <v>123</v>
      </c>
      <c r="D54" s="28">
        <v>1</v>
      </c>
      <c r="E54" s="27">
        <v>8.8495575221238937E-3</v>
      </c>
    </row>
    <row r="55" spans="2:5" ht="15" customHeight="1">
      <c r="B55" s="75"/>
      <c r="C55" s="26" t="s">
        <v>3</v>
      </c>
      <c r="D55" s="25">
        <v>9</v>
      </c>
      <c r="E55" s="24">
        <v>7.9646017699115043E-2</v>
      </c>
    </row>
    <row r="56" spans="2:5" ht="15" customHeight="1">
      <c r="B56" s="74" t="s">
        <v>10</v>
      </c>
      <c r="C56" s="29" t="s">
        <v>124</v>
      </c>
      <c r="D56" s="28">
        <v>1</v>
      </c>
      <c r="E56" s="27">
        <v>8.8495575221238937E-3</v>
      </c>
    </row>
    <row r="57" spans="2:5" ht="15" customHeight="1">
      <c r="B57" s="76"/>
      <c r="C57" s="29" t="s">
        <v>31</v>
      </c>
      <c r="D57" s="28">
        <v>3</v>
      </c>
      <c r="E57" s="27">
        <v>2.6548672566371681E-2</v>
      </c>
    </row>
    <row r="58" spans="2:5" ht="15" customHeight="1">
      <c r="B58" s="76"/>
      <c r="C58" s="29" t="s">
        <v>125</v>
      </c>
      <c r="D58" s="28">
        <v>1</v>
      </c>
      <c r="E58" s="27">
        <v>8.8495575221238937E-3</v>
      </c>
    </row>
    <row r="59" spans="2:5" ht="15" customHeight="1">
      <c r="B59" s="76"/>
      <c r="C59" s="29" t="s">
        <v>126</v>
      </c>
      <c r="D59" s="28">
        <v>5</v>
      </c>
      <c r="E59" s="27">
        <v>4.4247787610619468E-2</v>
      </c>
    </row>
    <row r="60" spans="2:5" ht="15" customHeight="1">
      <c r="B60" s="76"/>
      <c r="C60" s="29" t="s">
        <v>89</v>
      </c>
      <c r="D60" s="28">
        <v>2</v>
      </c>
      <c r="E60" s="27">
        <v>1.7699115044247787E-2</v>
      </c>
    </row>
    <row r="61" spans="2:5" ht="15" customHeight="1">
      <c r="B61" s="76"/>
      <c r="C61" s="29" t="s">
        <v>127</v>
      </c>
      <c r="D61" s="28">
        <v>1</v>
      </c>
      <c r="E61" s="27">
        <v>8.8495575221238937E-3</v>
      </c>
    </row>
    <row r="62" spans="2:5" ht="15" customHeight="1">
      <c r="B62" s="76"/>
      <c r="C62" s="29" t="s">
        <v>128</v>
      </c>
      <c r="D62" s="28">
        <v>1</v>
      </c>
      <c r="E62" s="27">
        <v>8.8495575221238937E-3</v>
      </c>
    </row>
    <row r="63" spans="2:5" ht="15" customHeight="1">
      <c r="B63" s="75"/>
      <c r="C63" s="26" t="s">
        <v>3</v>
      </c>
      <c r="D63" s="25">
        <v>14</v>
      </c>
      <c r="E63" s="24">
        <v>0.12389380530973451</v>
      </c>
    </row>
    <row r="64" spans="2:5" ht="15" customHeight="1">
      <c r="B64" s="74" t="s">
        <v>19</v>
      </c>
      <c r="C64" s="29" t="s">
        <v>129</v>
      </c>
      <c r="D64" s="28">
        <v>1</v>
      </c>
      <c r="E64" s="27">
        <v>8.8495575221238937E-3</v>
      </c>
    </row>
    <row r="65" spans="2:6" ht="15" customHeight="1">
      <c r="B65" s="76"/>
      <c r="C65" s="29" t="s">
        <v>130</v>
      </c>
      <c r="D65" s="28">
        <v>1</v>
      </c>
      <c r="E65" s="27">
        <v>8.8495575221238937E-3</v>
      </c>
    </row>
    <row r="66" spans="2:6" ht="15" customHeight="1">
      <c r="B66" s="76"/>
      <c r="C66" s="29" t="s">
        <v>30</v>
      </c>
      <c r="D66" s="28">
        <v>1</v>
      </c>
      <c r="E66" s="27">
        <v>8.8495575221238937E-3</v>
      </c>
    </row>
    <row r="67" spans="2:6" ht="15" customHeight="1">
      <c r="B67" s="76"/>
      <c r="C67" s="29" t="s">
        <v>131</v>
      </c>
      <c r="D67" s="28">
        <v>1</v>
      </c>
      <c r="E67" s="27">
        <v>8.8495575221238937E-3</v>
      </c>
    </row>
    <row r="68" spans="2:6" ht="15" customHeight="1">
      <c r="B68" s="75"/>
      <c r="C68" s="26" t="s">
        <v>3</v>
      </c>
      <c r="D68" s="25">
        <v>4</v>
      </c>
      <c r="E68" s="24">
        <v>3.5398230088495575E-2</v>
      </c>
    </row>
    <row r="69" spans="2:6" ht="15" customHeight="1">
      <c r="B69" s="74" t="s">
        <v>6</v>
      </c>
      <c r="C69" s="29" t="s">
        <v>132</v>
      </c>
      <c r="D69" s="28">
        <v>1</v>
      </c>
      <c r="E69" s="27">
        <v>8.8495575221238937E-3</v>
      </c>
    </row>
    <row r="70" spans="2:6" ht="15" customHeight="1">
      <c r="B70" s="76"/>
      <c r="C70" s="29" t="s">
        <v>90</v>
      </c>
      <c r="D70" s="28">
        <v>1</v>
      </c>
      <c r="E70" s="27">
        <v>8.8495575221238937E-3</v>
      </c>
    </row>
    <row r="71" spans="2:6" ht="15" customHeight="1">
      <c r="B71" s="75"/>
      <c r="C71" s="26" t="s">
        <v>3</v>
      </c>
      <c r="D71" s="25">
        <v>2</v>
      </c>
      <c r="E71" s="24">
        <v>1.7699115044247787E-2</v>
      </c>
    </row>
    <row r="72" spans="2:6" ht="15" customHeight="1">
      <c r="B72" s="74" t="s">
        <v>5</v>
      </c>
      <c r="C72" s="29" t="s">
        <v>133</v>
      </c>
      <c r="D72" s="28">
        <v>1</v>
      </c>
      <c r="E72" s="27">
        <v>8.8495575221238937E-3</v>
      </c>
    </row>
    <row r="73" spans="2:6" ht="15" customHeight="1">
      <c r="B73" s="75"/>
      <c r="C73" s="26" t="s">
        <v>3</v>
      </c>
      <c r="D73" s="25">
        <v>1</v>
      </c>
      <c r="E73" s="24">
        <v>8.8495575221238937E-3</v>
      </c>
    </row>
    <row r="74" spans="2:6" ht="15" customHeight="1">
      <c r="B74" s="74" t="s">
        <v>23</v>
      </c>
      <c r="C74" s="29" t="s">
        <v>134</v>
      </c>
      <c r="D74" s="28">
        <v>1</v>
      </c>
      <c r="E74" s="27">
        <v>8.8495575221238937E-3</v>
      </c>
    </row>
    <row r="75" spans="2:6" ht="15" customHeight="1">
      <c r="B75" s="76"/>
      <c r="C75" s="29" t="s">
        <v>135</v>
      </c>
      <c r="D75" s="28">
        <v>1</v>
      </c>
      <c r="E75" s="27">
        <v>8.8495575221238937E-3</v>
      </c>
    </row>
    <row r="76" spans="2:6" ht="15" customHeight="1">
      <c r="B76" s="76"/>
      <c r="C76" s="29" t="s">
        <v>136</v>
      </c>
      <c r="D76" s="28">
        <v>1</v>
      </c>
      <c r="E76" s="27">
        <v>8.8495575221238937E-3</v>
      </c>
    </row>
    <row r="77" spans="2:6" ht="15" customHeight="1">
      <c r="B77" s="76"/>
      <c r="C77" s="29" t="s">
        <v>137</v>
      </c>
      <c r="D77" s="28">
        <v>1</v>
      </c>
      <c r="E77" s="27">
        <v>8.8495575221238937E-3</v>
      </c>
      <c r="F77" s="1"/>
    </row>
    <row r="78" spans="2:6" ht="15" customHeight="1">
      <c r="B78" s="76"/>
      <c r="C78" s="29" t="s">
        <v>138</v>
      </c>
      <c r="D78" s="28">
        <v>1</v>
      </c>
      <c r="E78" s="27">
        <v>8.8495575221238937E-3</v>
      </c>
      <c r="F78" s="1"/>
    </row>
    <row r="79" spans="2:6" ht="15" customHeight="1">
      <c r="B79" s="76"/>
      <c r="C79" s="29" t="s">
        <v>139</v>
      </c>
      <c r="D79" s="28">
        <v>1</v>
      </c>
      <c r="E79" s="27">
        <v>8.8495575221238937E-3</v>
      </c>
      <c r="F79" s="1"/>
    </row>
    <row r="80" spans="2:6" ht="15" customHeight="1">
      <c r="B80" s="76"/>
      <c r="C80" s="29" t="s">
        <v>140</v>
      </c>
      <c r="D80" s="28">
        <v>1</v>
      </c>
      <c r="E80" s="27">
        <v>8.8495575221238937E-3</v>
      </c>
      <c r="F80" s="1"/>
    </row>
    <row r="81" spans="2:6" ht="15" customHeight="1">
      <c r="B81" s="76"/>
      <c r="C81" s="29" t="s">
        <v>141</v>
      </c>
      <c r="D81" s="28">
        <v>2</v>
      </c>
      <c r="E81" s="27">
        <v>1.7699115044247787E-2</v>
      </c>
      <c r="F81" s="1"/>
    </row>
    <row r="82" spans="2:6" ht="15" customHeight="1">
      <c r="B82" s="76"/>
      <c r="C82" s="29" t="s">
        <v>142</v>
      </c>
      <c r="D82" s="28">
        <v>1</v>
      </c>
      <c r="E82" s="27">
        <v>8.8495575221238937E-3</v>
      </c>
    </row>
    <row r="83" spans="2:6" ht="15" customHeight="1">
      <c r="B83" s="75"/>
      <c r="C83" s="26" t="s">
        <v>3</v>
      </c>
      <c r="D83" s="25">
        <v>10</v>
      </c>
      <c r="E83" s="24">
        <v>8.8495575221238937E-2</v>
      </c>
    </row>
    <row r="84" spans="2:6" ht="15" customHeight="1">
      <c r="B84" s="74" t="s">
        <v>15</v>
      </c>
      <c r="C84" s="29" t="s">
        <v>143</v>
      </c>
      <c r="D84" s="28">
        <v>1</v>
      </c>
      <c r="E84" s="27">
        <v>8.8495575221238937E-3</v>
      </c>
    </row>
    <row r="85" spans="2:6" ht="15" customHeight="1">
      <c r="B85" s="76"/>
      <c r="C85" s="29" t="s">
        <v>144</v>
      </c>
      <c r="D85" s="28">
        <v>1</v>
      </c>
      <c r="E85" s="27">
        <v>8.8495575221238937E-3</v>
      </c>
    </row>
    <row r="86" spans="2:6" ht="15" customHeight="1">
      <c r="B86" s="76"/>
      <c r="C86" s="29" t="s">
        <v>145</v>
      </c>
      <c r="D86" s="28">
        <v>1</v>
      </c>
      <c r="E86" s="27">
        <v>8.8495575221238937E-3</v>
      </c>
    </row>
    <row r="87" spans="2:6" ht="15" customHeight="1">
      <c r="B87" s="76"/>
      <c r="C87" s="29" t="s">
        <v>146</v>
      </c>
      <c r="D87" s="28">
        <v>1</v>
      </c>
      <c r="E87" s="27">
        <v>8.8495575221238937E-3</v>
      </c>
    </row>
    <row r="88" spans="2:6" ht="15" customHeight="1">
      <c r="B88" s="76"/>
      <c r="C88" s="29" t="s">
        <v>147</v>
      </c>
      <c r="D88" s="28">
        <v>1</v>
      </c>
      <c r="E88" s="27">
        <v>8.8495575221238937E-3</v>
      </c>
    </row>
    <row r="89" spans="2:6" ht="15" customHeight="1">
      <c r="B89" s="75"/>
      <c r="C89" s="26" t="s">
        <v>3</v>
      </c>
      <c r="D89" s="25">
        <v>5</v>
      </c>
      <c r="E89" s="24">
        <v>4.4247787610619468E-2</v>
      </c>
    </row>
    <row r="90" spans="2:6" ht="15" customHeight="1">
      <c r="B90" s="74" t="s">
        <v>9</v>
      </c>
      <c r="C90" s="29" t="s">
        <v>148</v>
      </c>
      <c r="D90" s="28">
        <v>1</v>
      </c>
      <c r="E90" s="27">
        <v>8.8495575221238937E-3</v>
      </c>
    </row>
    <row r="91" spans="2:6" ht="15" customHeight="1">
      <c r="B91" s="76"/>
      <c r="C91" s="29" t="s">
        <v>9</v>
      </c>
      <c r="D91" s="28">
        <v>1</v>
      </c>
      <c r="E91" s="27">
        <v>8.8495575221238937E-3</v>
      </c>
    </row>
    <row r="92" spans="2:6" ht="15" customHeight="1">
      <c r="B92" s="75"/>
      <c r="C92" s="26" t="s">
        <v>3</v>
      </c>
      <c r="D92" s="25">
        <v>2</v>
      </c>
      <c r="E92" s="24">
        <v>1.7699115044247787E-2</v>
      </c>
    </row>
    <row r="93" spans="2:6" ht="15" customHeight="1">
      <c r="B93" s="74" t="s">
        <v>18</v>
      </c>
      <c r="C93" s="29" t="s">
        <v>28</v>
      </c>
      <c r="D93" s="28">
        <v>1</v>
      </c>
      <c r="E93" s="27">
        <v>8.8495575221238937E-3</v>
      </c>
    </row>
    <row r="94" spans="2:6" ht="15" customHeight="1">
      <c r="B94" s="76"/>
      <c r="C94" s="29" t="s">
        <v>149</v>
      </c>
      <c r="D94" s="28">
        <v>1</v>
      </c>
      <c r="E94" s="27">
        <v>8.8495575221238937E-3</v>
      </c>
    </row>
    <row r="95" spans="2:6" ht="15" customHeight="1">
      <c r="B95" s="76"/>
      <c r="C95" s="29" t="s">
        <v>150</v>
      </c>
      <c r="D95" s="28">
        <v>1</v>
      </c>
      <c r="E95" s="27">
        <v>8.8495575221238937E-3</v>
      </c>
    </row>
    <row r="96" spans="2:6" ht="15" customHeight="1">
      <c r="B96" s="75"/>
      <c r="C96" s="26" t="s">
        <v>3</v>
      </c>
      <c r="D96" s="25">
        <v>3</v>
      </c>
      <c r="E96" s="24">
        <v>2.6548672566371681E-2</v>
      </c>
    </row>
    <row r="97" spans="2:5" ht="15" customHeight="1">
      <c r="B97" s="74" t="s">
        <v>82</v>
      </c>
      <c r="C97" s="29" t="s">
        <v>91</v>
      </c>
      <c r="D97" s="28">
        <v>1</v>
      </c>
      <c r="E97" s="27">
        <v>8.8495575221238937E-3</v>
      </c>
    </row>
    <row r="98" spans="2:5" ht="15" customHeight="1">
      <c r="B98" s="75"/>
      <c r="C98" s="26" t="s">
        <v>3</v>
      </c>
      <c r="D98" s="25">
        <v>1</v>
      </c>
      <c r="E98" s="24">
        <v>8.8495575221238937E-3</v>
      </c>
    </row>
    <row r="99" spans="2:5" ht="15" customHeight="1">
      <c r="B99" s="74" t="s">
        <v>8</v>
      </c>
      <c r="C99" s="29" t="s">
        <v>151</v>
      </c>
      <c r="D99" s="28">
        <v>1</v>
      </c>
      <c r="E99" s="27">
        <v>8.8495575221238937E-3</v>
      </c>
    </row>
    <row r="100" spans="2:5" ht="15" customHeight="1">
      <c r="B100" s="75"/>
      <c r="C100" s="26" t="s">
        <v>3</v>
      </c>
      <c r="D100" s="25">
        <v>1</v>
      </c>
      <c r="E100" s="24">
        <v>8.8495575221238937E-3</v>
      </c>
    </row>
    <row r="101" spans="2:5" ht="15" customHeight="1">
      <c r="B101" s="74" t="s">
        <v>17</v>
      </c>
      <c r="C101" s="29" t="s">
        <v>152</v>
      </c>
      <c r="D101" s="28">
        <v>1</v>
      </c>
      <c r="E101" s="27">
        <v>8.8495575221238937E-3</v>
      </c>
    </row>
    <row r="102" spans="2:5" ht="15" customHeight="1">
      <c r="B102" s="76"/>
      <c r="C102" s="29" t="s">
        <v>153</v>
      </c>
      <c r="D102" s="28">
        <v>1</v>
      </c>
      <c r="E102" s="27">
        <v>8.8495575221238937E-3</v>
      </c>
    </row>
    <row r="103" spans="2:5" ht="15" customHeight="1">
      <c r="B103" s="76"/>
      <c r="C103" s="29" t="s">
        <v>92</v>
      </c>
      <c r="D103" s="28">
        <v>1</v>
      </c>
      <c r="E103" s="27">
        <v>8.8495575221238937E-3</v>
      </c>
    </row>
    <row r="104" spans="2:5" ht="15" customHeight="1">
      <c r="B104" s="76"/>
      <c r="C104" s="29" t="s">
        <v>154</v>
      </c>
      <c r="D104" s="28">
        <v>1</v>
      </c>
      <c r="E104" s="27">
        <v>8.8495575221238937E-3</v>
      </c>
    </row>
    <row r="105" spans="2:5" ht="15" customHeight="1">
      <c r="B105" s="76"/>
      <c r="C105" s="29" t="s">
        <v>155</v>
      </c>
      <c r="D105" s="28">
        <v>1</v>
      </c>
      <c r="E105" s="27">
        <v>8.8495575221238937E-3</v>
      </c>
    </row>
    <row r="106" spans="2:5" ht="15" customHeight="1">
      <c r="B106" s="76"/>
      <c r="C106" s="29" t="s">
        <v>27</v>
      </c>
      <c r="D106" s="28">
        <v>1</v>
      </c>
      <c r="E106" s="27">
        <v>8.8495575221238937E-3</v>
      </c>
    </row>
    <row r="107" spans="2:5" ht="15" customHeight="1">
      <c r="B107" s="76"/>
      <c r="C107" s="29" t="s">
        <v>156</v>
      </c>
      <c r="D107" s="28">
        <v>1</v>
      </c>
      <c r="E107" s="27">
        <v>8.8495575221238937E-3</v>
      </c>
    </row>
    <row r="108" spans="2:5" ht="15" customHeight="1">
      <c r="B108" s="76"/>
      <c r="C108" s="29" t="s">
        <v>157</v>
      </c>
      <c r="D108" s="28">
        <v>1</v>
      </c>
      <c r="E108" s="27">
        <v>8.8495575221238937E-3</v>
      </c>
    </row>
    <row r="109" spans="2:5" ht="15" customHeight="1">
      <c r="B109" s="76"/>
      <c r="C109" s="29" t="s">
        <v>158</v>
      </c>
      <c r="D109" s="28">
        <v>1</v>
      </c>
      <c r="E109" s="27">
        <v>8.8495575221238937E-3</v>
      </c>
    </row>
    <row r="110" spans="2:5" ht="15" customHeight="1">
      <c r="B110" s="76"/>
      <c r="C110" s="29" t="s">
        <v>159</v>
      </c>
      <c r="D110" s="28">
        <v>2</v>
      </c>
      <c r="E110" s="27">
        <v>1.7699115044247787E-2</v>
      </c>
    </row>
    <row r="111" spans="2:5" ht="15" customHeight="1">
      <c r="B111" s="76"/>
      <c r="C111" s="29" t="s">
        <v>93</v>
      </c>
      <c r="D111" s="28">
        <v>1</v>
      </c>
      <c r="E111" s="27">
        <v>8.8495575221238937E-3</v>
      </c>
    </row>
    <row r="112" spans="2:5" ht="15" customHeight="1">
      <c r="B112" s="76"/>
      <c r="C112" s="29" t="s">
        <v>160</v>
      </c>
      <c r="D112" s="28">
        <v>1</v>
      </c>
      <c r="E112" s="27">
        <v>8.8495575221238937E-3</v>
      </c>
    </row>
    <row r="113" spans="2:5" ht="15" customHeight="1">
      <c r="B113" s="76"/>
      <c r="C113" s="29" t="s">
        <v>161</v>
      </c>
      <c r="D113" s="28">
        <v>1</v>
      </c>
      <c r="E113" s="27">
        <v>8.8495575221238937E-3</v>
      </c>
    </row>
    <row r="114" spans="2:5" ht="15" customHeight="1">
      <c r="B114" s="75"/>
      <c r="C114" s="26" t="s">
        <v>3</v>
      </c>
      <c r="D114" s="25">
        <v>14</v>
      </c>
      <c r="E114" s="24">
        <v>0.12389380530973451</v>
      </c>
    </row>
    <row r="115" spans="2:5" ht="15" customHeight="1">
      <c r="B115" s="74" t="s">
        <v>11</v>
      </c>
      <c r="C115" s="29" t="s">
        <v>29</v>
      </c>
      <c r="D115" s="28">
        <v>1</v>
      </c>
      <c r="E115" s="27">
        <v>8.8495575221238937E-3</v>
      </c>
    </row>
    <row r="116" spans="2:5" ht="15" customHeight="1">
      <c r="B116" s="76"/>
      <c r="C116" s="29" t="s">
        <v>162</v>
      </c>
      <c r="D116" s="28">
        <v>1</v>
      </c>
      <c r="E116" s="27">
        <v>8.8495575221238937E-3</v>
      </c>
    </row>
    <row r="117" spans="2:5" ht="15" customHeight="1">
      <c r="B117" s="75"/>
      <c r="C117" s="26" t="s">
        <v>3</v>
      </c>
      <c r="D117" s="25">
        <v>2</v>
      </c>
      <c r="E117" s="24">
        <v>1.7699115044247787E-2</v>
      </c>
    </row>
    <row r="118" spans="2:5" ht="15" customHeight="1">
      <c r="B118" s="78" t="s">
        <v>3</v>
      </c>
      <c r="C118" s="79"/>
      <c r="D118" s="60">
        <f>SUMIF(C$10:C117,"Total",D$10:D117)</f>
        <v>113</v>
      </c>
      <c r="E118" s="61">
        <v>1</v>
      </c>
    </row>
    <row r="120" spans="2:5" ht="15" customHeight="1">
      <c r="B120" s="3" t="s">
        <v>96</v>
      </c>
    </row>
    <row r="121" spans="2:5" ht="15" customHeight="1">
      <c r="B121" s="5" t="s">
        <v>2</v>
      </c>
    </row>
    <row r="122" spans="2:5" ht="15" customHeight="1">
      <c r="B122" s="4" t="s">
        <v>1</v>
      </c>
    </row>
    <row r="123" spans="2:5" ht="15" customHeight="1">
      <c r="B123" s="3" t="s">
        <v>0</v>
      </c>
    </row>
    <row r="124" spans="2:5" ht="15" customHeight="1">
      <c r="B124" s="3" t="s">
        <v>97</v>
      </c>
    </row>
    <row r="349" spans="1:2" s="21" customFormat="1" ht="15" customHeight="1">
      <c r="A349" s="20"/>
      <c r="B349" s="22"/>
    </row>
    <row r="350" spans="1:2" s="21" customFormat="1" ht="15" customHeight="1">
      <c r="A350" s="20"/>
      <c r="B350" s="23"/>
    </row>
    <row r="351" spans="1:2" s="21" customFormat="1" ht="15" customHeight="1">
      <c r="A351" s="20"/>
      <c r="B351" s="23"/>
    </row>
    <row r="352" spans="1:2" s="21" customFormat="1" ht="15" customHeight="1">
      <c r="A352" s="20"/>
      <c r="B352" s="22"/>
    </row>
    <row r="353" spans="1:2" s="21" customFormat="1" ht="15" customHeight="1">
      <c r="A353" s="20"/>
      <c r="B353" s="22"/>
    </row>
  </sheetData>
  <mergeCells count="25">
    <mergeCell ref="B101:B114"/>
    <mergeCell ref="B115:B117"/>
    <mergeCell ref="B118:C118"/>
    <mergeCell ref="B84:B89"/>
    <mergeCell ref="B90:B92"/>
    <mergeCell ref="B93:B96"/>
    <mergeCell ref="B97:B98"/>
    <mergeCell ref="B99:B100"/>
    <mergeCell ref="B7:E8"/>
    <mergeCell ref="B10:B11"/>
    <mergeCell ref="B12:B13"/>
    <mergeCell ref="B14:B17"/>
    <mergeCell ref="B18:B20"/>
    <mergeCell ref="B72:B73"/>
    <mergeCell ref="B74:B83"/>
    <mergeCell ref="B21:B22"/>
    <mergeCell ref="B23:B28"/>
    <mergeCell ref="B56:B63"/>
    <mergeCell ref="B64:B68"/>
    <mergeCell ref="B69:B71"/>
    <mergeCell ref="B29:B30"/>
    <mergeCell ref="B31:B35"/>
    <mergeCell ref="B36:B40"/>
    <mergeCell ref="B41:B47"/>
    <mergeCell ref="B48:B55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5"/>
  <sheetViews>
    <sheetView showGridLines="0" topLeftCell="A19" zoomScaleNormal="100" zoomScaleSheetLayoutView="115" workbookViewId="0">
      <selection activeCell="C21" sqref="C21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3" t="s">
        <v>47</v>
      </c>
      <c r="C7" s="73"/>
      <c r="D7" s="73"/>
    </row>
    <row r="8" spans="1:4" s="13" customFormat="1" ht="15" customHeight="1">
      <c r="B8" s="73"/>
      <c r="C8" s="73"/>
      <c r="D8" s="73"/>
    </row>
    <row r="9" spans="1:4" s="13" customFormat="1" ht="33" customHeight="1">
      <c r="B9" s="73"/>
      <c r="C9" s="73"/>
      <c r="D9" s="73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46</v>
      </c>
      <c r="C11" s="15" t="s">
        <v>25</v>
      </c>
      <c r="D11" s="14" t="s">
        <v>24</v>
      </c>
    </row>
    <row r="12" spans="1:4">
      <c r="B12" s="11" t="s">
        <v>45</v>
      </c>
      <c r="C12" s="10">
        <v>1</v>
      </c>
      <c r="D12" s="9">
        <v>8.8495575221238937E-3</v>
      </c>
    </row>
    <row r="13" spans="1:4">
      <c r="B13" s="11" t="s">
        <v>163</v>
      </c>
      <c r="C13" s="10">
        <v>1</v>
      </c>
      <c r="D13" s="9">
        <v>8.8495575221238937E-3</v>
      </c>
    </row>
    <row r="14" spans="1:4">
      <c r="A14" s="12"/>
      <c r="B14" s="11" t="s">
        <v>44</v>
      </c>
      <c r="C14" s="10">
        <v>2</v>
      </c>
      <c r="D14" s="9">
        <v>1.7699115044247787E-2</v>
      </c>
    </row>
    <row r="15" spans="1:4">
      <c r="A15" s="12"/>
      <c r="B15" s="11" t="s">
        <v>164</v>
      </c>
      <c r="C15" s="10">
        <v>2</v>
      </c>
      <c r="D15" s="9">
        <v>1.7699115044247787E-2</v>
      </c>
    </row>
    <row r="16" spans="1:4">
      <c r="B16" s="11" t="s">
        <v>165</v>
      </c>
      <c r="C16" s="10">
        <v>2</v>
      </c>
      <c r="D16" s="9">
        <v>1.7699115044247787E-2</v>
      </c>
    </row>
    <row r="17" spans="2:4">
      <c r="B17" s="11" t="s">
        <v>43</v>
      </c>
      <c r="C17" s="10">
        <v>9</v>
      </c>
      <c r="D17" s="9">
        <v>7.9646017699115043E-2</v>
      </c>
    </row>
    <row r="18" spans="2:4">
      <c r="B18" s="11" t="s">
        <v>42</v>
      </c>
      <c r="C18" s="10">
        <v>18</v>
      </c>
      <c r="D18" s="9">
        <v>0.15929203539823009</v>
      </c>
    </row>
    <row r="19" spans="2:4">
      <c r="B19" s="11" t="s">
        <v>166</v>
      </c>
      <c r="C19" s="10">
        <v>3</v>
      </c>
      <c r="D19" s="9">
        <v>2.6548672566371681E-2</v>
      </c>
    </row>
    <row r="20" spans="2:4">
      <c r="B20" s="11" t="s">
        <v>41</v>
      </c>
      <c r="C20" s="10">
        <v>4</v>
      </c>
      <c r="D20" s="9">
        <v>3.5398230088495575E-2</v>
      </c>
    </row>
    <row r="21" spans="2:4">
      <c r="B21" s="11" t="s">
        <v>40</v>
      </c>
      <c r="C21" s="10">
        <v>7</v>
      </c>
      <c r="D21" s="9">
        <v>6.1946902654867256E-2</v>
      </c>
    </row>
    <row r="22" spans="2:4">
      <c r="B22" s="11" t="s">
        <v>39</v>
      </c>
      <c r="C22" s="10">
        <v>36</v>
      </c>
      <c r="D22" s="9">
        <v>0.31858407079646017</v>
      </c>
    </row>
    <row r="23" spans="2:4">
      <c r="B23" s="11" t="s">
        <v>38</v>
      </c>
      <c r="C23" s="10">
        <v>1</v>
      </c>
      <c r="D23" s="9">
        <v>8.8495575221238937E-3</v>
      </c>
    </row>
    <row r="24" spans="2:4">
      <c r="B24" s="11" t="s">
        <v>37</v>
      </c>
      <c r="C24" s="10">
        <v>7</v>
      </c>
      <c r="D24" s="9">
        <v>6.1946902654867256E-2</v>
      </c>
    </row>
    <row r="25" spans="2:4">
      <c r="B25" s="11" t="s">
        <v>36</v>
      </c>
      <c r="C25" s="10">
        <v>15</v>
      </c>
      <c r="D25" s="9">
        <v>0.13274336283185842</v>
      </c>
    </row>
    <row r="26" spans="2:4">
      <c r="B26" s="11" t="s">
        <v>94</v>
      </c>
      <c r="C26" s="10">
        <v>3</v>
      </c>
      <c r="D26" s="9">
        <v>2.6548672566371681E-2</v>
      </c>
    </row>
    <row r="27" spans="2:4">
      <c r="B27" s="11" t="s">
        <v>167</v>
      </c>
      <c r="C27" s="10">
        <v>1</v>
      </c>
      <c r="D27" s="9">
        <v>8.8495575221238937E-3</v>
      </c>
    </row>
    <row r="28" spans="2:4">
      <c r="B28" s="11" t="s">
        <v>168</v>
      </c>
      <c r="C28" s="10">
        <v>1</v>
      </c>
      <c r="D28" s="9">
        <v>8.8495575221238937E-3</v>
      </c>
    </row>
    <row r="29" spans="2:4">
      <c r="B29" s="8" t="s">
        <v>3</v>
      </c>
      <c r="C29" s="7">
        <v>113</v>
      </c>
      <c r="D29" s="6">
        <v>1</v>
      </c>
    </row>
    <row r="31" spans="2:4">
      <c r="B31" s="3" t="s">
        <v>96</v>
      </c>
    </row>
    <row r="32" spans="2:4">
      <c r="B32" s="5" t="s">
        <v>2</v>
      </c>
    </row>
    <row r="33" spans="2:2">
      <c r="B33" s="4" t="s">
        <v>1</v>
      </c>
    </row>
    <row r="34" spans="2:2">
      <c r="B34" s="3" t="s">
        <v>0</v>
      </c>
    </row>
    <row r="35" spans="2:2">
      <c r="B35" s="3" t="s">
        <v>97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1"/>
  <sheetViews>
    <sheetView showGridLines="0" topLeftCell="A83" zoomScaleNormal="100" zoomScaleSheetLayoutView="100" workbookViewId="0">
      <selection activeCell="B10" sqref="B10:B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46</v>
      </c>
      <c r="C9" s="33" t="s">
        <v>26</v>
      </c>
      <c r="D9" s="32" t="s">
        <v>25</v>
      </c>
      <c r="E9" s="31" t="s">
        <v>24</v>
      </c>
    </row>
    <row r="10" spans="1:5" ht="15" customHeight="1">
      <c r="B10" s="74" t="s">
        <v>45</v>
      </c>
      <c r="C10" s="29" t="s">
        <v>14</v>
      </c>
      <c r="D10" s="28">
        <v>1</v>
      </c>
      <c r="E10" s="27">
        <v>8.8495575221238937E-3</v>
      </c>
    </row>
    <row r="11" spans="1:5" ht="15" customHeight="1">
      <c r="B11" s="75"/>
      <c r="C11" s="26" t="s">
        <v>3</v>
      </c>
      <c r="D11" s="25">
        <v>1</v>
      </c>
      <c r="E11" s="24">
        <v>8.8495575221238937E-3</v>
      </c>
    </row>
    <row r="12" spans="1:5" ht="15" customHeight="1">
      <c r="B12" s="74" t="s">
        <v>163</v>
      </c>
      <c r="C12" s="29" t="s">
        <v>22</v>
      </c>
      <c r="D12" s="28">
        <v>1</v>
      </c>
      <c r="E12" s="27">
        <v>8.8495575221238937E-3</v>
      </c>
    </row>
    <row r="13" spans="1:5" ht="15" customHeight="1">
      <c r="B13" s="75"/>
      <c r="C13" s="26" t="s">
        <v>3</v>
      </c>
      <c r="D13" s="25">
        <v>1</v>
      </c>
      <c r="E13" s="24">
        <v>8.8495575221238937E-3</v>
      </c>
    </row>
    <row r="14" spans="1:5" ht="15" customHeight="1">
      <c r="B14" s="74" t="s">
        <v>44</v>
      </c>
      <c r="C14" s="29" t="s">
        <v>16</v>
      </c>
      <c r="D14" s="28">
        <v>1</v>
      </c>
      <c r="E14" s="27">
        <v>8.8495575221238937E-3</v>
      </c>
    </row>
    <row r="15" spans="1:5" ht="15" customHeight="1">
      <c r="B15" s="76"/>
      <c r="C15" s="29" t="s">
        <v>6</v>
      </c>
      <c r="D15" s="28">
        <v>1</v>
      </c>
      <c r="E15" s="27">
        <v>8.8495575221238937E-3</v>
      </c>
    </row>
    <row r="16" spans="1:5" ht="15" customHeight="1">
      <c r="B16" s="75"/>
      <c r="C16" s="26" t="s">
        <v>3</v>
      </c>
      <c r="D16" s="25">
        <v>2</v>
      </c>
      <c r="E16" s="24">
        <v>1.7699115044247787E-2</v>
      </c>
    </row>
    <row r="17" spans="2:5" ht="15" customHeight="1">
      <c r="B17" s="74" t="s">
        <v>164</v>
      </c>
      <c r="C17" s="29" t="s">
        <v>15</v>
      </c>
      <c r="D17" s="28">
        <v>1</v>
      </c>
      <c r="E17" s="27">
        <v>8.8495575221238937E-3</v>
      </c>
    </row>
    <row r="18" spans="2:5" ht="15" customHeight="1">
      <c r="B18" s="76"/>
      <c r="C18" s="29" t="s">
        <v>17</v>
      </c>
      <c r="D18" s="28">
        <v>1</v>
      </c>
      <c r="E18" s="27">
        <v>8.8495575221238937E-3</v>
      </c>
    </row>
    <row r="19" spans="2:5" ht="15" customHeight="1">
      <c r="B19" s="75"/>
      <c r="C19" s="26" t="s">
        <v>3</v>
      </c>
      <c r="D19" s="25">
        <v>2</v>
      </c>
      <c r="E19" s="24">
        <v>1.7699115044247787E-2</v>
      </c>
    </row>
    <row r="20" spans="2:5" ht="15" customHeight="1">
      <c r="B20" s="74" t="s">
        <v>165</v>
      </c>
      <c r="C20" s="29" t="s">
        <v>20</v>
      </c>
      <c r="D20" s="28">
        <v>1</v>
      </c>
      <c r="E20" s="27">
        <v>8.8495575221238937E-3</v>
      </c>
    </row>
    <row r="21" spans="2:5" ht="15" customHeight="1">
      <c r="B21" s="76"/>
      <c r="C21" s="29" t="s">
        <v>13</v>
      </c>
      <c r="D21" s="28">
        <v>1</v>
      </c>
      <c r="E21" s="27">
        <v>8.8495575221238937E-3</v>
      </c>
    </row>
    <row r="22" spans="2:5" ht="15" customHeight="1">
      <c r="B22" s="75"/>
      <c r="C22" s="26" t="s">
        <v>3</v>
      </c>
      <c r="D22" s="25">
        <v>2</v>
      </c>
      <c r="E22" s="24">
        <v>1.7699115044247787E-2</v>
      </c>
    </row>
    <row r="23" spans="2:5" ht="15" customHeight="1">
      <c r="B23" s="74" t="s">
        <v>43</v>
      </c>
      <c r="C23" s="29" t="s">
        <v>12</v>
      </c>
      <c r="D23" s="28">
        <v>1</v>
      </c>
      <c r="E23" s="27">
        <v>8.8495575221238937E-3</v>
      </c>
    </row>
    <row r="24" spans="2:5" ht="15" customHeight="1">
      <c r="B24" s="76"/>
      <c r="C24" s="29" t="s">
        <v>20</v>
      </c>
      <c r="D24" s="28">
        <v>4</v>
      </c>
      <c r="E24" s="27">
        <v>3.5398230088495575E-2</v>
      </c>
    </row>
    <row r="25" spans="2:5" ht="15" customHeight="1">
      <c r="B25" s="76"/>
      <c r="C25" s="29" t="s">
        <v>13</v>
      </c>
      <c r="D25" s="28">
        <v>1</v>
      </c>
      <c r="E25" s="27">
        <v>8.8495575221238937E-3</v>
      </c>
    </row>
    <row r="26" spans="2:5" ht="15" customHeight="1">
      <c r="B26" s="76"/>
      <c r="C26" s="29" t="s">
        <v>10</v>
      </c>
      <c r="D26" s="28">
        <v>1</v>
      </c>
      <c r="E26" s="27">
        <v>8.8495575221238937E-3</v>
      </c>
    </row>
    <row r="27" spans="2:5" ht="15" customHeight="1">
      <c r="B27" s="76"/>
      <c r="C27" s="29" t="s">
        <v>9</v>
      </c>
      <c r="D27" s="28">
        <v>1</v>
      </c>
      <c r="E27" s="27">
        <v>8.8495575221238937E-3</v>
      </c>
    </row>
    <row r="28" spans="2:5" ht="15" customHeight="1">
      <c r="B28" s="76"/>
      <c r="C28" s="29" t="s">
        <v>17</v>
      </c>
      <c r="D28" s="28">
        <v>1</v>
      </c>
      <c r="E28" s="27">
        <v>8.8495575221238937E-3</v>
      </c>
    </row>
    <row r="29" spans="2:5" ht="15" customHeight="1">
      <c r="B29" s="75"/>
      <c r="C29" s="26" t="s">
        <v>3</v>
      </c>
      <c r="D29" s="25">
        <v>9</v>
      </c>
      <c r="E29" s="24">
        <v>7.9646017699115043E-2</v>
      </c>
    </row>
    <row r="30" spans="2:5" ht="15" customHeight="1">
      <c r="B30" s="74" t="s">
        <v>42</v>
      </c>
      <c r="C30" s="29" t="s">
        <v>4</v>
      </c>
      <c r="D30" s="28">
        <v>1</v>
      </c>
      <c r="E30" s="27">
        <v>8.8495575221238937E-3</v>
      </c>
    </row>
    <row r="31" spans="2:5" ht="15" customHeight="1">
      <c r="B31" s="76"/>
      <c r="C31" s="29" t="s">
        <v>14</v>
      </c>
      <c r="D31" s="28">
        <v>2</v>
      </c>
      <c r="E31" s="27">
        <v>1.7699115044247787E-2</v>
      </c>
    </row>
    <row r="32" spans="2:5" ht="15" customHeight="1">
      <c r="B32" s="76"/>
      <c r="C32" s="29" t="s">
        <v>16</v>
      </c>
      <c r="D32" s="28">
        <v>2</v>
      </c>
      <c r="E32" s="27">
        <v>1.7699115044247787E-2</v>
      </c>
    </row>
    <row r="33" spans="2:5" ht="15" customHeight="1">
      <c r="B33" s="76"/>
      <c r="C33" s="29" t="s">
        <v>21</v>
      </c>
      <c r="D33" s="28">
        <v>1</v>
      </c>
      <c r="E33" s="27">
        <v>8.8495575221238937E-3</v>
      </c>
    </row>
    <row r="34" spans="2:5" ht="15" customHeight="1">
      <c r="B34" s="76"/>
      <c r="C34" s="29" t="s">
        <v>20</v>
      </c>
      <c r="D34" s="28">
        <v>2</v>
      </c>
      <c r="E34" s="27">
        <v>1.7699115044247787E-2</v>
      </c>
    </row>
    <row r="35" spans="2:5" ht="15" customHeight="1">
      <c r="B35" s="76"/>
      <c r="C35" s="29" t="s">
        <v>13</v>
      </c>
      <c r="D35" s="28">
        <v>1</v>
      </c>
      <c r="E35" s="27">
        <v>8.8495575221238937E-3</v>
      </c>
    </row>
    <row r="36" spans="2:5" ht="15" customHeight="1">
      <c r="B36" s="76"/>
      <c r="C36" s="29" t="s">
        <v>10</v>
      </c>
      <c r="D36" s="28">
        <v>2</v>
      </c>
      <c r="E36" s="27">
        <v>1.7699115044247787E-2</v>
      </c>
    </row>
    <row r="37" spans="2:5" ht="15" customHeight="1">
      <c r="B37" s="76"/>
      <c r="C37" s="29" t="s">
        <v>23</v>
      </c>
      <c r="D37" s="28">
        <v>2</v>
      </c>
      <c r="E37" s="27">
        <v>1.7699115044247787E-2</v>
      </c>
    </row>
    <row r="38" spans="2:5" ht="15" customHeight="1">
      <c r="B38" s="76"/>
      <c r="C38" s="29" t="s">
        <v>15</v>
      </c>
      <c r="D38" s="28">
        <v>2</v>
      </c>
      <c r="E38" s="27">
        <v>1.7699115044247787E-2</v>
      </c>
    </row>
    <row r="39" spans="2:5" ht="15" customHeight="1">
      <c r="B39" s="76"/>
      <c r="C39" s="29" t="s">
        <v>18</v>
      </c>
      <c r="D39" s="28">
        <v>1</v>
      </c>
      <c r="E39" s="27">
        <v>8.8495575221238937E-3</v>
      </c>
    </row>
    <row r="40" spans="2:5" ht="15" customHeight="1">
      <c r="B40" s="76"/>
      <c r="C40" s="29" t="s">
        <v>17</v>
      </c>
      <c r="D40" s="28">
        <v>2</v>
      </c>
      <c r="E40" s="27">
        <v>1.7699115044247787E-2</v>
      </c>
    </row>
    <row r="41" spans="2:5" ht="15" customHeight="1">
      <c r="B41" s="75"/>
      <c r="C41" s="26" t="s">
        <v>3</v>
      </c>
      <c r="D41" s="25">
        <v>18</v>
      </c>
      <c r="E41" s="24">
        <v>0.15929203539823009</v>
      </c>
    </row>
    <row r="42" spans="2:5" ht="15" customHeight="1">
      <c r="B42" s="74" t="s">
        <v>166</v>
      </c>
      <c r="C42" s="29" t="s">
        <v>10</v>
      </c>
      <c r="D42" s="28">
        <v>1</v>
      </c>
      <c r="E42" s="27">
        <v>8.8495575221238937E-3</v>
      </c>
    </row>
    <row r="43" spans="2:5" ht="15" customHeight="1">
      <c r="B43" s="76"/>
      <c r="C43" s="29" t="s">
        <v>82</v>
      </c>
      <c r="D43" s="28">
        <v>1</v>
      </c>
      <c r="E43" s="27">
        <v>8.8495575221238937E-3</v>
      </c>
    </row>
    <row r="44" spans="2:5" ht="15" customHeight="1">
      <c r="B44" s="76"/>
      <c r="C44" s="29" t="s">
        <v>11</v>
      </c>
      <c r="D44" s="28">
        <v>1</v>
      </c>
      <c r="E44" s="27">
        <v>8.8495575221238937E-3</v>
      </c>
    </row>
    <row r="45" spans="2:5" ht="15" customHeight="1">
      <c r="B45" s="75"/>
      <c r="C45" s="26" t="s">
        <v>3</v>
      </c>
      <c r="D45" s="25">
        <v>3</v>
      </c>
      <c r="E45" s="24">
        <v>2.6548672566371681E-2</v>
      </c>
    </row>
    <row r="46" spans="2:5" ht="15" customHeight="1">
      <c r="B46" s="74" t="s">
        <v>41</v>
      </c>
      <c r="C46" s="29" t="s">
        <v>10</v>
      </c>
      <c r="D46" s="28">
        <v>2</v>
      </c>
      <c r="E46" s="27">
        <v>1.7699115044247787E-2</v>
      </c>
    </row>
    <row r="47" spans="2:5" ht="15" customHeight="1">
      <c r="B47" s="76"/>
      <c r="C47" s="29" t="s">
        <v>5</v>
      </c>
      <c r="D47" s="28">
        <v>1</v>
      </c>
      <c r="E47" s="27">
        <v>8.8495575221238937E-3</v>
      </c>
    </row>
    <row r="48" spans="2:5" ht="15" customHeight="1">
      <c r="B48" s="76"/>
      <c r="C48" s="29" t="s">
        <v>17</v>
      </c>
      <c r="D48" s="28">
        <v>1</v>
      </c>
      <c r="E48" s="27">
        <v>8.8495575221238937E-3</v>
      </c>
    </row>
    <row r="49" spans="2:5" ht="15" customHeight="1">
      <c r="B49" s="75"/>
      <c r="C49" s="26" t="s">
        <v>3</v>
      </c>
      <c r="D49" s="25">
        <v>4</v>
      </c>
      <c r="E49" s="24">
        <v>3.5398230088495575E-2</v>
      </c>
    </row>
    <row r="50" spans="2:5" ht="15" customHeight="1">
      <c r="B50" s="74" t="s">
        <v>40</v>
      </c>
      <c r="C50" s="29" t="s">
        <v>14</v>
      </c>
      <c r="D50" s="28">
        <v>1</v>
      </c>
      <c r="E50" s="27">
        <v>8.8495575221238937E-3</v>
      </c>
    </row>
    <row r="51" spans="2:5" ht="15" customHeight="1">
      <c r="B51" s="76"/>
      <c r="C51" s="29" t="s">
        <v>20</v>
      </c>
      <c r="D51" s="28">
        <v>2</v>
      </c>
      <c r="E51" s="27">
        <v>1.7699115044247787E-2</v>
      </c>
    </row>
    <row r="52" spans="2:5" ht="15" customHeight="1">
      <c r="B52" s="76"/>
      <c r="C52" s="29" t="s">
        <v>13</v>
      </c>
      <c r="D52" s="28">
        <v>2</v>
      </c>
      <c r="E52" s="27">
        <v>1.7699115044247787E-2</v>
      </c>
    </row>
    <row r="53" spans="2:5" ht="15" customHeight="1">
      <c r="B53" s="76"/>
      <c r="C53" s="29" t="s">
        <v>8</v>
      </c>
      <c r="D53" s="28">
        <v>1</v>
      </c>
      <c r="E53" s="27">
        <v>8.8495575221238937E-3</v>
      </c>
    </row>
    <row r="54" spans="2:5" ht="15" customHeight="1">
      <c r="B54" s="76"/>
      <c r="C54" s="29" t="s">
        <v>11</v>
      </c>
      <c r="D54" s="28">
        <v>1</v>
      </c>
      <c r="E54" s="27">
        <v>8.8495575221238937E-3</v>
      </c>
    </row>
    <row r="55" spans="2:5" ht="15" customHeight="1">
      <c r="B55" s="75"/>
      <c r="C55" s="26" t="s">
        <v>3</v>
      </c>
      <c r="D55" s="25">
        <v>7</v>
      </c>
      <c r="E55" s="24">
        <v>6.1946902654867256E-2</v>
      </c>
    </row>
    <row r="56" spans="2:5" ht="15" customHeight="1">
      <c r="B56" s="74" t="s">
        <v>39</v>
      </c>
      <c r="C56" s="29" t="s">
        <v>12</v>
      </c>
      <c r="D56" s="28">
        <v>1</v>
      </c>
      <c r="E56" s="27">
        <v>8.8495575221238937E-3</v>
      </c>
    </row>
    <row r="57" spans="2:5" ht="15" customHeight="1">
      <c r="B57" s="76"/>
      <c r="C57" s="29" t="s">
        <v>16</v>
      </c>
      <c r="D57" s="28">
        <v>1</v>
      </c>
      <c r="E57" s="27">
        <v>8.8495575221238937E-3</v>
      </c>
    </row>
    <row r="58" spans="2:5" ht="15" customHeight="1">
      <c r="B58" s="76"/>
      <c r="C58" s="29" t="s">
        <v>21</v>
      </c>
      <c r="D58" s="28">
        <v>4</v>
      </c>
      <c r="E58" s="27">
        <v>3.5398230088495575E-2</v>
      </c>
    </row>
    <row r="59" spans="2:5" ht="15" customHeight="1">
      <c r="B59" s="76"/>
      <c r="C59" s="29" t="s">
        <v>22</v>
      </c>
      <c r="D59" s="28">
        <v>3</v>
      </c>
      <c r="E59" s="27">
        <v>2.6548672566371681E-2</v>
      </c>
    </row>
    <row r="60" spans="2:5" ht="15" customHeight="1">
      <c r="B60" s="76"/>
      <c r="C60" s="29" t="s">
        <v>20</v>
      </c>
      <c r="D60" s="28">
        <v>5</v>
      </c>
      <c r="E60" s="27">
        <v>4.4247787610619468E-2</v>
      </c>
    </row>
    <row r="61" spans="2:5" ht="15" customHeight="1">
      <c r="B61" s="76"/>
      <c r="C61" s="29" t="s">
        <v>13</v>
      </c>
      <c r="D61" s="28">
        <v>4</v>
      </c>
      <c r="E61" s="27">
        <v>3.5398230088495575E-2</v>
      </c>
    </row>
    <row r="62" spans="2:5" ht="15" customHeight="1">
      <c r="B62" s="76"/>
      <c r="C62" s="29" t="s">
        <v>10</v>
      </c>
      <c r="D62" s="28">
        <v>3</v>
      </c>
      <c r="E62" s="27">
        <v>2.6548672566371681E-2</v>
      </c>
    </row>
    <row r="63" spans="2:5" ht="15" customHeight="1">
      <c r="B63" s="76"/>
      <c r="C63" s="29" t="s">
        <v>19</v>
      </c>
      <c r="D63" s="28">
        <v>1</v>
      </c>
      <c r="E63" s="27">
        <v>8.8495575221238937E-3</v>
      </c>
    </row>
    <row r="64" spans="2:5" ht="15" customHeight="1">
      <c r="B64" s="76"/>
      <c r="C64" s="29" t="s">
        <v>6</v>
      </c>
      <c r="D64" s="28">
        <v>1</v>
      </c>
      <c r="E64" s="27">
        <v>8.8495575221238937E-3</v>
      </c>
    </row>
    <row r="65" spans="2:6" ht="15" customHeight="1">
      <c r="B65" s="76"/>
      <c r="C65" s="29" t="s">
        <v>23</v>
      </c>
      <c r="D65" s="28">
        <v>7</v>
      </c>
      <c r="E65" s="27">
        <v>6.1946902654867256E-2</v>
      </c>
    </row>
    <row r="66" spans="2:6" ht="15" customHeight="1">
      <c r="B66" s="76"/>
      <c r="C66" s="29" t="s">
        <v>17</v>
      </c>
      <c r="D66" s="28">
        <v>6</v>
      </c>
      <c r="E66" s="27">
        <v>5.3097345132743362E-2</v>
      </c>
    </row>
    <row r="67" spans="2:6" ht="15" customHeight="1">
      <c r="B67" s="75"/>
      <c r="C67" s="26" t="s">
        <v>3</v>
      </c>
      <c r="D67" s="25">
        <v>36</v>
      </c>
      <c r="E67" s="24">
        <v>0.31858407079646017</v>
      </c>
    </row>
    <row r="68" spans="2:6" ht="15" customHeight="1">
      <c r="B68" s="74" t="s">
        <v>81</v>
      </c>
      <c r="C68" s="29" t="s">
        <v>18</v>
      </c>
      <c r="D68" s="28">
        <v>1</v>
      </c>
      <c r="E68" s="27">
        <v>8.8495575221238937E-3</v>
      </c>
    </row>
    <row r="69" spans="2:6" ht="15" customHeight="1">
      <c r="B69" s="75"/>
      <c r="C69" s="26" t="s">
        <v>3</v>
      </c>
      <c r="D69" s="25">
        <v>1</v>
      </c>
      <c r="E69" s="24">
        <v>8.8495575221238937E-3</v>
      </c>
    </row>
    <row r="70" spans="2:6" ht="15" customHeight="1">
      <c r="B70" s="74" t="s">
        <v>37</v>
      </c>
      <c r="C70" s="29" t="s">
        <v>20</v>
      </c>
      <c r="D70" s="28">
        <v>1</v>
      </c>
      <c r="E70" s="27">
        <v>8.8495575221238937E-3</v>
      </c>
    </row>
    <row r="71" spans="2:6" ht="15" customHeight="1">
      <c r="B71" s="76"/>
      <c r="C71" s="29" t="s">
        <v>10</v>
      </c>
      <c r="D71" s="28">
        <v>3</v>
      </c>
      <c r="E71" s="27">
        <v>2.6548672566371681E-2</v>
      </c>
    </row>
    <row r="72" spans="2:6" ht="15" customHeight="1">
      <c r="B72" s="76"/>
      <c r="C72" s="29" t="s">
        <v>19</v>
      </c>
      <c r="D72" s="28">
        <v>1</v>
      </c>
      <c r="E72" s="27">
        <v>8.8495575221238937E-3</v>
      </c>
    </row>
    <row r="73" spans="2:6" ht="15" customHeight="1">
      <c r="B73" s="76"/>
      <c r="C73" s="29" t="s">
        <v>15</v>
      </c>
      <c r="D73" s="28">
        <v>1</v>
      </c>
      <c r="E73" s="27">
        <v>8.8495575221238937E-3</v>
      </c>
    </row>
    <row r="74" spans="2:6" ht="15" customHeight="1">
      <c r="B74" s="76"/>
      <c r="C74" s="29" t="s">
        <v>18</v>
      </c>
      <c r="D74" s="28">
        <v>1</v>
      </c>
      <c r="E74" s="27">
        <v>8.8495575221238937E-3</v>
      </c>
    </row>
    <row r="75" spans="2:6" ht="15" customHeight="1">
      <c r="B75" s="75"/>
      <c r="C75" s="26" t="s">
        <v>3</v>
      </c>
      <c r="D75" s="25">
        <v>7</v>
      </c>
      <c r="E75" s="24">
        <v>6.1946902654867256E-2</v>
      </c>
    </row>
    <row r="76" spans="2:6" ht="15" customHeight="1">
      <c r="B76" s="74" t="s">
        <v>36</v>
      </c>
      <c r="C76" s="29" t="s">
        <v>83</v>
      </c>
      <c r="D76" s="28">
        <v>1</v>
      </c>
      <c r="E76" s="27">
        <v>8.8495575221238937E-3</v>
      </c>
      <c r="F76" s="1"/>
    </row>
    <row r="77" spans="2:6" ht="15" customHeight="1">
      <c r="B77" s="76"/>
      <c r="C77" s="29" t="s">
        <v>4</v>
      </c>
      <c r="D77" s="28">
        <v>1</v>
      </c>
      <c r="E77" s="27">
        <v>8.8495575221238937E-3</v>
      </c>
      <c r="F77" s="1"/>
    </row>
    <row r="78" spans="2:6" ht="15" customHeight="1">
      <c r="B78" s="76"/>
      <c r="C78" s="29" t="s">
        <v>84</v>
      </c>
      <c r="D78" s="28">
        <v>1</v>
      </c>
      <c r="E78" s="27">
        <v>8.8495575221238937E-3</v>
      </c>
      <c r="F78" s="1"/>
    </row>
    <row r="79" spans="2:6" ht="15" customHeight="1">
      <c r="B79" s="76"/>
      <c r="C79" s="29" t="s">
        <v>21</v>
      </c>
      <c r="D79" s="28">
        <v>2</v>
      </c>
      <c r="E79" s="27">
        <v>1.7699115044247787E-2</v>
      </c>
      <c r="F79" s="1"/>
    </row>
    <row r="80" spans="2:6" ht="15" customHeight="1">
      <c r="B80" s="76"/>
      <c r="C80" s="29" t="s">
        <v>20</v>
      </c>
      <c r="D80" s="28">
        <v>2</v>
      </c>
      <c r="E80" s="27">
        <v>1.7699115044247787E-2</v>
      </c>
      <c r="F80" s="1"/>
    </row>
    <row r="81" spans="2:5" ht="15" customHeight="1">
      <c r="B81" s="76"/>
      <c r="C81" s="29" t="s">
        <v>10</v>
      </c>
      <c r="D81" s="28">
        <v>1</v>
      </c>
      <c r="E81" s="27">
        <v>8.8495575221238937E-3</v>
      </c>
    </row>
    <row r="82" spans="2:5" ht="15" customHeight="1">
      <c r="B82" s="76"/>
      <c r="C82" s="29" t="s">
        <v>19</v>
      </c>
      <c r="D82" s="28">
        <v>2</v>
      </c>
      <c r="E82" s="27">
        <v>1.7699115044247787E-2</v>
      </c>
    </row>
    <row r="83" spans="2:5" ht="15" customHeight="1">
      <c r="B83" s="76"/>
      <c r="C83" s="29" t="s">
        <v>15</v>
      </c>
      <c r="D83" s="28">
        <v>1</v>
      </c>
      <c r="E83" s="27">
        <v>8.8495575221238937E-3</v>
      </c>
    </row>
    <row r="84" spans="2:5" ht="15" customHeight="1">
      <c r="B84" s="76"/>
      <c r="C84" s="29" t="s">
        <v>9</v>
      </c>
      <c r="D84" s="28">
        <v>1</v>
      </c>
      <c r="E84" s="27">
        <v>8.8495575221238937E-3</v>
      </c>
    </row>
    <row r="85" spans="2:5" ht="15" customHeight="1">
      <c r="B85" s="76"/>
      <c r="C85" s="29" t="s">
        <v>17</v>
      </c>
      <c r="D85" s="28">
        <v>3</v>
      </c>
      <c r="E85" s="27">
        <v>2.6548672566371681E-2</v>
      </c>
    </row>
    <row r="86" spans="2:5" ht="15" customHeight="1">
      <c r="B86" s="75"/>
      <c r="C86" s="26" t="s">
        <v>3</v>
      </c>
      <c r="D86" s="25">
        <v>15</v>
      </c>
      <c r="E86" s="24">
        <v>0.13274336283185842</v>
      </c>
    </row>
    <row r="87" spans="2:5" ht="15" customHeight="1">
      <c r="B87" s="74" t="s">
        <v>94</v>
      </c>
      <c r="C87" s="29" t="s">
        <v>16</v>
      </c>
      <c r="D87" s="28">
        <v>1</v>
      </c>
      <c r="E87" s="27">
        <v>8.8495575221238937E-3</v>
      </c>
    </row>
    <row r="88" spans="2:5" ht="15" customHeight="1">
      <c r="B88" s="76"/>
      <c r="C88" s="29" t="s">
        <v>20</v>
      </c>
      <c r="D88" s="28">
        <v>1</v>
      </c>
      <c r="E88" s="27">
        <v>8.8495575221238937E-3</v>
      </c>
    </row>
    <row r="89" spans="2:5" ht="15" customHeight="1">
      <c r="B89" s="76"/>
      <c r="C89" s="29" t="s">
        <v>10</v>
      </c>
      <c r="D89" s="28">
        <v>1</v>
      </c>
      <c r="E89" s="27">
        <v>8.8495575221238937E-3</v>
      </c>
    </row>
    <row r="90" spans="2:5" ht="15" customHeight="1">
      <c r="B90" s="75"/>
      <c r="C90" s="26" t="s">
        <v>3</v>
      </c>
      <c r="D90" s="25">
        <v>3</v>
      </c>
      <c r="E90" s="24">
        <v>2.6548672566371681E-2</v>
      </c>
    </row>
    <row r="91" spans="2:5" ht="15" customHeight="1">
      <c r="B91" s="74" t="s">
        <v>169</v>
      </c>
      <c r="C91" s="29" t="s">
        <v>23</v>
      </c>
      <c r="D91" s="28">
        <v>1</v>
      </c>
      <c r="E91" s="27">
        <v>8.8495575221238937E-3</v>
      </c>
    </row>
    <row r="92" spans="2:5" ht="15" customHeight="1">
      <c r="B92" s="75"/>
      <c r="C92" s="26" t="s">
        <v>3</v>
      </c>
      <c r="D92" s="25">
        <v>1</v>
      </c>
      <c r="E92" s="24">
        <v>8.8495575221238937E-3</v>
      </c>
    </row>
    <row r="93" spans="2:5" ht="15" customHeight="1">
      <c r="B93" s="74" t="s">
        <v>168</v>
      </c>
      <c r="C93" s="29" t="s">
        <v>7</v>
      </c>
      <c r="D93" s="28">
        <v>1</v>
      </c>
      <c r="E93" s="27">
        <v>8.8495575221238937E-3</v>
      </c>
    </row>
    <row r="94" spans="2:5" ht="15" customHeight="1">
      <c r="B94" s="75"/>
      <c r="C94" s="26" t="s">
        <v>3</v>
      </c>
      <c r="D94" s="25">
        <v>1</v>
      </c>
      <c r="E94" s="24">
        <v>8.8495575221238937E-3</v>
      </c>
    </row>
    <row r="95" spans="2:5" ht="15" customHeight="1">
      <c r="B95" s="78" t="s">
        <v>3</v>
      </c>
      <c r="C95" s="79"/>
      <c r="D95" s="60">
        <v>113</v>
      </c>
      <c r="E95" s="61">
        <v>1</v>
      </c>
    </row>
    <row r="97" spans="2:2" ht="15" customHeight="1">
      <c r="B97" s="3" t="s">
        <v>96</v>
      </c>
    </row>
    <row r="98" spans="2:2" ht="15" customHeight="1">
      <c r="B98" s="5" t="s">
        <v>2</v>
      </c>
    </row>
    <row r="99" spans="2:2" ht="15" customHeight="1">
      <c r="B99" s="4" t="s">
        <v>1</v>
      </c>
    </row>
    <row r="100" spans="2:2" ht="15" customHeight="1">
      <c r="B100" s="3" t="s">
        <v>0</v>
      </c>
    </row>
    <row r="101" spans="2:2" ht="15" customHeight="1">
      <c r="B101" s="3" t="s">
        <v>97</v>
      </c>
    </row>
  </sheetData>
  <mergeCells count="19">
    <mergeCell ref="B87:B90"/>
    <mergeCell ref="B91:B92"/>
    <mergeCell ref="B93:B94"/>
    <mergeCell ref="B95:C95"/>
    <mergeCell ref="B50:B55"/>
    <mergeCell ref="B56:B67"/>
    <mergeCell ref="B68:B69"/>
    <mergeCell ref="B70:B75"/>
    <mergeCell ref="B76:B86"/>
    <mergeCell ref="B23:B29"/>
    <mergeCell ref="B30:B41"/>
    <mergeCell ref="B42:B45"/>
    <mergeCell ref="B46:B49"/>
    <mergeCell ref="B7:E8"/>
    <mergeCell ref="B12:B13"/>
    <mergeCell ref="B14:B16"/>
    <mergeCell ref="B17:B19"/>
    <mergeCell ref="B20:B22"/>
    <mergeCell ref="B10:B1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topLeftCell="A7" zoomScaleNormal="100" zoomScaleSheetLayoutView="115" workbookViewId="0">
      <selection activeCell="B13" sqref="B13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170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51</v>
      </c>
      <c r="C11" s="15" t="s">
        <v>25</v>
      </c>
      <c r="D11" s="14" t="s">
        <v>24</v>
      </c>
    </row>
    <row r="12" spans="1:5">
      <c r="B12" s="11" t="s">
        <v>50</v>
      </c>
      <c r="C12" s="10">
        <v>87</v>
      </c>
      <c r="D12" s="9">
        <v>0.76991150442477874</v>
      </c>
    </row>
    <row r="13" spans="1:5">
      <c r="B13" s="11" t="s">
        <v>49</v>
      </c>
      <c r="C13" s="10">
        <v>26</v>
      </c>
      <c r="D13" s="9">
        <v>0.23008849557522124</v>
      </c>
    </row>
    <row r="14" spans="1:5">
      <c r="B14" s="8" t="s">
        <v>48</v>
      </c>
      <c r="C14" s="7">
        <v>113</v>
      </c>
      <c r="D14" s="6">
        <v>1</v>
      </c>
    </row>
    <row r="15" spans="1:5">
      <c r="A15" s="12"/>
      <c r="B15" s="12"/>
      <c r="C15" s="42"/>
      <c r="D15" s="12"/>
      <c r="E15" s="12"/>
    </row>
    <row r="16" spans="1:5">
      <c r="B16" s="3" t="s">
        <v>96</v>
      </c>
      <c r="C16" s="42"/>
      <c r="D16" s="12"/>
    </row>
    <row r="17" spans="2:4">
      <c r="B17" s="5" t="s">
        <v>2</v>
      </c>
      <c r="C17" s="62"/>
      <c r="D17" s="62"/>
    </row>
    <row r="18" spans="2:4">
      <c r="B18" s="4" t="s">
        <v>1</v>
      </c>
      <c r="C18" s="63"/>
      <c r="D18" s="63"/>
    </row>
    <row r="19" spans="2:4">
      <c r="B19" s="3" t="s">
        <v>0</v>
      </c>
    </row>
    <row r="20" spans="2:4">
      <c r="B20" s="3" t="s">
        <v>97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58" zoomScaleNormal="100" zoomScaleSheetLayoutView="100" workbookViewId="0">
      <selection activeCell="B10" sqref="B10:B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26</v>
      </c>
      <c r="C9" s="33" t="s">
        <v>51</v>
      </c>
      <c r="D9" s="32" t="s">
        <v>25</v>
      </c>
      <c r="E9" s="31" t="s">
        <v>24</v>
      </c>
    </row>
    <row r="10" spans="1:5" ht="15" customHeight="1">
      <c r="B10" s="74" t="s">
        <v>83</v>
      </c>
      <c r="C10" s="29" t="s">
        <v>52</v>
      </c>
      <c r="D10" s="28">
        <v>1</v>
      </c>
      <c r="E10" s="27">
        <v>8.8495575221238937E-3</v>
      </c>
    </row>
    <row r="11" spans="1:5" ht="15" customHeight="1">
      <c r="B11" s="75"/>
      <c r="C11" s="26" t="s">
        <v>3</v>
      </c>
      <c r="D11" s="25">
        <v>1</v>
      </c>
      <c r="E11" s="24">
        <v>8.8495575221238937E-3</v>
      </c>
    </row>
    <row r="12" spans="1:5" ht="15" customHeight="1">
      <c r="B12" s="74" t="s">
        <v>4</v>
      </c>
      <c r="C12" s="29" t="s">
        <v>53</v>
      </c>
      <c r="D12" s="28">
        <v>1</v>
      </c>
      <c r="E12" s="27">
        <v>8.8495575221238937E-3</v>
      </c>
    </row>
    <row r="13" spans="1:5" ht="15" customHeight="1">
      <c r="B13" s="76"/>
      <c r="C13" s="29" t="s">
        <v>52</v>
      </c>
      <c r="D13" s="28">
        <v>1</v>
      </c>
      <c r="E13" s="27">
        <v>8.8495575221238937E-3</v>
      </c>
    </row>
    <row r="14" spans="1:5" ht="15" customHeight="1">
      <c r="B14" s="75"/>
      <c r="C14" s="26" t="s">
        <v>3</v>
      </c>
      <c r="D14" s="25">
        <v>2</v>
      </c>
      <c r="E14" s="24">
        <v>1.7699115044247787E-2</v>
      </c>
    </row>
    <row r="15" spans="1:5" ht="15" customHeight="1">
      <c r="B15" s="74" t="s">
        <v>14</v>
      </c>
      <c r="C15" s="29" t="s">
        <v>53</v>
      </c>
      <c r="D15" s="28">
        <v>4</v>
      </c>
      <c r="E15" s="27">
        <v>3.5398230088495575E-2</v>
      </c>
    </row>
    <row r="16" spans="1:5" ht="15" customHeight="1">
      <c r="B16" s="75"/>
      <c r="C16" s="26" t="s">
        <v>3</v>
      </c>
      <c r="D16" s="25">
        <v>4</v>
      </c>
      <c r="E16" s="24">
        <v>3.5398230088495575E-2</v>
      </c>
    </row>
    <row r="17" spans="2:5" ht="15" customHeight="1">
      <c r="B17" s="74" t="s">
        <v>12</v>
      </c>
      <c r="C17" s="29" t="s">
        <v>53</v>
      </c>
      <c r="D17" s="28">
        <v>1</v>
      </c>
      <c r="E17" s="27">
        <v>8.8495575221238937E-3</v>
      </c>
    </row>
    <row r="18" spans="2:5" ht="15" customHeight="1">
      <c r="B18" s="76"/>
      <c r="C18" s="29" t="s">
        <v>52</v>
      </c>
      <c r="D18" s="28">
        <v>1</v>
      </c>
      <c r="E18" s="27">
        <v>8.8495575221238937E-3</v>
      </c>
    </row>
    <row r="19" spans="2:5" ht="15" customHeight="1">
      <c r="B19" s="75"/>
      <c r="C19" s="26" t="s">
        <v>3</v>
      </c>
      <c r="D19" s="25">
        <v>2</v>
      </c>
      <c r="E19" s="24">
        <v>1.7699115044247787E-2</v>
      </c>
    </row>
    <row r="20" spans="2:5" ht="15" customHeight="1">
      <c r="B20" s="74" t="s">
        <v>84</v>
      </c>
      <c r="C20" s="29" t="s">
        <v>52</v>
      </c>
      <c r="D20" s="28">
        <v>1</v>
      </c>
      <c r="E20" s="27">
        <v>8.8495575221238937E-3</v>
      </c>
    </row>
    <row r="21" spans="2:5" ht="15" customHeight="1">
      <c r="B21" s="75"/>
      <c r="C21" s="26" t="s">
        <v>3</v>
      </c>
      <c r="D21" s="25">
        <v>1</v>
      </c>
      <c r="E21" s="24">
        <v>8.8495575221238937E-3</v>
      </c>
    </row>
    <row r="22" spans="2:5" ht="15" customHeight="1">
      <c r="B22" s="74" t="s">
        <v>16</v>
      </c>
      <c r="C22" s="29" t="s">
        <v>53</v>
      </c>
      <c r="D22" s="28">
        <v>5</v>
      </c>
      <c r="E22" s="27">
        <v>4.4247787610619468E-2</v>
      </c>
    </row>
    <row r="23" spans="2:5" ht="15" customHeight="1">
      <c r="B23" s="75"/>
      <c r="C23" s="26" t="s">
        <v>3</v>
      </c>
      <c r="D23" s="25">
        <v>5</v>
      </c>
      <c r="E23" s="24">
        <v>4.4247787610619468E-2</v>
      </c>
    </row>
    <row r="24" spans="2:5" ht="15" customHeight="1">
      <c r="B24" s="74" t="s">
        <v>7</v>
      </c>
      <c r="C24" s="29" t="s">
        <v>52</v>
      </c>
      <c r="D24" s="28">
        <v>1</v>
      </c>
      <c r="E24" s="27">
        <v>8.8495575221238937E-3</v>
      </c>
    </row>
    <row r="25" spans="2:5" ht="15" customHeight="1">
      <c r="B25" s="75"/>
      <c r="C25" s="26" t="s">
        <v>3</v>
      </c>
      <c r="D25" s="25">
        <v>1</v>
      </c>
      <c r="E25" s="24">
        <v>8.8495575221238937E-3</v>
      </c>
    </row>
    <row r="26" spans="2:5" ht="15" customHeight="1">
      <c r="B26" s="74" t="s">
        <v>21</v>
      </c>
      <c r="C26" s="29" t="s">
        <v>53</v>
      </c>
      <c r="D26" s="28">
        <v>7</v>
      </c>
      <c r="E26" s="27">
        <v>6.1946902654867256E-2</v>
      </c>
    </row>
    <row r="27" spans="2:5" ht="15" customHeight="1">
      <c r="B27" s="75"/>
      <c r="C27" s="26" t="s">
        <v>3</v>
      </c>
      <c r="D27" s="25">
        <v>7</v>
      </c>
      <c r="E27" s="24">
        <v>6.1946902654867256E-2</v>
      </c>
    </row>
    <row r="28" spans="2:5" ht="15" customHeight="1">
      <c r="B28" s="74" t="s">
        <v>22</v>
      </c>
      <c r="C28" s="29" t="s">
        <v>53</v>
      </c>
      <c r="D28" s="28">
        <v>4</v>
      </c>
      <c r="E28" s="27">
        <v>3.5398230088495575E-2</v>
      </c>
    </row>
    <row r="29" spans="2:5" ht="15" customHeight="1">
      <c r="B29" s="75"/>
      <c r="C29" s="26" t="s">
        <v>3</v>
      </c>
      <c r="D29" s="25">
        <v>4</v>
      </c>
      <c r="E29" s="24">
        <v>3.5398230088495575E-2</v>
      </c>
    </row>
    <row r="30" spans="2:5" ht="15" customHeight="1">
      <c r="B30" s="74" t="s">
        <v>20</v>
      </c>
      <c r="C30" s="29" t="s">
        <v>53</v>
      </c>
      <c r="D30" s="28">
        <v>15</v>
      </c>
      <c r="E30" s="27">
        <v>0.13274336283185842</v>
      </c>
    </row>
    <row r="31" spans="2:5" ht="15" customHeight="1">
      <c r="B31" s="76"/>
      <c r="C31" s="29" t="s">
        <v>52</v>
      </c>
      <c r="D31" s="28">
        <v>3</v>
      </c>
      <c r="E31" s="27">
        <v>2.6548672566371681E-2</v>
      </c>
    </row>
    <row r="32" spans="2:5" ht="15" customHeight="1">
      <c r="B32" s="75"/>
      <c r="C32" s="26" t="s">
        <v>3</v>
      </c>
      <c r="D32" s="25">
        <v>18</v>
      </c>
      <c r="E32" s="24">
        <v>0.15929203539823009</v>
      </c>
    </row>
    <row r="33" spans="2:5" ht="15" customHeight="1">
      <c r="B33" s="74" t="s">
        <v>13</v>
      </c>
      <c r="C33" s="29" t="s">
        <v>53</v>
      </c>
      <c r="D33" s="28">
        <v>9</v>
      </c>
      <c r="E33" s="27">
        <v>7.9646017699115043E-2</v>
      </c>
    </row>
    <row r="34" spans="2:5" ht="15" customHeight="1">
      <c r="B34" s="75"/>
      <c r="C34" s="26" t="s">
        <v>3</v>
      </c>
      <c r="D34" s="25">
        <v>9</v>
      </c>
      <c r="E34" s="24">
        <v>7.9646017699115043E-2</v>
      </c>
    </row>
    <row r="35" spans="2:5" ht="15" customHeight="1">
      <c r="B35" s="74" t="s">
        <v>10</v>
      </c>
      <c r="C35" s="29" t="s">
        <v>53</v>
      </c>
      <c r="D35" s="28">
        <v>11</v>
      </c>
      <c r="E35" s="27">
        <v>9.7345132743362831E-2</v>
      </c>
    </row>
    <row r="36" spans="2:5" ht="15" customHeight="1">
      <c r="B36" s="76"/>
      <c r="C36" s="29" t="s">
        <v>52</v>
      </c>
      <c r="D36" s="28">
        <v>3</v>
      </c>
      <c r="E36" s="27">
        <v>2.6548672566371681E-2</v>
      </c>
    </row>
    <row r="37" spans="2:5" ht="15" customHeight="1">
      <c r="B37" s="75"/>
      <c r="C37" s="26" t="s">
        <v>3</v>
      </c>
      <c r="D37" s="25">
        <v>14</v>
      </c>
      <c r="E37" s="24">
        <v>0.12389380530973451</v>
      </c>
    </row>
    <row r="38" spans="2:5" ht="15" customHeight="1">
      <c r="B38" s="74" t="s">
        <v>19</v>
      </c>
      <c r="C38" s="29" t="s">
        <v>53</v>
      </c>
      <c r="D38" s="28">
        <v>2</v>
      </c>
      <c r="E38" s="27">
        <v>1.7699115044247787E-2</v>
      </c>
    </row>
    <row r="39" spans="2:5" ht="15" customHeight="1">
      <c r="B39" s="76"/>
      <c r="C39" s="29" t="s">
        <v>52</v>
      </c>
      <c r="D39" s="28">
        <v>2</v>
      </c>
      <c r="E39" s="27">
        <v>1.7699115044247787E-2</v>
      </c>
    </row>
    <row r="40" spans="2:5" ht="15" customHeight="1">
      <c r="B40" s="75"/>
      <c r="C40" s="26" t="s">
        <v>3</v>
      </c>
      <c r="D40" s="25">
        <v>4</v>
      </c>
      <c r="E40" s="24">
        <v>3.5398230088495575E-2</v>
      </c>
    </row>
    <row r="41" spans="2:5" ht="15" customHeight="1">
      <c r="B41" s="74" t="s">
        <v>6</v>
      </c>
      <c r="C41" s="29" t="s">
        <v>53</v>
      </c>
      <c r="D41" s="28">
        <v>1</v>
      </c>
      <c r="E41" s="27">
        <v>8.8495575221238937E-3</v>
      </c>
    </row>
    <row r="42" spans="2:5" ht="15" customHeight="1">
      <c r="B42" s="76"/>
      <c r="C42" s="29" t="s">
        <v>52</v>
      </c>
      <c r="D42" s="28">
        <v>1</v>
      </c>
      <c r="E42" s="27">
        <v>8.8495575221238937E-3</v>
      </c>
    </row>
    <row r="43" spans="2:5" ht="15" customHeight="1">
      <c r="B43" s="75"/>
      <c r="C43" s="26" t="s">
        <v>3</v>
      </c>
      <c r="D43" s="25">
        <v>2</v>
      </c>
      <c r="E43" s="24">
        <v>1.7699115044247787E-2</v>
      </c>
    </row>
    <row r="44" spans="2:5" ht="15" customHeight="1">
      <c r="B44" s="74" t="s">
        <v>5</v>
      </c>
      <c r="C44" s="29" t="s">
        <v>52</v>
      </c>
      <c r="D44" s="28">
        <v>1</v>
      </c>
      <c r="E44" s="27">
        <v>8.8495575221238937E-3</v>
      </c>
    </row>
    <row r="45" spans="2:5" ht="15" customHeight="1">
      <c r="B45" s="75"/>
      <c r="C45" s="26" t="s">
        <v>3</v>
      </c>
      <c r="D45" s="25">
        <v>1</v>
      </c>
      <c r="E45" s="24">
        <v>8.8495575221238937E-3</v>
      </c>
    </row>
    <row r="46" spans="2:5" ht="15" customHeight="1">
      <c r="B46" s="74" t="s">
        <v>23</v>
      </c>
      <c r="C46" s="29" t="s">
        <v>53</v>
      </c>
      <c r="D46" s="28">
        <v>7</v>
      </c>
      <c r="E46" s="27">
        <v>6.1946902654867256E-2</v>
      </c>
    </row>
    <row r="47" spans="2:5" ht="15" customHeight="1">
      <c r="B47" s="76"/>
      <c r="C47" s="29" t="s">
        <v>52</v>
      </c>
      <c r="D47" s="28">
        <v>3</v>
      </c>
      <c r="E47" s="27">
        <v>2.6548672566371681E-2</v>
      </c>
    </row>
    <row r="48" spans="2:5" ht="15" customHeight="1">
      <c r="B48" s="75"/>
      <c r="C48" s="26" t="s">
        <v>3</v>
      </c>
      <c r="D48" s="25">
        <v>10</v>
      </c>
      <c r="E48" s="24">
        <v>8.8495575221238937E-2</v>
      </c>
    </row>
    <row r="49" spans="2:6" ht="15" customHeight="1">
      <c r="B49" s="74" t="s">
        <v>15</v>
      </c>
      <c r="C49" s="29" t="s">
        <v>53</v>
      </c>
      <c r="D49" s="28">
        <v>4</v>
      </c>
      <c r="E49" s="27">
        <v>3.5398230088495575E-2</v>
      </c>
    </row>
    <row r="50" spans="2:6" ht="15" customHeight="1">
      <c r="B50" s="76"/>
      <c r="C50" s="29" t="s">
        <v>52</v>
      </c>
      <c r="D50" s="28">
        <v>1</v>
      </c>
      <c r="E50" s="27">
        <v>8.8495575221238937E-3</v>
      </c>
    </row>
    <row r="51" spans="2:6" ht="15" customHeight="1">
      <c r="B51" s="75"/>
      <c r="C51" s="26" t="s">
        <v>3</v>
      </c>
      <c r="D51" s="25">
        <v>5</v>
      </c>
      <c r="E51" s="24">
        <v>4.4247787610619468E-2</v>
      </c>
    </row>
    <row r="52" spans="2:6" ht="15" customHeight="1">
      <c r="B52" s="74" t="s">
        <v>9</v>
      </c>
      <c r="C52" s="29" t="s">
        <v>53</v>
      </c>
      <c r="D52" s="28">
        <v>1</v>
      </c>
      <c r="E52" s="27">
        <v>8.8495575221238937E-3</v>
      </c>
    </row>
    <row r="53" spans="2:6" ht="15" customHeight="1">
      <c r="B53" s="76"/>
      <c r="C53" s="29" t="s">
        <v>52</v>
      </c>
      <c r="D53" s="28">
        <v>1</v>
      </c>
      <c r="E53" s="27">
        <v>8.8495575221238937E-3</v>
      </c>
    </row>
    <row r="54" spans="2:6" ht="15" customHeight="1">
      <c r="B54" s="75"/>
      <c r="C54" s="26" t="s">
        <v>3</v>
      </c>
      <c r="D54" s="25">
        <v>2</v>
      </c>
      <c r="E54" s="24">
        <v>1.7699115044247787E-2</v>
      </c>
      <c r="F54" s="1"/>
    </row>
    <row r="55" spans="2:6" ht="15" customHeight="1">
      <c r="B55" s="74" t="s">
        <v>18</v>
      </c>
      <c r="C55" s="29" t="s">
        <v>53</v>
      </c>
      <c r="D55" s="28">
        <v>1</v>
      </c>
      <c r="E55" s="27">
        <v>8.8495575221238937E-3</v>
      </c>
      <c r="F55" s="1"/>
    </row>
    <row r="56" spans="2:6" ht="15" customHeight="1">
      <c r="B56" s="76"/>
      <c r="C56" s="29" t="s">
        <v>52</v>
      </c>
      <c r="D56" s="28">
        <v>2</v>
      </c>
      <c r="E56" s="27">
        <v>1.7699115044247787E-2</v>
      </c>
      <c r="F56" s="1"/>
    </row>
    <row r="57" spans="2:6" ht="15" customHeight="1">
      <c r="B57" s="75"/>
      <c r="C57" s="26" t="s">
        <v>3</v>
      </c>
      <c r="D57" s="25">
        <v>3</v>
      </c>
      <c r="E57" s="24">
        <v>2.6548672566371681E-2</v>
      </c>
      <c r="F57" s="1"/>
    </row>
    <row r="58" spans="2:6" ht="15" customHeight="1">
      <c r="B58" s="74" t="s">
        <v>82</v>
      </c>
      <c r="C58" s="29" t="s">
        <v>53</v>
      </c>
      <c r="D58" s="28">
        <v>1</v>
      </c>
      <c r="E58" s="27">
        <v>8.8495575221238937E-3</v>
      </c>
      <c r="F58" s="1"/>
    </row>
    <row r="59" spans="2:6" ht="15" customHeight="1">
      <c r="B59" s="75"/>
      <c r="C59" s="26" t="s">
        <v>3</v>
      </c>
      <c r="D59" s="25">
        <v>1</v>
      </c>
      <c r="E59" s="24">
        <v>8.8495575221238937E-3</v>
      </c>
    </row>
    <row r="60" spans="2:6" ht="15" customHeight="1">
      <c r="B60" s="74" t="s">
        <v>8</v>
      </c>
      <c r="C60" s="29" t="s">
        <v>53</v>
      </c>
      <c r="D60" s="28">
        <v>1</v>
      </c>
      <c r="E60" s="27">
        <v>8.8495575221238937E-3</v>
      </c>
    </row>
    <row r="61" spans="2:6" ht="15" customHeight="1">
      <c r="B61" s="75"/>
      <c r="C61" s="26" t="s">
        <v>3</v>
      </c>
      <c r="D61" s="25">
        <v>1</v>
      </c>
      <c r="E61" s="24">
        <v>8.8495575221238937E-3</v>
      </c>
    </row>
    <row r="62" spans="2:6" ht="15" customHeight="1">
      <c r="B62" s="74" t="s">
        <v>17</v>
      </c>
      <c r="C62" s="29" t="s">
        <v>53</v>
      </c>
      <c r="D62" s="28">
        <v>10</v>
      </c>
      <c r="E62" s="27">
        <v>8.8495575221238937E-2</v>
      </c>
    </row>
    <row r="63" spans="2:6" ht="15" customHeight="1">
      <c r="B63" s="76"/>
      <c r="C63" s="29" t="s">
        <v>52</v>
      </c>
      <c r="D63" s="28">
        <v>4</v>
      </c>
      <c r="E63" s="27">
        <v>3.5398230088495575E-2</v>
      </c>
    </row>
    <row r="64" spans="2:6" ht="15" customHeight="1">
      <c r="B64" s="75"/>
      <c r="C64" s="26" t="s">
        <v>3</v>
      </c>
      <c r="D64" s="25">
        <v>14</v>
      </c>
      <c r="E64" s="24">
        <v>0.12389380530973451</v>
      </c>
    </row>
    <row r="65" spans="2:5" ht="15" customHeight="1">
      <c r="B65" s="74" t="s">
        <v>11</v>
      </c>
      <c r="C65" s="29" t="s">
        <v>53</v>
      </c>
      <c r="D65" s="28">
        <v>2</v>
      </c>
      <c r="E65" s="27">
        <v>1.7699115044247787E-2</v>
      </c>
    </row>
    <row r="66" spans="2:5" ht="15" customHeight="1">
      <c r="B66" s="75"/>
      <c r="C66" s="26" t="s">
        <v>3</v>
      </c>
      <c r="D66" s="25">
        <v>2</v>
      </c>
      <c r="E66" s="24">
        <v>1.7699115044247787E-2</v>
      </c>
    </row>
    <row r="67" spans="2:5" ht="15" customHeight="1">
      <c r="B67" s="78" t="s">
        <v>3</v>
      </c>
      <c r="C67" s="79"/>
      <c r="D67" s="60">
        <f>SUMIF(C10:C66,"TOTAL",D10:D66)</f>
        <v>113</v>
      </c>
      <c r="E67" s="61">
        <v>1</v>
      </c>
    </row>
    <row r="69" spans="2:5" ht="15" customHeight="1">
      <c r="B69" s="3" t="s">
        <v>96</v>
      </c>
    </row>
    <row r="70" spans="2:5" ht="15" customHeight="1">
      <c r="B70" s="5" t="s">
        <v>2</v>
      </c>
    </row>
    <row r="71" spans="2:5" ht="15" customHeight="1">
      <c r="B71" s="4" t="s">
        <v>1</v>
      </c>
    </row>
    <row r="72" spans="2:5" ht="15" customHeight="1">
      <c r="B72" s="3" t="s">
        <v>0</v>
      </c>
    </row>
    <row r="73" spans="2:5" ht="15" customHeight="1">
      <c r="B73" s="3" t="s">
        <v>97</v>
      </c>
    </row>
    <row r="377" spans="2:2" s="21" customFormat="1" ht="15" customHeight="1">
      <c r="B377" s="22"/>
    </row>
    <row r="378" spans="2:2" s="21" customFormat="1" ht="15" customHeight="1">
      <c r="B378" s="23"/>
    </row>
    <row r="379" spans="2:2" s="21" customFormat="1" ht="15" customHeight="1">
      <c r="B379" s="23"/>
    </row>
    <row r="380" spans="2:2" s="21" customFormat="1" ht="15" customHeight="1">
      <c r="B380" s="22"/>
    </row>
    <row r="381" spans="2:2" s="21" customFormat="1" ht="15" customHeight="1">
      <c r="B381" s="22"/>
    </row>
  </sheetData>
  <mergeCells count="25">
    <mergeCell ref="B33:B34"/>
    <mergeCell ref="B35:B37"/>
    <mergeCell ref="B65:B66"/>
    <mergeCell ref="B67:C67"/>
    <mergeCell ref="B52:B54"/>
    <mergeCell ref="B55:B57"/>
    <mergeCell ref="B58:B59"/>
    <mergeCell ref="B60:B61"/>
    <mergeCell ref="B62:B64"/>
    <mergeCell ref="B10:B11"/>
    <mergeCell ref="B17:B19"/>
    <mergeCell ref="B49:B51"/>
    <mergeCell ref="B7:E8"/>
    <mergeCell ref="B12:B14"/>
    <mergeCell ref="B15:B16"/>
    <mergeCell ref="B20:B21"/>
    <mergeCell ref="B22:B23"/>
    <mergeCell ref="B24:B25"/>
    <mergeCell ref="B26:B27"/>
    <mergeCell ref="B28:B29"/>
    <mergeCell ref="B30:B32"/>
    <mergeCell ref="B38:B40"/>
    <mergeCell ref="B41:B43"/>
    <mergeCell ref="B44:B45"/>
    <mergeCell ref="B46:B4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6"/>
  <sheetViews>
    <sheetView showGridLines="0" topLeftCell="A13" zoomScaleNormal="100" zoomScaleSheetLayoutView="100" workbookViewId="0">
      <selection activeCell="G20" sqref="G20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51</v>
      </c>
      <c r="C9" s="33" t="s">
        <v>58</v>
      </c>
      <c r="D9" s="32" t="s">
        <v>25</v>
      </c>
      <c r="E9" s="31" t="s">
        <v>24</v>
      </c>
    </row>
    <row r="10" spans="1:5" ht="15" customHeight="1">
      <c r="B10" s="74" t="s">
        <v>53</v>
      </c>
      <c r="C10" s="29" t="s">
        <v>57</v>
      </c>
      <c r="D10" s="28">
        <v>20</v>
      </c>
      <c r="E10" s="27">
        <v>0.17699115044247787</v>
      </c>
    </row>
    <row r="11" spans="1:5" ht="15" customHeight="1">
      <c r="B11" s="76"/>
      <c r="C11" s="29" t="s">
        <v>56</v>
      </c>
      <c r="D11" s="28">
        <v>38</v>
      </c>
      <c r="E11" s="27">
        <v>0.33628318584070799</v>
      </c>
    </row>
    <row r="12" spans="1:5" ht="15" customHeight="1">
      <c r="B12" s="76"/>
      <c r="C12" s="29" t="s">
        <v>55</v>
      </c>
      <c r="D12" s="28">
        <v>23</v>
      </c>
      <c r="E12" s="27">
        <v>0.20353982300884957</v>
      </c>
    </row>
    <row r="13" spans="1:5" ht="15" customHeight="1">
      <c r="B13" s="75"/>
      <c r="C13" s="29" t="s">
        <v>54</v>
      </c>
      <c r="D13" s="28">
        <v>6</v>
      </c>
      <c r="E13" s="27">
        <v>5.3097345132743362E-2</v>
      </c>
    </row>
    <row r="14" spans="1:5" ht="15" customHeight="1">
      <c r="B14" s="74" t="s">
        <v>52</v>
      </c>
      <c r="C14" s="29" t="s">
        <v>57</v>
      </c>
      <c r="D14" s="28">
        <v>5</v>
      </c>
      <c r="E14" s="27">
        <v>4.4247787610619468E-2</v>
      </c>
    </row>
    <row r="15" spans="1:5" ht="15" customHeight="1">
      <c r="B15" s="76"/>
      <c r="C15" s="29" t="s">
        <v>56</v>
      </c>
      <c r="D15" s="28">
        <v>10</v>
      </c>
      <c r="E15" s="27">
        <v>8.8495575221238937E-2</v>
      </c>
    </row>
    <row r="16" spans="1:5" ht="15" customHeight="1">
      <c r="B16" s="76"/>
      <c r="C16" s="29" t="s">
        <v>55</v>
      </c>
      <c r="D16" s="28">
        <v>8</v>
      </c>
      <c r="E16" s="27">
        <v>7.0796460176991149E-2</v>
      </c>
    </row>
    <row r="17" spans="2:6" ht="15" customHeight="1">
      <c r="B17" s="75"/>
      <c r="C17" s="29" t="s">
        <v>54</v>
      </c>
      <c r="D17" s="28">
        <v>3</v>
      </c>
      <c r="E17" s="27">
        <v>2.6548672566371681E-2</v>
      </c>
    </row>
    <row r="18" spans="2:6" ht="15" customHeight="1">
      <c r="B18" s="78" t="s">
        <v>3</v>
      </c>
      <c r="C18" s="79"/>
      <c r="D18" s="60">
        <v>113</v>
      </c>
      <c r="E18" s="61">
        <v>1</v>
      </c>
    </row>
    <row r="19" spans="2:6" ht="15" customHeight="1">
      <c r="B19" s="3"/>
      <c r="C19" s="30"/>
      <c r="D19" s="30"/>
      <c r="E19" s="30"/>
    </row>
    <row r="20" spans="2:6" ht="15" customHeight="1">
      <c r="B20" s="3" t="s">
        <v>96</v>
      </c>
    </row>
    <row r="21" spans="2:6" ht="15" customHeight="1">
      <c r="B21" s="5" t="s">
        <v>2</v>
      </c>
    </row>
    <row r="22" spans="2:6" ht="15" customHeight="1">
      <c r="B22" s="4" t="s">
        <v>1</v>
      </c>
      <c r="F22" s="1"/>
    </row>
    <row r="23" spans="2:6" ht="15" customHeight="1">
      <c r="B23" s="3" t="s">
        <v>0</v>
      </c>
      <c r="F23" s="1"/>
    </row>
    <row r="24" spans="2:6" ht="15" customHeight="1">
      <c r="B24" s="3" t="s">
        <v>97</v>
      </c>
      <c r="F24" s="1"/>
    </row>
    <row r="25" spans="2:6" ht="15" customHeight="1">
      <c r="B25" s="1"/>
      <c r="C25" s="3"/>
      <c r="F25" s="21"/>
    </row>
    <row r="26" spans="2:6" ht="15" customHeight="1">
      <c r="B26" s="1"/>
      <c r="C26" s="3"/>
      <c r="F26" s="21"/>
    </row>
    <row r="27" spans="2:6" ht="15" customHeight="1">
      <c r="F27" s="21"/>
    </row>
    <row r="462" spans="2:2" s="21" customFormat="1" ht="15" customHeight="1">
      <c r="B462" s="22"/>
    </row>
    <row r="463" spans="2:2" s="21" customFormat="1" ht="15" customHeight="1">
      <c r="B463" s="23"/>
    </row>
    <row r="464" spans="2:2" s="21" customFormat="1" ht="15" customHeight="1">
      <c r="B464" s="23"/>
    </row>
    <row r="465" spans="2:2" s="21" customFormat="1" ht="15" customHeight="1">
      <c r="B465" s="22"/>
    </row>
    <row r="466" spans="2:2" s="21" customFormat="1" ht="15" customHeight="1">
      <c r="B466" s="22"/>
    </row>
  </sheetData>
  <mergeCells count="4">
    <mergeCell ref="B7:E8"/>
    <mergeCell ref="B10:B13"/>
    <mergeCell ref="B14:B17"/>
    <mergeCell ref="B18:C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9"/>
  <sheetViews>
    <sheetView showGridLines="0" zoomScaleNormal="100" zoomScaleSheetLayoutView="115" workbookViewId="0">
      <selection activeCell="B18" sqref="B18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171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27" customHeight="1">
      <c r="B11" s="16" t="s">
        <v>68</v>
      </c>
      <c r="C11" s="15" t="s">
        <v>25</v>
      </c>
      <c r="D11" s="14" t="s">
        <v>24</v>
      </c>
    </row>
    <row r="12" spans="1:5">
      <c r="B12" s="11" t="s">
        <v>67</v>
      </c>
      <c r="C12" s="10">
        <v>51</v>
      </c>
      <c r="D12" s="9">
        <v>0.45132743362831856</v>
      </c>
    </row>
    <row r="13" spans="1:5">
      <c r="B13" s="11" t="s">
        <v>65</v>
      </c>
      <c r="C13" s="10">
        <v>16</v>
      </c>
      <c r="D13" s="9">
        <v>0.1415929203539823</v>
      </c>
    </row>
    <row r="14" spans="1:5">
      <c r="A14" s="12"/>
      <c r="B14" s="11" t="s">
        <v>66</v>
      </c>
      <c r="C14" s="10">
        <v>15</v>
      </c>
      <c r="D14" s="9">
        <v>0.13274336283185842</v>
      </c>
      <c r="E14" s="12"/>
    </row>
    <row r="15" spans="1:5">
      <c r="A15" s="12"/>
      <c r="B15" s="11" t="s">
        <v>64</v>
      </c>
      <c r="C15" s="10">
        <v>8</v>
      </c>
      <c r="D15" s="9">
        <v>7.0796460176991149E-2</v>
      </c>
      <c r="E15" s="12"/>
    </row>
    <row r="16" spans="1:5">
      <c r="B16" s="11" t="s">
        <v>63</v>
      </c>
      <c r="C16" s="10">
        <v>6</v>
      </c>
      <c r="D16" s="9">
        <v>5.3097345132743362E-2</v>
      </c>
    </row>
    <row r="17" spans="2:4">
      <c r="B17" s="11" t="s">
        <v>60</v>
      </c>
      <c r="C17" s="10">
        <v>5</v>
      </c>
      <c r="D17" s="9">
        <v>4.4247787610619468E-2</v>
      </c>
    </row>
    <row r="18" spans="2:4">
      <c r="B18" s="11" t="s">
        <v>59</v>
      </c>
      <c r="C18" s="10">
        <v>5</v>
      </c>
      <c r="D18" s="9">
        <v>4.4247787610619468E-2</v>
      </c>
    </row>
    <row r="19" spans="2:4">
      <c r="B19" s="11" t="s">
        <v>62</v>
      </c>
      <c r="C19" s="10">
        <v>4</v>
      </c>
      <c r="D19" s="9">
        <v>3.5398230088495575E-2</v>
      </c>
    </row>
    <row r="20" spans="2:4">
      <c r="B20" s="11" t="s">
        <v>61</v>
      </c>
      <c r="C20" s="10">
        <v>3</v>
      </c>
      <c r="D20" s="9">
        <v>2.6548672566371681E-2</v>
      </c>
    </row>
    <row r="21" spans="2:4">
      <c r="B21" s="8" t="s">
        <v>3</v>
      </c>
      <c r="C21" s="7">
        <v>113</v>
      </c>
      <c r="D21" s="6">
        <v>1</v>
      </c>
    </row>
    <row r="23" spans="2:4">
      <c r="B23" s="3" t="s">
        <v>96</v>
      </c>
    </row>
    <row r="24" spans="2:4">
      <c r="B24" s="5" t="s">
        <v>2</v>
      </c>
    </row>
    <row r="25" spans="2:4">
      <c r="B25" s="4" t="s">
        <v>1</v>
      </c>
    </row>
    <row r="26" spans="2:4">
      <c r="B26" s="3" t="s">
        <v>0</v>
      </c>
    </row>
    <row r="27" spans="2:4">
      <c r="B27" s="3" t="s">
        <v>97</v>
      </c>
    </row>
    <row r="28" spans="2:4">
      <c r="B28" s="3"/>
      <c r="C28"/>
      <c r="D28"/>
    </row>
    <row r="29" spans="2:4">
      <c r="B29" s="3"/>
      <c r="C29"/>
      <c r="D2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West Virginia_Edomexgral</vt:lpstr>
      <vt:lpstr>West Virginia_EDOMEX</vt:lpstr>
      <vt:lpstr>West Virginia_Educagral</vt:lpstr>
      <vt:lpstr>West Virginia_Eduedo</vt:lpstr>
      <vt:lpstr>West Virginia_gengral</vt:lpstr>
      <vt:lpstr>West Virginia_edomexgen</vt:lpstr>
      <vt:lpstr>West Virginia_edadgen</vt:lpstr>
      <vt:lpstr>West Virginia_ocupgral</vt:lpstr>
      <vt:lpstr>Índice!Área_de_impresión</vt:lpstr>
      <vt:lpstr>'West Virginia_edadgen'!Área_de_impresión</vt:lpstr>
      <vt:lpstr>'West Virginia_EDOMEX'!Área_de_impresión</vt:lpstr>
      <vt:lpstr>'West Virginia_edomexgen'!Área_de_impresión</vt:lpstr>
      <vt:lpstr>'West Virginia_Eduedo'!Área_de_impresión</vt:lpstr>
      <vt:lpstr>'West Virginia_edadgen'!Títulos_a_imprimir</vt:lpstr>
      <vt:lpstr>'West Virginia_EDOMEX'!Títulos_a_imprimir</vt:lpstr>
      <vt:lpstr>'West Virginia_edomexgen'!Títulos_a_imprimir</vt:lpstr>
      <vt:lpstr>'West Virginia_Edomexgral'!Títulos_a_imprimir</vt:lpstr>
      <vt:lpstr>'West Virginia_Educagral'!Títulos_a_imprimir</vt:lpstr>
      <vt:lpstr>'West Virginia_Eduedo'!Títulos_a_imprimir</vt:lpstr>
      <vt:lpstr>'West Virginia_gengral'!Títulos_a_imprimir</vt:lpstr>
      <vt:lpstr>'West Virginia_ocupgral'!Títulos_a_imprimir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2020-05-18T09:52:18Z</dcterms:created>
  <dcterms:modified xsi:type="dcterms:W3CDTF">2022-08-08T19:07:14Z</dcterms:modified>
</cp:coreProperties>
</file>