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sers\esoto\Documents\Analisisinfo2.7\Matrículas\Anual\Matrículas 2021\USA\Finales_USA\"/>
    </mc:Choice>
  </mc:AlternateContent>
  <bookViews>
    <workbookView xWindow="0" yWindow="0" windowWidth="11880" windowHeight="7320" tabRatio="819"/>
  </bookViews>
  <sheets>
    <sheet name="Índice" sheetId="1" r:id="rId1"/>
    <sheet name="Alaska_Edomexgral" sheetId="2" r:id="rId2"/>
    <sheet name="Alaska_EDOMEX" sheetId="11" r:id="rId3"/>
    <sheet name="Alaska_Educagral" sheetId="4" r:id="rId4"/>
    <sheet name="Alaska_Eduedo" sheetId="10" r:id="rId5"/>
    <sheet name="Alaska_gengral" sheetId="6" r:id="rId6"/>
    <sheet name="Alaska_edomexgen" sheetId="7" r:id="rId7"/>
    <sheet name="Alaska_edadgen" sheetId="8" r:id="rId8"/>
    <sheet name="Alaska_ocupgral" sheetId="9" r:id="rId9"/>
  </sheets>
  <definedNames>
    <definedName name="_xlnm._FilterDatabase" localSheetId="7" hidden="1">Alaska_edadgen!$B$9:$E$13</definedName>
    <definedName name="_xlnm._FilterDatabase" localSheetId="2" hidden="1">Alaska_EDOMEX!$B$9:$E$13</definedName>
    <definedName name="_xlnm._FilterDatabase" localSheetId="6" hidden="1">Alaska_edomexgen!$B$9:$E$12</definedName>
    <definedName name="_xlnm._FilterDatabase" localSheetId="1" hidden="1">Alaska_Edomexgral!$B$11:$D$12</definedName>
    <definedName name="_xlnm._FilterDatabase" localSheetId="3" hidden="1">Alaska_Educagral!$B$11:$D$12</definedName>
    <definedName name="_xlnm._FilterDatabase" localSheetId="4" hidden="1">Alaska_Eduedo!$B$9:$E$13</definedName>
    <definedName name="_xlnm._FilterDatabase" localSheetId="5" hidden="1">Alaska_gengral!$B$11:$D$12</definedName>
    <definedName name="_xlnm._FilterDatabase" localSheetId="8" hidden="1">Alaska_ocupgral!$B$11:$D$12</definedName>
    <definedName name="_xlnm.Print_Area" localSheetId="7">Alaska_edadgen!$A$1:$E$28</definedName>
    <definedName name="_xlnm.Print_Area" localSheetId="2">Alaska_EDOMEX!$A$1:$E$93</definedName>
    <definedName name="_xlnm.Print_Area" localSheetId="6">Alaska_edomexgen!$A$1:$E$65</definedName>
    <definedName name="_xlnm.Print_Area" localSheetId="4">Alaska_Eduedo!$A$1:$E$82</definedName>
    <definedName name="_xlnm.Print_Titles" localSheetId="7">Alaska_edadgen!$1:$9</definedName>
    <definedName name="_xlnm.Print_Titles" localSheetId="2">Alaska_EDOMEX!$1:$9</definedName>
    <definedName name="_xlnm.Print_Titles" localSheetId="6">Alaska_edomexgen!$1:$9</definedName>
    <definedName name="_xlnm.Print_Titles" localSheetId="1">Alaska_Edomexgral!$1:$11</definedName>
    <definedName name="_xlnm.Print_Titles" localSheetId="3">Alaska_Educagral!$1:$11</definedName>
    <definedName name="_xlnm.Print_Titles" localSheetId="4">Alaska_Eduedo!$1:$9</definedName>
    <definedName name="_xlnm.Print_Titles" localSheetId="5">Alaska_gengral!$1:$11</definedName>
    <definedName name="_xlnm.Print_Titles" localSheetId="8">Alaska_ocupgral!$1:$11</definedName>
  </definedNames>
  <calcPr calcId="152511"/>
</workbook>
</file>

<file path=xl/calcChain.xml><?xml version="1.0" encoding="utf-8"?>
<calcChain xmlns="http://schemas.openxmlformats.org/spreadsheetml/2006/main">
  <c r="D63" i="7" l="1"/>
  <c r="D101" i="11" l="1"/>
</calcChain>
</file>

<file path=xl/sharedStrings.xml><?xml version="1.0" encoding="utf-8"?>
<sst xmlns="http://schemas.openxmlformats.org/spreadsheetml/2006/main" count="432" uniqueCount="156">
  <si>
    <t xml:space="preserve">Da clic al texto para ir a la información, selecciona                 para regresar. </t>
  </si>
  <si>
    <t>1. Por Estados de la República Mexicana</t>
  </si>
  <si>
    <t>2. Por Municipio de origen</t>
  </si>
  <si>
    <t>2.1 Por estado de la República Mexicana y municipio de origen</t>
  </si>
  <si>
    <t>3. Por Nivel Educativo</t>
  </si>
  <si>
    <t>3.1 Educación general</t>
  </si>
  <si>
    <t>3.2 Por Estado de la República Mexicana</t>
  </si>
  <si>
    <t>4. Por Género</t>
  </si>
  <si>
    <t>4.1 Género General</t>
  </si>
  <si>
    <t>4.2 Por Estados de la República Mexicana</t>
  </si>
  <si>
    <t>5. Por estructura de Edad</t>
  </si>
  <si>
    <t>6.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</si>
  <si>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</si>
  <si>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</si>
  <si>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</si>
  <si>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</si>
  <si>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Puebla</t>
  </si>
  <si>
    <t>Nuevo León</t>
  </si>
  <si>
    <t>Colima</t>
  </si>
  <si>
    <t>Aguascalientes</t>
  </si>
  <si>
    <t>Nayarit</t>
  </si>
  <si>
    <t>Hidalgo</t>
  </si>
  <si>
    <t>Guanajuato</t>
  </si>
  <si>
    <t>Veracruz</t>
  </si>
  <si>
    <t>Ciudad de México</t>
  </si>
  <si>
    <t>Zacatecas</t>
  </si>
  <si>
    <t>Baja California</t>
  </si>
  <si>
    <t>Chihuahua</t>
  </si>
  <si>
    <t>Oaxaca</t>
  </si>
  <si>
    <t>Michoacán</t>
  </si>
  <si>
    <t>Jalisco</t>
  </si>
  <si>
    <t>Porcentaje de Matrículas</t>
  </si>
  <si>
    <t>Número de Matrículas</t>
  </si>
  <si>
    <t>Estado de Origen</t>
  </si>
  <si>
    <t>Cuauhtémoc</t>
  </si>
  <si>
    <t>Tierra Blanca</t>
  </si>
  <si>
    <t>Santiago Juxtlahuaca</t>
  </si>
  <si>
    <t>Zamora</t>
  </si>
  <si>
    <t>Tuxpan</t>
  </si>
  <si>
    <t>Morelia</t>
  </si>
  <si>
    <t>Charo</t>
  </si>
  <si>
    <t>Acuitzio</t>
  </si>
  <si>
    <t>Tequila</t>
  </si>
  <si>
    <t>Tepatitlán de Morelos</t>
  </si>
  <si>
    <t>Jalostotitlán</t>
  </si>
  <si>
    <t>Guadalajara</t>
  </si>
  <si>
    <t>Tulancingo de Bravo</t>
  </si>
  <si>
    <t>Cuautepec de Hinojosa</t>
  </si>
  <si>
    <t>Venustiano Carranza</t>
  </si>
  <si>
    <t>Iztacalco</t>
  </si>
  <si>
    <t>Delicias</t>
  </si>
  <si>
    <t>Tijuana</t>
  </si>
  <si>
    <t>Ensenada</t>
  </si>
  <si>
    <t>Municipio Origen</t>
  </si>
  <si>
    <t>Profesional Titulado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</si>
  <si>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</si>
  <si>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</si>
  <si>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</si>
  <si>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</si>
  <si>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</si>
  <si>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</si>
  <si>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</si>
  <si>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</si>
  <si>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</si>
  <si>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</si>
  <si>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</si>
  <si>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Sin Estudios</t>
  </si>
  <si>
    <t>Nivel de Estudios</t>
  </si>
  <si>
    <t>MATRÍCULAS CONSULARES EXPEDIDAS EN EL ESTADO DE ALASKA EN EE.UU. POR NIVEL DE EDUCACIÓN</t>
  </si>
  <si>
    <t>TOTAL</t>
  </si>
  <si>
    <t>MUJER</t>
  </si>
  <si>
    <t>HOMBRE</t>
  </si>
  <si>
    <t>Género</t>
  </si>
  <si>
    <t>Mujer</t>
  </si>
  <si>
    <t>Hombre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</si>
  <si>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</si>
  <si>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</si>
  <si>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</si>
  <si>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</si>
  <si>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</si>
  <si>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</si>
  <si>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Edad cumplida</t>
  </si>
  <si>
    <t>Otro</t>
  </si>
  <si>
    <t>Jubilado(a)</t>
  </si>
  <si>
    <t>Cocinero(a)</t>
  </si>
  <si>
    <t>Estudiante</t>
  </si>
  <si>
    <t>Hogar</t>
  </si>
  <si>
    <t>Empleado(a)</t>
  </si>
  <si>
    <t>Ocupación</t>
  </si>
  <si>
    <t>Profesional titulado</t>
  </si>
  <si>
    <t>Capacitación técnica</t>
  </si>
  <si>
    <t>MATRÍCULAS CONSULARES DE ALTA SEGURIDAD EXPEDIDAS EN EL ESTADO DE ALASKA EN EE.UU. POR ESTADO DE LA REPÚBLICA MEXICANA DURANTE EL 2021</t>
  </si>
  <si>
    <t>Estado de México</t>
  </si>
  <si>
    <t>Sonora</t>
  </si>
  <si>
    <t>Morelos</t>
  </si>
  <si>
    <t>Querétaro</t>
  </si>
  <si>
    <t>Tamaño de la muestra: 701,861</t>
  </si>
  <si>
    <t>Mayo de 2022</t>
  </si>
  <si>
    <t>Rincón de Romos</t>
  </si>
  <si>
    <t>Camargo</t>
  </si>
  <si>
    <t>Guachochi</t>
  </si>
  <si>
    <t>Hidalgo del Parral</t>
  </si>
  <si>
    <t>Coyoacán</t>
  </si>
  <si>
    <t>Iztapalapa</t>
  </si>
  <si>
    <t>Nezahualcóyotl</t>
  </si>
  <si>
    <t>Tlalnepantla de Baz</t>
  </si>
  <si>
    <t>Toluca</t>
  </si>
  <si>
    <t>Moroleón</t>
  </si>
  <si>
    <t>Silao de la Victoria</t>
  </si>
  <si>
    <t>Metepec</t>
  </si>
  <si>
    <t>Pachuca de Soto</t>
  </si>
  <si>
    <t>Tecozautla</t>
  </si>
  <si>
    <t>Chapala</t>
  </si>
  <si>
    <t>Ixtlahuacán de los Membrillos</t>
  </si>
  <si>
    <t>La Barca</t>
  </si>
  <si>
    <t>Magdalena</t>
  </si>
  <si>
    <t>Ojuelos de Jalisco</t>
  </si>
  <si>
    <t>San Julián</t>
  </si>
  <si>
    <t>Tala</t>
  </si>
  <si>
    <t>Tonalá</t>
  </si>
  <si>
    <t>Valle de Guadalupe</t>
  </si>
  <si>
    <t>Villa Purificación</t>
  </si>
  <si>
    <t>Churintzio</t>
  </si>
  <si>
    <t>Ecuandureo</t>
  </si>
  <si>
    <t>Sahuayo</t>
  </si>
  <si>
    <t>Cuernavaca</t>
  </si>
  <si>
    <t>Yautepec</t>
  </si>
  <si>
    <t>Bahía de Banderas</t>
  </si>
  <si>
    <t>Tepic</t>
  </si>
  <si>
    <t>Agualeguas</t>
  </si>
  <si>
    <t>Monterrey</t>
  </si>
  <si>
    <t>Heroica Ciudad de Huajuapan de León</t>
  </si>
  <si>
    <t>Oaxaca de Juárez</t>
  </si>
  <si>
    <t>Tlacolula de Matamoros</t>
  </si>
  <si>
    <t>Atlixco</t>
  </si>
  <si>
    <t>Quimixtlán</t>
  </si>
  <si>
    <t>San Andrés Cholula</t>
  </si>
  <si>
    <t>San Pedro Cholula</t>
  </si>
  <si>
    <t>Tehuacán</t>
  </si>
  <si>
    <t>Tolimán</t>
  </si>
  <si>
    <t>Cajeme</t>
  </si>
  <si>
    <t>Nacozari de García</t>
  </si>
  <si>
    <t>Amatlán de los Reyes</t>
  </si>
  <si>
    <t>Ignacio de la Llave</t>
  </si>
  <si>
    <t>Luis Moya</t>
  </si>
  <si>
    <t>Monte Escobedo</t>
  </si>
  <si>
    <t>Ojocaliente</t>
  </si>
  <si>
    <t>2° Primaria</t>
  </si>
  <si>
    <t>3° Primaria</t>
  </si>
  <si>
    <t>Profesional pasante</t>
  </si>
  <si>
    <t>MATRÍCULAS CONSULARES DE ALTA SEGURIDAD EXPEDIDAS EN EE.UU A MEXICANOS EN EL ESTADO DE ALASKA, POR GÉNERO 2021</t>
  </si>
  <si>
    <t>Más de 75 Años</t>
  </si>
  <si>
    <t>Campesino(a)</t>
  </si>
  <si>
    <t>Comerciante</t>
  </si>
  <si>
    <t>MATRÍCULAS CONSULARES DE ALTA SEGURIDAD EXPEDIDAS EN EE.UU A MEXICANOS EN EL ESTADO DE  ALASKA, POR PERFIL OCUPACIONAL 2021</t>
  </si>
  <si>
    <t>Matrículas consulares expedidas a mexicanos  en el estado de Alaska en el 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</si>
</sst>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7" fillId="0" borderId="0"/>
    <xf numFmtId="0" fontId="21" fillId="0" borderId="0"/>
  </cellStyleXfs>
  <cellXfs count="79">
    <xf numFmtId="0" fontId="0" fillId="0" borderId="0" xfId="0"/>
    <xf numFmtId="0" fontId="3" fillId="0" borderId="0" xfId="0" applyFont="1"/>
    <xf numFmtId="0" fontId="4" fillId="0" borderId="4" xfId="0" applyFont="1" applyBorder="1" applyAlignment="1">
      <alignment horizontal="left"/>
    </xf>
    <xf numFmtId="0" fontId="4" fillId="0" borderId="0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0" borderId="4" xfId="0" applyFont="1" applyBorder="1" applyAlignment="1">
      <alignment horizontal="left" wrapText="1"/>
    </xf>
    <xf numFmtId="0" fontId="4" fillId="0" borderId="0" xfId="0" applyFont="1" applyBorder="1" applyAlignment="1">
      <alignment horizontal="left" wrapText="1"/>
    </xf>
    <xf numFmtId="0" fontId="4" fillId="0" borderId="5" xfId="0" applyFont="1" applyBorder="1" applyAlignment="1">
      <alignment horizontal="left" wrapText="1"/>
    </xf>
    <xf numFmtId="0" fontId="4" fillId="0" borderId="4" xfId="0" applyFont="1" applyBorder="1" applyAlignment="1"/>
    <xf numFmtId="0" fontId="4" fillId="0" borderId="0" xfId="0" applyFont="1" applyBorder="1" applyAlignment="1"/>
    <xf numFmtId="0" fontId="4" fillId="0" borderId="5" xfId="0" applyFont="1" applyBorder="1" applyAlignment="1"/>
    <xf numFmtId="0" fontId="4" fillId="0" borderId="4" xfId="0" applyFont="1" applyBorder="1"/>
    <xf numFmtId="0" fontId="4" fillId="0" borderId="0" xfId="0" applyFont="1" applyBorder="1"/>
    <xf numFmtId="0" fontId="4" fillId="0" borderId="5" xfId="0" applyFont="1" applyBorder="1"/>
    <xf numFmtId="0" fontId="4" fillId="0" borderId="6" xfId="0" applyFont="1" applyBorder="1"/>
    <xf numFmtId="0" fontId="4" fillId="0" borderId="7" xfId="0" applyFont="1" applyBorder="1"/>
    <xf numFmtId="0" fontId="4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164" fontId="9" fillId="4" borderId="9" xfId="0" applyNumberFormat="1" applyFont="1" applyFill="1" applyBorder="1" applyAlignment="1">
      <alignment horizontal="right" vertical="top" wrapText="1"/>
    </xf>
    <xf numFmtId="3" fontId="9" fillId="4" borderId="9" xfId="0" applyNumberFormat="1" applyFont="1" applyFill="1" applyBorder="1" applyAlignment="1">
      <alignment horizontal="right" vertical="top" wrapText="1"/>
    </xf>
    <xf numFmtId="49" fontId="9" fillId="4" borderId="9" xfId="0" applyNumberFormat="1" applyFont="1" applyFill="1" applyBorder="1" applyAlignment="1">
      <alignment vertical="top" wrapText="1"/>
    </xf>
    <xf numFmtId="164" fontId="10" fillId="3" borderId="9" xfId="0" applyNumberFormat="1" applyFont="1" applyFill="1" applyBorder="1" applyAlignment="1">
      <alignment horizontal="right" vertical="top" wrapText="1"/>
    </xf>
    <xf numFmtId="3" fontId="10" fillId="3" borderId="9" xfId="0" applyNumberFormat="1" applyFont="1" applyFill="1" applyBorder="1" applyAlignment="1">
      <alignment horizontal="right" vertical="top" wrapText="1"/>
    </xf>
    <xf numFmtId="49" fontId="11" fillId="3" borderId="9" xfId="0" applyNumberFormat="1" applyFont="1" applyFill="1" applyBorder="1" applyAlignment="1">
      <alignment vertical="top" wrapText="1"/>
    </xf>
    <xf numFmtId="0" fontId="12" fillId="3" borderId="0" xfId="0" applyFont="1" applyFill="1"/>
    <xf numFmtId="0" fontId="13" fillId="0" borderId="0" xfId="0" applyFont="1"/>
    <xf numFmtId="0" fontId="9" fillId="2" borderId="10" xfId="0" applyFont="1" applyFill="1" applyBorder="1" applyAlignment="1">
      <alignment horizontal="center" vertical="center" wrapText="1"/>
    </xf>
    <xf numFmtId="1" fontId="9" fillId="2" borderId="10" xfId="0" applyNumberFormat="1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 wrapText="1"/>
    </xf>
    <xf numFmtId="3" fontId="13" fillId="0" borderId="0" xfId="0" applyNumberFormat="1" applyFont="1"/>
    <xf numFmtId="1" fontId="13" fillId="0" borderId="0" xfId="0" applyNumberFormat="1" applyFont="1"/>
    <xf numFmtId="0" fontId="16" fillId="3" borderId="0" xfId="0" applyFont="1" applyFill="1"/>
    <xf numFmtId="0" fontId="17" fillId="3" borderId="0" xfId="0" applyFont="1" applyFill="1"/>
    <xf numFmtId="0" fontId="18" fillId="0" borderId="0" xfId="0" applyFont="1" applyBorder="1"/>
    <xf numFmtId="0" fontId="18" fillId="0" borderId="0" xfId="0" applyFont="1" applyBorder="1" applyAlignment="1">
      <alignment vertical="top"/>
    </xf>
    <xf numFmtId="165" fontId="9" fillId="5" borderId="9" xfId="1" applyNumberFormat="1" applyFont="1" applyFill="1" applyBorder="1" applyAlignment="1">
      <alignment vertical="center" wrapText="1"/>
    </xf>
    <xf numFmtId="3" fontId="9" fillId="5" borderId="9" xfId="3" applyNumberFormat="1" applyFont="1" applyFill="1" applyBorder="1" applyAlignment="1">
      <alignment horizontal="right" vertical="center" wrapText="1"/>
    </xf>
    <xf numFmtId="49" fontId="9" fillId="5" borderId="9" xfId="3" applyNumberFormat="1" applyFont="1" applyFill="1" applyBorder="1" applyAlignment="1">
      <alignment vertical="center" wrapText="1"/>
    </xf>
    <xf numFmtId="164" fontId="19" fillId="3" borderId="9" xfId="3" applyNumberFormat="1" applyFont="1" applyFill="1" applyBorder="1" applyAlignment="1">
      <alignment horizontal="right" vertical="center" wrapText="1"/>
    </xf>
    <xf numFmtId="166" fontId="19" fillId="3" borderId="9" xfId="3" applyNumberFormat="1" applyFont="1" applyFill="1" applyBorder="1" applyAlignment="1">
      <alignment horizontal="right" vertical="center" wrapText="1"/>
    </xf>
    <xf numFmtId="49" fontId="19" fillId="3" borderId="9" xfId="3" applyNumberFormat="1" applyFont="1" applyFill="1" applyBorder="1" applyAlignment="1">
      <alignment vertical="center" wrapText="1"/>
    </xf>
    <xf numFmtId="0" fontId="20" fillId="3" borderId="0" xfId="0" applyFont="1" applyFill="1"/>
    <xf numFmtId="0" fontId="22" fillId="2" borderId="10" xfId="4" applyFont="1" applyFill="1" applyBorder="1" applyAlignment="1">
      <alignment horizontal="center" vertical="center" wrapText="1"/>
    </xf>
    <xf numFmtId="1" fontId="22" fillId="2" borderId="10" xfId="4" applyNumberFormat="1" applyFont="1" applyFill="1" applyBorder="1" applyAlignment="1">
      <alignment horizontal="center" vertical="center" wrapText="1"/>
    </xf>
    <xf numFmtId="0" fontId="9" fillId="2" borderId="10" xfId="4" applyFont="1" applyFill="1" applyBorder="1" applyAlignment="1">
      <alignment horizontal="center" vertical="center" wrapText="1"/>
    </xf>
    <xf numFmtId="0" fontId="13" fillId="3" borderId="0" xfId="0" applyFont="1" applyFill="1"/>
    <xf numFmtId="0" fontId="23" fillId="3" borderId="0" xfId="0" applyFont="1" applyFill="1" applyAlignment="1"/>
    <xf numFmtId="0" fontId="20" fillId="3" borderId="0" xfId="0" applyFont="1" applyFill="1" applyAlignment="1">
      <alignment vertical="center"/>
    </xf>
    <xf numFmtId="0" fontId="13" fillId="3" borderId="0" xfId="0" applyFont="1" applyFill="1" applyBorder="1"/>
    <xf numFmtId="3" fontId="13" fillId="3" borderId="0" xfId="0" applyNumberFormat="1" applyFont="1" applyFill="1" applyBorder="1"/>
    <xf numFmtId="1" fontId="13" fillId="3" borderId="0" xfId="0" applyNumberFormat="1" applyFont="1" applyFill="1" applyBorder="1"/>
    <xf numFmtId="0" fontId="20" fillId="3" borderId="0" xfId="0" applyFont="1" applyFill="1" applyBorder="1"/>
    <xf numFmtId="0" fontId="20" fillId="3" borderId="0" xfId="0" applyFont="1" applyFill="1" applyBorder="1" applyAlignment="1">
      <alignment vertical="center"/>
    </xf>
    <xf numFmtId="3" fontId="9" fillId="4" borderId="9" xfId="0" applyNumberFormat="1" applyFont="1" applyFill="1" applyBorder="1" applyAlignment="1">
      <alignment horizontal="right" vertical="center" wrapText="1"/>
    </xf>
    <xf numFmtId="164" fontId="9" fillId="4" borderId="9" xfId="0" applyNumberFormat="1" applyFont="1" applyFill="1" applyBorder="1" applyAlignment="1">
      <alignment horizontal="right" vertical="center" wrapText="1"/>
    </xf>
    <xf numFmtId="0" fontId="18" fillId="0" borderId="0" xfId="0" applyFont="1" applyAlignment="1">
      <alignment vertical="top"/>
    </xf>
    <xf numFmtId="0" fontId="18" fillId="0" borderId="0" xfId="0" applyFont="1" applyAlignment="1">
      <alignment horizontal="justify" vertical="center"/>
    </xf>
    <xf numFmtId="3" fontId="12" fillId="3" borderId="0" xfId="0" applyNumberFormat="1" applyFont="1" applyFill="1"/>
    <xf numFmtId="0" fontId="6" fillId="0" borderId="0" xfId="2" applyFont="1" applyBorder="1" applyAlignment="1">
      <alignment horizontal="left"/>
    </xf>
    <xf numFmtId="0" fontId="6" fillId="0" borderId="5" xfId="2" applyFont="1" applyBorder="1" applyAlignment="1">
      <alignment horizontal="left"/>
    </xf>
    <xf numFmtId="0" fontId="6" fillId="0" borderId="4" xfId="2" applyFont="1" applyBorder="1" applyAlignment="1">
      <alignment horizontal="left"/>
    </xf>
    <xf numFmtId="0" fontId="2" fillId="2" borderId="1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4" fillId="0" borderId="4" xfId="0" applyFont="1" applyBorder="1" applyAlignment="1">
      <alignment horizontal="left" wrapText="1"/>
    </xf>
    <xf numFmtId="0" fontId="4" fillId="0" borderId="0" xfId="0" applyFont="1" applyBorder="1" applyAlignment="1">
      <alignment horizontal="left" wrapText="1"/>
    </xf>
    <xf numFmtId="0" fontId="4" fillId="0" borderId="5" xfId="0" applyFont="1" applyBorder="1" applyAlignment="1">
      <alignment horizontal="left" wrapText="1"/>
    </xf>
    <xf numFmtId="0" fontId="15" fillId="0" borderId="0" xfId="0" applyFont="1" applyBorder="1" applyAlignment="1">
      <alignment horizontal="center" vertical="center" wrapText="1"/>
    </xf>
    <xf numFmtId="49" fontId="19" fillId="3" borderId="10" xfId="3" applyNumberFormat="1" applyFont="1" applyFill="1" applyBorder="1" applyAlignment="1">
      <alignment horizontal="center" vertical="center" wrapText="1"/>
    </xf>
    <xf numFmtId="49" fontId="19" fillId="3" borderId="15" xfId="3" applyNumberFormat="1" applyFont="1" applyFill="1" applyBorder="1" applyAlignment="1">
      <alignment horizontal="center" vertical="center" wrapText="1"/>
    </xf>
    <xf numFmtId="49" fontId="19" fillId="3" borderId="14" xfId="3" applyNumberFormat="1" applyFont="1" applyFill="1" applyBorder="1" applyAlignment="1">
      <alignment horizontal="center" vertical="center" wrapText="1"/>
    </xf>
    <xf numFmtId="49" fontId="9" fillId="4" borderId="13" xfId="0" applyNumberFormat="1" applyFont="1" applyFill="1" applyBorder="1" applyAlignment="1">
      <alignment horizontal="center" vertical="center" wrapText="1"/>
    </xf>
    <xf numFmtId="49" fontId="9" fillId="4" borderId="12" xfId="0" applyNumberFormat="1" applyFont="1" applyFill="1" applyBorder="1" applyAlignment="1">
      <alignment horizontal="center" vertical="center" wrapText="1"/>
    </xf>
    <xf numFmtId="0" fontId="12" fillId="3" borderId="0" xfId="0" applyFont="1" applyFill="1" applyAlignment="1">
      <alignment horizontal="center" wrapText="1"/>
    </xf>
  </cellXfs>
  <cellStyles count="5">
    <cellStyle name="Hipervínculo" xfId="2" builtinId="8"/>
    <cellStyle name="Normal" xfId="0" builtinId="0"/>
    <cellStyle name="Normal 2" xfId="3"/>
    <cellStyle name="Normal_Hoja1" xfId="4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456584</xdr:colOff>
      <xdr:row>1</xdr:row>
      <xdr:rowOff>232292</xdr:rowOff>
    </xdr:from>
    <xdr:to>
      <xdr:col>3</xdr:col>
      <xdr:colOff>968681</xdr:colOff>
      <xdr:row>2</xdr:row>
      <xdr:rowOff>222768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80809" y="765692"/>
          <a:ext cx="512097" cy="2286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oneCellAnchor>
    <xdr:from>
      <xdr:col>3</xdr:col>
      <xdr:colOff>818029</xdr:colOff>
      <xdr:row>16</xdr:row>
      <xdr:rowOff>0</xdr:rowOff>
    </xdr:from>
    <xdr:ext cx="184731" cy="264560"/>
    <xdr:sp macro="" textlink="">
      <xdr:nvSpPr>
        <xdr:cNvPr id="3" name="2 CuadroTexto"/>
        <xdr:cNvSpPr txBox="1"/>
      </xdr:nvSpPr>
      <xdr:spPr>
        <a:xfrm>
          <a:off x="4146176" y="3417794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ALASKA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8</xdr:row>
      <xdr:rowOff>19050</xdr:rowOff>
    </xdr:from>
    <xdr:to>
      <xdr:col>5</xdr:col>
      <xdr:colOff>92997</xdr:colOff>
      <xdr:row>8</xdr:row>
      <xdr:rowOff>209551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29150" y="173355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ESTADO DE ALASKA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5657435" cy="10774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ALASKA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8403" y="2028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65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532086</xdr:colOff>
      <xdr:row>7</xdr:row>
      <xdr:rowOff>131379</xdr:rowOff>
    </xdr:from>
    <xdr:to>
      <xdr:col>4</xdr:col>
      <xdr:colOff>1044183</xdr:colOff>
      <xdr:row>7</xdr:row>
      <xdr:rowOff>310674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70761" y="1874454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ALASKA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95250</xdr:colOff>
      <xdr:row>8</xdr:row>
      <xdr:rowOff>0</xdr:rowOff>
    </xdr:from>
    <xdr:to>
      <xdr:col>4</xdr:col>
      <xdr:colOff>607347</xdr:colOff>
      <xdr:row>8</xdr:row>
      <xdr:rowOff>190501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114925" y="17145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 ALASKA, POR NIVEL DE EDUCACIÓN Y ESTADO DE LA REPÚBLICA, DURANTE EL 2021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ALASKA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491290</xdr:colOff>
      <xdr:row>7</xdr:row>
      <xdr:rowOff>120315</xdr:rowOff>
    </xdr:from>
    <xdr:to>
      <xdr:col>4</xdr:col>
      <xdr:colOff>1003387</xdr:colOff>
      <xdr:row>7</xdr:row>
      <xdr:rowOff>310816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25790" y="1453815"/>
          <a:ext cx="512097" cy="6667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ALASKA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19050</xdr:rowOff>
    </xdr:from>
    <xdr:to>
      <xdr:col>5</xdr:col>
      <xdr:colOff>83472</xdr:colOff>
      <xdr:row>8</xdr:row>
      <xdr:rowOff>209551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73355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ALASKA,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ALASKA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505408</xdr:colOff>
      <xdr:row>7</xdr:row>
      <xdr:rowOff>116633</xdr:rowOff>
    </xdr:from>
    <xdr:to>
      <xdr:col>4</xdr:col>
      <xdr:colOff>1017505</xdr:colOff>
      <xdr:row>7</xdr:row>
      <xdr:rowOff>311022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1275" y="1866123"/>
          <a:ext cx="512097" cy="194389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ALASKA,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ALASKA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533400</xdr:colOff>
      <xdr:row>7</xdr:row>
      <xdr:rowOff>133350</xdr:rowOff>
    </xdr:from>
    <xdr:to>
      <xdr:col>4</xdr:col>
      <xdr:colOff>1045497</xdr:colOff>
      <xdr:row>7</xdr:row>
      <xdr:rowOff>323851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72075" y="1876425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ALASKA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523875</xdr:colOff>
      <xdr:row>7</xdr:row>
      <xdr:rowOff>85725</xdr:rowOff>
    </xdr:from>
    <xdr:to>
      <xdr:col>6</xdr:col>
      <xdr:colOff>35847</xdr:colOff>
      <xdr:row>8</xdr:row>
      <xdr:rowOff>85726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953000" y="1609725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showGridLines="0" tabSelected="1" view="pageBreakPreview" zoomScaleNormal="100" zoomScaleSheetLayoutView="100" workbookViewId="0">
      <selection activeCell="A6" sqref="A6:D6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8.85546875" style="1" customWidth="1"/>
    <col min="5" max="16384" width="11.42578125" style="1"/>
  </cols>
  <sheetData>
    <row r="1" spans="1:4" ht="42" customHeight="1" thickBot="1">
      <c r="A1" s="66" t="s">
        <v>155</v>
      </c>
      <c r="B1" s="67"/>
      <c r="C1" s="67"/>
      <c r="D1" s="68"/>
    </row>
    <row r="2" spans="1:4" ht="18.75">
      <c r="A2" s="2"/>
      <c r="B2" s="3"/>
      <c r="C2" s="3"/>
      <c r="D2" s="4"/>
    </row>
    <row r="3" spans="1:4">
      <c r="A3" s="69" t="s">
        <v>0</v>
      </c>
      <c r="B3" s="70"/>
      <c r="C3" s="70"/>
      <c r="D3" s="71"/>
    </row>
    <row r="4" spans="1:4">
      <c r="A4" s="69"/>
      <c r="B4" s="70"/>
      <c r="C4" s="70"/>
      <c r="D4" s="71"/>
    </row>
    <row r="5" spans="1:4" ht="18.75">
      <c r="A5" s="5"/>
      <c r="B5" s="6"/>
      <c r="C5" s="6"/>
      <c r="D5" s="7"/>
    </row>
    <row r="6" spans="1:4" ht="18.75">
      <c r="A6" s="65" t="s">
        <v>1</v>
      </c>
      <c r="B6" s="63"/>
      <c r="C6" s="63"/>
      <c r="D6" s="64"/>
    </row>
    <row r="7" spans="1:4" ht="18.75">
      <c r="A7" s="8"/>
      <c r="B7" s="9"/>
      <c r="C7" s="9"/>
      <c r="D7" s="10"/>
    </row>
    <row r="8" spans="1:4" ht="18.75">
      <c r="A8" s="11" t="s">
        <v>2</v>
      </c>
      <c r="B8" s="12"/>
      <c r="C8" s="12"/>
      <c r="D8" s="13"/>
    </row>
    <row r="9" spans="1:4" ht="18.75">
      <c r="A9" s="11"/>
      <c r="B9" s="63" t="s">
        <v>3</v>
      </c>
      <c r="C9" s="63"/>
      <c r="D9" s="64"/>
    </row>
    <row r="10" spans="1:4" ht="18.75">
      <c r="A10" s="11" t="s">
        <v>4</v>
      </c>
      <c r="B10" s="12"/>
      <c r="C10" s="12"/>
      <c r="D10" s="13"/>
    </row>
    <row r="11" spans="1:4" ht="18.75">
      <c r="A11" s="11"/>
      <c r="B11" s="63" t="s">
        <v>5</v>
      </c>
      <c r="C11" s="63"/>
      <c r="D11" s="64"/>
    </row>
    <row r="12" spans="1:4" ht="18.75">
      <c r="A12" s="11"/>
      <c r="B12" s="63" t="s">
        <v>6</v>
      </c>
      <c r="C12" s="63"/>
      <c r="D12" s="64"/>
    </row>
    <row r="13" spans="1:4" ht="18.75">
      <c r="A13" s="11"/>
      <c r="B13" s="12"/>
      <c r="C13" s="12"/>
      <c r="D13" s="13"/>
    </row>
    <row r="14" spans="1:4" ht="18.75">
      <c r="A14" s="11" t="s">
        <v>7</v>
      </c>
      <c r="B14" s="12"/>
      <c r="C14" s="12"/>
      <c r="D14" s="13"/>
    </row>
    <row r="15" spans="1:4" ht="18.75">
      <c r="A15" s="11"/>
      <c r="B15" s="63" t="s">
        <v>8</v>
      </c>
      <c r="C15" s="63"/>
      <c r="D15" s="64"/>
    </row>
    <row r="16" spans="1:4" ht="18.75">
      <c r="A16" s="11"/>
      <c r="B16" s="63" t="s">
        <v>9</v>
      </c>
      <c r="C16" s="63"/>
      <c r="D16" s="64"/>
    </row>
    <row r="17" spans="1:4" ht="18.75">
      <c r="A17" s="11"/>
      <c r="B17" s="12"/>
      <c r="C17" s="12"/>
      <c r="D17" s="13"/>
    </row>
    <row r="18" spans="1:4" ht="18.75">
      <c r="A18" s="65" t="s">
        <v>10</v>
      </c>
      <c r="B18" s="63"/>
      <c r="C18" s="63"/>
      <c r="D18" s="64"/>
    </row>
    <row r="19" spans="1:4" ht="18.75">
      <c r="A19" s="11"/>
      <c r="B19" s="12"/>
      <c r="C19" s="12"/>
      <c r="D19" s="13"/>
    </row>
    <row r="20" spans="1:4" ht="18.75">
      <c r="A20" s="65" t="s">
        <v>11</v>
      </c>
      <c r="B20" s="63"/>
      <c r="C20" s="63"/>
      <c r="D20" s="64"/>
    </row>
    <row r="21" spans="1:4" ht="19.5" thickBot="1">
      <c r="A21" s="14"/>
      <c r="B21" s="15"/>
      <c r="C21" s="15"/>
      <c r="D21" s="16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9:D9"/>
    <mergeCell ref="B11:D11"/>
    <mergeCell ref="B12:D12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Alaska_Edomexgral!A1" display="1. Por Estados de la República Mexicana"/>
    <hyperlink ref="B9" location="Alabama_EDOMEX!Área_de_impresión" display="2.1 Por estado de la República Mexicana y municipio de origen"/>
    <hyperlink ref="B11:D11" location="Alaska_Educagral!A1" display="3.1 Educación general"/>
    <hyperlink ref="B12:D12" location="Alaska_Eduedo!A1" display="3.2 Por Estado de la República Mexicana"/>
    <hyperlink ref="B15:D15" location="Alaska_gengral!A1" display="4.1 Género General"/>
    <hyperlink ref="B16:D16" location="Alaska_edomexgen!A1" display="4.2 Por Estados de la República Mexicana"/>
    <hyperlink ref="A18:D18" location="Alaska_edadgen!A1" display="5. Por estructura de Edad"/>
    <hyperlink ref="A20:D20" location="Alaska_ocupgral!A1" display="6. Por Ocupación"/>
    <hyperlink ref="B9:D9" location="Alaska_EDOMEX!A1" display="2.1 Por estado de la República Mexicana y municipio de orige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  <pageSetUpPr fitToPage="1"/>
  </sheetPr>
  <dimension ref="B1:D37"/>
  <sheetViews>
    <sheetView showGridLines="0" topLeftCell="A19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2:4" s="29" customFormat="1" ht="15" customHeight="1">
      <c r="C1" s="35"/>
    </row>
    <row r="2" spans="2:4" s="29" customFormat="1" ht="15" customHeight="1">
      <c r="C2" s="35"/>
    </row>
    <row r="3" spans="2:4" s="29" customFormat="1" ht="15" customHeight="1">
      <c r="C3" s="35"/>
    </row>
    <row r="4" spans="2:4" s="29" customFormat="1" ht="30" customHeight="1">
      <c r="C4" s="35"/>
      <c r="D4" s="34"/>
    </row>
    <row r="5" spans="2:4" s="29" customFormat="1" ht="15" customHeight="1">
      <c r="C5" s="35"/>
      <c r="D5" s="34"/>
    </row>
    <row r="6" spans="2:4" s="29" customFormat="1" ht="15" customHeight="1">
      <c r="C6" s="35"/>
      <c r="D6" s="34"/>
    </row>
    <row r="7" spans="2:4" s="29" customFormat="1" ht="15" customHeight="1">
      <c r="B7" s="72" t="s">
        <v>91</v>
      </c>
      <c r="C7" s="72"/>
      <c r="D7" s="72"/>
    </row>
    <row r="8" spans="2:4" s="29" customFormat="1" ht="15" customHeight="1">
      <c r="B8" s="72"/>
      <c r="C8" s="72"/>
      <c r="D8" s="72"/>
    </row>
    <row r="9" spans="2:4" s="29" customFormat="1" ht="33" customHeight="1">
      <c r="B9" s="72"/>
      <c r="C9" s="72"/>
      <c r="D9" s="72"/>
    </row>
    <row r="10" spans="2:4" s="29" customFormat="1" ht="4.5" customHeight="1">
      <c r="B10" s="33"/>
      <c r="C10" s="33"/>
      <c r="D10" s="33"/>
    </row>
    <row r="11" spans="2:4" s="29" customFormat="1" ht="33" customHeight="1">
      <c r="B11" s="32" t="s">
        <v>33</v>
      </c>
      <c r="C11" s="31" t="s">
        <v>32</v>
      </c>
      <c r="D11" s="30" t="s">
        <v>31</v>
      </c>
    </row>
    <row r="12" spans="2:4" ht="15" customHeight="1">
      <c r="B12" s="27" t="s">
        <v>30</v>
      </c>
      <c r="C12" s="26">
        <v>39</v>
      </c>
      <c r="D12" s="25">
        <v>0.26530612244897961</v>
      </c>
    </row>
    <row r="13" spans="2:4">
      <c r="B13" s="27" t="s">
        <v>25</v>
      </c>
      <c r="C13" s="26">
        <v>18</v>
      </c>
      <c r="D13" s="25">
        <v>0.12244897959183673</v>
      </c>
    </row>
    <row r="14" spans="2:4" s="28" customFormat="1">
      <c r="B14" s="27" t="s">
        <v>28</v>
      </c>
      <c r="C14" s="26">
        <v>16</v>
      </c>
      <c r="D14" s="25">
        <v>0.10884353741496598</v>
      </c>
    </row>
    <row r="15" spans="2:4" s="28" customFormat="1">
      <c r="B15" s="27" t="s">
        <v>24</v>
      </c>
      <c r="C15" s="26">
        <v>12</v>
      </c>
      <c r="D15" s="25">
        <v>8.1632653061224483E-2</v>
      </c>
    </row>
    <row r="16" spans="2:4">
      <c r="B16" s="27" t="s">
        <v>29</v>
      </c>
      <c r="C16" s="26">
        <v>10</v>
      </c>
      <c r="D16" s="25">
        <v>6.8027210884353748E-2</v>
      </c>
    </row>
    <row r="17" spans="2:4">
      <c r="B17" s="27" t="s">
        <v>21</v>
      </c>
      <c r="C17" s="26">
        <v>9</v>
      </c>
      <c r="D17" s="25">
        <v>6.1224489795918366E-2</v>
      </c>
    </row>
    <row r="18" spans="2:4">
      <c r="B18" s="27" t="s">
        <v>27</v>
      </c>
      <c r="C18" s="26">
        <v>7</v>
      </c>
      <c r="D18" s="25">
        <v>4.7619047619047616E-2</v>
      </c>
    </row>
    <row r="19" spans="2:4">
      <c r="B19" s="27" t="s">
        <v>16</v>
      </c>
      <c r="C19" s="26">
        <v>6</v>
      </c>
      <c r="D19" s="25">
        <v>4.0816326530612242E-2</v>
      </c>
    </row>
    <row r="20" spans="2:4">
      <c r="B20" s="27" t="s">
        <v>20</v>
      </c>
      <c r="C20" s="26">
        <v>4</v>
      </c>
      <c r="D20" s="25">
        <v>2.7210884353741496E-2</v>
      </c>
    </row>
    <row r="21" spans="2:4">
      <c r="B21" s="27" t="s">
        <v>17</v>
      </c>
      <c r="C21" s="26">
        <v>4</v>
      </c>
      <c r="D21" s="25">
        <v>2.7210884353741496E-2</v>
      </c>
    </row>
    <row r="22" spans="2:4">
      <c r="B22" s="27" t="s">
        <v>19</v>
      </c>
      <c r="C22" s="26">
        <v>3</v>
      </c>
      <c r="D22" s="25">
        <v>2.0408163265306121E-2</v>
      </c>
    </row>
    <row r="23" spans="2:4">
      <c r="B23" s="27" t="s">
        <v>26</v>
      </c>
      <c r="C23" s="26">
        <v>3</v>
      </c>
      <c r="D23" s="25">
        <v>2.0408163265306121E-2</v>
      </c>
    </row>
    <row r="24" spans="2:4">
      <c r="B24" s="27" t="s">
        <v>92</v>
      </c>
      <c r="C24" s="26">
        <v>3</v>
      </c>
      <c r="D24" s="25">
        <v>2.0408163265306121E-2</v>
      </c>
    </row>
    <row r="25" spans="2:4">
      <c r="B25" s="27" t="s">
        <v>93</v>
      </c>
      <c r="C25" s="26">
        <v>3</v>
      </c>
      <c r="D25" s="25">
        <v>2.0408163265306121E-2</v>
      </c>
    </row>
    <row r="26" spans="2:4">
      <c r="B26" s="27" t="s">
        <v>23</v>
      </c>
      <c r="C26" s="26">
        <v>3</v>
      </c>
      <c r="D26" s="25">
        <v>2.0408163265306121E-2</v>
      </c>
    </row>
    <row r="27" spans="2:4">
      <c r="B27" s="27" t="s">
        <v>22</v>
      </c>
      <c r="C27" s="26">
        <v>2</v>
      </c>
      <c r="D27" s="25">
        <v>1.3605442176870748E-2</v>
      </c>
    </row>
    <row r="28" spans="2:4">
      <c r="B28" s="27" t="s">
        <v>94</v>
      </c>
      <c r="C28" s="26">
        <v>2</v>
      </c>
      <c r="D28" s="25">
        <v>1.3605442176870748E-2</v>
      </c>
    </row>
    <row r="29" spans="2:4">
      <c r="B29" s="27" t="s">
        <v>95</v>
      </c>
      <c r="C29" s="26">
        <v>2</v>
      </c>
      <c r="D29" s="25">
        <v>1.3605442176870748E-2</v>
      </c>
    </row>
    <row r="30" spans="2:4">
      <c r="B30" s="27" t="s">
        <v>18</v>
      </c>
      <c r="C30" s="26">
        <v>1</v>
      </c>
      <c r="D30" s="25">
        <v>6.8027210884353739E-3</v>
      </c>
    </row>
    <row r="31" spans="2:4">
      <c r="B31" s="24" t="s">
        <v>15</v>
      </c>
      <c r="C31" s="23">
        <v>147</v>
      </c>
      <c r="D31" s="22">
        <v>1</v>
      </c>
    </row>
    <row r="33" spans="2:2">
      <c r="B33" s="19" t="s">
        <v>96</v>
      </c>
    </row>
    <row r="34" spans="2:2">
      <c r="B34" s="21" t="s">
        <v>14</v>
      </c>
    </row>
    <row r="35" spans="2:2">
      <c r="B35" s="20" t="s">
        <v>13</v>
      </c>
    </row>
    <row r="36" spans="2:2">
      <c r="B36" s="19" t="s">
        <v>12</v>
      </c>
    </row>
    <row r="37" spans="2:2">
      <c r="B37" s="19" t="s">
        <v>97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488"/>
  <sheetViews>
    <sheetView showGridLines="0" topLeftCell="A74" zoomScaleNormal="100" zoomScaleSheetLayoutView="100" workbookViewId="0">
      <selection activeCell="B10" sqref="B10:B12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78"/>
      <c r="C7" s="78"/>
      <c r="D7" s="78"/>
      <c r="E7" s="78"/>
    </row>
    <row r="8" spans="1:5" s="50" customFormat="1" ht="33" customHeight="1">
      <c r="A8" s="51"/>
      <c r="B8" s="78"/>
      <c r="C8" s="78"/>
      <c r="D8" s="78"/>
      <c r="E8" s="78"/>
    </row>
    <row r="9" spans="1:5" s="29" customFormat="1" ht="40.5" customHeight="1">
      <c r="B9" s="47" t="s">
        <v>33</v>
      </c>
      <c r="C9" s="49" t="s">
        <v>53</v>
      </c>
      <c r="D9" s="48" t="s">
        <v>32</v>
      </c>
      <c r="E9" s="47" t="s">
        <v>31</v>
      </c>
    </row>
    <row r="10" spans="1:5" ht="15" customHeight="1">
      <c r="B10" s="73" t="s">
        <v>19</v>
      </c>
      <c r="C10" s="45" t="s">
        <v>19</v>
      </c>
      <c r="D10" s="44">
        <v>2</v>
      </c>
      <c r="E10" s="43">
        <v>1.3605442176870748E-2</v>
      </c>
    </row>
    <row r="11" spans="1:5" ht="15" customHeight="1">
      <c r="B11" s="74"/>
      <c r="C11" s="45" t="s">
        <v>98</v>
      </c>
      <c r="D11" s="44">
        <v>1</v>
      </c>
      <c r="E11" s="43">
        <v>6.8027210884353739E-3</v>
      </c>
    </row>
    <row r="12" spans="1:5" ht="15" customHeight="1">
      <c r="B12" s="75"/>
      <c r="C12" s="42" t="s">
        <v>15</v>
      </c>
      <c r="D12" s="41">
        <v>3</v>
      </c>
      <c r="E12" s="40">
        <v>2.0408163265306121E-2</v>
      </c>
    </row>
    <row r="13" spans="1:5" ht="15" customHeight="1">
      <c r="B13" s="73" t="s">
        <v>26</v>
      </c>
      <c r="C13" s="45" t="s">
        <v>52</v>
      </c>
      <c r="D13" s="44">
        <v>2</v>
      </c>
      <c r="E13" s="43">
        <v>1.3605442176870748E-2</v>
      </c>
    </row>
    <row r="14" spans="1:5" ht="15" customHeight="1">
      <c r="B14" s="74"/>
      <c r="C14" s="45" t="s">
        <v>51</v>
      </c>
      <c r="D14" s="44">
        <v>1</v>
      </c>
      <c r="E14" s="43">
        <v>6.8027210884353739E-3</v>
      </c>
    </row>
    <row r="15" spans="1:5" s="46" customFormat="1" ht="15" customHeight="1">
      <c r="B15" s="75"/>
      <c r="C15" s="42" t="s">
        <v>15</v>
      </c>
      <c r="D15" s="41">
        <v>3</v>
      </c>
      <c r="E15" s="40">
        <v>2.0408163265306121E-2</v>
      </c>
    </row>
    <row r="16" spans="1:5" s="46" customFormat="1" ht="15" customHeight="1">
      <c r="B16" s="73" t="s">
        <v>27</v>
      </c>
      <c r="C16" s="45" t="s">
        <v>99</v>
      </c>
      <c r="D16" s="44">
        <v>1</v>
      </c>
      <c r="E16" s="43">
        <v>6.8027210884353739E-3</v>
      </c>
    </row>
    <row r="17" spans="2:5" s="46" customFormat="1" ht="15" customHeight="1">
      <c r="B17" s="74"/>
      <c r="C17" s="45" t="s">
        <v>27</v>
      </c>
      <c r="D17" s="44">
        <v>1</v>
      </c>
      <c r="E17" s="43">
        <v>6.8027210884353739E-3</v>
      </c>
    </row>
    <row r="18" spans="2:5" s="46" customFormat="1" ht="15" customHeight="1">
      <c r="B18" s="74"/>
      <c r="C18" s="45" t="s">
        <v>50</v>
      </c>
      <c r="D18" s="44">
        <v>3</v>
      </c>
      <c r="E18" s="43">
        <v>2.0408163265306121E-2</v>
      </c>
    </row>
    <row r="19" spans="2:5" s="46" customFormat="1" ht="15" customHeight="1">
      <c r="B19" s="74"/>
      <c r="C19" s="45" t="s">
        <v>100</v>
      </c>
      <c r="D19" s="44">
        <v>1</v>
      </c>
      <c r="E19" s="43">
        <v>6.8027210884353739E-3</v>
      </c>
    </row>
    <row r="20" spans="2:5" ht="15" customHeight="1">
      <c r="B20" s="74"/>
      <c r="C20" s="45" t="s">
        <v>101</v>
      </c>
      <c r="D20" s="44">
        <v>1</v>
      </c>
      <c r="E20" s="43">
        <v>6.8027210884353739E-3</v>
      </c>
    </row>
    <row r="21" spans="2:5" ht="15" customHeight="1">
      <c r="B21" s="75"/>
      <c r="C21" s="42" t="s">
        <v>15</v>
      </c>
      <c r="D21" s="41">
        <v>7</v>
      </c>
      <c r="E21" s="40">
        <v>4.7619047619047616E-2</v>
      </c>
    </row>
    <row r="22" spans="2:5" ht="15" customHeight="1">
      <c r="B22" s="73" t="s">
        <v>18</v>
      </c>
      <c r="C22" s="45" t="s">
        <v>34</v>
      </c>
      <c r="D22" s="44">
        <v>1</v>
      </c>
      <c r="E22" s="43">
        <v>6.8027210884353739E-3</v>
      </c>
    </row>
    <row r="23" spans="2:5" ht="15" customHeight="1">
      <c r="B23" s="75"/>
      <c r="C23" s="42" t="s">
        <v>15</v>
      </c>
      <c r="D23" s="41">
        <v>1</v>
      </c>
      <c r="E23" s="40">
        <v>6.8027210884353739E-3</v>
      </c>
    </row>
    <row r="24" spans="2:5" ht="15" customHeight="1">
      <c r="B24" s="73" t="s">
        <v>24</v>
      </c>
      <c r="C24" s="45" t="s">
        <v>102</v>
      </c>
      <c r="D24" s="44">
        <v>1</v>
      </c>
      <c r="E24" s="43">
        <v>6.8027210884353739E-3</v>
      </c>
    </row>
    <row r="25" spans="2:5" ht="15" customHeight="1">
      <c r="B25" s="74"/>
      <c r="C25" s="45" t="s">
        <v>49</v>
      </c>
      <c r="D25" s="44">
        <v>3</v>
      </c>
      <c r="E25" s="43">
        <v>2.0408163265306121E-2</v>
      </c>
    </row>
    <row r="26" spans="2:5" ht="15" customHeight="1">
      <c r="B26" s="74"/>
      <c r="C26" s="45" t="s">
        <v>103</v>
      </c>
      <c r="D26" s="44">
        <v>2</v>
      </c>
      <c r="E26" s="43">
        <v>1.3605442176870748E-2</v>
      </c>
    </row>
    <row r="27" spans="2:5" ht="15" customHeight="1">
      <c r="B27" s="74"/>
      <c r="C27" s="45" t="s">
        <v>48</v>
      </c>
      <c r="D27" s="44">
        <v>6</v>
      </c>
      <c r="E27" s="43">
        <v>4.0816326530612242E-2</v>
      </c>
    </row>
    <row r="28" spans="2:5" ht="15" customHeight="1">
      <c r="B28" s="75"/>
      <c r="C28" s="42" t="s">
        <v>15</v>
      </c>
      <c r="D28" s="41">
        <v>12</v>
      </c>
      <c r="E28" s="40">
        <v>8.1632653061224483E-2</v>
      </c>
    </row>
    <row r="29" spans="2:5" ht="15" customHeight="1">
      <c r="B29" s="73" t="s">
        <v>92</v>
      </c>
      <c r="C29" s="45" t="s">
        <v>104</v>
      </c>
      <c r="D29" s="44">
        <v>1</v>
      </c>
      <c r="E29" s="43">
        <v>6.8027210884353739E-3</v>
      </c>
    </row>
    <row r="30" spans="2:5" ht="15" customHeight="1">
      <c r="B30" s="74"/>
      <c r="C30" s="45" t="s">
        <v>105</v>
      </c>
      <c r="D30" s="44">
        <v>1</v>
      </c>
      <c r="E30" s="43">
        <v>6.8027210884353739E-3</v>
      </c>
    </row>
    <row r="31" spans="2:5" ht="15" customHeight="1">
      <c r="B31" s="74"/>
      <c r="C31" s="45" t="s">
        <v>106</v>
      </c>
      <c r="D31" s="44">
        <v>1</v>
      </c>
      <c r="E31" s="43">
        <v>6.8027210884353739E-3</v>
      </c>
    </row>
    <row r="32" spans="2:5" ht="15" customHeight="1">
      <c r="B32" s="75"/>
      <c r="C32" s="42" t="s">
        <v>15</v>
      </c>
      <c r="D32" s="41">
        <v>3</v>
      </c>
      <c r="E32" s="40">
        <v>2.0408163265306121E-2</v>
      </c>
    </row>
    <row r="33" spans="2:5" ht="15" customHeight="1">
      <c r="B33" s="73" t="s">
        <v>22</v>
      </c>
      <c r="C33" s="45" t="s">
        <v>107</v>
      </c>
      <c r="D33" s="44">
        <v>1</v>
      </c>
      <c r="E33" s="43">
        <v>6.8027210884353739E-3</v>
      </c>
    </row>
    <row r="34" spans="2:5" ht="15" customHeight="1">
      <c r="B34" s="74"/>
      <c r="C34" s="45" t="s">
        <v>108</v>
      </c>
      <c r="D34" s="44">
        <v>1</v>
      </c>
      <c r="E34" s="43">
        <v>6.8027210884353739E-3</v>
      </c>
    </row>
    <row r="35" spans="2:5" ht="15" customHeight="1">
      <c r="B35" s="75"/>
      <c r="C35" s="42" t="s">
        <v>15</v>
      </c>
      <c r="D35" s="41">
        <v>2</v>
      </c>
      <c r="E35" s="40">
        <v>1.3605442176870748E-2</v>
      </c>
    </row>
    <row r="36" spans="2:5" ht="15" customHeight="1">
      <c r="B36" s="73" t="s">
        <v>21</v>
      </c>
      <c r="C36" s="45" t="s">
        <v>47</v>
      </c>
      <c r="D36" s="44">
        <v>1</v>
      </c>
      <c r="E36" s="43">
        <v>6.8027210884353739E-3</v>
      </c>
    </row>
    <row r="37" spans="2:5" ht="15" customHeight="1">
      <c r="B37" s="74"/>
      <c r="C37" s="45" t="s">
        <v>109</v>
      </c>
      <c r="D37" s="44">
        <v>1</v>
      </c>
      <c r="E37" s="43">
        <v>6.8027210884353739E-3</v>
      </c>
    </row>
    <row r="38" spans="2:5" ht="15" customHeight="1">
      <c r="B38" s="74"/>
      <c r="C38" s="45" t="s">
        <v>110</v>
      </c>
      <c r="D38" s="44">
        <v>1</v>
      </c>
      <c r="E38" s="43">
        <v>6.8027210884353739E-3</v>
      </c>
    </row>
    <row r="39" spans="2:5" ht="15" customHeight="1">
      <c r="B39" s="74"/>
      <c r="C39" s="45" t="s">
        <v>111</v>
      </c>
      <c r="D39" s="44">
        <v>1</v>
      </c>
      <c r="E39" s="43">
        <v>6.8027210884353739E-3</v>
      </c>
    </row>
    <row r="40" spans="2:5" ht="15" customHeight="1">
      <c r="B40" s="74"/>
      <c r="C40" s="45" t="s">
        <v>46</v>
      </c>
      <c r="D40" s="44">
        <v>5</v>
      </c>
      <c r="E40" s="43">
        <v>3.4013605442176874E-2</v>
      </c>
    </row>
    <row r="41" spans="2:5" ht="15" customHeight="1">
      <c r="B41" s="75"/>
      <c r="C41" s="42" t="s">
        <v>15</v>
      </c>
      <c r="D41" s="41">
        <v>9</v>
      </c>
      <c r="E41" s="40">
        <v>6.1224489795918366E-2</v>
      </c>
    </row>
    <row r="42" spans="2:5" ht="15" customHeight="1">
      <c r="B42" s="73" t="s">
        <v>30</v>
      </c>
      <c r="C42" s="45" t="s">
        <v>112</v>
      </c>
      <c r="D42" s="44">
        <v>4</v>
      </c>
      <c r="E42" s="43">
        <v>2.7210884353741496E-2</v>
      </c>
    </row>
    <row r="43" spans="2:5" ht="15" customHeight="1">
      <c r="B43" s="74"/>
      <c r="C43" s="45" t="s">
        <v>45</v>
      </c>
      <c r="D43" s="44">
        <v>8</v>
      </c>
      <c r="E43" s="43">
        <v>5.4421768707482991E-2</v>
      </c>
    </row>
    <row r="44" spans="2:5" ht="15" customHeight="1">
      <c r="B44" s="74"/>
      <c r="C44" s="45" t="s">
        <v>113</v>
      </c>
      <c r="D44" s="44">
        <v>1</v>
      </c>
      <c r="E44" s="43">
        <v>6.8027210884353739E-3</v>
      </c>
    </row>
    <row r="45" spans="2:5" ht="15" customHeight="1">
      <c r="B45" s="74"/>
      <c r="C45" s="45" t="s">
        <v>44</v>
      </c>
      <c r="D45" s="44">
        <v>6</v>
      </c>
      <c r="E45" s="43">
        <v>4.0816326530612242E-2</v>
      </c>
    </row>
    <row r="46" spans="2:5" ht="15" customHeight="1">
      <c r="B46" s="74"/>
      <c r="C46" s="45" t="s">
        <v>114</v>
      </c>
      <c r="D46" s="44">
        <v>3</v>
      </c>
      <c r="E46" s="43">
        <v>2.0408163265306121E-2</v>
      </c>
    </row>
    <row r="47" spans="2:5" ht="15" customHeight="1">
      <c r="B47" s="74"/>
      <c r="C47" s="45" t="s">
        <v>115</v>
      </c>
      <c r="D47" s="44">
        <v>2</v>
      </c>
      <c r="E47" s="43">
        <v>1.3605442176870748E-2</v>
      </c>
    </row>
    <row r="48" spans="2:5" ht="15" customHeight="1">
      <c r="B48" s="74"/>
      <c r="C48" s="45" t="s">
        <v>116</v>
      </c>
      <c r="D48" s="44">
        <v>1</v>
      </c>
      <c r="E48" s="43">
        <v>6.8027210884353739E-3</v>
      </c>
    </row>
    <row r="49" spans="2:5" ht="15" customHeight="1">
      <c r="B49" s="74"/>
      <c r="C49" s="45" t="s">
        <v>117</v>
      </c>
      <c r="D49" s="44">
        <v>1</v>
      </c>
      <c r="E49" s="43">
        <v>6.8027210884353739E-3</v>
      </c>
    </row>
    <row r="50" spans="2:5" ht="15" customHeight="1">
      <c r="B50" s="74"/>
      <c r="C50" s="45" t="s">
        <v>118</v>
      </c>
      <c r="D50" s="44">
        <v>1</v>
      </c>
      <c r="E50" s="43">
        <v>6.8027210884353739E-3</v>
      </c>
    </row>
    <row r="51" spans="2:5" ht="15" customHeight="1">
      <c r="B51" s="74"/>
      <c r="C51" s="45" t="s">
        <v>43</v>
      </c>
      <c r="D51" s="44">
        <v>3</v>
      </c>
      <c r="E51" s="43">
        <v>2.0408163265306121E-2</v>
      </c>
    </row>
    <row r="52" spans="2:5" ht="15" customHeight="1">
      <c r="B52" s="74"/>
      <c r="C52" s="45" t="s">
        <v>42</v>
      </c>
      <c r="D52" s="44">
        <v>3</v>
      </c>
      <c r="E52" s="43">
        <v>2.0408163265306121E-2</v>
      </c>
    </row>
    <row r="53" spans="2:5" ht="15" customHeight="1">
      <c r="B53" s="74"/>
      <c r="C53" s="45" t="s">
        <v>119</v>
      </c>
      <c r="D53" s="44">
        <v>1</v>
      </c>
      <c r="E53" s="43">
        <v>6.8027210884353739E-3</v>
      </c>
    </row>
    <row r="54" spans="2:5" ht="15" customHeight="1">
      <c r="B54" s="74"/>
      <c r="C54" s="45" t="s">
        <v>38</v>
      </c>
      <c r="D54" s="44">
        <v>1</v>
      </c>
      <c r="E54" s="43">
        <v>6.8027210884353739E-3</v>
      </c>
    </row>
    <row r="55" spans="2:5" ht="15" customHeight="1">
      <c r="B55" s="74"/>
      <c r="C55" s="45" t="s">
        <v>120</v>
      </c>
      <c r="D55" s="44">
        <v>3</v>
      </c>
      <c r="E55" s="43">
        <v>2.0408163265306121E-2</v>
      </c>
    </row>
    <row r="56" spans="2:5" ht="15" customHeight="1">
      <c r="B56" s="74"/>
      <c r="C56" s="45" t="s">
        <v>121</v>
      </c>
      <c r="D56" s="44">
        <v>1</v>
      </c>
      <c r="E56" s="43">
        <v>6.8027210884353739E-3</v>
      </c>
    </row>
    <row r="57" spans="2:5" ht="15" customHeight="1">
      <c r="B57" s="75"/>
      <c r="C57" s="42" t="s">
        <v>15</v>
      </c>
      <c r="D57" s="41">
        <v>39</v>
      </c>
      <c r="E57" s="40">
        <v>0.26530612244897961</v>
      </c>
    </row>
    <row r="58" spans="2:5" ht="15" customHeight="1">
      <c r="B58" s="73" t="s">
        <v>29</v>
      </c>
      <c r="C58" s="45" t="s">
        <v>41</v>
      </c>
      <c r="D58" s="44">
        <v>3</v>
      </c>
      <c r="E58" s="43">
        <v>2.0408163265306121E-2</v>
      </c>
    </row>
    <row r="59" spans="2:5" ht="15" customHeight="1">
      <c r="B59" s="74"/>
      <c r="C59" s="45" t="s">
        <v>40</v>
      </c>
      <c r="D59" s="44">
        <v>1</v>
      </c>
      <c r="E59" s="43">
        <v>6.8027210884353739E-3</v>
      </c>
    </row>
    <row r="60" spans="2:5" ht="15" customHeight="1">
      <c r="B60" s="74"/>
      <c r="C60" s="45" t="s">
        <v>122</v>
      </c>
      <c r="D60" s="44">
        <v>1</v>
      </c>
      <c r="E60" s="43">
        <v>6.8027210884353739E-3</v>
      </c>
    </row>
    <row r="61" spans="2:5" ht="15" customHeight="1">
      <c r="B61" s="74"/>
      <c r="C61" s="45" t="s">
        <v>123</v>
      </c>
      <c r="D61" s="44">
        <v>1</v>
      </c>
      <c r="E61" s="43">
        <v>6.8027210884353739E-3</v>
      </c>
    </row>
    <row r="62" spans="2:5" ht="15" customHeight="1">
      <c r="B62" s="74"/>
      <c r="C62" s="45" t="s">
        <v>39</v>
      </c>
      <c r="D62" s="44">
        <v>1</v>
      </c>
      <c r="E62" s="43">
        <v>6.8027210884353739E-3</v>
      </c>
    </row>
    <row r="63" spans="2:5" ht="15" customHeight="1">
      <c r="B63" s="74"/>
      <c r="C63" s="45" t="s">
        <v>124</v>
      </c>
      <c r="D63" s="44">
        <v>2</v>
      </c>
      <c r="E63" s="43">
        <v>1.3605442176870748E-2</v>
      </c>
    </row>
    <row r="64" spans="2:5" ht="15" customHeight="1">
      <c r="B64" s="74"/>
      <c r="C64" s="45" t="s">
        <v>37</v>
      </c>
      <c r="D64" s="44">
        <v>1</v>
      </c>
      <c r="E64" s="43">
        <v>6.8027210884353739E-3</v>
      </c>
    </row>
    <row r="65" spans="2:5" ht="15" customHeight="1">
      <c r="B65" s="75"/>
      <c r="C65" s="42" t="s">
        <v>15</v>
      </c>
      <c r="D65" s="41">
        <v>10</v>
      </c>
      <c r="E65" s="40">
        <v>6.8027210884353748E-2</v>
      </c>
    </row>
    <row r="66" spans="2:5" ht="15" customHeight="1">
      <c r="B66" s="73" t="s">
        <v>94</v>
      </c>
      <c r="C66" s="45" t="s">
        <v>125</v>
      </c>
      <c r="D66" s="44">
        <v>1</v>
      </c>
      <c r="E66" s="43">
        <v>6.8027210884353739E-3</v>
      </c>
    </row>
    <row r="67" spans="2:5" ht="15" customHeight="1">
      <c r="B67" s="74"/>
      <c r="C67" s="45" t="s">
        <v>126</v>
      </c>
      <c r="D67" s="44">
        <v>1</v>
      </c>
      <c r="E67" s="43">
        <v>6.8027210884353739E-3</v>
      </c>
    </row>
    <row r="68" spans="2:5" ht="15" customHeight="1">
      <c r="B68" s="75"/>
      <c r="C68" s="42" t="s">
        <v>15</v>
      </c>
      <c r="D68" s="41">
        <v>2</v>
      </c>
      <c r="E68" s="40">
        <v>1.3605442176870748E-2</v>
      </c>
    </row>
    <row r="69" spans="2:5" ht="15" customHeight="1">
      <c r="B69" s="73" t="s">
        <v>20</v>
      </c>
      <c r="C69" s="45" t="s">
        <v>127</v>
      </c>
      <c r="D69" s="44">
        <v>1</v>
      </c>
      <c r="E69" s="43">
        <v>6.8027210884353739E-3</v>
      </c>
    </row>
    <row r="70" spans="2:5" ht="15" customHeight="1">
      <c r="B70" s="74"/>
      <c r="C70" s="45" t="s">
        <v>128</v>
      </c>
      <c r="D70" s="44">
        <v>3</v>
      </c>
      <c r="E70" s="43">
        <v>2.0408163265306121E-2</v>
      </c>
    </row>
    <row r="71" spans="2:5" ht="15" customHeight="1">
      <c r="B71" s="75"/>
      <c r="C71" s="42" t="s">
        <v>15</v>
      </c>
      <c r="D71" s="41">
        <v>4</v>
      </c>
      <c r="E71" s="40">
        <v>2.7210884353741496E-2</v>
      </c>
    </row>
    <row r="72" spans="2:5" ht="15" customHeight="1">
      <c r="B72" s="73" t="s">
        <v>17</v>
      </c>
      <c r="C72" s="45" t="s">
        <v>129</v>
      </c>
      <c r="D72" s="44">
        <v>1</v>
      </c>
      <c r="E72" s="43">
        <v>6.8027210884353739E-3</v>
      </c>
    </row>
    <row r="73" spans="2:5" ht="15" customHeight="1">
      <c r="B73" s="74"/>
      <c r="C73" s="45" t="s">
        <v>130</v>
      </c>
      <c r="D73" s="44">
        <v>3</v>
      </c>
      <c r="E73" s="43">
        <v>2.0408163265306121E-2</v>
      </c>
    </row>
    <row r="74" spans="2:5" ht="15" customHeight="1">
      <c r="B74" s="75"/>
      <c r="C74" s="42" t="s">
        <v>15</v>
      </c>
      <c r="D74" s="41">
        <v>4</v>
      </c>
      <c r="E74" s="40">
        <v>2.7210884353741496E-2</v>
      </c>
    </row>
    <row r="75" spans="2:5" ht="15" customHeight="1">
      <c r="B75" s="73" t="s">
        <v>28</v>
      </c>
      <c r="C75" s="45" t="s">
        <v>131</v>
      </c>
      <c r="D75" s="44">
        <v>1</v>
      </c>
      <c r="E75" s="43">
        <v>6.8027210884353739E-3</v>
      </c>
    </row>
    <row r="76" spans="2:5" ht="15" customHeight="1">
      <c r="B76" s="74"/>
      <c r="C76" s="45" t="s">
        <v>132</v>
      </c>
      <c r="D76" s="44">
        <v>1</v>
      </c>
      <c r="E76" s="43">
        <v>6.8027210884353739E-3</v>
      </c>
    </row>
    <row r="77" spans="2:5" ht="15" customHeight="1">
      <c r="B77" s="74"/>
      <c r="C77" s="45" t="s">
        <v>36</v>
      </c>
      <c r="D77" s="44">
        <v>13</v>
      </c>
      <c r="E77" s="43">
        <v>8.8435374149659865E-2</v>
      </c>
    </row>
    <row r="78" spans="2:5" ht="15" customHeight="1">
      <c r="B78" s="74"/>
      <c r="C78" s="45" t="s">
        <v>133</v>
      </c>
      <c r="D78" s="44">
        <v>1</v>
      </c>
      <c r="E78" s="43">
        <v>6.8027210884353739E-3</v>
      </c>
    </row>
    <row r="79" spans="2:5" ht="15" customHeight="1">
      <c r="B79" s="75"/>
      <c r="C79" s="42" t="s">
        <v>15</v>
      </c>
      <c r="D79" s="41">
        <v>16</v>
      </c>
      <c r="E79" s="40">
        <v>0.10884353741496598</v>
      </c>
    </row>
    <row r="80" spans="2:5" ht="15" customHeight="1">
      <c r="B80" s="73" t="s">
        <v>16</v>
      </c>
      <c r="C80" s="45" t="s">
        <v>134</v>
      </c>
      <c r="D80" s="44">
        <v>1</v>
      </c>
      <c r="E80" s="43">
        <v>6.8027210884353739E-3</v>
      </c>
    </row>
    <row r="81" spans="2:5" ht="15" customHeight="1">
      <c r="B81" s="74"/>
      <c r="C81" s="45" t="s">
        <v>16</v>
      </c>
      <c r="D81" s="44">
        <v>1</v>
      </c>
      <c r="E81" s="43">
        <v>6.8027210884353739E-3</v>
      </c>
    </row>
    <row r="82" spans="2:5" ht="15" customHeight="1">
      <c r="B82" s="74"/>
      <c r="C82" s="45" t="s">
        <v>135</v>
      </c>
      <c r="D82" s="44">
        <v>1</v>
      </c>
      <c r="E82" s="43">
        <v>6.8027210884353739E-3</v>
      </c>
    </row>
    <row r="83" spans="2:5" ht="15" customHeight="1">
      <c r="B83" s="74"/>
      <c r="C83" s="45" t="s">
        <v>136</v>
      </c>
      <c r="D83" s="44">
        <v>1</v>
      </c>
      <c r="E83" s="43">
        <v>6.8027210884353739E-3</v>
      </c>
    </row>
    <row r="84" spans="2:5" ht="15" customHeight="1">
      <c r="B84" s="74"/>
      <c r="C84" s="45" t="s">
        <v>137</v>
      </c>
      <c r="D84" s="44">
        <v>1</v>
      </c>
      <c r="E84" s="43">
        <v>6.8027210884353739E-3</v>
      </c>
    </row>
    <row r="85" spans="2:5" ht="15" customHeight="1">
      <c r="B85" s="74"/>
      <c r="C85" s="45" t="s">
        <v>138</v>
      </c>
      <c r="D85" s="44">
        <v>1</v>
      </c>
      <c r="E85" s="43">
        <v>6.8027210884353739E-3</v>
      </c>
    </row>
    <row r="86" spans="2:5" ht="15" customHeight="1">
      <c r="B86" s="75"/>
      <c r="C86" s="42" t="s">
        <v>15</v>
      </c>
      <c r="D86" s="41">
        <v>6</v>
      </c>
      <c r="E86" s="40">
        <v>4.0816326530612242E-2</v>
      </c>
    </row>
    <row r="87" spans="2:5" ht="15" customHeight="1">
      <c r="B87" s="73" t="s">
        <v>95</v>
      </c>
      <c r="C87" s="45" t="s">
        <v>139</v>
      </c>
      <c r="D87" s="44">
        <v>2</v>
      </c>
      <c r="E87" s="43">
        <v>1.3605442176870748E-2</v>
      </c>
    </row>
    <row r="88" spans="2:5" ht="15" customHeight="1">
      <c r="B88" s="75"/>
      <c r="C88" s="42" t="s">
        <v>15</v>
      </c>
      <c r="D88" s="41">
        <v>2</v>
      </c>
      <c r="E88" s="40">
        <v>1.3605442176870748E-2</v>
      </c>
    </row>
    <row r="89" spans="2:5" ht="15" customHeight="1">
      <c r="B89" s="73" t="s">
        <v>93</v>
      </c>
      <c r="C89" s="45" t="s">
        <v>140</v>
      </c>
      <c r="D89" s="44">
        <v>1</v>
      </c>
      <c r="E89" s="43">
        <v>6.8027210884353739E-3</v>
      </c>
    </row>
    <row r="90" spans="2:5" ht="15" customHeight="1">
      <c r="B90" s="74"/>
      <c r="C90" s="45" t="s">
        <v>141</v>
      </c>
      <c r="D90" s="44">
        <v>2</v>
      </c>
      <c r="E90" s="43">
        <v>1.3605442176870748E-2</v>
      </c>
    </row>
    <row r="91" spans="2:5" ht="15" customHeight="1">
      <c r="B91" s="75"/>
      <c r="C91" s="42" t="s">
        <v>15</v>
      </c>
      <c r="D91" s="41">
        <v>3</v>
      </c>
      <c r="E91" s="40">
        <v>2.0408163265306121E-2</v>
      </c>
    </row>
    <row r="92" spans="2:5" ht="15" customHeight="1">
      <c r="B92" s="73" t="s">
        <v>23</v>
      </c>
      <c r="C92" s="45" t="s">
        <v>142</v>
      </c>
      <c r="D92" s="44">
        <v>1</v>
      </c>
      <c r="E92" s="43">
        <v>6.8027210884353739E-3</v>
      </c>
    </row>
    <row r="93" spans="2:5" ht="15" customHeight="1">
      <c r="B93" s="74"/>
      <c r="C93" s="45" t="s">
        <v>143</v>
      </c>
      <c r="D93" s="44">
        <v>1</v>
      </c>
      <c r="E93" s="43">
        <v>6.8027210884353739E-3</v>
      </c>
    </row>
    <row r="94" spans="2:5" ht="15" customHeight="1">
      <c r="B94" s="74"/>
      <c r="C94" s="45" t="s">
        <v>35</v>
      </c>
      <c r="D94" s="44">
        <v>1</v>
      </c>
      <c r="E94" s="43">
        <v>6.8027210884353739E-3</v>
      </c>
    </row>
    <row r="95" spans="2:5" ht="15" customHeight="1">
      <c r="B95" s="75"/>
      <c r="C95" s="42" t="s">
        <v>15</v>
      </c>
      <c r="D95" s="41">
        <v>3</v>
      </c>
      <c r="E95" s="40">
        <v>2.0408163265306121E-2</v>
      </c>
    </row>
    <row r="96" spans="2:5" ht="15" customHeight="1">
      <c r="B96" s="73" t="s">
        <v>25</v>
      </c>
      <c r="C96" s="45" t="s">
        <v>34</v>
      </c>
      <c r="D96" s="44">
        <v>13</v>
      </c>
      <c r="E96" s="43">
        <v>8.8435374149659865E-2</v>
      </c>
    </row>
    <row r="97" spans="2:5" ht="15" customHeight="1">
      <c r="B97" s="74"/>
      <c r="C97" s="45" t="s">
        <v>144</v>
      </c>
      <c r="D97" s="44">
        <v>1</v>
      </c>
      <c r="E97" s="43">
        <v>6.8027210884353739E-3</v>
      </c>
    </row>
    <row r="98" spans="2:5" ht="15" customHeight="1">
      <c r="B98" s="74"/>
      <c r="C98" s="45" t="s">
        <v>145</v>
      </c>
      <c r="D98" s="44">
        <v>2</v>
      </c>
      <c r="E98" s="43">
        <v>1.3605442176870748E-2</v>
      </c>
    </row>
    <row r="99" spans="2:5" ht="15" customHeight="1">
      <c r="B99" s="74"/>
      <c r="C99" s="45" t="s">
        <v>146</v>
      </c>
      <c r="D99" s="44">
        <v>2</v>
      </c>
      <c r="E99" s="43">
        <v>1.3605442176870748E-2</v>
      </c>
    </row>
    <row r="100" spans="2:5" ht="15" customHeight="1">
      <c r="B100" s="75"/>
      <c r="C100" s="42" t="s">
        <v>15</v>
      </c>
      <c r="D100" s="41">
        <v>18</v>
      </c>
      <c r="E100" s="40">
        <v>0.12244897959183673</v>
      </c>
    </row>
    <row r="101" spans="2:5" ht="15" customHeight="1">
      <c r="B101" s="76" t="s">
        <v>15</v>
      </c>
      <c r="C101" s="77"/>
      <c r="D101" s="58">
        <f>SUMIF(C$10:C100,"Total",D$10:D100)</f>
        <v>147</v>
      </c>
      <c r="E101" s="59">
        <v>1</v>
      </c>
    </row>
    <row r="103" spans="2:5" ht="15" customHeight="1">
      <c r="B103" s="19" t="s">
        <v>96</v>
      </c>
    </row>
    <row r="104" spans="2:5" ht="15" customHeight="1">
      <c r="B104" s="21" t="s">
        <v>14</v>
      </c>
    </row>
    <row r="105" spans="2:5" ht="15" customHeight="1">
      <c r="B105" s="20" t="s">
        <v>13</v>
      </c>
    </row>
    <row r="106" spans="2:5" ht="15" customHeight="1">
      <c r="B106" s="19" t="s">
        <v>12</v>
      </c>
    </row>
    <row r="107" spans="2:5" ht="15" customHeight="1">
      <c r="B107" s="19" t="s">
        <v>97</v>
      </c>
    </row>
    <row r="484" spans="1:2" s="37" customFormat="1" ht="15" customHeight="1">
      <c r="A484" s="36"/>
      <c r="B484" s="38"/>
    </row>
    <row r="485" spans="1:2" s="37" customFormat="1" ht="15" customHeight="1">
      <c r="A485" s="36"/>
      <c r="B485" s="39"/>
    </row>
    <row r="486" spans="1:2" s="37" customFormat="1" ht="15" customHeight="1">
      <c r="A486" s="36"/>
      <c r="B486" s="39"/>
    </row>
    <row r="487" spans="1:2" s="37" customFormat="1" ht="15" customHeight="1">
      <c r="A487" s="36"/>
      <c r="B487" s="38"/>
    </row>
    <row r="488" spans="1:2" s="37" customFormat="1" ht="15" customHeight="1">
      <c r="A488" s="36"/>
      <c r="B488" s="38"/>
    </row>
  </sheetData>
  <mergeCells count="21">
    <mergeCell ref="B7:E8"/>
    <mergeCell ref="B10:B12"/>
    <mergeCell ref="B13:B15"/>
    <mergeCell ref="B16:B21"/>
    <mergeCell ref="B22:B23"/>
    <mergeCell ref="B89:B91"/>
    <mergeCell ref="B92:B95"/>
    <mergeCell ref="B96:B100"/>
    <mergeCell ref="B101:C101"/>
    <mergeCell ref="B24:B28"/>
    <mergeCell ref="B29:B32"/>
    <mergeCell ref="B33:B35"/>
    <mergeCell ref="B36:B41"/>
    <mergeCell ref="B42:B57"/>
    <mergeCell ref="B58:B65"/>
    <mergeCell ref="B66:B68"/>
    <mergeCell ref="B69:B71"/>
    <mergeCell ref="B72:B74"/>
    <mergeCell ref="B75:B79"/>
    <mergeCell ref="B80:B86"/>
    <mergeCell ref="B87:B88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" manualBreakCount="1">
    <brk id="49" max="4" man="1"/>
  </rowBreaks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B1:D34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30.570312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2:4" s="29" customFormat="1" ht="15" customHeight="1">
      <c r="C1" s="35"/>
    </row>
    <row r="2" spans="2:4" s="29" customFormat="1" ht="15" customHeight="1">
      <c r="C2" s="35"/>
    </row>
    <row r="3" spans="2:4" s="29" customFormat="1" ht="15" customHeight="1">
      <c r="C3" s="35"/>
    </row>
    <row r="4" spans="2:4" s="29" customFormat="1" ht="30" customHeight="1">
      <c r="C4" s="35"/>
      <c r="D4" s="34"/>
    </row>
    <row r="5" spans="2:4" s="29" customFormat="1" ht="15" customHeight="1">
      <c r="C5" s="35"/>
      <c r="D5" s="34"/>
    </row>
    <row r="6" spans="2:4" s="29" customFormat="1" ht="15" customHeight="1">
      <c r="C6" s="35"/>
      <c r="D6" s="34"/>
    </row>
    <row r="7" spans="2:4" s="29" customFormat="1" ht="15" customHeight="1">
      <c r="B7" s="72" t="s">
        <v>68</v>
      </c>
      <c r="C7" s="72"/>
      <c r="D7" s="72"/>
    </row>
    <row r="8" spans="2:4" s="29" customFormat="1" ht="15" customHeight="1">
      <c r="B8" s="72"/>
      <c r="C8" s="72"/>
      <c r="D8" s="72"/>
    </row>
    <row r="9" spans="2:4" s="29" customFormat="1" ht="33" customHeight="1">
      <c r="B9" s="72"/>
      <c r="C9" s="72"/>
      <c r="D9" s="72"/>
    </row>
    <row r="10" spans="2:4" s="29" customFormat="1" ht="4.5" customHeight="1">
      <c r="B10" s="33"/>
      <c r="C10" s="33"/>
      <c r="D10" s="33"/>
    </row>
    <row r="11" spans="2:4" s="29" customFormat="1" ht="33" customHeight="1">
      <c r="B11" s="32" t="s">
        <v>67</v>
      </c>
      <c r="C11" s="31" t="s">
        <v>32</v>
      </c>
      <c r="D11" s="30" t="s">
        <v>31</v>
      </c>
    </row>
    <row r="12" spans="2:4" ht="15" customHeight="1">
      <c r="B12" s="27" t="s">
        <v>66</v>
      </c>
      <c r="C12" s="26">
        <v>1</v>
      </c>
      <c r="D12" s="25">
        <v>6.8027210884353739E-3</v>
      </c>
    </row>
    <row r="13" spans="2:4">
      <c r="B13" s="27" t="s">
        <v>147</v>
      </c>
      <c r="C13" s="26">
        <v>2</v>
      </c>
      <c r="D13" s="25">
        <v>1.3605442176870748E-2</v>
      </c>
    </row>
    <row r="14" spans="2:4" s="28" customFormat="1">
      <c r="B14" s="27" t="s">
        <v>148</v>
      </c>
      <c r="C14" s="26">
        <v>2</v>
      </c>
      <c r="D14" s="25">
        <v>1.3605442176870748E-2</v>
      </c>
    </row>
    <row r="15" spans="2:4" s="28" customFormat="1">
      <c r="B15" s="27" t="s">
        <v>65</v>
      </c>
      <c r="C15" s="26">
        <v>1</v>
      </c>
      <c r="D15" s="25">
        <v>6.8027210884353739E-3</v>
      </c>
    </row>
    <row r="16" spans="2:4">
      <c r="B16" s="27" t="s">
        <v>64</v>
      </c>
      <c r="C16" s="26">
        <v>1</v>
      </c>
      <c r="D16" s="25">
        <v>6.8027210884353739E-3</v>
      </c>
    </row>
    <row r="17" spans="2:4">
      <c r="B17" s="27" t="s">
        <v>63</v>
      </c>
      <c r="C17" s="26">
        <v>8</v>
      </c>
      <c r="D17" s="25">
        <v>5.4421768707482991E-2</v>
      </c>
    </row>
    <row r="18" spans="2:4">
      <c r="B18" s="27" t="s">
        <v>62</v>
      </c>
      <c r="C18" s="26">
        <v>15</v>
      </c>
      <c r="D18" s="25">
        <v>0.10204081632653061</v>
      </c>
    </row>
    <row r="19" spans="2:4">
      <c r="B19" s="27" t="s">
        <v>61</v>
      </c>
      <c r="C19" s="26">
        <v>1</v>
      </c>
      <c r="D19" s="25">
        <v>6.8027210884353739E-3</v>
      </c>
    </row>
    <row r="20" spans="2:4">
      <c r="B20" s="27" t="s">
        <v>60</v>
      </c>
      <c r="C20" s="26">
        <v>3</v>
      </c>
      <c r="D20" s="25">
        <v>2.0408163265306121E-2</v>
      </c>
    </row>
    <row r="21" spans="2:4">
      <c r="B21" s="27" t="s">
        <v>59</v>
      </c>
      <c r="C21" s="26">
        <v>1</v>
      </c>
      <c r="D21" s="25">
        <v>6.8027210884353739E-3</v>
      </c>
    </row>
    <row r="22" spans="2:4">
      <c r="B22" s="27" t="s">
        <v>58</v>
      </c>
      <c r="C22" s="26">
        <v>40</v>
      </c>
      <c r="D22" s="25">
        <v>0.27210884353741499</v>
      </c>
    </row>
    <row r="23" spans="2:4">
      <c r="B23" s="27" t="s">
        <v>57</v>
      </c>
      <c r="C23" s="26">
        <v>2</v>
      </c>
      <c r="D23" s="25">
        <v>1.3605442176870748E-2</v>
      </c>
    </row>
    <row r="24" spans="2:4">
      <c r="B24" s="27" t="s">
        <v>56</v>
      </c>
      <c r="C24" s="26">
        <v>9</v>
      </c>
      <c r="D24" s="25">
        <v>6.1224489795918366E-2</v>
      </c>
    </row>
    <row r="25" spans="2:4">
      <c r="B25" s="27" t="s">
        <v>55</v>
      </c>
      <c r="C25" s="26">
        <v>39</v>
      </c>
      <c r="D25" s="25">
        <v>0.26530612244897961</v>
      </c>
    </row>
    <row r="26" spans="2:4">
      <c r="B26" s="27" t="s">
        <v>149</v>
      </c>
      <c r="C26" s="26">
        <v>3</v>
      </c>
      <c r="D26" s="25">
        <v>2.0408163265306121E-2</v>
      </c>
    </row>
    <row r="27" spans="2:4">
      <c r="B27" s="27" t="s">
        <v>54</v>
      </c>
      <c r="C27" s="26">
        <v>19</v>
      </c>
      <c r="D27" s="25">
        <v>0.12925170068027211</v>
      </c>
    </row>
    <row r="28" spans="2:4">
      <c r="B28" s="24" t="s">
        <v>15</v>
      </c>
      <c r="C28" s="23">
        <v>147</v>
      </c>
      <c r="D28" s="22">
        <v>1</v>
      </c>
    </row>
    <row r="30" spans="2:4">
      <c r="B30" s="19" t="s">
        <v>96</v>
      </c>
    </row>
    <row r="31" spans="2:4">
      <c r="B31" s="21" t="s">
        <v>14</v>
      </c>
    </row>
    <row r="32" spans="2:4">
      <c r="B32" s="20" t="s">
        <v>13</v>
      </c>
    </row>
    <row r="33" spans="2:2">
      <c r="B33" s="19" t="s">
        <v>12</v>
      </c>
    </row>
    <row r="34" spans="2:2">
      <c r="B34" s="19" t="s">
        <v>97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97"/>
  <sheetViews>
    <sheetView showGridLines="0" topLeftCell="A80" zoomScaleNormal="100" zoomScaleSheetLayoutView="100" workbookViewId="0">
      <selection activeCell="B10" sqref="B10:B1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78"/>
      <c r="C7" s="78"/>
      <c r="D7" s="78"/>
      <c r="E7" s="78"/>
    </row>
    <row r="8" spans="1:5" s="50" customFormat="1" ht="33" customHeight="1">
      <c r="A8" s="51"/>
      <c r="B8" s="78"/>
      <c r="C8" s="78"/>
      <c r="D8" s="78"/>
      <c r="E8" s="78"/>
    </row>
    <row r="9" spans="1:5" s="29" customFormat="1" ht="40.5" customHeight="1">
      <c r="B9" s="47" t="s">
        <v>67</v>
      </c>
      <c r="C9" s="49" t="s">
        <v>33</v>
      </c>
      <c r="D9" s="48" t="s">
        <v>32</v>
      </c>
      <c r="E9" s="47" t="s">
        <v>31</v>
      </c>
    </row>
    <row r="10" spans="1:5" ht="15" customHeight="1">
      <c r="B10" s="73" t="s">
        <v>66</v>
      </c>
      <c r="C10" s="45" t="s">
        <v>28</v>
      </c>
      <c r="D10" s="44">
        <v>1</v>
      </c>
      <c r="E10" s="43">
        <v>6.8027210884353739E-3</v>
      </c>
    </row>
    <row r="11" spans="1:5" ht="15" customHeight="1">
      <c r="B11" s="75"/>
      <c r="C11" s="42" t="s">
        <v>15</v>
      </c>
      <c r="D11" s="41">
        <v>1</v>
      </c>
      <c r="E11" s="40">
        <v>6.8027210884353739E-3</v>
      </c>
    </row>
    <row r="12" spans="1:5" ht="15" customHeight="1">
      <c r="B12" s="73" t="s">
        <v>147</v>
      </c>
      <c r="C12" s="45" t="s">
        <v>30</v>
      </c>
      <c r="D12" s="44">
        <v>1</v>
      </c>
      <c r="E12" s="43">
        <v>6.8027210884353739E-3</v>
      </c>
    </row>
    <row r="13" spans="1:5" ht="15" customHeight="1">
      <c r="B13" s="74"/>
      <c r="C13" s="45" t="s">
        <v>23</v>
      </c>
      <c r="D13" s="44">
        <v>1</v>
      </c>
      <c r="E13" s="43">
        <v>6.8027210884353739E-3</v>
      </c>
    </row>
    <row r="14" spans="1:5" ht="15" customHeight="1">
      <c r="B14" s="75"/>
      <c r="C14" s="42" t="s">
        <v>15</v>
      </c>
      <c r="D14" s="41">
        <v>2</v>
      </c>
      <c r="E14" s="40">
        <v>1.3605442176870748E-2</v>
      </c>
    </row>
    <row r="15" spans="1:5" s="46" customFormat="1" ht="15" customHeight="1">
      <c r="A15" s="36"/>
      <c r="B15" s="73" t="s">
        <v>148</v>
      </c>
      <c r="C15" s="45" t="s">
        <v>30</v>
      </c>
      <c r="D15" s="44">
        <v>2</v>
      </c>
      <c r="E15" s="43">
        <v>1.3605442176870748E-2</v>
      </c>
    </row>
    <row r="16" spans="1:5" s="46" customFormat="1" ht="15" customHeight="1">
      <c r="A16" s="36"/>
      <c r="B16" s="75"/>
      <c r="C16" s="42" t="s">
        <v>15</v>
      </c>
      <c r="D16" s="41">
        <v>2</v>
      </c>
      <c r="E16" s="40">
        <v>1.3605442176870748E-2</v>
      </c>
    </row>
    <row r="17" spans="1:5" s="46" customFormat="1" ht="15" customHeight="1">
      <c r="A17" s="36"/>
      <c r="B17" s="73" t="s">
        <v>65</v>
      </c>
      <c r="C17" s="45" t="s">
        <v>30</v>
      </c>
      <c r="D17" s="44">
        <v>1</v>
      </c>
      <c r="E17" s="43">
        <v>6.8027210884353739E-3</v>
      </c>
    </row>
    <row r="18" spans="1:5" s="46" customFormat="1" ht="15" customHeight="1">
      <c r="A18" s="36"/>
      <c r="B18" s="75"/>
      <c r="C18" s="42" t="s">
        <v>15</v>
      </c>
      <c r="D18" s="41">
        <v>1</v>
      </c>
      <c r="E18" s="40">
        <v>6.8027210884353739E-3</v>
      </c>
    </row>
    <row r="19" spans="1:5" s="46" customFormat="1" ht="15" customHeight="1">
      <c r="A19" s="36"/>
      <c r="B19" s="73" t="s">
        <v>64</v>
      </c>
      <c r="C19" s="45" t="s">
        <v>30</v>
      </c>
      <c r="D19" s="44">
        <v>1</v>
      </c>
      <c r="E19" s="43">
        <v>6.8027210884353739E-3</v>
      </c>
    </row>
    <row r="20" spans="1:5" ht="15" customHeight="1">
      <c r="B20" s="75"/>
      <c r="C20" s="42" t="s">
        <v>15</v>
      </c>
      <c r="D20" s="41">
        <v>1</v>
      </c>
      <c r="E20" s="40">
        <v>6.8027210884353739E-3</v>
      </c>
    </row>
    <row r="21" spans="1:5" ht="15" customHeight="1">
      <c r="B21" s="73" t="s">
        <v>63</v>
      </c>
      <c r="C21" s="45" t="s">
        <v>24</v>
      </c>
      <c r="D21" s="44">
        <v>1</v>
      </c>
      <c r="E21" s="43">
        <v>6.8027210884353739E-3</v>
      </c>
    </row>
    <row r="22" spans="1:5" ht="15" customHeight="1">
      <c r="B22" s="74"/>
      <c r="C22" s="45" t="s">
        <v>22</v>
      </c>
      <c r="D22" s="44">
        <v>1</v>
      </c>
      <c r="E22" s="43">
        <v>6.8027210884353739E-3</v>
      </c>
    </row>
    <row r="23" spans="1:5" ht="15" customHeight="1">
      <c r="B23" s="74"/>
      <c r="C23" s="45" t="s">
        <v>30</v>
      </c>
      <c r="D23" s="44">
        <v>2</v>
      </c>
      <c r="E23" s="43">
        <v>1.3605442176870748E-2</v>
      </c>
    </row>
    <row r="24" spans="1:5" ht="15" customHeight="1">
      <c r="B24" s="74"/>
      <c r="C24" s="45" t="s">
        <v>29</v>
      </c>
      <c r="D24" s="44">
        <v>1</v>
      </c>
      <c r="E24" s="43">
        <v>6.8027210884353739E-3</v>
      </c>
    </row>
    <row r="25" spans="1:5" ht="15" customHeight="1">
      <c r="B25" s="74"/>
      <c r="C25" s="45" t="s">
        <v>28</v>
      </c>
      <c r="D25" s="44">
        <v>2</v>
      </c>
      <c r="E25" s="43">
        <v>1.3605442176870748E-2</v>
      </c>
    </row>
    <row r="26" spans="1:5" ht="15" customHeight="1">
      <c r="B26" s="74"/>
      <c r="C26" s="45" t="s">
        <v>16</v>
      </c>
      <c r="D26" s="44">
        <v>1</v>
      </c>
      <c r="E26" s="43">
        <v>6.8027210884353739E-3</v>
      </c>
    </row>
    <row r="27" spans="1:5" ht="15" customHeight="1">
      <c r="B27" s="75"/>
      <c r="C27" s="42" t="s">
        <v>15</v>
      </c>
      <c r="D27" s="41">
        <v>8</v>
      </c>
      <c r="E27" s="40">
        <v>5.4421768707482991E-2</v>
      </c>
    </row>
    <row r="28" spans="1:5" ht="15" customHeight="1">
      <c r="B28" s="73" t="s">
        <v>62</v>
      </c>
      <c r="C28" s="45" t="s">
        <v>21</v>
      </c>
      <c r="D28" s="44">
        <v>1</v>
      </c>
      <c r="E28" s="43">
        <v>6.8027210884353739E-3</v>
      </c>
    </row>
    <row r="29" spans="1:5" ht="15" customHeight="1">
      <c r="B29" s="74"/>
      <c r="C29" s="45" t="s">
        <v>30</v>
      </c>
      <c r="D29" s="44">
        <v>4</v>
      </c>
      <c r="E29" s="43">
        <v>2.7210884353741496E-2</v>
      </c>
    </row>
    <row r="30" spans="1:5" ht="15" customHeight="1">
      <c r="B30" s="74"/>
      <c r="C30" s="45" t="s">
        <v>29</v>
      </c>
      <c r="D30" s="44">
        <v>3</v>
      </c>
      <c r="E30" s="43">
        <v>2.0408163265306121E-2</v>
      </c>
    </row>
    <row r="31" spans="1:5" ht="15" customHeight="1">
      <c r="B31" s="74"/>
      <c r="C31" s="45" t="s">
        <v>28</v>
      </c>
      <c r="D31" s="44">
        <v>2</v>
      </c>
      <c r="E31" s="43">
        <v>1.3605442176870748E-2</v>
      </c>
    </row>
    <row r="32" spans="1:5" ht="15" customHeight="1">
      <c r="B32" s="74"/>
      <c r="C32" s="45" t="s">
        <v>25</v>
      </c>
      <c r="D32" s="44">
        <v>5</v>
      </c>
      <c r="E32" s="43">
        <v>3.4013605442176874E-2</v>
      </c>
    </row>
    <row r="33" spans="2:5" ht="15" customHeight="1">
      <c r="B33" s="75"/>
      <c r="C33" s="42" t="s">
        <v>15</v>
      </c>
      <c r="D33" s="41">
        <v>15</v>
      </c>
      <c r="E33" s="40">
        <v>0.10204081632653061</v>
      </c>
    </row>
    <row r="34" spans="2:5" ht="15" customHeight="1">
      <c r="B34" s="73" t="s">
        <v>61</v>
      </c>
      <c r="C34" s="45" t="s">
        <v>28</v>
      </c>
      <c r="D34" s="44">
        <v>1</v>
      </c>
      <c r="E34" s="43">
        <v>6.8027210884353739E-3</v>
      </c>
    </row>
    <row r="35" spans="2:5" ht="15" customHeight="1">
      <c r="B35" s="75"/>
      <c r="C35" s="42" t="s">
        <v>15</v>
      </c>
      <c r="D35" s="41">
        <v>1</v>
      </c>
      <c r="E35" s="40">
        <v>6.8027210884353739E-3</v>
      </c>
    </row>
    <row r="36" spans="2:5" ht="15" customHeight="1">
      <c r="B36" s="73" t="s">
        <v>60</v>
      </c>
      <c r="C36" s="45" t="s">
        <v>30</v>
      </c>
      <c r="D36" s="44">
        <v>2</v>
      </c>
      <c r="E36" s="43">
        <v>1.3605442176870748E-2</v>
      </c>
    </row>
    <row r="37" spans="2:5" ht="15" customHeight="1">
      <c r="B37" s="74"/>
      <c r="C37" s="45" t="s">
        <v>25</v>
      </c>
      <c r="D37" s="44">
        <v>1</v>
      </c>
      <c r="E37" s="43">
        <v>6.8027210884353739E-3</v>
      </c>
    </row>
    <row r="38" spans="2:5" ht="15" customHeight="1">
      <c r="B38" s="75"/>
      <c r="C38" s="42" t="s">
        <v>15</v>
      </c>
      <c r="D38" s="41">
        <v>3</v>
      </c>
      <c r="E38" s="40">
        <v>2.0408163265306121E-2</v>
      </c>
    </row>
    <row r="39" spans="2:5" ht="15" customHeight="1">
      <c r="B39" s="73" t="s">
        <v>59</v>
      </c>
      <c r="C39" s="45" t="s">
        <v>18</v>
      </c>
      <c r="D39" s="44">
        <v>1</v>
      </c>
      <c r="E39" s="43">
        <v>6.8027210884353739E-3</v>
      </c>
    </row>
    <row r="40" spans="2:5" ht="15" customHeight="1">
      <c r="B40" s="75"/>
      <c r="C40" s="42" t="s">
        <v>15</v>
      </c>
      <c r="D40" s="41">
        <v>1</v>
      </c>
      <c r="E40" s="40">
        <v>6.8027210884353739E-3</v>
      </c>
    </row>
    <row r="41" spans="2:5" ht="15" customHeight="1">
      <c r="B41" s="73" t="s">
        <v>58</v>
      </c>
      <c r="C41" s="45" t="s">
        <v>19</v>
      </c>
      <c r="D41" s="44">
        <v>3</v>
      </c>
      <c r="E41" s="43">
        <v>2.0408163265306121E-2</v>
      </c>
    </row>
    <row r="42" spans="2:5" ht="15" customHeight="1">
      <c r="B42" s="74"/>
      <c r="C42" s="45" t="s">
        <v>26</v>
      </c>
      <c r="D42" s="44">
        <v>2</v>
      </c>
      <c r="E42" s="43">
        <v>1.3605442176870748E-2</v>
      </c>
    </row>
    <row r="43" spans="2:5" ht="15" customHeight="1">
      <c r="B43" s="74"/>
      <c r="C43" s="45" t="s">
        <v>27</v>
      </c>
      <c r="D43" s="44">
        <v>2</v>
      </c>
      <c r="E43" s="43">
        <v>1.3605442176870748E-2</v>
      </c>
    </row>
    <row r="44" spans="2:5" ht="15" customHeight="1">
      <c r="B44" s="74"/>
      <c r="C44" s="45" t="s">
        <v>24</v>
      </c>
      <c r="D44" s="44">
        <v>4</v>
      </c>
      <c r="E44" s="43">
        <v>2.7210884353741496E-2</v>
      </c>
    </row>
    <row r="45" spans="2:5" ht="15" customHeight="1">
      <c r="B45" s="74"/>
      <c r="C45" s="45" t="s">
        <v>92</v>
      </c>
      <c r="D45" s="44">
        <v>2</v>
      </c>
      <c r="E45" s="43">
        <v>1.3605442176870748E-2</v>
      </c>
    </row>
    <row r="46" spans="2:5" ht="15" customHeight="1">
      <c r="B46" s="74"/>
      <c r="C46" s="45" t="s">
        <v>22</v>
      </c>
      <c r="D46" s="44">
        <v>1</v>
      </c>
      <c r="E46" s="43">
        <v>6.8027210884353739E-3</v>
      </c>
    </row>
    <row r="47" spans="2:5" ht="15" customHeight="1">
      <c r="B47" s="74"/>
      <c r="C47" s="45" t="s">
        <v>21</v>
      </c>
      <c r="D47" s="44">
        <v>4</v>
      </c>
      <c r="E47" s="43">
        <v>2.7210884353741496E-2</v>
      </c>
    </row>
    <row r="48" spans="2:5" ht="15" customHeight="1">
      <c r="B48" s="74"/>
      <c r="C48" s="45" t="s">
        <v>30</v>
      </c>
      <c r="D48" s="44">
        <v>4</v>
      </c>
      <c r="E48" s="43">
        <v>2.7210884353741496E-2</v>
      </c>
    </row>
    <row r="49" spans="2:5" ht="15" customHeight="1">
      <c r="B49" s="74"/>
      <c r="C49" s="45" t="s">
        <v>29</v>
      </c>
      <c r="D49" s="44">
        <v>3</v>
      </c>
      <c r="E49" s="43">
        <v>2.0408163265306121E-2</v>
      </c>
    </row>
    <row r="50" spans="2:5" ht="15" customHeight="1">
      <c r="B50" s="74"/>
      <c r="C50" s="45" t="s">
        <v>20</v>
      </c>
      <c r="D50" s="44">
        <v>2</v>
      </c>
      <c r="E50" s="43">
        <v>1.3605442176870748E-2</v>
      </c>
    </row>
    <row r="51" spans="2:5" ht="15" customHeight="1">
      <c r="B51" s="74"/>
      <c r="C51" s="45" t="s">
        <v>28</v>
      </c>
      <c r="D51" s="44">
        <v>4</v>
      </c>
      <c r="E51" s="43">
        <v>2.7210884353741496E-2</v>
      </c>
    </row>
    <row r="52" spans="2:5" ht="15" customHeight="1">
      <c r="B52" s="74"/>
      <c r="C52" s="45" t="s">
        <v>23</v>
      </c>
      <c r="D52" s="44">
        <v>2</v>
      </c>
      <c r="E52" s="43">
        <v>1.3605442176870748E-2</v>
      </c>
    </row>
    <row r="53" spans="2:5" ht="15" customHeight="1">
      <c r="B53" s="74"/>
      <c r="C53" s="45" t="s">
        <v>25</v>
      </c>
      <c r="D53" s="44">
        <v>7</v>
      </c>
      <c r="E53" s="43">
        <v>4.7619047619047616E-2</v>
      </c>
    </row>
    <row r="54" spans="2:5" ht="15" customHeight="1">
      <c r="B54" s="75"/>
      <c r="C54" s="42" t="s">
        <v>15</v>
      </c>
      <c r="D54" s="41">
        <v>40</v>
      </c>
      <c r="E54" s="40">
        <v>0.27210884353741499</v>
      </c>
    </row>
    <row r="55" spans="2:5" ht="15" customHeight="1">
      <c r="B55" s="73" t="s">
        <v>90</v>
      </c>
      <c r="C55" s="45" t="s">
        <v>30</v>
      </c>
      <c r="D55" s="44">
        <v>1</v>
      </c>
      <c r="E55" s="43">
        <v>6.8027210884353739E-3</v>
      </c>
    </row>
    <row r="56" spans="2:5" ht="15" customHeight="1">
      <c r="B56" s="74"/>
      <c r="C56" s="45" t="s">
        <v>28</v>
      </c>
      <c r="D56" s="44">
        <v>1</v>
      </c>
      <c r="E56" s="43">
        <v>6.8027210884353739E-3</v>
      </c>
    </row>
    <row r="57" spans="2:5" ht="15" customHeight="1">
      <c r="B57" s="75"/>
      <c r="C57" s="42" t="s">
        <v>15</v>
      </c>
      <c r="D57" s="41">
        <v>2</v>
      </c>
      <c r="E57" s="40">
        <v>1.3605442176870748E-2</v>
      </c>
    </row>
    <row r="58" spans="2:5" ht="15" customHeight="1">
      <c r="B58" s="73" t="s">
        <v>56</v>
      </c>
      <c r="C58" s="45" t="s">
        <v>92</v>
      </c>
      <c r="D58" s="44">
        <v>1</v>
      </c>
      <c r="E58" s="43">
        <v>6.8027210884353739E-3</v>
      </c>
    </row>
    <row r="59" spans="2:5" ht="15" customHeight="1">
      <c r="B59" s="74"/>
      <c r="C59" s="45" t="s">
        <v>30</v>
      </c>
      <c r="D59" s="44">
        <v>4</v>
      </c>
      <c r="E59" s="43">
        <v>2.7210884353741496E-2</v>
      </c>
    </row>
    <row r="60" spans="2:5" ht="15" customHeight="1">
      <c r="B60" s="74"/>
      <c r="C60" s="45" t="s">
        <v>20</v>
      </c>
      <c r="D60" s="44">
        <v>2</v>
      </c>
      <c r="E60" s="43">
        <v>1.3605442176870748E-2</v>
      </c>
    </row>
    <row r="61" spans="2:5" ht="15" customHeight="1">
      <c r="B61" s="74"/>
      <c r="C61" s="45" t="s">
        <v>16</v>
      </c>
      <c r="D61" s="44">
        <v>1</v>
      </c>
      <c r="E61" s="43">
        <v>6.8027210884353739E-3</v>
      </c>
    </row>
    <row r="62" spans="2:5" ht="15" customHeight="1">
      <c r="B62" s="74"/>
      <c r="C62" s="45" t="s">
        <v>93</v>
      </c>
      <c r="D62" s="44">
        <v>1</v>
      </c>
      <c r="E62" s="43">
        <v>6.8027210884353739E-3</v>
      </c>
    </row>
    <row r="63" spans="2:5" ht="15" customHeight="1">
      <c r="B63" s="75"/>
      <c r="C63" s="42" t="s">
        <v>15</v>
      </c>
      <c r="D63" s="41">
        <v>9</v>
      </c>
      <c r="E63" s="40">
        <v>6.1224489795918366E-2</v>
      </c>
    </row>
    <row r="64" spans="2:5" ht="15" customHeight="1">
      <c r="B64" s="73" t="s">
        <v>55</v>
      </c>
      <c r="C64" s="45" t="s">
        <v>26</v>
      </c>
      <c r="D64" s="44">
        <v>1</v>
      </c>
      <c r="E64" s="43">
        <v>6.8027210884353739E-3</v>
      </c>
    </row>
    <row r="65" spans="2:5" ht="15" customHeight="1">
      <c r="B65" s="74"/>
      <c r="C65" s="45" t="s">
        <v>27</v>
      </c>
      <c r="D65" s="44">
        <v>1</v>
      </c>
      <c r="E65" s="43">
        <v>6.8027210884353739E-3</v>
      </c>
    </row>
    <row r="66" spans="2:5" ht="15" customHeight="1">
      <c r="B66" s="74"/>
      <c r="C66" s="45" t="s">
        <v>24</v>
      </c>
      <c r="D66" s="44">
        <v>5</v>
      </c>
      <c r="E66" s="43">
        <v>3.4013605442176874E-2</v>
      </c>
    </row>
    <row r="67" spans="2:5" ht="15" customHeight="1">
      <c r="B67" s="74"/>
      <c r="C67" s="45" t="s">
        <v>21</v>
      </c>
      <c r="D67" s="44">
        <v>2</v>
      </c>
      <c r="E67" s="43">
        <v>1.3605442176870748E-2</v>
      </c>
    </row>
    <row r="68" spans="2:5" ht="15" customHeight="1">
      <c r="B68" s="74"/>
      <c r="C68" s="45" t="s">
        <v>30</v>
      </c>
      <c r="D68" s="44">
        <v>11</v>
      </c>
      <c r="E68" s="43">
        <v>7.4829931972789115E-2</v>
      </c>
    </row>
    <row r="69" spans="2:5" ht="15" customHeight="1">
      <c r="B69" s="74"/>
      <c r="C69" s="45" t="s">
        <v>29</v>
      </c>
      <c r="D69" s="44">
        <v>2</v>
      </c>
      <c r="E69" s="43">
        <v>1.3605442176870748E-2</v>
      </c>
    </row>
    <row r="70" spans="2:5" ht="15" customHeight="1">
      <c r="B70" s="74"/>
      <c r="C70" s="45" t="s">
        <v>94</v>
      </c>
      <c r="D70" s="44">
        <v>2</v>
      </c>
      <c r="E70" s="43">
        <v>1.3605442176870748E-2</v>
      </c>
    </row>
    <row r="71" spans="2:5" ht="15" customHeight="1">
      <c r="B71" s="74"/>
      <c r="C71" s="45" t="s">
        <v>17</v>
      </c>
      <c r="D71" s="44">
        <v>2</v>
      </c>
      <c r="E71" s="43">
        <v>1.3605442176870748E-2</v>
      </c>
    </row>
    <row r="72" spans="2:5" ht="15" customHeight="1">
      <c r="B72" s="74"/>
      <c r="C72" s="45" t="s">
        <v>28</v>
      </c>
      <c r="D72" s="44">
        <v>3</v>
      </c>
      <c r="E72" s="43">
        <v>2.0408163265306121E-2</v>
      </c>
    </row>
    <row r="73" spans="2:5" ht="15" customHeight="1">
      <c r="B73" s="74"/>
      <c r="C73" s="45" t="s">
        <v>16</v>
      </c>
      <c r="D73" s="44">
        <v>2</v>
      </c>
      <c r="E73" s="43">
        <v>1.3605442176870748E-2</v>
      </c>
    </row>
    <row r="74" spans="2:5" ht="15" customHeight="1">
      <c r="B74" s="74"/>
      <c r="C74" s="45" t="s">
        <v>95</v>
      </c>
      <c r="D74" s="44">
        <v>2</v>
      </c>
      <c r="E74" s="43">
        <v>1.3605442176870748E-2</v>
      </c>
    </row>
    <row r="75" spans="2:5" ht="15" customHeight="1">
      <c r="B75" s="74"/>
      <c r="C75" s="45" t="s">
        <v>93</v>
      </c>
      <c r="D75" s="44">
        <v>2</v>
      </c>
      <c r="E75" s="43">
        <v>1.3605442176870748E-2</v>
      </c>
    </row>
    <row r="76" spans="2:5" ht="15" customHeight="1">
      <c r="B76" s="74"/>
      <c r="C76" s="45" t="s">
        <v>25</v>
      </c>
      <c r="D76" s="44">
        <v>4</v>
      </c>
      <c r="E76" s="43">
        <v>2.7210884353741496E-2</v>
      </c>
    </row>
    <row r="77" spans="2:5" ht="15" customHeight="1">
      <c r="B77" s="75"/>
      <c r="C77" s="42" t="s">
        <v>15</v>
      </c>
      <c r="D77" s="41">
        <v>39</v>
      </c>
      <c r="E77" s="40">
        <v>0.26530612244897961</v>
      </c>
    </row>
    <row r="78" spans="2:5" ht="15" customHeight="1">
      <c r="B78" s="73" t="s">
        <v>149</v>
      </c>
      <c r="C78" s="45" t="s">
        <v>27</v>
      </c>
      <c r="D78" s="44">
        <v>2</v>
      </c>
      <c r="E78" s="43">
        <v>1.3605442176870748E-2</v>
      </c>
    </row>
    <row r="79" spans="2:5" ht="15" customHeight="1">
      <c r="B79" s="74"/>
      <c r="C79" s="45" t="s">
        <v>28</v>
      </c>
      <c r="D79" s="44">
        <v>1</v>
      </c>
      <c r="E79" s="43">
        <v>6.8027210884353739E-3</v>
      </c>
    </row>
    <row r="80" spans="2:5" ht="15" customHeight="1">
      <c r="B80" s="75"/>
      <c r="C80" s="42" t="s">
        <v>15</v>
      </c>
      <c r="D80" s="41">
        <v>3</v>
      </c>
      <c r="E80" s="40">
        <v>2.0408163265306121E-2</v>
      </c>
    </row>
    <row r="81" spans="2:5" ht="15" customHeight="1">
      <c r="B81" s="73" t="s">
        <v>89</v>
      </c>
      <c r="C81" s="45" t="s">
        <v>27</v>
      </c>
      <c r="D81" s="44">
        <v>2</v>
      </c>
      <c r="E81" s="43">
        <v>1.3605442176870748E-2</v>
      </c>
    </row>
    <row r="82" spans="2:5" ht="15" customHeight="1">
      <c r="B82" s="74"/>
      <c r="C82" s="45" t="s">
        <v>24</v>
      </c>
      <c r="D82" s="44">
        <v>2</v>
      </c>
      <c r="E82" s="43">
        <v>1.3605442176870748E-2</v>
      </c>
    </row>
    <row r="83" spans="2:5" ht="15" customHeight="1">
      <c r="B83" s="74"/>
      <c r="C83" s="45" t="s">
        <v>21</v>
      </c>
      <c r="D83" s="44">
        <v>2</v>
      </c>
      <c r="E83" s="43">
        <v>1.3605442176870748E-2</v>
      </c>
    </row>
    <row r="84" spans="2:5" ht="15" customHeight="1">
      <c r="B84" s="74"/>
      <c r="C84" s="45" t="s">
        <v>30</v>
      </c>
      <c r="D84" s="44">
        <v>6</v>
      </c>
      <c r="E84" s="43">
        <v>4.0816326530612242E-2</v>
      </c>
    </row>
    <row r="85" spans="2:5" ht="15" customHeight="1">
      <c r="B85" s="74"/>
      <c r="C85" s="45" t="s">
        <v>29</v>
      </c>
      <c r="D85" s="44">
        <v>1</v>
      </c>
      <c r="E85" s="43">
        <v>6.8027210884353739E-3</v>
      </c>
    </row>
    <row r="86" spans="2:5" ht="15" customHeight="1">
      <c r="B86" s="74"/>
      <c r="C86" s="45" t="s">
        <v>17</v>
      </c>
      <c r="D86" s="44">
        <v>2</v>
      </c>
      <c r="E86" s="43">
        <v>1.3605442176870748E-2</v>
      </c>
    </row>
    <row r="87" spans="2:5" ht="15" customHeight="1">
      <c r="B87" s="74"/>
      <c r="C87" s="45" t="s">
        <v>28</v>
      </c>
      <c r="D87" s="44">
        <v>1</v>
      </c>
      <c r="E87" s="43">
        <v>6.8027210884353739E-3</v>
      </c>
    </row>
    <row r="88" spans="2:5" ht="15" customHeight="1">
      <c r="B88" s="74"/>
      <c r="C88" s="45" t="s">
        <v>16</v>
      </c>
      <c r="D88" s="44">
        <v>2</v>
      </c>
      <c r="E88" s="43">
        <v>1.3605442176870748E-2</v>
      </c>
    </row>
    <row r="89" spans="2:5" ht="15" customHeight="1">
      <c r="B89" s="74"/>
      <c r="C89" s="45" t="s">
        <v>25</v>
      </c>
      <c r="D89" s="44">
        <v>1</v>
      </c>
      <c r="E89" s="43">
        <v>6.8027210884353739E-3</v>
      </c>
    </row>
    <row r="90" spans="2:5" ht="15" customHeight="1">
      <c r="B90" s="75"/>
      <c r="C90" s="42" t="s">
        <v>15</v>
      </c>
      <c r="D90" s="41">
        <v>19</v>
      </c>
      <c r="E90" s="40">
        <v>0.12925170068027211</v>
      </c>
    </row>
    <row r="91" spans="2:5" ht="15" customHeight="1">
      <c r="B91" s="76" t="s">
        <v>15</v>
      </c>
      <c r="C91" s="77"/>
      <c r="D91" s="58">
        <v>147</v>
      </c>
      <c r="E91" s="59">
        <v>1</v>
      </c>
    </row>
    <row r="93" spans="2:5" ht="15" customHeight="1">
      <c r="B93" s="19" t="s">
        <v>96</v>
      </c>
    </row>
    <row r="94" spans="2:5" ht="15" customHeight="1">
      <c r="B94" s="21" t="s">
        <v>14</v>
      </c>
    </row>
    <row r="95" spans="2:5" ht="15" customHeight="1">
      <c r="B95" s="20" t="s">
        <v>13</v>
      </c>
    </row>
    <row r="96" spans="2:5" ht="15" customHeight="1">
      <c r="B96" s="19" t="s">
        <v>12</v>
      </c>
    </row>
    <row r="97" spans="2:2" ht="15" customHeight="1">
      <c r="B97" s="19" t="s">
        <v>97</v>
      </c>
    </row>
  </sheetData>
  <mergeCells count="18">
    <mergeCell ref="B55:B57"/>
    <mergeCell ref="B7:E8"/>
    <mergeCell ref="B17:B18"/>
    <mergeCell ref="B10:B11"/>
    <mergeCell ref="B12:B14"/>
    <mergeCell ref="B15:B16"/>
    <mergeCell ref="B19:B20"/>
    <mergeCell ref="B21:B27"/>
    <mergeCell ref="B28:B33"/>
    <mergeCell ref="B34:B35"/>
    <mergeCell ref="B36:B38"/>
    <mergeCell ref="B39:B40"/>
    <mergeCell ref="B41:B54"/>
    <mergeCell ref="B58:B63"/>
    <mergeCell ref="B64:B77"/>
    <mergeCell ref="B78:B80"/>
    <mergeCell ref="B81:B90"/>
    <mergeCell ref="B91:C91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" manualBreakCount="1">
    <brk id="52" max="4" man="1"/>
  </rowBreaks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B1:D20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2:4" s="29" customFormat="1" ht="15" customHeight="1">
      <c r="C1" s="35"/>
    </row>
    <row r="2" spans="2:4" s="29" customFormat="1" ht="15" customHeight="1">
      <c r="C2" s="35"/>
    </row>
    <row r="3" spans="2:4" s="29" customFormat="1" ht="15" customHeight="1">
      <c r="C3" s="35"/>
    </row>
    <row r="4" spans="2:4" s="29" customFormat="1" ht="30" customHeight="1">
      <c r="C4" s="35"/>
      <c r="D4" s="34"/>
    </row>
    <row r="5" spans="2:4" s="29" customFormat="1" ht="15" customHeight="1">
      <c r="C5" s="35"/>
      <c r="D5" s="34"/>
    </row>
    <row r="6" spans="2:4" s="29" customFormat="1" ht="15" customHeight="1">
      <c r="C6" s="35"/>
      <c r="D6" s="34"/>
    </row>
    <row r="7" spans="2:4" s="29" customFormat="1" ht="15" customHeight="1">
      <c r="B7" s="72" t="s">
        <v>150</v>
      </c>
      <c r="C7" s="72"/>
      <c r="D7" s="72"/>
    </row>
    <row r="8" spans="2:4" s="29" customFormat="1" ht="15" customHeight="1">
      <c r="B8" s="72"/>
      <c r="C8" s="72"/>
      <c r="D8" s="72"/>
    </row>
    <row r="9" spans="2:4" s="29" customFormat="1" ht="33" customHeight="1">
      <c r="B9" s="72"/>
      <c r="C9" s="72"/>
      <c r="D9" s="72"/>
    </row>
    <row r="10" spans="2:4" s="29" customFormat="1" ht="4.5" customHeight="1">
      <c r="B10" s="33"/>
      <c r="C10" s="33"/>
      <c r="D10" s="33"/>
    </row>
    <row r="11" spans="2:4" s="29" customFormat="1" ht="33" customHeight="1">
      <c r="B11" s="32" t="s">
        <v>72</v>
      </c>
      <c r="C11" s="31" t="s">
        <v>32</v>
      </c>
      <c r="D11" s="30" t="s">
        <v>31</v>
      </c>
    </row>
    <row r="12" spans="2:4" ht="15" customHeight="1">
      <c r="B12" s="27" t="s">
        <v>71</v>
      </c>
      <c r="C12" s="26">
        <v>97</v>
      </c>
      <c r="D12" s="25">
        <v>0.65986394557823125</v>
      </c>
    </row>
    <row r="13" spans="2:4" ht="15" customHeight="1">
      <c r="B13" s="27" t="s">
        <v>70</v>
      </c>
      <c r="C13" s="26">
        <v>50</v>
      </c>
      <c r="D13" s="25">
        <v>0.3401360544217687</v>
      </c>
    </row>
    <row r="14" spans="2:4">
      <c r="B14" s="24" t="s">
        <v>69</v>
      </c>
      <c r="C14" s="23">
        <v>147</v>
      </c>
      <c r="D14" s="22">
        <v>1</v>
      </c>
    </row>
    <row r="15" spans="2:4" s="28" customFormat="1">
      <c r="C15" s="62"/>
    </row>
    <row r="16" spans="2:4" s="28" customFormat="1">
      <c r="B16" s="19" t="s">
        <v>96</v>
      </c>
      <c r="C16" s="62"/>
    </row>
    <row r="17" spans="2:4">
      <c r="B17" s="21" t="s">
        <v>14</v>
      </c>
      <c r="C17" s="61"/>
      <c r="D17" s="61"/>
    </row>
    <row r="18" spans="2:4">
      <c r="B18" s="20" t="s">
        <v>13</v>
      </c>
      <c r="C18" s="60"/>
      <c r="D18" s="60"/>
    </row>
    <row r="19" spans="2:4">
      <c r="B19" s="19" t="s">
        <v>12</v>
      </c>
    </row>
    <row r="20" spans="2:4">
      <c r="B20" s="19" t="s">
        <v>97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442"/>
  <sheetViews>
    <sheetView showGridLines="0" topLeftCell="A49" zoomScale="98" zoomScaleNormal="98" zoomScaleSheetLayoutView="100" workbookViewId="0">
      <selection activeCell="H16" sqref="H16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78"/>
      <c r="C7" s="78"/>
      <c r="D7" s="78"/>
      <c r="E7" s="78"/>
    </row>
    <row r="8" spans="1:5" s="50" customFormat="1" ht="33" customHeight="1">
      <c r="A8" s="51"/>
      <c r="B8" s="78"/>
      <c r="C8" s="78"/>
      <c r="D8" s="78"/>
      <c r="E8" s="78"/>
    </row>
    <row r="9" spans="1:5" s="29" customFormat="1" ht="40.5" customHeight="1">
      <c r="B9" s="47" t="s">
        <v>33</v>
      </c>
      <c r="C9" s="49" t="s">
        <v>72</v>
      </c>
      <c r="D9" s="48" t="s">
        <v>32</v>
      </c>
      <c r="E9" s="47" t="s">
        <v>31</v>
      </c>
    </row>
    <row r="10" spans="1:5" ht="15" customHeight="1">
      <c r="B10" s="73" t="s">
        <v>19</v>
      </c>
      <c r="C10" s="45" t="s">
        <v>74</v>
      </c>
      <c r="D10" s="44">
        <v>1</v>
      </c>
      <c r="E10" s="43">
        <v>6.8027210884353739E-3</v>
      </c>
    </row>
    <row r="11" spans="1:5" ht="15" customHeight="1">
      <c r="B11" s="74"/>
      <c r="C11" s="45" t="s">
        <v>73</v>
      </c>
      <c r="D11" s="44">
        <v>2</v>
      </c>
      <c r="E11" s="43">
        <v>1.3605442176870748E-2</v>
      </c>
    </row>
    <row r="12" spans="1:5" ht="15" customHeight="1">
      <c r="B12" s="75"/>
      <c r="C12" s="42" t="s">
        <v>15</v>
      </c>
      <c r="D12" s="41">
        <v>3</v>
      </c>
      <c r="E12" s="40">
        <v>2.0408163265306121E-2</v>
      </c>
    </row>
    <row r="13" spans="1:5" ht="15" customHeight="1">
      <c r="B13" s="73" t="s">
        <v>26</v>
      </c>
      <c r="C13" s="45" t="s">
        <v>74</v>
      </c>
      <c r="D13" s="44">
        <v>2</v>
      </c>
      <c r="E13" s="43">
        <v>1.3605442176870748E-2</v>
      </c>
    </row>
    <row r="14" spans="1:5" s="46" customFormat="1" ht="15" customHeight="1">
      <c r="B14" s="74"/>
      <c r="C14" s="45" t="s">
        <v>73</v>
      </c>
      <c r="D14" s="44">
        <v>1</v>
      </c>
      <c r="E14" s="43">
        <v>6.8027210884353739E-3</v>
      </c>
    </row>
    <row r="15" spans="1:5" ht="15" customHeight="1">
      <c r="B15" s="75"/>
      <c r="C15" s="42" t="s">
        <v>15</v>
      </c>
      <c r="D15" s="41">
        <v>3</v>
      </c>
      <c r="E15" s="40">
        <v>2.0408163265306121E-2</v>
      </c>
    </row>
    <row r="16" spans="1:5" ht="15" customHeight="1">
      <c r="B16" s="73" t="s">
        <v>27</v>
      </c>
      <c r="C16" s="45" t="s">
        <v>74</v>
      </c>
      <c r="D16" s="44">
        <v>3</v>
      </c>
      <c r="E16" s="43">
        <v>2.0408163265306121E-2</v>
      </c>
    </row>
    <row r="17" spans="2:5" ht="15" customHeight="1">
      <c r="B17" s="74"/>
      <c r="C17" s="45" t="s">
        <v>73</v>
      </c>
      <c r="D17" s="44">
        <v>4</v>
      </c>
      <c r="E17" s="43">
        <v>2.7210884353741496E-2</v>
      </c>
    </row>
    <row r="18" spans="2:5" ht="15" customHeight="1">
      <c r="B18" s="75"/>
      <c r="C18" s="42" t="s">
        <v>15</v>
      </c>
      <c r="D18" s="41">
        <v>7</v>
      </c>
      <c r="E18" s="40">
        <v>4.7619047619047616E-2</v>
      </c>
    </row>
    <row r="19" spans="2:5" ht="15" customHeight="1">
      <c r="B19" s="73" t="s">
        <v>18</v>
      </c>
      <c r="C19" s="45" t="s">
        <v>74</v>
      </c>
      <c r="D19" s="44">
        <v>1</v>
      </c>
      <c r="E19" s="43">
        <v>6.8027210884353739E-3</v>
      </c>
    </row>
    <row r="20" spans="2:5" ht="15" customHeight="1">
      <c r="B20" s="75"/>
      <c r="C20" s="42" t="s">
        <v>15</v>
      </c>
      <c r="D20" s="41">
        <v>1</v>
      </c>
      <c r="E20" s="40">
        <v>6.8027210884353739E-3</v>
      </c>
    </row>
    <row r="21" spans="2:5" ht="15" customHeight="1">
      <c r="B21" s="73" t="s">
        <v>24</v>
      </c>
      <c r="C21" s="45" t="s">
        <v>74</v>
      </c>
      <c r="D21" s="44">
        <v>5</v>
      </c>
      <c r="E21" s="43">
        <v>3.4013605442176874E-2</v>
      </c>
    </row>
    <row r="22" spans="2:5" ht="15" customHeight="1">
      <c r="B22" s="74"/>
      <c r="C22" s="45" t="s">
        <v>73</v>
      </c>
      <c r="D22" s="44">
        <v>7</v>
      </c>
      <c r="E22" s="43">
        <v>4.7619047619047616E-2</v>
      </c>
    </row>
    <row r="23" spans="2:5" ht="15" customHeight="1">
      <c r="B23" s="75"/>
      <c r="C23" s="42" t="s">
        <v>15</v>
      </c>
      <c r="D23" s="41">
        <v>12</v>
      </c>
      <c r="E23" s="40">
        <v>8.1632653061224483E-2</v>
      </c>
    </row>
    <row r="24" spans="2:5" ht="15" customHeight="1">
      <c r="B24" s="73" t="s">
        <v>92</v>
      </c>
      <c r="C24" s="45" t="s">
        <v>74</v>
      </c>
      <c r="D24" s="44">
        <v>3</v>
      </c>
      <c r="E24" s="43">
        <v>2.0408163265306121E-2</v>
      </c>
    </row>
    <row r="25" spans="2:5" ht="15" customHeight="1">
      <c r="B25" s="75"/>
      <c r="C25" s="42" t="s">
        <v>15</v>
      </c>
      <c r="D25" s="41">
        <v>3</v>
      </c>
      <c r="E25" s="40">
        <v>2.0408163265306121E-2</v>
      </c>
    </row>
    <row r="26" spans="2:5" ht="15" customHeight="1">
      <c r="B26" s="73" t="s">
        <v>22</v>
      </c>
      <c r="C26" s="45" t="s">
        <v>74</v>
      </c>
      <c r="D26" s="44">
        <v>2</v>
      </c>
      <c r="E26" s="43">
        <v>1.3605442176870748E-2</v>
      </c>
    </row>
    <row r="27" spans="2:5" ht="15" customHeight="1">
      <c r="B27" s="75"/>
      <c r="C27" s="42" t="s">
        <v>15</v>
      </c>
      <c r="D27" s="41">
        <v>2</v>
      </c>
      <c r="E27" s="40">
        <v>1.3605442176870748E-2</v>
      </c>
    </row>
    <row r="28" spans="2:5" ht="15" customHeight="1">
      <c r="B28" s="73" t="s">
        <v>21</v>
      </c>
      <c r="C28" s="45" t="s">
        <v>74</v>
      </c>
      <c r="D28" s="44">
        <v>8</v>
      </c>
      <c r="E28" s="43">
        <v>5.4421768707482991E-2</v>
      </c>
    </row>
    <row r="29" spans="2:5" ht="15" customHeight="1">
      <c r="B29" s="74"/>
      <c r="C29" s="45" t="s">
        <v>73</v>
      </c>
      <c r="D29" s="44">
        <v>1</v>
      </c>
      <c r="E29" s="43">
        <v>6.8027210884353739E-3</v>
      </c>
    </row>
    <row r="30" spans="2:5" ht="15" customHeight="1">
      <c r="B30" s="75"/>
      <c r="C30" s="42" t="s">
        <v>15</v>
      </c>
      <c r="D30" s="41">
        <v>9</v>
      </c>
      <c r="E30" s="40">
        <v>6.1224489795918366E-2</v>
      </c>
    </row>
    <row r="31" spans="2:5" ht="15" customHeight="1">
      <c r="B31" s="73" t="s">
        <v>30</v>
      </c>
      <c r="C31" s="45" t="s">
        <v>74</v>
      </c>
      <c r="D31" s="44">
        <v>28</v>
      </c>
      <c r="E31" s="43">
        <v>0.19047619047619047</v>
      </c>
    </row>
    <row r="32" spans="2:5" ht="15" customHeight="1">
      <c r="B32" s="74"/>
      <c r="C32" s="45" t="s">
        <v>73</v>
      </c>
      <c r="D32" s="44">
        <v>11</v>
      </c>
      <c r="E32" s="43">
        <v>7.4829931972789115E-2</v>
      </c>
    </row>
    <row r="33" spans="2:5" ht="15" customHeight="1">
      <c r="B33" s="75"/>
      <c r="C33" s="42" t="s">
        <v>15</v>
      </c>
      <c r="D33" s="41">
        <v>39</v>
      </c>
      <c r="E33" s="40">
        <v>0.26530612244897961</v>
      </c>
    </row>
    <row r="34" spans="2:5" ht="15" customHeight="1">
      <c r="B34" s="73" t="s">
        <v>29</v>
      </c>
      <c r="C34" s="45" t="s">
        <v>74</v>
      </c>
      <c r="D34" s="44">
        <v>6</v>
      </c>
      <c r="E34" s="43">
        <v>4.0816326530612242E-2</v>
      </c>
    </row>
    <row r="35" spans="2:5" ht="15" customHeight="1">
      <c r="B35" s="74"/>
      <c r="C35" s="45" t="s">
        <v>73</v>
      </c>
      <c r="D35" s="44">
        <v>4</v>
      </c>
      <c r="E35" s="43">
        <v>2.7210884353741496E-2</v>
      </c>
    </row>
    <row r="36" spans="2:5" ht="15" customHeight="1">
      <c r="B36" s="75"/>
      <c r="C36" s="42" t="s">
        <v>15</v>
      </c>
      <c r="D36" s="41">
        <v>10</v>
      </c>
      <c r="E36" s="40">
        <v>6.8027210884353748E-2</v>
      </c>
    </row>
    <row r="37" spans="2:5" ht="15" customHeight="1">
      <c r="B37" s="73" t="s">
        <v>94</v>
      </c>
      <c r="C37" s="45" t="s">
        <v>74</v>
      </c>
      <c r="D37" s="44">
        <v>2</v>
      </c>
      <c r="E37" s="43">
        <v>1.3605442176870748E-2</v>
      </c>
    </row>
    <row r="38" spans="2:5" ht="15" customHeight="1">
      <c r="B38" s="75"/>
      <c r="C38" s="42" t="s">
        <v>15</v>
      </c>
      <c r="D38" s="41">
        <v>2</v>
      </c>
      <c r="E38" s="40">
        <v>1.3605442176870748E-2</v>
      </c>
    </row>
    <row r="39" spans="2:5" ht="15" customHeight="1">
      <c r="B39" s="73" t="s">
        <v>20</v>
      </c>
      <c r="C39" s="45" t="s">
        <v>74</v>
      </c>
      <c r="D39" s="44">
        <v>2</v>
      </c>
      <c r="E39" s="43">
        <v>1.3605442176870748E-2</v>
      </c>
    </row>
    <row r="40" spans="2:5" ht="15" customHeight="1">
      <c r="B40" s="74"/>
      <c r="C40" s="45" t="s">
        <v>73</v>
      </c>
      <c r="D40" s="44">
        <v>2</v>
      </c>
      <c r="E40" s="43">
        <v>1.3605442176870748E-2</v>
      </c>
    </row>
    <row r="41" spans="2:5" ht="15" customHeight="1">
      <c r="B41" s="75"/>
      <c r="C41" s="42" t="s">
        <v>15</v>
      </c>
      <c r="D41" s="41">
        <v>4</v>
      </c>
      <c r="E41" s="40">
        <v>2.7210884353741496E-2</v>
      </c>
    </row>
    <row r="42" spans="2:5" ht="15" customHeight="1">
      <c r="B42" s="73" t="s">
        <v>17</v>
      </c>
      <c r="C42" s="45" t="s">
        <v>74</v>
      </c>
      <c r="D42" s="44">
        <v>3</v>
      </c>
      <c r="E42" s="43">
        <v>2.0408163265306121E-2</v>
      </c>
    </row>
    <row r="43" spans="2:5" ht="15" customHeight="1">
      <c r="B43" s="74"/>
      <c r="C43" s="45" t="s">
        <v>73</v>
      </c>
      <c r="D43" s="44">
        <v>1</v>
      </c>
      <c r="E43" s="43">
        <v>6.8027210884353739E-3</v>
      </c>
    </row>
    <row r="44" spans="2:5" ht="15" customHeight="1">
      <c r="B44" s="75"/>
      <c r="C44" s="42" t="s">
        <v>15</v>
      </c>
      <c r="D44" s="41">
        <v>4</v>
      </c>
      <c r="E44" s="40">
        <v>2.7210884353741496E-2</v>
      </c>
    </row>
    <row r="45" spans="2:5" ht="15" customHeight="1">
      <c r="B45" s="73" t="s">
        <v>28</v>
      </c>
      <c r="C45" s="45" t="s">
        <v>74</v>
      </c>
      <c r="D45" s="44">
        <v>13</v>
      </c>
      <c r="E45" s="43">
        <v>8.8435374149659865E-2</v>
      </c>
    </row>
    <row r="46" spans="2:5" ht="15" customHeight="1">
      <c r="B46" s="74"/>
      <c r="C46" s="45" t="s">
        <v>73</v>
      </c>
      <c r="D46" s="44">
        <v>3</v>
      </c>
      <c r="E46" s="43">
        <v>2.0408163265306121E-2</v>
      </c>
    </row>
    <row r="47" spans="2:5" ht="15" customHeight="1">
      <c r="B47" s="75"/>
      <c r="C47" s="42" t="s">
        <v>15</v>
      </c>
      <c r="D47" s="41">
        <v>16</v>
      </c>
      <c r="E47" s="40">
        <v>0.10884353741496598</v>
      </c>
    </row>
    <row r="48" spans="2:5" ht="15" customHeight="1">
      <c r="B48" s="73" t="s">
        <v>16</v>
      </c>
      <c r="C48" s="45" t="s">
        <v>74</v>
      </c>
      <c r="D48" s="44">
        <v>3</v>
      </c>
      <c r="E48" s="43">
        <v>2.0408163265306121E-2</v>
      </c>
    </row>
    <row r="49" spans="2:5" ht="15" customHeight="1">
      <c r="B49" s="74"/>
      <c r="C49" s="45" t="s">
        <v>73</v>
      </c>
      <c r="D49" s="44">
        <v>3</v>
      </c>
      <c r="E49" s="43">
        <v>2.0408163265306121E-2</v>
      </c>
    </row>
    <row r="50" spans="2:5" ht="15" customHeight="1">
      <c r="B50" s="75"/>
      <c r="C50" s="42" t="s">
        <v>15</v>
      </c>
      <c r="D50" s="41">
        <v>6</v>
      </c>
      <c r="E50" s="40">
        <v>4.0816326530612242E-2</v>
      </c>
    </row>
    <row r="51" spans="2:5" ht="15" customHeight="1">
      <c r="B51" s="73" t="s">
        <v>95</v>
      </c>
      <c r="C51" s="45" t="s">
        <v>74</v>
      </c>
      <c r="D51" s="44">
        <v>1</v>
      </c>
      <c r="E51" s="43">
        <v>6.8027210884353739E-3</v>
      </c>
    </row>
    <row r="52" spans="2:5" ht="15" customHeight="1">
      <c r="B52" s="74"/>
      <c r="C52" s="45" t="s">
        <v>73</v>
      </c>
      <c r="D52" s="44">
        <v>1</v>
      </c>
      <c r="E52" s="43">
        <v>6.8027210884353739E-3</v>
      </c>
    </row>
    <row r="53" spans="2:5" ht="15" customHeight="1">
      <c r="B53" s="75"/>
      <c r="C53" s="42" t="s">
        <v>15</v>
      </c>
      <c r="D53" s="41">
        <v>2</v>
      </c>
      <c r="E53" s="40">
        <v>1.3605442176870748E-2</v>
      </c>
    </row>
    <row r="54" spans="2:5" ht="15" customHeight="1">
      <c r="B54" s="73" t="s">
        <v>93</v>
      </c>
      <c r="C54" s="45" t="s">
        <v>74</v>
      </c>
      <c r="D54" s="44">
        <v>1</v>
      </c>
      <c r="E54" s="43">
        <v>6.8027210884353739E-3</v>
      </c>
    </row>
    <row r="55" spans="2:5" ht="15" customHeight="1">
      <c r="B55" s="74"/>
      <c r="C55" s="45" t="s">
        <v>73</v>
      </c>
      <c r="D55" s="44">
        <v>2</v>
      </c>
      <c r="E55" s="43">
        <v>1.3605442176870748E-2</v>
      </c>
    </row>
    <row r="56" spans="2:5" ht="15" customHeight="1">
      <c r="B56" s="75"/>
      <c r="C56" s="42" t="s">
        <v>15</v>
      </c>
      <c r="D56" s="41">
        <v>3</v>
      </c>
      <c r="E56" s="40">
        <v>2.0408163265306121E-2</v>
      </c>
    </row>
    <row r="57" spans="2:5" ht="15" customHeight="1">
      <c r="B57" s="73" t="s">
        <v>23</v>
      </c>
      <c r="C57" s="45" t="s">
        <v>74</v>
      </c>
      <c r="D57" s="44">
        <v>1</v>
      </c>
      <c r="E57" s="43">
        <v>6.8027210884353739E-3</v>
      </c>
    </row>
    <row r="58" spans="2:5" ht="15" customHeight="1">
      <c r="B58" s="74"/>
      <c r="C58" s="45" t="s">
        <v>73</v>
      </c>
      <c r="D58" s="44">
        <v>2</v>
      </c>
      <c r="E58" s="43">
        <v>1.3605442176870748E-2</v>
      </c>
    </row>
    <row r="59" spans="2:5" ht="15" customHeight="1">
      <c r="B59" s="75"/>
      <c r="C59" s="42" t="s">
        <v>15</v>
      </c>
      <c r="D59" s="41">
        <v>3</v>
      </c>
      <c r="E59" s="40">
        <v>2.0408163265306121E-2</v>
      </c>
    </row>
    <row r="60" spans="2:5" ht="15" customHeight="1">
      <c r="B60" s="73" t="s">
        <v>25</v>
      </c>
      <c r="C60" s="45" t="s">
        <v>74</v>
      </c>
      <c r="D60" s="44">
        <v>12</v>
      </c>
      <c r="E60" s="43">
        <v>8.1632653061224483E-2</v>
      </c>
    </row>
    <row r="61" spans="2:5" ht="15" customHeight="1">
      <c r="B61" s="74"/>
      <c r="C61" s="45" t="s">
        <v>73</v>
      </c>
      <c r="D61" s="44">
        <v>6</v>
      </c>
      <c r="E61" s="43">
        <v>4.0816326530612242E-2</v>
      </c>
    </row>
    <row r="62" spans="2:5" ht="15" customHeight="1">
      <c r="B62" s="75"/>
      <c r="C62" s="42" t="s">
        <v>15</v>
      </c>
      <c r="D62" s="41">
        <v>18</v>
      </c>
      <c r="E62" s="40">
        <v>0.12244897959183673</v>
      </c>
    </row>
    <row r="63" spans="2:5" ht="15" customHeight="1">
      <c r="B63" s="76" t="s">
        <v>15</v>
      </c>
      <c r="C63" s="77"/>
      <c r="D63" s="58">
        <f>SUMIF(C10:C62,"TOTAL",D10:D62)</f>
        <v>147</v>
      </c>
      <c r="E63" s="59">
        <v>1</v>
      </c>
    </row>
    <row r="65" spans="2:2" ht="15" customHeight="1">
      <c r="B65" s="19" t="s">
        <v>96</v>
      </c>
    </row>
    <row r="66" spans="2:2" ht="15" customHeight="1">
      <c r="B66" s="21" t="s">
        <v>14</v>
      </c>
    </row>
    <row r="67" spans="2:2" ht="15" customHeight="1">
      <c r="B67" s="20" t="s">
        <v>13</v>
      </c>
    </row>
    <row r="68" spans="2:2" ht="15" customHeight="1">
      <c r="B68" s="19" t="s">
        <v>12</v>
      </c>
    </row>
    <row r="69" spans="2:2" ht="15" customHeight="1">
      <c r="B69" s="19" t="s">
        <v>97</v>
      </c>
    </row>
    <row r="438" spans="2:2" s="37" customFormat="1" ht="15" customHeight="1">
      <c r="B438" s="38"/>
    </row>
    <row r="439" spans="2:2" s="37" customFormat="1" ht="15" customHeight="1">
      <c r="B439" s="39"/>
    </row>
    <row r="440" spans="2:2" s="37" customFormat="1" ht="15" customHeight="1">
      <c r="B440" s="39"/>
    </row>
    <row r="441" spans="2:2" s="37" customFormat="1" ht="15" customHeight="1">
      <c r="B441" s="38"/>
    </row>
    <row r="442" spans="2:2" s="37" customFormat="1" ht="15" customHeight="1">
      <c r="B442" s="38"/>
    </row>
  </sheetData>
  <mergeCells count="21">
    <mergeCell ref="B48:B50"/>
    <mergeCell ref="B39:B41"/>
    <mergeCell ref="B34:B36"/>
    <mergeCell ref="B37:B38"/>
    <mergeCell ref="B42:B44"/>
    <mergeCell ref="B45:B47"/>
    <mergeCell ref="B21:B23"/>
    <mergeCell ref="B24:B25"/>
    <mergeCell ref="B26:B27"/>
    <mergeCell ref="B28:B30"/>
    <mergeCell ref="B31:B33"/>
    <mergeCell ref="B7:E8"/>
    <mergeCell ref="B10:B12"/>
    <mergeCell ref="B13:B15"/>
    <mergeCell ref="B16:B18"/>
    <mergeCell ref="B19:B20"/>
    <mergeCell ref="B51:B53"/>
    <mergeCell ref="B54:B56"/>
    <mergeCell ref="B57:B59"/>
    <mergeCell ref="B60:B62"/>
    <mergeCell ref="B63:C63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2" manualBreakCount="2">
    <brk id="32" max="4" man="1"/>
    <brk id="50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489"/>
  <sheetViews>
    <sheetView showGridLines="0" zoomScaleNormal="100" zoomScaleSheetLayoutView="100" workbookViewId="0">
      <selection activeCell="G12" sqref="G12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78"/>
      <c r="C7" s="78"/>
      <c r="D7" s="78"/>
      <c r="E7" s="78"/>
    </row>
    <row r="8" spans="1:5" s="50" customFormat="1" ht="33" customHeight="1">
      <c r="A8" s="51"/>
      <c r="B8" s="78"/>
      <c r="C8" s="78"/>
      <c r="D8" s="78"/>
      <c r="E8" s="78"/>
    </row>
    <row r="9" spans="1:5" s="29" customFormat="1" ht="40.5" customHeight="1">
      <c r="B9" s="47" t="s">
        <v>72</v>
      </c>
      <c r="C9" s="49" t="s">
        <v>81</v>
      </c>
      <c r="D9" s="48" t="s">
        <v>32</v>
      </c>
      <c r="E9" s="47" t="s">
        <v>31</v>
      </c>
    </row>
    <row r="10" spans="1:5" ht="15" customHeight="1">
      <c r="B10" s="73" t="s">
        <v>74</v>
      </c>
      <c r="C10" s="45" t="s">
        <v>79</v>
      </c>
      <c r="D10" s="44">
        <v>22</v>
      </c>
      <c r="E10" s="43">
        <v>0.14965986394557823</v>
      </c>
    </row>
    <row r="11" spans="1:5" ht="15" customHeight="1">
      <c r="B11" s="74"/>
      <c r="C11" s="45" t="s">
        <v>78</v>
      </c>
      <c r="D11" s="44">
        <v>26</v>
      </c>
      <c r="E11" s="43">
        <v>0.17687074829931973</v>
      </c>
    </row>
    <row r="12" spans="1:5" ht="15" customHeight="1">
      <c r="B12" s="74"/>
      <c r="C12" s="45" t="s">
        <v>77</v>
      </c>
      <c r="D12" s="44">
        <v>32</v>
      </c>
      <c r="E12" s="43">
        <v>0.21768707482993196</v>
      </c>
    </row>
    <row r="13" spans="1:5" ht="15" customHeight="1">
      <c r="B13" s="74"/>
      <c r="C13" s="45" t="s">
        <v>76</v>
      </c>
      <c r="D13" s="44">
        <v>13</v>
      </c>
      <c r="E13" s="43">
        <v>8.8435374149659865E-2</v>
      </c>
    </row>
    <row r="14" spans="1:5" ht="15" customHeight="1">
      <c r="B14" s="74"/>
      <c r="C14" s="45" t="s">
        <v>75</v>
      </c>
      <c r="D14" s="44">
        <v>2</v>
      </c>
      <c r="E14" s="43">
        <v>1.3605442176870748E-2</v>
      </c>
    </row>
    <row r="15" spans="1:5" s="46" customFormat="1" ht="15" customHeight="1">
      <c r="B15" s="75"/>
      <c r="C15" s="45" t="s">
        <v>151</v>
      </c>
      <c r="D15" s="44">
        <v>2</v>
      </c>
      <c r="E15" s="43">
        <v>1.3605442176870748E-2</v>
      </c>
    </row>
    <row r="16" spans="1:5" s="46" customFormat="1" ht="15" customHeight="1">
      <c r="B16" s="73" t="s">
        <v>73</v>
      </c>
      <c r="C16" s="45" t="s">
        <v>80</v>
      </c>
      <c r="D16" s="44">
        <v>1</v>
      </c>
      <c r="E16" s="43">
        <v>6.8027210884353739E-3</v>
      </c>
    </row>
    <row r="17" spans="2:5" s="46" customFormat="1" ht="15" customHeight="1">
      <c r="B17" s="74"/>
      <c r="C17" s="45" t="s">
        <v>79</v>
      </c>
      <c r="D17" s="44">
        <v>4</v>
      </c>
      <c r="E17" s="43">
        <v>2.7210884353741496E-2</v>
      </c>
    </row>
    <row r="18" spans="2:5" s="46" customFormat="1" ht="15" customHeight="1">
      <c r="B18" s="74"/>
      <c r="C18" s="45" t="s">
        <v>78</v>
      </c>
      <c r="D18" s="44">
        <v>13</v>
      </c>
      <c r="E18" s="43">
        <v>8.8435374149659865E-2</v>
      </c>
    </row>
    <row r="19" spans="2:5" s="46" customFormat="1" ht="15" customHeight="1">
      <c r="B19" s="74"/>
      <c r="C19" s="45" t="s">
        <v>77</v>
      </c>
      <c r="D19" s="44">
        <v>17</v>
      </c>
      <c r="E19" s="43">
        <v>0.11564625850340136</v>
      </c>
    </row>
    <row r="20" spans="2:5" ht="15" customHeight="1">
      <c r="B20" s="74"/>
      <c r="C20" s="45" t="s">
        <v>76</v>
      </c>
      <c r="D20" s="44">
        <v>13</v>
      </c>
      <c r="E20" s="43">
        <v>8.8435374149659865E-2</v>
      </c>
    </row>
    <row r="21" spans="2:5" ht="15" customHeight="1">
      <c r="B21" s="74"/>
      <c r="C21" s="45" t="s">
        <v>75</v>
      </c>
      <c r="D21" s="44">
        <v>1</v>
      </c>
      <c r="E21" s="43">
        <v>6.8027210884353739E-3</v>
      </c>
    </row>
    <row r="22" spans="2:5" ht="15" customHeight="1">
      <c r="B22" s="75"/>
      <c r="C22" s="45" t="s">
        <v>151</v>
      </c>
      <c r="D22" s="44">
        <v>1</v>
      </c>
      <c r="E22" s="43">
        <v>6.8027210884353739E-3</v>
      </c>
    </row>
    <row r="23" spans="2:5" ht="15" customHeight="1">
      <c r="B23" s="76" t="s">
        <v>15</v>
      </c>
      <c r="C23" s="77"/>
      <c r="D23" s="58">
        <v>147</v>
      </c>
      <c r="E23" s="59">
        <v>1</v>
      </c>
    </row>
    <row r="25" spans="2:5" ht="15" customHeight="1">
      <c r="B25" s="19" t="s">
        <v>96</v>
      </c>
    </row>
    <row r="26" spans="2:5" ht="15" customHeight="1">
      <c r="B26" s="21" t="s">
        <v>14</v>
      </c>
    </row>
    <row r="27" spans="2:5" ht="15" customHeight="1">
      <c r="B27" s="20" t="s">
        <v>13</v>
      </c>
    </row>
    <row r="28" spans="2:5" ht="15" customHeight="1">
      <c r="B28" s="19" t="s">
        <v>12</v>
      </c>
    </row>
    <row r="29" spans="2:5" ht="15" customHeight="1">
      <c r="B29" s="19" t="s">
        <v>97</v>
      </c>
    </row>
    <row r="485" spans="2:2" s="37" customFormat="1" ht="15" customHeight="1">
      <c r="B485" s="38"/>
    </row>
    <row r="486" spans="2:2" s="37" customFormat="1" ht="15" customHeight="1">
      <c r="B486" s="39"/>
    </row>
    <row r="487" spans="2:2" s="37" customFormat="1" ht="15" customHeight="1">
      <c r="B487" s="39"/>
    </row>
    <row r="488" spans="2:2" s="37" customFormat="1" ht="15" customHeight="1">
      <c r="B488" s="38"/>
    </row>
    <row r="489" spans="2:2" s="37" customFormat="1" ht="15" customHeight="1">
      <c r="B489" s="38"/>
    </row>
  </sheetData>
  <mergeCells count="4">
    <mergeCell ref="B23:C23"/>
    <mergeCell ref="B7:E8"/>
    <mergeCell ref="B10:B15"/>
    <mergeCell ref="B16:B22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D26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2:4" s="29" customFormat="1" ht="15" customHeight="1">
      <c r="C1" s="35"/>
    </row>
    <row r="2" spans="2:4" s="29" customFormat="1" ht="15" customHeight="1">
      <c r="C2" s="35"/>
    </row>
    <row r="3" spans="2:4" s="29" customFormat="1" ht="15" customHeight="1">
      <c r="C3" s="35"/>
    </row>
    <row r="4" spans="2:4" s="29" customFormat="1" ht="30" customHeight="1">
      <c r="C4" s="35"/>
      <c r="D4" s="34"/>
    </row>
    <row r="5" spans="2:4" s="29" customFormat="1" ht="15" customHeight="1">
      <c r="C5" s="35"/>
      <c r="D5" s="34"/>
    </row>
    <row r="6" spans="2:4" s="29" customFormat="1" ht="15" customHeight="1">
      <c r="C6" s="35"/>
      <c r="D6" s="34"/>
    </row>
    <row r="7" spans="2:4" s="29" customFormat="1" ht="15" customHeight="1">
      <c r="B7" s="72" t="s">
        <v>154</v>
      </c>
      <c r="C7" s="72"/>
      <c r="D7" s="72"/>
    </row>
    <row r="8" spans="2:4" s="29" customFormat="1" ht="15" customHeight="1">
      <c r="B8" s="72"/>
      <c r="C8" s="72"/>
      <c r="D8" s="72"/>
    </row>
    <row r="9" spans="2:4" s="29" customFormat="1" ht="33" customHeight="1">
      <c r="B9" s="72"/>
      <c r="C9" s="72"/>
      <c r="D9" s="72"/>
    </row>
    <row r="10" spans="2:4" s="29" customFormat="1" ht="4.5" customHeight="1">
      <c r="B10" s="33"/>
      <c r="C10" s="33"/>
      <c r="D10" s="33"/>
    </row>
    <row r="11" spans="2:4" s="29" customFormat="1" ht="33" customHeight="1">
      <c r="B11" s="32" t="s">
        <v>88</v>
      </c>
      <c r="C11" s="31" t="s">
        <v>32</v>
      </c>
      <c r="D11" s="30" t="s">
        <v>31</v>
      </c>
    </row>
    <row r="12" spans="2:4" ht="15" customHeight="1">
      <c r="B12" s="27" t="s">
        <v>87</v>
      </c>
      <c r="C12" s="26">
        <v>105</v>
      </c>
      <c r="D12" s="25">
        <v>0.7142857142857143</v>
      </c>
    </row>
    <row r="13" spans="2:4">
      <c r="B13" s="27" t="s">
        <v>86</v>
      </c>
      <c r="C13" s="26">
        <v>23</v>
      </c>
      <c r="D13" s="25">
        <v>0.15646258503401361</v>
      </c>
    </row>
    <row r="14" spans="2:4" s="28" customFormat="1">
      <c r="B14" s="27" t="s">
        <v>85</v>
      </c>
      <c r="C14" s="26">
        <v>7</v>
      </c>
      <c r="D14" s="25">
        <v>4.7619047619047616E-2</v>
      </c>
    </row>
    <row r="15" spans="2:4" s="28" customFormat="1">
      <c r="B15" s="27" t="s">
        <v>82</v>
      </c>
      <c r="C15" s="26">
        <v>4</v>
      </c>
      <c r="D15" s="25">
        <v>2.7210884353741496E-2</v>
      </c>
    </row>
    <row r="16" spans="2:4">
      <c r="B16" s="27" t="s">
        <v>152</v>
      </c>
      <c r="C16" s="26">
        <v>3</v>
      </c>
      <c r="D16" s="25">
        <v>2.0408163265306121E-2</v>
      </c>
    </row>
    <row r="17" spans="2:4">
      <c r="B17" s="27" t="s">
        <v>84</v>
      </c>
      <c r="C17" s="26">
        <v>3</v>
      </c>
      <c r="D17" s="25">
        <v>2.0408163265306121E-2</v>
      </c>
    </row>
    <row r="18" spans="2:4">
      <c r="B18" s="27" t="s">
        <v>153</v>
      </c>
      <c r="C18" s="26">
        <v>1</v>
      </c>
      <c r="D18" s="25">
        <v>6.8027210884353739E-3</v>
      </c>
    </row>
    <row r="19" spans="2:4">
      <c r="B19" s="27" t="s">
        <v>83</v>
      </c>
      <c r="C19" s="26">
        <v>1</v>
      </c>
      <c r="D19" s="25">
        <v>6.8027210884353739E-3</v>
      </c>
    </row>
    <row r="20" spans="2:4">
      <c r="B20" s="24" t="s">
        <v>15</v>
      </c>
      <c r="C20" s="23">
        <v>147</v>
      </c>
      <c r="D20" s="22">
        <v>1</v>
      </c>
    </row>
    <row r="22" spans="2:4">
      <c r="B22" s="19" t="s">
        <v>96</v>
      </c>
    </row>
    <row r="23" spans="2:4">
      <c r="B23" s="21" t="s">
        <v>14</v>
      </c>
    </row>
    <row r="24" spans="2:4">
      <c r="B24" s="20" t="s">
        <v>13</v>
      </c>
    </row>
    <row r="25" spans="2:4">
      <c r="B25" s="19" t="s">
        <v>12</v>
      </c>
    </row>
    <row r="26" spans="2:4">
      <c r="B26" s="19" t="s">
        <v>97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12</vt:i4>
      </vt:variant>
    </vt:vector>
  </HeadingPairs>
  <TitlesOfParts>
    <vt:vector size="21" baseType="lpstr">
      <vt:lpstr>Índice</vt:lpstr>
      <vt:lpstr>Alaska_Edomexgral</vt:lpstr>
      <vt:lpstr>Alaska_EDOMEX</vt:lpstr>
      <vt:lpstr>Alaska_Educagral</vt:lpstr>
      <vt:lpstr>Alaska_Eduedo</vt:lpstr>
      <vt:lpstr>Alaska_gengral</vt:lpstr>
      <vt:lpstr>Alaska_edomexgen</vt:lpstr>
      <vt:lpstr>Alaska_edadgen</vt:lpstr>
      <vt:lpstr>Alaska_ocupgral</vt:lpstr>
      <vt:lpstr>Alaska_edadgen!Área_de_impresión</vt:lpstr>
      <vt:lpstr>Alaska_EDOMEX!Área_de_impresión</vt:lpstr>
      <vt:lpstr>Alaska_edomexgen!Área_de_impresión</vt:lpstr>
      <vt:lpstr>Alaska_Eduedo!Área_de_impresión</vt:lpstr>
      <vt:lpstr>Alaska_edadgen!Títulos_a_imprimir</vt:lpstr>
      <vt:lpstr>Alaska_EDOMEX!Títulos_a_imprimir</vt:lpstr>
      <vt:lpstr>Alaska_edomexgen!Títulos_a_imprimir</vt:lpstr>
      <vt:lpstr>Alaska_Edomexgral!Títulos_a_imprimir</vt:lpstr>
      <vt:lpstr>Alaska_Educagral!Títulos_a_imprimir</vt:lpstr>
      <vt:lpstr>Alaska_Eduedo!Títulos_a_imprimir</vt:lpstr>
      <vt:lpstr>Alaska_gengral!Títulos_a_imprimir</vt:lpstr>
      <vt:lpstr>Alaska_ocupgral!Títulos_a_imprimir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2020-06-18T17:12:35Z</dcterms:created>
  <dcterms:modified xsi:type="dcterms:W3CDTF">2022-08-08T19:11:16Z</dcterms:modified>
</cp:coreProperties>
</file>