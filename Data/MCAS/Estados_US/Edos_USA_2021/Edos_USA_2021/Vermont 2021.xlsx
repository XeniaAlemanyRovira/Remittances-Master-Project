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28"/>
  </bookViews>
  <sheets>
    <sheet name="Índice" sheetId="10" r:id="rId1"/>
    <sheet name="Vermont_Edomexgral" sheetId="2" r:id="rId2"/>
    <sheet name="Vermont_EDOMEX" sheetId="12" r:id="rId3"/>
    <sheet name="Vermont_Educagral" sheetId="4" r:id="rId4"/>
    <sheet name="Vermont_Eduedo" sheetId="11" r:id="rId5"/>
    <sheet name="Vermont_gengral" sheetId="6" r:id="rId6"/>
    <sheet name="Vermont_edomexgen" sheetId="7" r:id="rId7"/>
    <sheet name="Vermont_edadgen" sheetId="8" r:id="rId8"/>
    <sheet name="Vermont_ocupgral" sheetId="9" r:id="rId9"/>
  </sheets>
  <definedNames>
    <definedName name="_xlnm._FilterDatabase" localSheetId="7" hidden="1">Vermont_edadgen!$B$9:$E$9</definedName>
    <definedName name="_xlnm._FilterDatabase" localSheetId="2" hidden="1">Vermont_EDOMEX!$B$9:$E$9</definedName>
    <definedName name="_xlnm._FilterDatabase" localSheetId="6" hidden="1">Vermont_edomexgen!$B$9:$E$9</definedName>
    <definedName name="_xlnm._FilterDatabase" localSheetId="1" hidden="1">Vermont_Edomexgral!$B$11:$D$11</definedName>
    <definedName name="_xlnm._FilterDatabase" localSheetId="3" hidden="1">Vermont_Educagral!$B$11:$D$11</definedName>
    <definedName name="_xlnm._FilterDatabase" localSheetId="4" hidden="1">Vermont_Eduedo!$B$9:$E$9</definedName>
    <definedName name="_xlnm._FilterDatabase" localSheetId="5" hidden="1">Vermont_gengral!$B$11:$D$11</definedName>
    <definedName name="_xlnm._FilterDatabase" localSheetId="8" hidden="1">Vermont_ocupgral!$B$11:$D$11</definedName>
    <definedName name="_xlnm.Print_Area" localSheetId="0">Índice!$A$1:$D$21</definedName>
    <definedName name="_xlnm.Print_Area" localSheetId="7">Vermont_edadgen!$A$1:$E$9</definedName>
    <definedName name="_xlnm.Print_Area" localSheetId="2">Vermont_EDOMEX!$A$1:$E$9</definedName>
    <definedName name="_xlnm.Print_Area" localSheetId="6">Vermont_edomexgen!$A$1:$E$9</definedName>
    <definedName name="_xlnm.Print_Area" localSheetId="4">Vermont_Eduedo!$A$1:$E$9</definedName>
    <definedName name="_xlnm.Print_Titles" localSheetId="7">Vermont_edadgen!$1:$9</definedName>
    <definedName name="_xlnm.Print_Titles" localSheetId="2">Vermont_EDOMEX!$1:$9</definedName>
    <definedName name="_xlnm.Print_Titles" localSheetId="6">Vermont_edomexgen!$1:$9</definedName>
    <definedName name="_xlnm.Print_Titles" localSheetId="1">Vermont_Edomexgral!$1:$11</definedName>
    <definedName name="_xlnm.Print_Titles" localSheetId="3">Vermont_Educagral!$1:$11</definedName>
    <definedName name="_xlnm.Print_Titles" localSheetId="4">Vermont_Eduedo!$1:$9</definedName>
    <definedName name="_xlnm.Print_Titles" localSheetId="5">Vermont_gengral!$1:$11</definedName>
    <definedName name="_xlnm.Print_Titles" localSheetId="8">Vermont_ocupgral!$1:$11</definedName>
  </definedNames>
  <calcPr calcId="152511"/>
</workbook>
</file>

<file path=xl/calcChain.xml><?xml version="1.0" encoding="utf-8"?>
<calcChain xmlns="http://schemas.openxmlformats.org/spreadsheetml/2006/main">
  <c r="D36" i="7" l="1"/>
  <c r="D68" i="12" l="1"/>
</calcChain>
</file>

<file path=xl/sharedStrings.xml><?xml version="1.0" encoding="utf-8"?>
<sst xmlns="http://schemas.openxmlformats.org/spreadsheetml/2006/main" count="318" uniqueCount="121">
  <si>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</si>
  <si>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</si>
  <si>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</si>
  <si>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</si>
  <si>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Puebla</t>
  </si>
  <si>
    <t>Hidalgo</t>
  </si>
  <si>
    <t>Guerrero</t>
  </si>
  <si>
    <t>Estado de México</t>
  </si>
  <si>
    <t>Ciudad de México</t>
  </si>
  <si>
    <t>Oaxaca</t>
  </si>
  <si>
    <t>Veracruz</t>
  </si>
  <si>
    <t>Chiapas</t>
  </si>
  <si>
    <t>Tabasco</t>
  </si>
  <si>
    <t>Porcentaje de Matrículas</t>
  </si>
  <si>
    <t>Número de Matrículas</t>
  </si>
  <si>
    <t>Estado de Origen</t>
  </si>
  <si>
    <t>Atzalan</t>
  </si>
  <si>
    <t>Huimanguillo</t>
  </si>
  <si>
    <t>Cárdenas</t>
  </si>
  <si>
    <t>Atlixtac</t>
  </si>
  <si>
    <t>Las Margaritas</t>
  </si>
  <si>
    <t>Municipio Origen</t>
  </si>
  <si>
    <t>Preparatoria con certificado</t>
  </si>
  <si>
    <t>Preparatoria sin certificado</t>
  </si>
  <si>
    <t>Secundaria con certificado</t>
  </si>
  <si>
    <t>3° Secundaria</t>
  </si>
  <si>
    <t>Primaria con certificado</t>
  </si>
  <si>
    <t>6° Primaria</t>
  </si>
  <si>
    <t>5° Primaria</t>
  </si>
  <si>
    <t>Nivel de Estudios</t>
  </si>
  <si>
    <t>MATRÍCULAS CONSULARES EXPEDIDAS EN EL ESTADO DE VERMONT EN EE.UU. POR NIVEL DE EDUCACIÓN</t>
  </si>
  <si>
    <t>TOTAL</t>
  </si>
  <si>
    <t>MUJER</t>
  </si>
  <si>
    <t>HOMBRE</t>
  </si>
  <si>
    <t>Género</t>
  </si>
  <si>
    <t>Mujer</t>
  </si>
  <si>
    <t>Hombre</t>
  </si>
  <si>
    <t>Entre 40 y 49 Años</t>
  </si>
  <si>
    <t>Entre 29 y 39 Años</t>
  </si>
  <si>
    <t>Entre 18 y 28 Años</t>
  </si>
  <si>
    <t>Edad cumplida</t>
  </si>
  <si>
    <t>Obrero(a)</t>
  </si>
  <si>
    <t>Hogar</t>
  </si>
  <si>
    <t>Campesino(a)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</si>
  <si>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</si>
  <si>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</si>
  <si>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</si>
  <si>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</si>
  <si>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</si>
  <si>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</si>
  <si>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</si>
  <si>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</si>
  <si>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</si>
  <si>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</si>
  <si>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</si>
  <si>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</si>
  <si>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</si>
  <si>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</si>
  <si>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Quintana Roo</t>
  </si>
  <si>
    <t>Iztapalapa</t>
  </si>
  <si>
    <t>Pantepec</t>
  </si>
  <si>
    <t>Teziutlán</t>
  </si>
  <si>
    <t>Profesional pasante</t>
  </si>
  <si>
    <t>MATRÍCULAS CONSULARES DE ALTA SEGURIDAD EXPEDIDAS EN EL ESTADO DE VERMONT EN EE.UU. POR ESTADO DE LA REPÚBLICA MEXICANA DURANTE EL 2021</t>
  </si>
  <si>
    <t>Tamaño de la muestra: 701,861</t>
  </si>
  <si>
    <t>Mayo de 2022</t>
  </si>
  <si>
    <t>Comitán de Domínguez</t>
  </si>
  <si>
    <t>La Concordia</t>
  </si>
  <si>
    <t>Motozintla</t>
  </si>
  <si>
    <t>Pijijiapan</t>
  </si>
  <si>
    <t>San Cristóbal de las Casas</t>
  </si>
  <si>
    <t>Siltepec</t>
  </si>
  <si>
    <t>Tecpatán</t>
  </si>
  <si>
    <t>Iztacalco</t>
  </si>
  <si>
    <t>Chalco</t>
  </si>
  <si>
    <t>Cuautitlán</t>
  </si>
  <si>
    <t>Naucalpan de Juárez</t>
  </si>
  <si>
    <t>San Felipe del Progreso</t>
  </si>
  <si>
    <t>Cocula</t>
  </si>
  <si>
    <t>Malinaltepec</t>
  </si>
  <si>
    <t>Petatlán</t>
  </si>
  <si>
    <t>Nopala de Villagrán</t>
  </si>
  <si>
    <t>Heroica Ciudad de Ejutla de Crespo</t>
  </si>
  <si>
    <t>Miahuatlán de Porfirio Díaz</t>
  </si>
  <si>
    <t>San Antonino Monte Verde</t>
  </si>
  <si>
    <t>San Francisco Logueche</t>
  </si>
  <si>
    <t>San Pedro y San Pablo Teposcolula</t>
  </si>
  <si>
    <t>Santa María Huazolotitlán</t>
  </si>
  <si>
    <t>Chichiquila</t>
  </si>
  <si>
    <t>Hueytamalco</t>
  </si>
  <si>
    <t>Jolalpan</t>
  </si>
  <si>
    <t>San Gabriel Chilac</t>
  </si>
  <si>
    <t>Xiutetelco</t>
  </si>
  <si>
    <t>Othón P. Blanco</t>
  </si>
  <si>
    <t>Balancán</t>
  </si>
  <si>
    <t>Comalcalco</t>
  </si>
  <si>
    <t>Emiliano Zapata</t>
  </si>
  <si>
    <t>Paraíso</t>
  </si>
  <si>
    <t>Alpatláhuac</t>
  </si>
  <si>
    <t>Altotonga</t>
  </si>
  <si>
    <t>Isla</t>
  </si>
  <si>
    <t>José Azueta</t>
  </si>
  <si>
    <t>Martínez de la Torre</t>
  </si>
  <si>
    <t>Misantla</t>
  </si>
  <si>
    <t>Xalapa</t>
  </si>
  <si>
    <t>Sin Estudios</t>
  </si>
  <si>
    <t>2° Primaria</t>
  </si>
  <si>
    <t>3° Primaria</t>
  </si>
  <si>
    <t>2° Secundaria</t>
  </si>
  <si>
    <t>Capacitación Técnica</t>
  </si>
  <si>
    <t>Profesional Titulado</t>
  </si>
  <si>
    <t>Posgrado [Maestría]</t>
  </si>
  <si>
    <t>Capacitación técnica</t>
  </si>
  <si>
    <t>Profesional titulado</t>
  </si>
  <si>
    <t>MATRÍCULAS CONSULARES DE ALTA SEGURIDAD EXPEDIDAS EN EE.UU A MEXICANOS EN EL ESTADO DE VERMONT, POR GÉNERO 2021</t>
  </si>
  <si>
    <t>Entre 50 y 65 Años</t>
  </si>
  <si>
    <t>MATRÍCULAS CONSULARES DE ALTA SEGURIDAD EXPEDIDAS EN EE.UU A MEXICANOS EN EL ESTADO DE  VERMONT, POR PERFIL OCUPACIONAL 2021</t>
  </si>
  <si>
    <t>Estudiante</t>
  </si>
  <si>
    <t>Albañil</t>
  </si>
  <si>
    <t>Otro</t>
  </si>
  <si>
    <t>Matrículas consulares expedidas a mexicanos  en el estado de Vermont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</si>
</sst>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right" vertical="center" wrapText="1"/>
    </xf>
    <xf numFmtId="166" fontId="15" fillId="3" borderId="1" xfId="2" applyNumberFormat="1" applyFont="1" applyFill="1" applyBorder="1" applyAlignment="1">
      <alignment horizontal="right" vertical="center" wrapText="1"/>
    </xf>
    <xf numFmtId="49" fontId="15" fillId="3" borderId="1" xfId="2" applyNumberFormat="1" applyFont="1" applyFill="1" applyBorder="1" applyAlignment="1">
      <alignment vertical="center" wrapText="1"/>
    </xf>
    <xf numFmtId="0" fontId="16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4" fillId="0" borderId="0" xfId="0" applyFont="1" applyAlignment="1">
      <alignment vertical="top"/>
    </xf>
    <xf numFmtId="3" fontId="8" fillId="3" borderId="0" xfId="0" applyNumberFormat="1" applyFont="1" applyFill="1"/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horizontal="justify" vertical="center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5" fillId="3" borderId="2" xfId="2" applyNumberFormat="1" applyFont="1" applyFill="1" applyBorder="1" applyAlignment="1">
      <alignment horizontal="center" vertical="center" wrapText="1"/>
    </xf>
    <xf numFmtId="49" fontId="15" fillId="3" borderId="7" xfId="2" applyNumberFormat="1" applyFont="1" applyFill="1" applyBorder="1" applyAlignment="1">
      <alignment horizontal="center" vertical="center" wrapText="1"/>
    </xf>
    <xf numFmtId="49" fontId="15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200354</xdr:rowOff>
    </xdr:from>
    <xdr:to>
      <xdr:col>3</xdr:col>
      <xdr:colOff>997818</xdr:colOff>
      <xdr:row>2</xdr:row>
      <xdr:rowOff>190830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7337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104775</xdr:rowOff>
    </xdr:from>
    <xdr:to>
      <xdr:col>5</xdr:col>
      <xdr:colOff>64422</xdr:colOff>
      <xdr:row>8</xdr:row>
      <xdr:rowOff>284070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8192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VERMONT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131379</xdr:rowOff>
    </xdr:from>
    <xdr:to>
      <xdr:col>4</xdr:col>
      <xdr:colOff>1005052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72155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114300</xdr:rowOff>
    </xdr:from>
    <xdr:to>
      <xdr:col>4</xdr:col>
      <xdr:colOff>512097</xdr:colOff>
      <xdr:row>8</xdr:row>
      <xdr:rowOff>293595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8288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VERMONT,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76200</xdr:rowOff>
    </xdr:from>
    <xdr:to>
      <xdr:col>4</xdr:col>
      <xdr:colOff>607347</xdr:colOff>
      <xdr:row>8</xdr:row>
      <xdr:rowOff>255495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907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VERMONT,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610914</xdr:colOff>
      <xdr:row>7</xdr:row>
      <xdr:rowOff>144517</xdr:rowOff>
    </xdr:from>
    <xdr:to>
      <xdr:col>4</xdr:col>
      <xdr:colOff>1123011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604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VERMONT,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144517</xdr:rowOff>
    </xdr:from>
    <xdr:to>
      <xdr:col>4</xdr:col>
      <xdr:colOff>971924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4" customWidth="1"/>
    <col min="2" max="2" width="20" style="44" customWidth="1"/>
    <col min="3" max="3" width="24.7109375" style="44" customWidth="1"/>
    <col min="4" max="4" width="28.85546875" style="44" customWidth="1"/>
    <col min="5" max="16384" width="11.42578125" style="44"/>
  </cols>
  <sheetData>
    <row r="1" spans="1:4" ht="42" customHeight="1" thickBot="1">
      <c r="A1" s="67" t="s">
        <v>120</v>
      </c>
      <c r="B1" s="68"/>
      <c r="C1" s="68"/>
      <c r="D1" s="69"/>
    </row>
    <row r="2" spans="1:4" ht="18.75">
      <c r="A2" s="45"/>
      <c r="B2" s="46"/>
      <c r="C2" s="46"/>
      <c r="D2" s="47"/>
    </row>
    <row r="3" spans="1:4">
      <c r="A3" s="70" t="s">
        <v>46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8"/>
      <c r="B5" s="49"/>
      <c r="C5" s="49"/>
      <c r="D5" s="50"/>
    </row>
    <row r="6" spans="1:4" ht="18.75">
      <c r="A6" s="66" t="s">
        <v>47</v>
      </c>
      <c r="B6" s="64"/>
      <c r="C6" s="64"/>
      <c r="D6" s="65"/>
    </row>
    <row r="7" spans="1:4" ht="18.75">
      <c r="A7" s="51"/>
      <c r="B7" s="52"/>
      <c r="C7" s="52"/>
      <c r="D7" s="53"/>
    </row>
    <row r="8" spans="1:4" ht="18.75">
      <c r="A8" s="54" t="s">
        <v>48</v>
      </c>
      <c r="B8" s="55"/>
      <c r="C8" s="55"/>
      <c r="D8" s="56"/>
    </row>
    <row r="9" spans="1:4" ht="18.75">
      <c r="A9" s="54"/>
      <c r="B9" s="64" t="s">
        <v>49</v>
      </c>
      <c r="C9" s="64"/>
      <c r="D9" s="65"/>
    </row>
    <row r="10" spans="1:4" ht="18.75">
      <c r="A10" s="54" t="s">
        <v>50</v>
      </c>
      <c r="B10" s="55"/>
      <c r="C10" s="55"/>
      <c r="D10" s="56"/>
    </row>
    <row r="11" spans="1:4" ht="18.75">
      <c r="A11" s="54"/>
      <c r="B11" s="64" t="s">
        <v>51</v>
      </c>
      <c r="C11" s="64"/>
      <c r="D11" s="65"/>
    </row>
    <row r="12" spans="1:4" ht="18.75">
      <c r="A12" s="54"/>
      <c r="B12" s="64" t="s">
        <v>52</v>
      </c>
      <c r="C12" s="64"/>
      <c r="D12" s="65"/>
    </row>
    <row r="13" spans="1:4" ht="18.75">
      <c r="A13" s="54"/>
      <c r="B13" s="55"/>
      <c r="C13" s="55"/>
      <c r="D13" s="56"/>
    </row>
    <row r="14" spans="1:4" ht="18.75">
      <c r="A14" s="54" t="s">
        <v>53</v>
      </c>
      <c r="B14" s="55"/>
      <c r="C14" s="55"/>
      <c r="D14" s="56"/>
    </row>
    <row r="15" spans="1:4" ht="18.75">
      <c r="A15" s="54"/>
      <c r="B15" s="64" t="s">
        <v>54</v>
      </c>
      <c r="C15" s="64"/>
      <c r="D15" s="65"/>
    </row>
    <row r="16" spans="1:4" ht="18.75">
      <c r="A16" s="54"/>
      <c r="B16" s="64" t="s">
        <v>55</v>
      </c>
      <c r="C16" s="64"/>
      <c r="D16" s="65"/>
    </row>
    <row r="17" spans="1:4" ht="18.75">
      <c r="A17" s="54"/>
      <c r="B17" s="55"/>
      <c r="C17" s="55"/>
      <c r="D17" s="56"/>
    </row>
    <row r="18" spans="1:4" ht="18.75">
      <c r="A18" s="66" t="s">
        <v>56</v>
      </c>
      <c r="B18" s="64"/>
      <c r="C18" s="64"/>
      <c r="D18" s="65"/>
    </row>
    <row r="19" spans="1:4" ht="18.75">
      <c r="A19" s="54"/>
      <c r="B19" s="55"/>
      <c r="C19" s="55"/>
      <c r="D19" s="56"/>
    </row>
    <row r="20" spans="1:4" ht="18.75">
      <c r="A20" s="66" t="s">
        <v>57</v>
      </c>
      <c r="B20" s="64"/>
      <c r="C20" s="64"/>
      <c r="D20" s="65"/>
    </row>
    <row r="21" spans="1:4" ht="19.5" thickBot="1">
      <c r="A21" s="57"/>
      <c r="B21" s="58"/>
      <c r="C21" s="58"/>
      <c r="D21" s="59"/>
    </row>
    <row r="22" spans="1:4" ht="18.75">
      <c r="A22" s="60"/>
      <c r="B22" s="60"/>
      <c r="C22" s="60"/>
      <c r="D22" s="6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ermont_Edomexgral!A1" display="1. Por Estados de la República Mexicana"/>
    <hyperlink ref="B9" location="'New Jersey_EDOMEX'!A1" display="2.1 Por estado de la República Mexicana y municipio de origen"/>
    <hyperlink ref="B11:D11" location="Vermont_Educagral!A1" display="3.1 Educación general"/>
    <hyperlink ref="B12:D12" location="Vermont_Eduedo!A1" display="3.2 Por Estado de la República Mexicana"/>
    <hyperlink ref="B15:D15" location="Vermont_gengral!A1" display="4.1 Género General"/>
    <hyperlink ref="B16:D16" location="Vermont_edomexgen!A1" display="4.2 Por Estados de la República Mexicana"/>
    <hyperlink ref="A18:D18" location="Vermont_edadgen!A1" display="5. Por estructura de Edad"/>
    <hyperlink ref="A20:D20" location="Vermont_ocupgral!A1" display="6. Por Ocupación"/>
    <hyperlink ref="B9:D9" location="Vermont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28"/>
  <sheetViews>
    <sheetView showGridLines="0" topLeftCell="A13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63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15</v>
      </c>
      <c r="C11" s="15" t="s">
        <v>14</v>
      </c>
      <c r="D11" s="14" t="s">
        <v>13</v>
      </c>
    </row>
    <row r="12" spans="1:5">
      <c r="B12" s="11" t="s">
        <v>11</v>
      </c>
      <c r="C12" s="10">
        <v>47</v>
      </c>
      <c r="D12" s="9">
        <v>0.30519480519480519</v>
      </c>
    </row>
    <row r="13" spans="1:5">
      <c r="B13" s="11" t="s">
        <v>12</v>
      </c>
      <c r="C13" s="10">
        <v>35</v>
      </c>
      <c r="D13" s="9">
        <v>0.22727272727272727</v>
      </c>
    </row>
    <row r="14" spans="1:5">
      <c r="A14" s="12"/>
      <c r="B14" s="11" t="s">
        <v>10</v>
      </c>
      <c r="C14" s="10">
        <v>31</v>
      </c>
      <c r="D14" s="9">
        <v>0.20129870129870131</v>
      </c>
      <c r="E14" s="12"/>
    </row>
    <row r="15" spans="1:5">
      <c r="A15" s="12"/>
      <c r="B15" s="11" t="s">
        <v>4</v>
      </c>
      <c r="C15" s="10">
        <v>16</v>
      </c>
      <c r="D15" s="9">
        <v>0.1038961038961039</v>
      </c>
      <c r="E15" s="12"/>
    </row>
    <row r="16" spans="1:5">
      <c r="B16" s="11" t="s">
        <v>9</v>
      </c>
      <c r="C16" s="10">
        <v>10</v>
      </c>
      <c r="D16" s="9">
        <v>6.4935064935064929E-2</v>
      </c>
    </row>
    <row r="17" spans="2:4">
      <c r="B17" s="11" t="s">
        <v>7</v>
      </c>
      <c r="C17" s="10">
        <v>5</v>
      </c>
      <c r="D17" s="9">
        <v>3.2467532467532464E-2</v>
      </c>
    </row>
    <row r="18" spans="2:4">
      <c r="B18" s="11" t="s">
        <v>8</v>
      </c>
      <c r="C18" s="10">
        <v>4</v>
      </c>
      <c r="D18" s="9">
        <v>2.5974025974025976E-2</v>
      </c>
    </row>
    <row r="19" spans="2:4">
      <c r="B19" s="11" t="s">
        <v>6</v>
      </c>
      <c r="C19" s="10">
        <v>4</v>
      </c>
      <c r="D19" s="9">
        <v>2.5974025974025976E-2</v>
      </c>
    </row>
    <row r="20" spans="2:4">
      <c r="B20" s="11" t="s">
        <v>5</v>
      </c>
      <c r="C20" s="10">
        <v>1</v>
      </c>
      <c r="D20" s="9">
        <v>6.4935064935064939E-3</v>
      </c>
    </row>
    <row r="21" spans="2:4">
      <c r="B21" s="11" t="s">
        <v>58</v>
      </c>
      <c r="C21" s="10">
        <v>1</v>
      </c>
      <c r="D21" s="9">
        <v>6.4935064935064939E-3</v>
      </c>
    </row>
    <row r="22" spans="2:4">
      <c r="B22" s="8" t="s">
        <v>3</v>
      </c>
      <c r="C22" s="7">
        <v>154</v>
      </c>
      <c r="D22" s="6">
        <v>1</v>
      </c>
    </row>
    <row r="24" spans="2:4">
      <c r="B24" s="3" t="s">
        <v>64</v>
      </c>
    </row>
    <row r="25" spans="2:4">
      <c r="B25" s="5" t="s">
        <v>2</v>
      </c>
    </row>
    <row r="26" spans="2:4">
      <c r="B26" s="4" t="s">
        <v>1</v>
      </c>
    </row>
    <row r="27" spans="2:4">
      <c r="B27" s="3" t="s">
        <v>0</v>
      </c>
    </row>
    <row r="28" spans="2:4">
      <c r="B28" s="3" t="s">
        <v>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27"/>
  <sheetViews>
    <sheetView showGridLines="0" topLeftCell="A64" zoomScaleNormal="100" zoomScaleSheetLayoutView="100" workbookViewId="0">
      <selection activeCell="F16" sqref="F1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30" customHeight="1">
      <c r="B9" s="31" t="s">
        <v>15</v>
      </c>
      <c r="C9" s="33" t="s">
        <v>21</v>
      </c>
      <c r="D9" s="32" t="s">
        <v>14</v>
      </c>
      <c r="E9" s="31" t="s">
        <v>13</v>
      </c>
    </row>
    <row r="10" spans="1:5" ht="15" customHeight="1">
      <c r="B10" s="74" t="s">
        <v>11</v>
      </c>
      <c r="C10" s="29" t="s">
        <v>66</v>
      </c>
      <c r="D10" s="28">
        <v>10</v>
      </c>
      <c r="E10" s="27">
        <v>6.4935064935064929E-2</v>
      </c>
    </row>
    <row r="11" spans="1:5" ht="15" customHeight="1">
      <c r="B11" s="75"/>
      <c r="C11" s="29" t="s">
        <v>67</v>
      </c>
      <c r="D11" s="28">
        <v>1</v>
      </c>
      <c r="E11" s="27">
        <v>6.4935064935064939E-3</v>
      </c>
    </row>
    <row r="12" spans="1:5" ht="15" customHeight="1">
      <c r="B12" s="75"/>
      <c r="C12" s="29" t="s">
        <v>20</v>
      </c>
      <c r="D12" s="28">
        <v>31</v>
      </c>
      <c r="E12" s="27">
        <v>0.20129870129870131</v>
      </c>
    </row>
    <row r="13" spans="1:5" ht="15" customHeight="1">
      <c r="B13" s="75"/>
      <c r="C13" s="29" t="s">
        <v>68</v>
      </c>
      <c r="D13" s="28">
        <v>1</v>
      </c>
      <c r="E13" s="27">
        <v>6.4935064935064939E-3</v>
      </c>
    </row>
    <row r="14" spans="1:5" ht="15" customHeight="1">
      <c r="B14" s="75"/>
      <c r="C14" s="29" t="s">
        <v>69</v>
      </c>
      <c r="D14" s="28">
        <v>1</v>
      </c>
      <c r="E14" s="27">
        <v>6.4935064935064939E-3</v>
      </c>
    </row>
    <row r="15" spans="1:5" ht="15" customHeight="1">
      <c r="B15" s="75"/>
      <c r="C15" s="29" t="s">
        <v>70</v>
      </c>
      <c r="D15" s="28">
        <v>1</v>
      </c>
      <c r="E15" s="27">
        <v>6.4935064935064939E-3</v>
      </c>
    </row>
    <row r="16" spans="1:5" ht="15" customHeight="1">
      <c r="B16" s="75"/>
      <c r="C16" s="29" t="s">
        <v>71</v>
      </c>
      <c r="D16" s="28">
        <v>1</v>
      </c>
      <c r="E16" s="27">
        <v>6.4935064935064939E-3</v>
      </c>
    </row>
    <row r="17" spans="2:5" ht="15" customHeight="1">
      <c r="B17" s="75"/>
      <c r="C17" s="29" t="s">
        <v>72</v>
      </c>
      <c r="D17" s="28">
        <v>1</v>
      </c>
      <c r="E17" s="27">
        <v>6.4935064935064939E-3</v>
      </c>
    </row>
    <row r="18" spans="2:5" ht="15" customHeight="1">
      <c r="B18" s="76"/>
      <c r="C18" s="26" t="s">
        <v>3</v>
      </c>
      <c r="D18" s="25">
        <v>47</v>
      </c>
      <c r="E18" s="24">
        <v>0.30519480519480519</v>
      </c>
    </row>
    <row r="19" spans="2:5" ht="15" customHeight="1">
      <c r="B19" s="74" t="s">
        <v>8</v>
      </c>
      <c r="C19" s="29" t="s">
        <v>73</v>
      </c>
      <c r="D19" s="28">
        <v>3</v>
      </c>
      <c r="E19" s="27">
        <v>1.948051948051948E-2</v>
      </c>
    </row>
    <row r="20" spans="2:5" ht="15" customHeight="1">
      <c r="B20" s="75"/>
      <c r="C20" s="29" t="s">
        <v>59</v>
      </c>
      <c r="D20" s="28">
        <v>1</v>
      </c>
      <c r="E20" s="27">
        <v>6.4935064935064939E-3</v>
      </c>
    </row>
    <row r="21" spans="2:5" ht="15" customHeight="1">
      <c r="B21" s="76"/>
      <c r="C21" s="26" t="s">
        <v>3</v>
      </c>
      <c r="D21" s="25">
        <v>4</v>
      </c>
      <c r="E21" s="24">
        <v>2.5974025974025976E-2</v>
      </c>
    </row>
    <row r="22" spans="2:5" ht="15" customHeight="1">
      <c r="B22" s="74" t="s">
        <v>7</v>
      </c>
      <c r="C22" s="29" t="s">
        <v>74</v>
      </c>
      <c r="D22" s="28">
        <v>2</v>
      </c>
      <c r="E22" s="27">
        <v>1.2987012987012988E-2</v>
      </c>
    </row>
    <row r="23" spans="2:5" ht="15" customHeight="1">
      <c r="B23" s="75"/>
      <c r="C23" s="29" t="s">
        <v>75</v>
      </c>
      <c r="D23" s="28">
        <v>1</v>
      </c>
      <c r="E23" s="27">
        <v>6.4935064935064939E-3</v>
      </c>
    </row>
    <row r="24" spans="2:5" ht="15" customHeight="1">
      <c r="B24" s="75"/>
      <c r="C24" s="29" t="s">
        <v>76</v>
      </c>
      <c r="D24" s="28">
        <v>1</v>
      </c>
      <c r="E24" s="27">
        <v>6.4935064935064939E-3</v>
      </c>
    </row>
    <row r="25" spans="2:5" ht="15" customHeight="1">
      <c r="B25" s="75"/>
      <c r="C25" s="29" t="s">
        <v>77</v>
      </c>
      <c r="D25" s="28">
        <v>1</v>
      </c>
      <c r="E25" s="27">
        <v>6.4935064935064939E-3</v>
      </c>
    </row>
    <row r="26" spans="2:5" ht="15" customHeight="1">
      <c r="B26" s="76"/>
      <c r="C26" s="26" t="s">
        <v>3</v>
      </c>
      <c r="D26" s="25">
        <v>5</v>
      </c>
      <c r="E26" s="24">
        <v>3.2467532467532464E-2</v>
      </c>
    </row>
    <row r="27" spans="2:5" ht="15" customHeight="1">
      <c r="B27" s="74" t="s">
        <v>6</v>
      </c>
      <c r="C27" s="29" t="s">
        <v>19</v>
      </c>
      <c r="D27" s="28">
        <v>1</v>
      </c>
      <c r="E27" s="27">
        <v>6.4935064935064939E-3</v>
      </c>
    </row>
    <row r="28" spans="2:5" ht="15" customHeight="1">
      <c r="B28" s="75"/>
      <c r="C28" s="29" t="s">
        <v>78</v>
      </c>
      <c r="D28" s="28">
        <v>1</v>
      </c>
      <c r="E28" s="27">
        <v>6.4935064935064939E-3</v>
      </c>
    </row>
    <row r="29" spans="2:5" ht="15" customHeight="1">
      <c r="B29" s="75"/>
      <c r="C29" s="29" t="s">
        <v>79</v>
      </c>
      <c r="D29" s="28">
        <v>1</v>
      </c>
      <c r="E29" s="27">
        <v>6.4935064935064939E-3</v>
      </c>
    </row>
    <row r="30" spans="2:5" ht="15" customHeight="1">
      <c r="B30" s="75"/>
      <c r="C30" s="29" t="s">
        <v>80</v>
      </c>
      <c r="D30" s="28">
        <v>1</v>
      </c>
      <c r="E30" s="27">
        <v>6.4935064935064939E-3</v>
      </c>
    </row>
    <row r="31" spans="2:5" ht="15" customHeight="1">
      <c r="B31" s="76"/>
      <c r="C31" s="26" t="s">
        <v>3</v>
      </c>
      <c r="D31" s="25">
        <v>4</v>
      </c>
      <c r="E31" s="24">
        <v>2.5974025974025976E-2</v>
      </c>
    </row>
    <row r="32" spans="2:5" ht="15" customHeight="1">
      <c r="B32" s="74" t="s">
        <v>5</v>
      </c>
      <c r="C32" s="29" t="s">
        <v>81</v>
      </c>
      <c r="D32" s="28">
        <v>1</v>
      </c>
      <c r="E32" s="27">
        <v>6.4935064935064939E-3</v>
      </c>
    </row>
    <row r="33" spans="2:6" ht="15" customHeight="1">
      <c r="B33" s="76"/>
      <c r="C33" s="26" t="s">
        <v>3</v>
      </c>
      <c r="D33" s="25">
        <v>1</v>
      </c>
      <c r="E33" s="24">
        <v>6.4935064935064939E-3</v>
      </c>
      <c r="F33" s="1"/>
    </row>
    <row r="34" spans="2:6" ht="15" customHeight="1">
      <c r="B34" s="74" t="s">
        <v>9</v>
      </c>
      <c r="C34" s="29" t="s">
        <v>82</v>
      </c>
      <c r="D34" s="28">
        <v>1</v>
      </c>
      <c r="E34" s="27">
        <v>6.4935064935064939E-3</v>
      </c>
      <c r="F34" s="1"/>
    </row>
    <row r="35" spans="2:6" ht="15" customHeight="1">
      <c r="B35" s="75"/>
      <c r="C35" s="29" t="s">
        <v>83</v>
      </c>
      <c r="D35" s="28">
        <v>1</v>
      </c>
      <c r="E35" s="27">
        <v>6.4935064935064939E-3</v>
      </c>
      <c r="F35" s="1"/>
    </row>
    <row r="36" spans="2:6" ht="15" customHeight="1">
      <c r="B36" s="75"/>
      <c r="C36" s="29" t="s">
        <v>84</v>
      </c>
      <c r="D36" s="28">
        <v>4</v>
      </c>
      <c r="E36" s="27">
        <v>2.5974025974025976E-2</v>
      </c>
      <c r="F36" s="1"/>
    </row>
    <row r="37" spans="2:6" ht="15" customHeight="1">
      <c r="B37" s="75"/>
      <c r="C37" s="29" t="s">
        <v>85</v>
      </c>
      <c r="D37" s="28">
        <v>1</v>
      </c>
      <c r="E37" s="27">
        <v>6.4935064935064939E-3</v>
      </c>
      <c r="F37" s="1"/>
    </row>
    <row r="38" spans="2:6" ht="15" customHeight="1">
      <c r="B38" s="75"/>
      <c r="C38" s="29" t="s">
        <v>86</v>
      </c>
      <c r="D38" s="28">
        <v>2</v>
      </c>
      <c r="E38" s="27">
        <v>1.2987012987012988E-2</v>
      </c>
    </row>
    <row r="39" spans="2:6" ht="15" customHeight="1">
      <c r="B39" s="75"/>
      <c r="C39" s="29" t="s">
        <v>87</v>
      </c>
      <c r="D39" s="28">
        <v>1</v>
      </c>
      <c r="E39" s="27">
        <v>6.4935064935064939E-3</v>
      </c>
    </row>
    <row r="40" spans="2:6" ht="15" customHeight="1">
      <c r="B40" s="76"/>
      <c r="C40" s="26" t="s">
        <v>3</v>
      </c>
      <c r="D40" s="25">
        <v>10</v>
      </c>
      <c r="E40" s="24">
        <v>6.4935064935064929E-2</v>
      </c>
    </row>
    <row r="41" spans="2:6" ht="15" customHeight="1">
      <c r="B41" s="74" t="s">
        <v>4</v>
      </c>
      <c r="C41" s="29" t="s">
        <v>88</v>
      </c>
      <c r="D41" s="28">
        <v>3</v>
      </c>
      <c r="E41" s="27">
        <v>1.948051948051948E-2</v>
      </c>
    </row>
    <row r="42" spans="2:6" ht="15" customHeight="1">
      <c r="B42" s="75"/>
      <c r="C42" s="29" t="s">
        <v>89</v>
      </c>
      <c r="D42" s="28">
        <v>1</v>
      </c>
      <c r="E42" s="27">
        <v>6.4935064935064939E-3</v>
      </c>
    </row>
    <row r="43" spans="2:6" ht="15" customHeight="1">
      <c r="B43" s="75"/>
      <c r="C43" s="29" t="s">
        <v>90</v>
      </c>
      <c r="D43" s="28">
        <v>6</v>
      </c>
      <c r="E43" s="27">
        <v>3.896103896103896E-2</v>
      </c>
    </row>
    <row r="44" spans="2:6" ht="15" customHeight="1">
      <c r="B44" s="75"/>
      <c r="C44" s="29" t="s">
        <v>60</v>
      </c>
      <c r="D44" s="28">
        <v>1</v>
      </c>
      <c r="E44" s="27">
        <v>6.4935064935064939E-3</v>
      </c>
    </row>
    <row r="45" spans="2:6" ht="15" customHeight="1">
      <c r="B45" s="75"/>
      <c r="C45" s="29" t="s">
        <v>4</v>
      </c>
      <c r="D45" s="28">
        <v>1</v>
      </c>
      <c r="E45" s="27">
        <v>6.4935064935064939E-3</v>
      </c>
    </row>
    <row r="46" spans="2:6" ht="15" customHeight="1">
      <c r="B46" s="75"/>
      <c r="C46" s="29" t="s">
        <v>91</v>
      </c>
      <c r="D46" s="28">
        <v>2</v>
      </c>
      <c r="E46" s="27">
        <v>1.2987012987012988E-2</v>
      </c>
    </row>
    <row r="47" spans="2:6" ht="15" customHeight="1">
      <c r="B47" s="75"/>
      <c r="C47" s="29" t="s">
        <v>61</v>
      </c>
      <c r="D47" s="28">
        <v>1</v>
      </c>
      <c r="E47" s="27">
        <v>6.4935064935064939E-3</v>
      </c>
    </row>
    <row r="48" spans="2:6" ht="15" customHeight="1">
      <c r="B48" s="75"/>
      <c r="C48" s="29" t="s">
        <v>92</v>
      </c>
      <c r="D48" s="28">
        <v>1</v>
      </c>
      <c r="E48" s="27">
        <v>6.4935064935064939E-3</v>
      </c>
    </row>
    <row r="49" spans="2:5" ht="15" customHeight="1">
      <c r="B49" s="76"/>
      <c r="C49" s="26" t="s">
        <v>3</v>
      </c>
      <c r="D49" s="25">
        <v>16</v>
      </c>
      <c r="E49" s="24">
        <v>0.1038961038961039</v>
      </c>
    </row>
    <row r="50" spans="2:5" ht="15" customHeight="1">
      <c r="B50" s="74" t="s">
        <v>58</v>
      </c>
      <c r="C50" s="29" t="s">
        <v>93</v>
      </c>
      <c r="D50" s="28">
        <v>1</v>
      </c>
      <c r="E50" s="27">
        <v>6.4935064935064939E-3</v>
      </c>
    </row>
    <row r="51" spans="2:5" ht="15" customHeight="1">
      <c r="B51" s="76"/>
      <c r="C51" s="26" t="s">
        <v>3</v>
      </c>
      <c r="D51" s="25">
        <v>1</v>
      </c>
      <c r="E51" s="24">
        <v>6.4935064935064939E-3</v>
      </c>
    </row>
    <row r="52" spans="2:5" ht="15" customHeight="1">
      <c r="B52" s="74" t="s">
        <v>12</v>
      </c>
      <c r="C52" s="29" t="s">
        <v>94</v>
      </c>
      <c r="D52" s="28">
        <v>1</v>
      </c>
      <c r="E52" s="27">
        <v>6.4935064935064939E-3</v>
      </c>
    </row>
    <row r="53" spans="2:5" ht="15" customHeight="1">
      <c r="B53" s="75"/>
      <c r="C53" s="29" t="s">
        <v>18</v>
      </c>
      <c r="D53" s="28">
        <v>25</v>
      </c>
      <c r="E53" s="27">
        <v>0.16233766233766234</v>
      </c>
    </row>
    <row r="54" spans="2:5" ht="15" customHeight="1">
      <c r="B54" s="75"/>
      <c r="C54" s="29" t="s">
        <v>95</v>
      </c>
      <c r="D54" s="28">
        <v>3</v>
      </c>
      <c r="E54" s="27">
        <v>1.948051948051948E-2</v>
      </c>
    </row>
    <row r="55" spans="2:5" ht="15" customHeight="1">
      <c r="B55" s="75"/>
      <c r="C55" s="29" t="s">
        <v>96</v>
      </c>
      <c r="D55" s="28">
        <v>1</v>
      </c>
      <c r="E55" s="27">
        <v>6.4935064935064939E-3</v>
      </c>
    </row>
    <row r="56" spans="2:5" ht="15" customHeight="1">
      <c r="B56" s="75"/>
      <c r="C56" s="29" t="s">
        <v>17</v>
      </c>
      <c r="D56" s="28">
        <v>4</v>
      </c>
      <c r="E56" s="27">
        <v>2.5974025974025976E-2</v>
      </c>
    </row>
    <row r="57" spans="2:5" ht="15" customHeight="1">
      <c r="B57" s="75"/>
      <c r="C57" s="29" t="s">
        <v>97</v>
      </c>
      <c r="D57" s="28">
        <v>1</v>
      </c>
      <c r="E57" s="27">
        <v>6.4935064935064939E-3</v>
      </c>
    </row>
    <row r="58" spans="2:5" ht="15" customHeight="1">
      <c r="B58" s="76"/>
      <c r="C58" s="26" t="s">
        <v>3</v>
      </c>
      <c r="D58" s="25">
        <v>35</v>
      </c>
      <c r="E58" s="24">
        <v>0.22727272727272727</v>
      </c>
    </row>
    <row r="59" spans="2:5" ht="15" customHeight="1">
      <c r="B59" s="74" t="s">
        <v>10</v>
      </c>
      <c r="C59" s="29" t="s">
        <v>98</v>
      </c>
      <c r="D59" s="28">
        <v>1</v>
      </c>
      <c r="E59" s="27">
        <v>6.4935064935064939E-3</v>
      </c>
    </row>
    <row r="60" spans="2:5" ht="15" customHeight="1">
      <c r="B60" s="75"/>
      <c r="C60" s="29" t="s">
        <v>99</v>
      </c>
      <c r="D60" s="28">
        <v>20</v>
      </c>
      <c r="E60" s="27">
        <v>0.12987012987012986</v>
      </c>
    </row>
    <row r="61" spans="2:5" ht="15" customHeight="1">
      <c r="B61" s="75"/>
      <c r="C61" s="29" t="s">
        <v>16</v>
      </c>
      <c r="D61" s="28">
        <v>2</v>
      </c>
      <c r="E61" s="27">
        <v>1.2987012987012988E-2</v>
      </c>
    </row>
    <row r="62" spans="2:5" ht="15" customHeight="1">
      <c r="B62" s="75"/>
      <c r="C62" s="29" t="s">
        <v>100</v>
      </c>
      <c r="D62" s="28">
        <v>3</v>
      </c>
      <c r="E62" s="27">
        <v>1.948051948051948E-2</v>
      </c>
    </row>
    <row r="63" spans="2:5" ht="15" customHeight="1">
      <c r="B63" s="75"/>
      <c r="C63" s="29" t="s">
        <v>101</v>
      </c>
      <c r="D63" s="28">
        <v>1</v>
      </c>
      <c r="E63" s="27">
        <v>6.4935064935064939E-3</v>
      </c>
    </row>
    <row r="64" spans="2:5" ht="15" customHeight="1">
      <c r="B64" s="75"/>
      <c r="C64" s="29" t="s">
        <v>102</v>
      </c>
      <c r="D64" s="28">
        <v>2</v>
      </c>
      <c r="E64" s="27">
        <v>1.2987012987012988E-2</v>
      </c>
    </row>
    <row r="65" spans="2:5" ht="15" customHeight="1">
      <c r="B65" s="75"/>
      <c r="C65" s="29" t="s">
        <v>103</v>
      </c>
      <c r="D65" s="28">
        <v>1</v>
      </c>
      <c r="E65" s="27">
        <v>6.4935064935064939E-3</v>
      </c>
    </row>
    <row r="66" spans="2:5" ht="15" customHeight="1">
      <c r="B66" s="75"/>
      <c r="C66" s="29" t="s">
        <v>104</v>
      </c>
      <c r="D66" s="28">
        <v>1</v>
      </c>
      <c r="E66" s="27">
        <v>6.4935064935064939E-3</v>
      </c>
    </row>
    <row r="67" spans="2:5" ht="15" customHeight="1">
      <c r="B67" s="76"/>
      <c r="C67" s="26" t="s">
        <v>3</v>
      </c>
      <c r="D67" s="25">
        <v>31</v>
      </c>
      <c r="E67" s="24">
        <v>0.20129870129870131</v>
      </c>
    </row>
    <row r="68" spans="2:5" ht="15" customHeight="1">
      <c r="B68" s="78" t="s">
        <v>3</v>
      </c>
      <c r="C68" s="79"/>
      <c r="D68" s="61">
        <f>SUMIF(C$10:C67,"Total",D$10:D67)</f>
        <v>154</v>
      </c>
      <c r="E68" s="62">
        <v>1</v>
      </c>
    </row>
    <row r="70" spans="2:5" ht="15" customHeight="1">
      <c r="B70" s="3" t="s">
        <v>64</v>
      </c>
    </row>
    <row r="71" spans="2:5" ht="15" customHeight="1">
      <c r="B71" s="5" t="s">
        <v>2</v>
      </c>
    </row>
    <row r="72" spans="2:5" ht="15" customHeight="1">
      <c r="B72" s="4" t="s">
        <v>1</v>
      </c>
    </row>
    <row r="73" spans="2:5" ht="15" customHeight="1">
      <c r="B73" s="3" t="s">
        <v>0</v>
      </c>
    </row>
    <row r="74" spans="2:5" ht="15" customHeight="1">
      <c r="B74" s="3" t="s">
        <v>65</v>
      </c>
    </row>
    <row r="423" spans="1:2" s="21" customFormat="1" ht="15" customHeight="1">
      <c r="A423" s="20"/>
      <c r="B423" s="22"/>
    </row>
    <row r="424" spans="1:2" s="21" customFormat="1" ht="15" customHeight="1">
      <c r="A424" s="20"/>
      <c r="B424" s="23"/>
    </row>
    <row r="425" spans="1:2" s="21" customFormat="1" ht="15" customHeight="1">
      <c r="A425" s="20"/>
      <c r="B425" s="23"/>
    </row>
    <row r="426" spans="1:2" s="21" customFormat="1" ht="15" customHeight="1">
      <c r="A426" s="20"/>
      <c r="B426" s="22"/>
    </row>
    <row r="427" spans="1:2" s="21" customFormat="1" ht="15" customHeight="1">
      <c r="A427" s="20"/>
      <c r="B427" s="22"/>
    </row>
  </sheetData>
  <mergeCells count="12">
    <mergeCell ref="B59:B67"/>
    <mergeCell ref="B68:C68"/>
    <mergeCell ref="B32:B33"/>
    <mergeCell ref="B34:B40"/>
    <mergeCell ref="B41:B49"/>
    <mergeCell ref="B50:B51"/>
    <mergeCell ref="B52:B58"/>
    <mergeCell ref="B19:B21"/>
    <mergeCell ref="B22:B26"/>
    <mergeCell ref="B27:B31"/>
    <mergeCell ref="B7:E8"/>
    <mergeCell ref="B10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3"/>
  <sheetViews>
    <sheetView showGridLines="0" topLeftCell="A19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30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29</v>
      </c>
      <c r="C11" s="15" t="s">
        <v>14</v>
      </c>
      <c r="D11" s="14" t="s">
        <v>13</v>
      </c>
    </row>
    <row r="12" spans="1:4">
      <c r="B12" s="11" t="s">
        <v>105</v>
      </c>
      <c r="C12" s="10">
        <v>3</v>
      </c>
      <c r="D12" s="9">
        <v>1.948051948051948E-2</v>
      </c>
    </row>
    <row r="13" spans="1:4">
      <c r="B13" s="11" t="s">
        <v>106</v>
      </c>
      <c r="C13" s="10">
        <v>3</v>
      </c>
      <c r="D13" s="9">
        <v>1.948051948051948E-2</v>
      </c>
    </row>
    <row r="14" spans="1:4">
      <c r="A14" s="12"/>
      <c r="B14" s="11" t="s">
        <v>107</v>
      </c>
      <c r="C14" s="10">
        <v>1</v>
      </c>
      <c r="D14" s="9">
        <v>6.4935064935064939E-3</v>
      </c>
    </row>
    <row r="15" spans="1:4">
      <c r="A15" s="12"/>
      <c r="B15" s="11" t="s">
        <v>28</v>
      </c>
      <c r="C15" s="10">
        <v>4</v>
      </c>
      <c r="D15" s="9">
        <v>2.5974025974025976E-2</v>
      </c>
    </row>
    <row r="16" spans="1:4">
      <c r="B16" s="11" t="s">
        <v>27</v>
      </c>
      <c r="C16" s="10">
        <v>12</v>
      </c>
      <c r="D16" s="9">
        <v>7.792207792207792E-2</v>
      </c>
    </row>
    <row r="17" spans="2:4">
      <c r="B17" s="11" t="s">
        <v>26</v>
      </c>
      <c r="C17" s="10">
        <v>21</v>
      </c>
      <c r="D17" s="9">
        <v>0.13636363636363635</v>
      </c>
    </row>
    <row r="18" spans="2:4">
      <c r="B18" s="11" t="s">
        <v>108</v>
      </c>
      <c r="C18" s="10">
        <v>2</v>
      </c>
      <c r="D18" s="9">
        <v>1.2987012987012988E-2</v>
      </c>
    </row>
    <row r="19" spans="2:4">
      <c r="B19" s="11" t="s">
        <v>25</v>
      </c>
      <c r="C19" s="10">
        <v>18</v>
      </c>
      <c r="D19" s="9">
        <v>0.11688311688311688</v>
      </c>
    </row>
    <row r="20" spans="2:4">
      <c r="B20" s="11" t="s">
        <v>24</v>
      </c>
      <c r="C20" s="10">
        <v>57</v>
      </c>
      <c r="D20" s="9">
        <v>0.37012987012987014</v>
      </c>
    </row>
    <row r="21" spans="2:4">
      <c r="B21" s="11" t="s">
        <v>109</v>
      </c>
      <c r="C21" s="10">
        <v>1</v>
      </c>
      <c r="D21" s="9">
        <v>6.4935064935064939E-3</v>
      </c>
    </row>
    <row r="22" spans="2:4">
      <c r="B22" s="11" t="s">
        <v>23</v>
      </c>
      <c r="C22" s="10">
        <v>7</v>
      </c>
      <c r="D22" s="9">
        <v>4.5454545454545456E-2</v>
      </c>
    </row>
    <row r="23" spans="2:4">
      <c r="B23" s="11" t="s">
        <v>22</v>
      </c>
      <c r="C23" s="10">
        <v>18</v>
      </c>
      <c r="D23" s="9">
        <v>0.11688311688311688</v>
      </c>
    </row>
    <row r="24" spans="2:4">
      <c r="B24" s="11" t="s">
        <v>62</v>
      </c>
      <c r="C24" s="10">
        <v>2</v>
      </c>
      <c r="D24" s="9">
        <v>1.2987012987012988E-2</v>
      </c>
    </row>
    <row r="25" spans="2:4">
      <c r="B25" s="11" t="s">
        <v>110</v>
      </c>
      <c r="C25" s="10">
        <v>3</v>
      </c>
      <c r="D25" s="9">
        <v>1.948051948051948E-2</v>
      </c>
    </row>
    <row r="26" spans="2:4">
      <c r="B26" s="11" t="s">
        <v>111</v>
      </c>
      <c r="C26" s="10">
        <v>2</v>
      </c>
      <c r="D26" s="9">
        <v>1.2987012987012988E-2</v>
      </c>
    </row>
    <row r="27" spans="2:4">
      <c r="B27" s="8" t="s">
        <v>3</v>
      </c>
      <c r="C27" s="7">
        <v>154</v>
      </c>
      <c r="D27" s="6">
        <v>1</v>
      </c>
    </row>
    <row r="29" spans="2:4">
      <c r="B29" s="3" t="s">
        <v>64</v>
      </c>
    </row>
    <row r="30" spans="2:4">
      <c r="B30" s="5" t="s">
        <v>2</v>
      </c>
    </row>
    <row r="31" spans="2:4">
      <c r="B31" s="4" t="s">
        <v>1</v>
      </c>
    </row>
    <row r="32" spans="2:4">
      <c r="B32" s="3" t="s">
        <v>0</v>
      </c>
    </row>
    <row r="33" spans="2:2">
      <c r="B33" s="3" t="s">
        <v>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8"/>
  <sheetViews>
    <sheetView showGridLines="0" zoomScaleNormal="100" zoomScaleSheetLayoutView="100" workbookViewId="0">
      <selection activeCell="B10" sqref="B10:B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29</v>
      </c>
      <c r="C9" s="33" t="s">
        <v>15</v>
      </c>
      <c r="D9" s="32" t="s">
        <v>14</v>
      </c>
      <c r="E9" s="31" t="s">
        <v>13</v>
      </c>
    </row>
    <row r="10" spans="1:5" ht="15" customHeight="1">
      <c r="B10" s="74" t="s">
        <v>105</v>
      </c>
      <c r="C10" s="29" t="s">
        <v>11</v>
      </c>
      <c r="D10" s="28">
        <v>3</v>
      </c>
      <c r="E10" s="27">
        <v>1.948051948051948E-2</v>
      </c>
    </row>
    <row r="11" spans="1:5" ht="15" customHeight="1">
      <c r="B11" s="76"/>
      <c r="C11" s="26" t="s">
        <v>3</v>
      </c>
      <c r="D11" s="25">
        <v>3</v>
      </c>
      <c r="E11" s="24">
        <v>1.948051948051948E-2</v>
      </c>
    </row>
    <row r="12" spans="1:5" ht="15" customHeight="1">
      <c r="B12" s="74" t="s">
        <v>106</v>
      </c>
      <c r="C12" s="29" t="s">
        <v>11</v>
      </c>
      <c r="D12" s="28">
        <v>1</v>
      </c>
      <c r="E12" s="27">
        <v>6.4935064935064939E-3</v>
      </c>
    </row>
    <row r="13" spans="1:5" ht="15" customHeight="1">
      <c r="B13" s="75"/>
      <c r="C13" s="29" t="s">
        <v>6</v>
      </c>
      <c r="D13" s="28">
        <v>1</v>
      </c>
      <c r="E13" s="27">
        <v>6.4935064935064939E-3</v>
      </c>
    </row>
    <row r="14" spans="1:5" ht="15" customHeight="1">
      <c r="B14" s="75"/>
      <c r="C14" s="29" t="s">
        <v>58</v>
      </c>
      <c r="D14" s="28">
        <v>1</v>
      </c>
      <c r="E14" s="27">
        <v>6.4935064935064939E-3</v>
      </c>
    </row>
    <row r="15" spans="1:5" ht="15" customHeight="1">
      <c r="B15" s="76"/>
      <c r="C15" s="26" t="s">
        <v>3</v>
      </c>
      <c r="D15" s="25">
        <v>3</v>
      </c>
      <c r="E15" s="24">
        <v>1.948051948051948E-2</v>
      </c>
    </row>
    <row r="16" spans="1:5" ht="15" customHeight="1">
      <c r="B16" s="74" t="s">
        <v>107</v>
      </c>
      <c r="C16" s="29" t="s">
        <v>11</v>
      </c>
      <c r="D16" s="28">
        <v>1</v>
      </c>
      <c r="E16" s="27">
        <v>6.4935064935064939E-3</v>
      </c>
    </row>
    <row r="17" spans="2:5" ht="15" customHeight="1">
      <c r="B17" s="76"/>
      <c r="C17" s="26" t="s">
        <v>3</v>
      </c>
      <c r="D17" s="25">
        <v>1</v>
      </c>
      <c r="E17" s="24">
        <v>6.4935064935064939E-3</v>
      </c>
    </row>
    <row r="18" spans="2:5" ht="15" customHeight="1">
      <c r="B18" s="74" t="s">
        <v>28</v>
      </c>
      <c r="C18" s="29" t="s">
        <v>11</v>
      </c>
      <c r="D18" s="28">
        <v>1</v>
      </c>
      <c r="E18" s="27">
        <v>6.4935064935064939E-3</v>
      </c>
    </row>
    <row r="19" spans="2:5" ht="15" customHeight="1">
      <c r="B19" s="75"/>
      <c r="C19" s="29" t="s">
        <v>9</v>
      </c>
      <c r="D19" s="28">
        <v>1</v>
      </c>
      <c r="E19" s="27">
        <v>6.4935064935064939E-3</v>
      </c>
    </row>
    <row r="20" spans="2:5" ht="15" customHeight="1">
      <c r="B20" s="75"/>
      <c r="C20" s="29" t="s">
        <v>4</v>
      </c>
      <c r="D20" s="28">
        <v>1</v>
      </c>
      <c r="E20" s="27">
        <v>6.4935064935064939E-3</v>
      </c>
    </row>
    <row r="21" spans="2:5" ht="15" customHeight="1">
      <c r="B21" s="75"/>
      <c r="C21" s="29" t="s">
        <v>10</v>
      </c>
      <c r="D21" s="28">
        <v>1</v>
      </c>
      <c r="E21" s="27">
        <v>6.4935064935064939E-3</v>
      </c>
    </row>
    <row r="22" spans="2:5" ht="15" customHeight="1">
      <c r="B22" s="76"/>
      <c r="C22" s="26" t="s">
        <v>3</v>
      </c>
      <c r="D22" s="25">
        <v>4</v>
      </c>
      <c r="E22" s="24">
        <v>2.5974025974025976E-2</v>
      </c>
    </row>
    <row r="23" spans="2:5" ht="15" customHeight="1">
      <c r="B23" s="74" t="s">
        <v>27</v>
      </c>
      <c r="C23" s="29" t="s">
        <v>11</v>
      </c>
      <c r="D23" s="28">
        <v>7</v>
      </c>
      <c r="E23" s="27">
        <v>4.5454545454545456E-2</v>
      </c>
    </row>
    <row r="24" spans="2:5" ht="15" customHeight="1">
      <c r="B24" s="75"/>
      <c r="C24" s="29" t="s">
        <v>10</v>
      </c>
      <c r="D24" s="28">
        <v>5</v>
      </c>
      <c r="E24" s="27">
        <v>3.2467532467532464E-2</v>
      </c>
    </row>
    <row r="25" spans="2:5" ht="15" customHeight="1">
      <c r="B25" s="76"/>
      <c r="C25" s="26" t="s">
        <v>3</v>
      </c>
      <c r="D25" s="25">
        <v>12</v>
      </c>
      <c r="E25" s="24">
        <v>7.792207792207792E-2</v>
      </c>
    </row>
    <row r="26" spans="2:5" ht="15" customHeight="1">
      <c r="B26" s="74" t="s">
        <v>26</v>
      </c>
      <c r="C26" s="29" t="s">
        <v>11</v>
      </c>
      <c r="D26" s="28">
        <v>7</v>
      </c>
      <c r="E26" s="27">
        <v>4.5454545454545456E-2</v>
      </c>
    </row>
    <row r="27" spans="2:5" ht="15" customHeight="1">
      <c r="B27" s="75"/>
      <c r="C27" s="29" t="s">
        <v>9</v>
      </c>
      <c r="D27" s="28">
        <v>2</v>
      </c>
      <c r="E27" s="27">
        <v>1.2987012987012988E-2</v>
      </c>
    </row>
    <row r="28" spans="2:5" ht="15" customHeight="1">
      <c r="B28" s="75"/>
      <c r="C28" s="29" t="s">
        <v>4</v>
      </c>
      <c r="D28" s="28">
        <v>5</v>
      </c>
      <c r="E28" s="27">
        <v>3.2467532467532464E-2</v>
      </c>
    </row>
    <row r="29" spans="2:5" ht="15" customHeight="1">
      <c r="B29" s="75"/>
      <c r="C29" s="29" t="s">
        <v>12</v>
      </c>
      <c r="D29" s="28">
        <v>3</v>
      </c>
      <c r="E29" s="27">
        <v>1.948051948051948E-2</v>
      </c>
    </row>
    <row r="30" spans="2:5" ht="15" customHeight="1">
      <c r="B30" s="75"/>
      <c r="C30" s="29" t="s">
        <v>10</v>
      </c>
      <c r="D30" s="28">
        <v>4</v>
      </c>
      <c r="E30" s="27">
        <v>2.5974025974025976E-2</v>
      </c>
    </row>
    <row r="31" spans="2:5" ht="15" customHeight="1">
      <c r="B31" s="76"/>
      <c r="C31" s="26" t="s">
        <v>3</v>
      </c>
      <c r="D31" s="25">
        <v>21</v>
      </c>
      <c r="E31" s="24">
        <v>0.13636363636363635</v>
      </c>
    </row>
    <row r="32" spans="2:5" ht="15" customHeight="1">
      <c r="B32" s="74" t="s">
        <v>108</v>
      </c>
      <c r="C32" s="29" t="s">
        <v>11</v>
      </c>
      <c r="D32" s="28">
        <v>1</v>
      </c>
      <c r="E32" s="27">
        <v>6.4935064935064939E-3</v>
      </c>
    </row>
    <row r="33" spans="2:6" ht="15" customHeight="1">
      <c r="B33" s="75"/>
      <c r="C33" s="29" t="s">
        <v>12</v>
      </c>
      <c r="D33" s="28">
        <v>1</v>
      </c>
      <c r="E33" s="27">
        <v>6.4935064935064939E-3</v>
      </c>
    </row>
    <row r="34" spans="2:6" ht="15" customHeight="1">
      <c r="B34" s="76"/>
      <c r="C34" s="26" t="s">
        <v>3</v>
      </c>
      <c r="D34" s="25">
        <v>2</v>
      </c>
      <c r="E34" s="24">
        <v>1.2987012987012988E-2</v>
      </c>
    </row>
    <row r="35" spans="2:6" ht="15" customHeight="1">
      <c r="B35" s="74" t="s">
        <v>25</v>
      </c>
      <c r="C35" s="29" t="s">
        <v>11</v>
      </c>
      <c r="D35" s="28">
        <v>7</v>
      </c>
      <c r="E35" s="27">
        <v>4.5454545454545456E-2</v>
      </c>
    </row>
    <row r="36" spans="2:6" ht="15" customHeight="1">
      <c r="B36" s="75"/>
      <c r="C36" s="29" t="s">
        <v>9</v>
      </c>
      <c r="D36" s="28">
        <v>2</v>
      </c>
      <c r="E36" s="27">
        <v>1.2987012987012988E-2</v>
      </c>
    </row>
    <row r="37" spans="2:6" ht="15" customHeight="1">
      <c r="B37" s="75"/>
      <c r="C37" s="29" t="s">
        <v>12</v>
      </c>
      <c r="D37" s="28">
        <v>5</v>
      </c>
      <c r="E37" s="27">
        <v>3.2467532467532464E-2</v>
      </c>
    </row>
    <row r="38" spans="2:6" ht="15" customHeight="1">
      <c r="B38" s="75"/>
      <c r="C38" s="29" t="s">
        <v>10</v>
      </c>
      <c r="D38" s="28">
        <v>4</v>
      </c>
      <c r="E38" s="27">
        <v>2.5974025974025976E-2</v>
      </c>
      <c r="F38" s="1"/>
    </row>
    <row r="39" spans="2:6" ht="15" customHeight="1">
      <c r="B39" s="76"/>
      <c r="C39" s="26" t="s">
        <v>3</v>
      </c>
      <c r="D39" s="25">
        <v>18</v>
      </c>
      <c r="E39" s="24">
        <v>0.11688311688311688</v>
      </c>
      <c r="F39" s="1"/>
    </row>
    <row r="40" spans="2:6" ht="15" customHeight="1">
      <c r="B40" s="74" t="s">
        <v>24</v>
      </c>
      <c r="C40" s="29" t="s">
        <v>11</v>
      </c>
      <c r="D40" s="28">
        <v>10</v>
      </c>
      <c r="E40" s="27">
        <v>6.4935064935064929E-2</v>
      </c>
      <c r="F40" s="1"/>
    </row>
    <row r="41" spans="2:6" ht="15" customHeight="1">
      <c r="B41" s="75"/>
      <c r="C41" s="29" t="s">
        <v>8</v>
      </c>
      <c r="D41" s="28">
        <v>1</v>
      </c>
      <c r="E41" s="27">
        <v>6.4935064935064939E-3</v>
      </c>
      <c r="F41" s="1"/>
    </row>
    <row r="42" spans="2:6" ht="15" customHeight="1">
      <c r="B42" s="75"/>
      <c r="C42" s="29" t="s">
        <v>7</v>
      </c>
      <c r="D42" s="28">
        <v>5</v>
      </c>
      <c r="E42" s="27">
        <v>3.2467532467532464E-2</v>
      </c>
      <c r="F42" s="1"/>
    </row>
    <row r="43" spans="2:6" ht="15" customHeight="1">
      <c r="B43" s="75"/>
      <c r="C43" s="29" t="s">
        <v>6</v>
      </c>
      <c r="D43" s="28">
        <v>2</v>
      </c>
      <c r="E43" s="27">
        <v>1.2987012987012988E-2</v>
      </c>
    </row>
    <row r="44" spans="2:6" ht="15" customHeight="1">
      <c r="B44" s="75"/>
      <c r="C44" s="29" t="s">
        <v>5</v>
      </c>
      <c r="D44" s="28">
        <v>1</v>
      </c>
      <c r="E44" s="27">
        <v>6.4935064935064939E-3</v>
      </c>
    </row>
    <row r="45" spans="2:6" ht="15" customHeight="1">
      <c r="B45" s="75"/>
      <c r="C45" s="29" t="s">
        <v>9</v>
      </c>
      <c r="D45" s="28">
        <v>4</v>
      </c>
      <c r="E45" s="27">
        <v>2.5974025974025976E-2</v>
      </c>
    </row>
    <row r="46" spans="2:6" ht="15" customHeight="1">
      <c r="B46" s="75"/>
      <c r="C46" s="29" t="s">
        <v>4</v>
      </c>
      <c r="D46" s="28">
        <v>9</v>
      </c>
      <c r="E46" s="27">
        <v>5.844155844155844E-2</v>
      </c>
    </row>
    <row r="47" spans="2:6" ht="15" customHeight="1">
      <c r="B47" s="75"/>
      <c r="C47" s="29" t="s">
        <v>12</v>
      </c>
      <c r="D47" s="28">
        <v>15</v>
      </c>
      <c r="E47" s="27">
        <v>9.7402597402597407E-2</v>
      </c>
    </row>
    <row r="48" spans="2:6" ht="15" customHeight="1">
      <c r="B48" s="75"/>
      <c r="C48" s="29" t="s">
        <v>10</v>
      </c>
      <c r="D48" s="28">
        <v>10</v>
      </c>
      <c r="E48" s="27">
        <v>6.4935064935064929E-2</v>
      </c>
    </row>
    <row r="49" spans="2:5" ht="15" customHeight="1">
      <c r="B49" s="76"/>
      <c r="C49" s="26" t="s">
        <v>3</v>
      </c>
      <c r="D49" s="25">
        <v>57</v>
      </c>
      <c r="E49" s="24">
        <v>0.37012987012987014</v>
      </c>
    </row>
    <row r="50" spans="2:5" ht="15" customHeight="1">
      <c r="B50" s="74" t="s">
        <v>112</v>
      </c>
      <c r="C50" s="29" t="s">
        <v>8</v>
      </c>
      <c r="D50" s="28">
        <v>1</v>
      </c>
      <c r="E50" s="27">
        <v>6.4935064935064939E-3</v>
      </c>
    </row>
    <row r="51" spans="2:5" ht="15" customHeight="1">
      <c r="B51" s="76"/>
      <c r="C51" s="26" t="s">
        <v>3</v>
      </c>
      <c r="D51" s="25">
        <v>1</v>
      </c>
      <c r="E51" s="24">
        <v>6.4935064935064939E-3</v>
      </c>
    </row>
    <row r="52" spans="2:5" ht="15" customHeight="1">
      <c r="B52" s="74" t="s">
        <v>23</v>
      </c>
      <c r="C52" s="29" t="s">
        <v>11</v>
      </c>
      <c r="D52" s="28">
        <v>4</v>
      </c>
      <c r="E52" s="27">
        <v>2.5974025974025976E-2</v>
      </c>
    </row>
    <row r="53" spans="2:5" ht="15" customHeight="1">
      <c r="B53" s="75"/>
      <c r="C53" s="29" t="s">
        <v>12</v>
      </c>
      <c r="D53" s="28">
        <v>2</v>
      </c>
      <c r="E53" s="27">
        <v>1.2987012987012988E-2</v>
      </c>
    </row>
    <row r="54" spans="2:5" ht="15" customHeight="1">
      <c r="B54" s="75"/>
      <c r="C54" s="29" t="s">
        <v>10</v>
      </c>
      <c r="D54" s="28">
        <v>1</v>
      </c>
      <c r="E54" s="27">
        <v>6.4935064935064939E-3</v>
      </c>
    </row>
    <row r="55" spans="2:5" ht="15" customHeight="1">
      <c r="B55" s="76"/>
      <c r="C55" s="26" t="s">
        <v>3</v>
      </c>
      <c r="D55" s="25">
        <v>7</v>
      </c>
      <c r="E55" s="24">
        <v>4.5454545454545456E-2</v>
      </c>
    </row>
    <row r="56" spans="2:5" ht="15" customHeight="1">
      <c r="B56" s="74" t="s">
        <v>22</v>
      </c>
      <c r="C56" s="29" t="s">
        <v>11</v>
      </c>
      <c r="D56" s="28">
        <v>5</v>
      </c>
      <c r="E56" s="27">
        <v>3.2467532467532464E-2</v>
      </c>
    </row>
    <row r="57" spans="2:5" ht="15" customHeight="1">
      <c r="B57" s="75"/>
      <c r="C57" s="29" t="s">
        <v>8</v>
      </c>
      <c r="D57" s="28">
        <v>1</v>
      </c>
      <c r="E57" s="27">
        <v>6.4935064935064939E-3</v>
      </c>
    </row>
    <row r="58" spans="2:5" ht="15" customHeight="1">
      <c r="B58" s="75"/>
      <c r="C58" s="29" t="s">
        <v>6</v>
      </c>
      <c r="D58" s="28">
        <v>1</v>
      </c>
      <c r="E58" s="27">
        <v>6.4935064935064939E-3</v>
      </c>
    </row>
    <row r="59" spans="2:5" ht="15" customHeight="1">
      <c r="B59" s="75"/>
      <c r="C59" s="29" t="s">
        <v>9</v>
      </c>
      <c r="D59" s="28">
        <v>1</v>
      </c>
      <c r="E59" s="27">
        <v>6.4935064935064939E-3</v>
      </c>
    </row>
    <row r="60" spans="2:5" ht="15" customHeight="1">
      <c r="B60" s="75"/>
      <c r="C60" s="29" t="s">
        <v>4</v>
      </c>
      <c r="D60" s="28">
        <v>1</v>
      </c>
      <c r="E60" s="27">
        <v>6.4935064935064939E-3</v>
      </c>
    </row>
    <row r="61" spans="2:5" ht="15" customHeight="1">
      <c r="B61" s="75"/>
      <c r="C61" s="29" t="s">
        <v>12</v>
      </c>
      <c r="D61" s="28">
        <v>4</v>
      </c>
      <c r="E61" s="27">
        <v>2.5974025974025976E-2</v>
      </c>
    </row>
    <row r="62" spans="2:5" ht="15" customHeight="1">
      <c r="B62" s="75"/>
      <c r="C62" s="29" t="s">
        <v>10</v>
      </c>
      <c r="D62" s="28">
        <v>5</v>
      </c>
      <c r="E62" s="27">
        <v>3.2467532467532464E-2</v>
      </c>
    </row>
    <row r="63" spans="2:5" ht="15" customHeight="1">
      <c r="B63" s="76"/>
      <c r="C63" s="26" t="s">
        <v>3</v>
      </c>
      <c r="D63" s="25">
        <v>18</v>
      </c>
      <c r="E63" s="24">
        <v>0.11688311688311688</v>
      </c>
    </row>
    <row r="64" spans="2:5" ht="15" customHeight="1">
      <c r="B64" s="74" t="s">
        <v>62</v>
      </c>
      <c r="C64" s="29" t="s">
        <v>12</v>
      </c>
      <c r="D64" s="28">
        <v>2</v>
      </c>
      <c r="E64" s="27">
        <v>1.2987012987012988E-2</v>
      </c>
    </row>
    <row r="65" spans="2:5" ht="15" customHeight="1">
      <c r="B65" s="76"/>
      <c r="C65" s="26" t="s">
        <v>3</v>
      </c>
      <c r="D65" s="25">
        <v>2</v>
      </c>
      <c r="E65" s="24">
        <v>1.2987012987012988E-2</v>
      </c>
    </row>
    <row r="66" spans="2:5" ht="15" customHeight="1">
      <c r="B66" s="74" t="s">
        <v>113</v>
      </c>
      <c r="C66" s="29" t="s">
        <v>12</v>
      </c>
      <c r="D66" s="28">
        <v>2</v>
      </c>
      <c r="E66" s="27">
        <v>1.2987012987012988E-2</v>
      </c>
    </row>
    <row r="67" spans="2:5" ht="15" customHeight="1">
      <c r="B67" s="75"/>
      <c r="C67" s="29" t="s">
        <v>10</v>
      </c>
      <c r="D67" s="28">
        <v>1</v>
      </c>
      <c r="E67" s="27">
        <v>6.4935064935064939E-3</v>
      </c>
    </row>
    <row r="68" spans="2:5" ht="15" customHeight="1">
      <c r="B68" s="76"/>
      <c r="C68" s="26" t="s">
        <v>3</v>
      </c>
      <c r="D68" s="25">
        <v>3</v>
      </c>
      <c r="E68" s="24">
        <v>1.948051948051948E-2</v>
      </c>
    </row>
    <row r="69" spans="2:5" ht="15" customHeight="1">
      <c r="B69" s="74" t="s">
        <v>111</v>
      </c>
      <c r="C69" s="29" t="s">
        <v>8</v>
      </c>
      <c r="D69" s="28">
        <v>1</v>
      </c>
      <c r="E69" s="27">
        <v>6.4935064935064939E-3</v>
      </c>
    </row>
    <row r="70" spans="2:5" ht="15" customHeight="1">
      <c r="B70" s="75"/>
      <c r="C70" s="29" t="s">
        <v>12</v>
      </c>
      <c r="D70" s="28">
        <v>1</v>
      </c>
      <c r="E70" s="27">
        <v>6.4935064935064939E-3</v>
      </c>
    </row>
    <row r="71" spans="2:5" ht="15" customHeight="1">
      <c r="B71" s="76"/>
      <c r="C71" s="26" t="s">
        <v>3</v>
      </c>
      <c r="D71" s="25">
        <v>2</v>
      </c>
      <c r="E71" s="24">
        <v>1.2987012987012988E-2</v>
      </c>
    </row>
    <row r="72" spans="2:5" ht="15" customHeight="1">
      <c r="B72" s="78" t="s">
        <v>3</v>
      </c>
      <c r="C72" s="79"/>
      <c r="D72" s="61">
        <v>154</v>
      </c>
      <c r="E72" s="62">
        <v>1</v>
      </c>
    </row>
    <row r="74" spans="2:5" ht="15" customHeight="1">
      <c r="B74" s="3" t="s">
        <v>64</v>
      </c>
    </row>
    <row r="75" spans="2:5" ht="15" customHeight="1">
      <c r="B75" s="5" t="s">
        <v>2</v>
      </c>
    </row>
    <row r="76" spans="2:5" ht="15" customHeight="1">
      <c r="B76" s="4" t="s">
        <v>1</v>
      </c>
    </row>
    <row r="77" spans="2:5" ht="15" customHeight="1">
      <c r="B77" s="3" t="s">
        <v>0</v>
      </c>
    </row>
    <row r="78" spans="2:5" ht="15" customHeight="1">
      <c r="B78" s="3" t="s">
        <v>65</v>
      </c>
    </row>
  </sheetData>
  <mergeCells count="17">
    <mergeCell ref="B66:B68"/>
    <mergeCell ref="B69:B71"/>
    <mergeCell ref="B72:C72"/>
    <mergeCell ref="B40:B49"/>
    <mergeCell ref="B50:B51"/>
    <mergeCell ref="B52:B55"/>
    <mergeCell ref="B56:B63"/>
    <mergeCell ref="B64:B65"/>
    <mergeCell ref="B26:B31"/>
    <mergeCell ref="B32:B34"/>
    <mergeCell ref="B35:B39"/>
    <mergeCell ref="B10:B11"/>
    <mergeCell ref="B7:E8"/>
    <mergeCell ref="B12:B15"/>
    <mergeCell ref="B16:B17"/>
    <mergeCell ref="B18:B22"/>
    <mergeCell ref="B23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20"/>
  <sheetViews>
    <sheetView showGridLines="0" topLeftCell="A4" zoomScaleNormal="100" zoomScaleSheetLayoutView="115" workbookViewId="0">
      <selection activeCell="D28" sqref="D2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6" s="13" customFormat="1" ht="15" customHeight="1">
      <c r="C1" s="19"/>
    </row>
    <row r="2" spans="1:6" s="13" customFormat="1" ht="15" customHeight="1">
      <c r="C2" s="19"/>
    </row>
    <row r="3" spans="1:6" s="13" customFormat="1" ht="15" customHeight="1">
      <c r="C3" s="19"/>
    </row>
    <row r="4" spans="1:6" s="13" customFormat="1" ht="30" customHeight="1">
      <c r="C4" s="19"/>
      <c r="D4" s="18"/>
    </row>
    <row r="5" spans="1:6" s="13" customFormat="1" ht="15" customHeight="1">
      <c r="C5" s="19"/>
      <c r="D5" s="18"/>
    </row>
    <row r="6" spans="1:6" s="13" customFormat="1" ht="15" customHeight="1">
      <c r="C6" s="19"/>
      <c r="D6" s="18"/>
    </row>
    <row r="7" spans="1:6" s="13" customFormat="1" ht="15" customHeight="1">
      <c r="B7" s="73" t="s">
        <v>114</v>
      </c>
      <c r="C7" s="73"/>
      <c r="D7" s="73"/>
    </row>
    <row r="8" spans="1:6" s="13" customFormat="1" ht="15" customHeight="1">
      <c r="B8" s="73"/>
      <c r="C8" s="73"/>
      <c r="D8" s="73"/>
    </row>
    <row r="9" spans="1:6" s="13" customFormat="1" ht="33" customHeight="1">
      <c r="B9" s="73"/>
      <c r="C9" s="73"/>
      <c r="D9" s="73"/>
    </row>
    <row r="10" spans="1:6" s="13" customFormat="1" ht="4.5" customHeight="1">
      <c r="B10" s="17"/>
      <c r="C10" s="17"/>
      <c r="D10" s="17"/>
    </row>
    <row r="11" spans="1:6" s="13" customFormat="1" ht="33" customHeight="1">
      <c r="B11" s="16" t="s">
        <v>34</v>
      </c>
      <c r="C11" s="15" t="s">
        <v>14</v>
      </c>
      <c r="D11" s="14" t="s">
        <v>13</v>
      </c>
    </row>
    <row r="12" spans="1:6">
      <c r="B12" s="11" t="s">
        <v>33</v>
      </c>
      <c r="C12" s="10">
        <v>136</v>
      </c>
      <c r="D12" s="9">
        <v>0.88311688311688308</v>
      </c>
    </row>
    <row r="13" spans="1:6">
      <c r="B13" s="11" t="s">
        <v>32</v>
      </c>
      <c r="C13" s="10">
        <v>18</v>
      </c>
      <c r="D13" s="9">
        <v>0.11688311688311688</v>
      </c>
    </row>
    <row r="14" spans="1:6">
      <c r="B14" s="8" t="s">
        <v>31</v>
      </c>
      <c r="C14" s="7">
        <v>154</v>
      </c>
      <c r="D14" s="6">
        <v>1</v>
      </c>
    </row>
    <row r="15" spans="1:6">
      <c r="A15" s="12"/>
      <c r="B15" s="12"/>
      <c r="C15" s="43"/>
      <c r="D15" s="12"/>
      <c r="E15" s="12"/>
      <c r="F15" s="12"/>
    </row>
    <row r="16" spans="1:6">
      <c r="B16" s="3" t="s">
        <v>64</v>
      </c>
      <c r="C16" s="43"/>
      <c r="D16" s="12"/>
    </row>
    <row r="17" spans="2:4">
      <c r="B17" s="5" t="s">
        <v>2</v>
      </c>
      <c r="C17" s="63"/>
      <c r="D17" s="63"/>
    </row>
    <row r="18" spans="2:4">
      <c r="B18" s="4" t="s">
        <v>1</v>
      </c>
      <c r="C18" s="42"/>
      <c r="D18" s="42"/>
    </row>
    <row r="19" spans="2:4">
      <c r="B19" s="3" t="s">
        <v>0</v>
      </c>
    </row>
    <row r="20" spans="2:4">
      <c r="B20" s="3" t="s">
        <v>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28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15</v>
      </c>
      <c r="C9" s="33" t="s">
        <v>34</v>
      </c>
      <c r="D9" s="32" t="s">
        <v>14</v>
      </c>
      <c r="E9" s="31" t="s">
        <v>13</v>
      </c>
    </row>
    <row r="10" spans="1:5" ht="15" customHeight="1">
      <c r="B10" s="74" t="s">
        <v>11</v>
      </c>
      <c r="C10" s="29" t="s">
        <v>36</v>
      </c>
      <c r="D10" s="28">
        <v>45</v>
      </c>
      <c r="E10" s="27">
        <v>0.29220779220779219</v>
      </c>
    </row>
    <row r="11" spans="1:5" ht="15" customHeight="1">
      <c r="B11" s="75"/>
      <c r="C11" s="29" t="s">
        <v>35</v>
      </c>
      <c r="D11" s="28">
        <v>2</v>
      </c>
      <c r="E11" s="27">
        <v>1.2987012987012988E-2</v>
      </c>
    </row>
    <row r="12" spans="1:5" ht="15" customHeight="1">
      <c r="B12" s="76"/>
      <c r="C12" s="26" t="s">
        <v>3</v>
      </c>
      <c r="D12" s="25">
        <v>47</v>
      </c>
      <c r="E12" s="24">
        <v>0.30519480519480519</v>
      </c>
    </row>
    <row r="13" spans="1:5" ht="15" customHeight="1">
      <c r="B13" s="74" t="s">
        <v>8</v>
      </c>
      <c r="C13" s="29" t="s">
        <v>36</v>
      </c>
      <c r="D13" s="28">
        <v>1</v>
      </c>
      <c r="E13" s="27">
        <v>6.4935064935064939E-3</v>
      </c>
    </row>
    <row r="14" spans="1:5" ht="15" customHeight="1">
      <c r="B14" s="75"/>
      <c r="C14" s="29" t="s">
        <v>35</v>
      </c>
      <c r="D14" s="28">
        <v>3</v>
      </c>
      <c r="E14" s="27">
        <v>1.948051948051948E-2</v>
      </c>
    </row>
    <row r="15" spans="1:5" ht="15" customHeight="1">
      <c r="B15" s="76"/>
      <c r="C15" s="26" t="s">
        <v>3</v>
      </c>
      <c r="D15" s="25">
        <v>4</v>
      </c>
      <c r="E15" s="24">
        <v>2.5974025974025976E-2</v>
      </c>
    </row>
    <row r="16" spans="1:5" ht="15" customHeight="1">
      <c r="B16" s="74" t="s">
        <v>7</v>
      </c>
      <c r="C16" s="29" t="s">
        <v>36</v>
      </c>
      <c r="D16" s="28">
        <v>5</v>
      </c>
      <c r="E16" s="27">
        <v>3.2467532467532464E-2</v>
      </c>
    </row>
    <row r="17" spans="2:6" ht="15" customHeight="1">
      <c r="B17" s="76"/>
      <c r="C17" s="26" t="s">
        <v>3</v>
      </c>
      <c r="D17" s="25">
        <v>5</v>
      </c>
      <c r="E17" s="24">
        <v>3.2467532467532464E-2</v>
      </c>
    </row>
    <row r="18" spans="2:6" ht="15" customHeight="1">
      <c r="B18" s="74" t="s">
        <v>6</v>
      </c>
      <c r="C18" s="29" t="s">
        <v>36</v>
      </c>
      <c r="D18" s="28">
        <v>3</v>
      </c>
      <c r="E18" s="27">
        <v>1.948051948051948E-2</v>
      </c>
    </row>
    <row r="19" spans="2:6" ht="15" customHeight="1">
      <c r="B19" s="75"/>
      <c r="C19" s="29" t="s">
        <v>35</v>
      </c>
      <c r="D19" s="28">
        <v>1</v>
      </c>
      <c r="E19" s="27">
        <v>6.4935064935064939E-3</v>
      </c>
    </row>
    <row r="20" spans="2:6" ht="15" customHeight="1">
      <c r="B20" s="76"/>
      <c r="C20" s="26" t="s">
        <v>3</v>
      </c>
      <c r="D20" s="25">
        <v>4</v>
      </c>
      <c r="E20" s="24">
        <v>2.5974025974025976E-2</v>
      </c>
    </row>
    <row r="21" spans="2:6" ht="15" customHeight="1">
      <c r="B21" s="74" t="s">
        <v>5</v>
      </c>
      <c r="C21" s="29" t="s">
        <v>36</v>
      </c>
      <c r="D21" s="28">
        <v>1</v>
      </c>
      <c r="E21" s="27">
        <v>6.4935064935064939E-3</v>
      </c>
    </row>
    <row r="22" spans="2:6" ht="15" customHeight="1">
      <c r="B22" s="76"/>
      <c r="C22" s="26" t="s">
        <v>3</v>
      </c>
      <c r="D22" s="25">
        <v>1</v>
      </c>
      <c r="E22" s="24">
        <v>6.4935064935064939E-3</v>
      </c>
    </row>
    <row r="23" spans="2:6" ht="15" customHeight="1">
      <c r="B23" s="74" t="s">
        <v>9</v>
      </c>
      <c r="C23" s="29" t="s">
        <v>36</v>
      </c>
      <c r="D23" s="28">
        <v>10</v>
      </c>
      <c r="E23" s="27">
        <v>6.4935064935064929E-2</v>
      </c>
    </row>
    <row r="24" spans="2:6" ht="15" customHeight="1">
      <c r="B24" s="76"/>
      <c r="C24" s="26" t="s">
        <v>3</v>
      </c>
      <c r="D24" s="25">
        <v>10</v>
      </c>
      <c r="E24" s="24">
        <v>6.4935064935064929E-2</v>
      </c>
    </row>
    <row r="25" spans="2:6" ht="15" customHeight="1">
      <c r="B25" s="74" t="s">
        <v>4</v>
      </c>
      <c r="C25" s="29" t="s">
        <v>36</v>
      </c>
      <c r="D25" s="28">
        <v>14</v>
      </c>
      <c r="E25" s="27">
        <v>9.0909090909090912E-2</v>
      </c>
    </row>
    <row r="26" spans="2:6" ht="15" customHeight="1">
      <c r="B26" s="75"/>
      <c r="C26" s="29" t="s">
        <v>35</v>
      </c>
      <c r="D26" s="28">
        <v>2</v>
      </c>
      <c r="E26" s="27">
        <v>1.2987012987012988E-2</v>
      </c>
    </row>
    <row r="27" spans="2:6" ht="15" customHeight="1">
      <c r="B27" s="76"/>
      <c r="C27" s="26" t="s">
        <v>3</v>
      </c>
      <c r="D27" s="25">
        <v>16</v>
      </c>
      <c r="E27" s="24">
        <v>0.1038961038961039</v>
      </c>
    </row>
    <row r="28" spans="2:6" ht="15" customHeight="1">
      <c r="B28" s="74" t="s">
        <v>58</v>
      </c>
      <c r="C28" s="29" t="s">
        <v>36</v>
      </c>
      <c r="D28" s="28">
        <v>1</v>
      </c>
      <c r="E28" s="27">
        <v>6.4935064935064939E-3</v>
      </c>
    </row>
    <row r="29" spans="2:6" ht="15" customHeight="1">
      <c r="B29" s="76"/>
      <c r="C29" s="26" t="s">
        <v>3</v>
      </c>
      <c r="D29" s="25">
        <v>1</v>
      </c>
      <c r="E29" s="24">
        <v>6.4935064935064939E-3</v>
      </c>
    </row>
    <row r="30" spans="2:6" ht="15" customHeight="1">
      <c r="B30" s="74" t="s">
        <v>12</v>
      </c>
      <c r="C30" s="29" t="s">
        <v>36</v>
      </c>
      <c r="D30" s="28">
        <v>28</v>
      </c>
      <c r="E30" s="27">
        <v>0.18181818181818182</v>
      </c>
    </row>
    <row r="31" spans="2:6" ht="15" customHeight="1">
      <c r="B31" s="75"/>
      <c r="C31" s="29" t="s">
        <v>35</v>
      </c>
      <c r="D31" s="28">
        <v>7</v>
      </c>
      <c r="E31" s="27">
        <v>4.5454545454545456E-2</v>
      </c>
      <c r="F31" s="1"/>
    </row>
    <row r="32" spans="2:6" ht="15" customHeight="1">
      <c r="B32" s="76"/>
      <c r="C32" s="26" t="s">
        <v>3</v>
      </c>
      <c r="D32" s="25">
        <v>35</v>
      </c>
      <c r="E32" s="24">
        <v>0.22727272727272727</v>
      </c>
      <c r="F32" s="1"/>
    </row>
    <row r="33" spans="2:6" ht="15" customHeight="1">
      <c r="B33" s="74" t="s">
        <v>10</v>
      </c>
      <c r="C33" s="29" t="s">
        <v>36</v>
      </c>
      <c r="D33" s="28">
        <v>28</v>
      </c>
      <c r="E33" s="27">
        <v>0.18181818181818182</v>
      </c>
      <c r="F33" s="1"/>
    </row>
    <row r="34" spans="2:6" ht="15" customHeight="1">
      <c r="B34" s="75"/>
      <c r="C34" s="29" t="s">
        <v>35</v>
      </c>
      <c r="D34" s="28">
        <v>3</v>
      </c>
      <c r="E34" s="27">
        <v>1.948051948051948E-2</v>
      </c>
      <c r="F34" s="1"/>
    </row>
    <row r="35" spans="2:6" ht="15" customHeight="1">
      <c r="B35" s="76"/>
      <c r="C35" s="26" t="s">
        <v>3</v>
      </c>
      <c r="D35" s="25">
        <v>31</v>
      </c>
      <c r="E35" s="24">
        <v>0.20129870129870131</v>
      </c>
      <c r="F35" s="1"/>
    </row>
    <row r="36" spans="2:6" ht="15" customHeight="1">
      <c r="B36" s="78" t="s">
        <v>3</v>
      </c>
      <c r="C36" s="79"/>
      <c r="D36" s="61">
        <f>SUMIF(C10:C35,"TOTAL",D10:D35)</f>
        <v>154</v>
      </c>
      <c r="E36" s="62">
        <v>1</v>
      </c>
    </row>
    <row r="38" spans="2:6" ht="15" customHeight="1">
      <c r="B38" s="3" t="s">
        <v>64</v>
      </c>
    </row>
    <row r="39" spans="2:6" ht="15" customHeight="1">
      <c r="B39" s="5" t="s">
        <v>2</v>
      </c>
    </row>
    <row r="40" spans="2:6" ht="15" customHeight="1">
      <c r="B40" s="4" t="s">
        <v>1</v>
      </c>
    </row>
    <row r="41" spans="2:6" ht="15" customHeight="1">
      <c r="B41" s="3" t="s">
        <v>0</v>
      </c>
    </row>
    <row r="42" spans="2:6" ht="15" customHeight="1">
      <c r="B42" s="3" t="s">
        <v>65</v>
      </c>
    </row>
    <row r="377" spans="2:2" s="21" customFormat="1" ht="15" customHeight="1">
      <c r="B377" s="22"/>
    </row>
    <row r="378" spans="2:2" s="21" customFormat="1" ht="15" customHeight="1">
      <c r="B378" s="23"/>
    </row>
    <row r="379" spans="2:2" s="21" customFormat="1" ht="15" customHeight="1">
      <c r="B379" s="23"/>
    </row>
    <row r="380" spans="2:2" s="21" customFormat="1" ht="15" customHeight="1">
      <c r="B380" s="22"/>
    </row>
    <row r="381" spans="2:2" s="21" customFormat="1" ht="15" customHeight="1">
      <c r="B381" s="22"/>
    </row>
  </sheetData>
  <mergeCells count="12">
    <mergeCell ref="B30:B32"/>
    <mergeCell ref="B33:B35"/>
    <mergeCell ref="B36:C36"/>
    <mergeCell ref="B7:E8"/>
    <mergeCell ref="B13:B15"/>
    <mergeCell ref="B16:B17"/>
    <mergeCell ref="B18:B20"/>
    <mergeCell ref="B21:B22"/>
    <mergeCell ref="B23:B24"/>
    <mergeCell ref="B25:B27"/>
    <mergeCell ref="B28:B29"/>
    <mergeCell ref="B10:B1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9"/>
  <sheetViews>
    <sheetView showGridLines="0" topLeftCell="A10" zoomScaleNormal="100" zoomScaleSheetLayoutView="100" workbookViewId="0">
      <selection activeCell="B10" sqref="B10:B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34</v>
      </c>
      <c r="C9" s="33" t="s">
        <v>40</v>
      </c>
      <c r="D9" s="32" t="s">
        <v>14</v>
      </c>
      <c r="E9" s="31" t="s">
        <v>13</v>
      </c>
    </row>
    <row r="10" spans="1:5" ht="15" customHeight="1">
      <c r="B10" s="74" t="s">
        <v>36</v>
      </c>
      <c r="C10" s="29" t="s">
        <v>39</v>
      </c>
      <c r="D10" s="28">
        <v>63</v>
      </c>
      <c r="E10" s="27">
        <v>0.40909090909090912</v>
      </c>
    </row>
    <row r="11" spans="1:5" ht="15" customHeight="1">
      <c r="B11" s="75"/>
      <c r="C11" s="29" t="s">
        <v>38</v>
      </c>
      <c r="D11" s="28">
        <v>43</v>
      </c>
      <c r="E11" s="27">
        <v>0.2792207792207792</v>
      </c>
    </row>
    <row r="12" spans="1:5" ht="15" customHeight="1">
      <c r="B12" s="75"/>
      <c r="C12" s="29" t="s">
        <v>37</v>
      </c>
      <c r="D12" s="28">
        <v>23</v>
      </c>
      <c r="E12" s="27">
        <v>0.14935064935064934</v>
      </c>
    </row>
    <row r="13" spans="1:5" ht="15" customHeight="1">
      <c r="B13" s="76"/>
      <c r="C13" s="29" t="s">
        <v>115</v>
      </c>
      <c r="D13" s="28">
        <v>7</v>
      </c>
      <c r="E13" s="27">
        <v>4.5454545454545456E-2</v>
      </c>
    </row>
    <row r="14" spans="1:5" ht="15" customHeight="1">
      <c r="B14" s="74" t="s">
        <v>35</v>
      </c>
      <c r="C14" s="29" t="s">
        <v>39</v>
      </c>
      <c r="D14" s="28">
        <v>9</v>
      </c>
      <c r="E14" s="27">
        <v>5.844155844155844E-2</v>
      </c>
    </row>
    <row r="15" spans="1:5" ht="15" customHeight="1">
      <c r="B15" s="75"/>
      <c r="C15" s="29" t="s">
        <v>38</v>
      </c>
      <c r="D15" s="28">
        <v>5</v>
      </c>
      <c r="E15" s="27">
        <v>3.2467532467532464E-2</v>
      </c>
    </row>
    <row r="16" spans="1:5" ht="15" customHeight="1">
      <c r="B16" s="75"/>
      <c r="C16" s="29" t="s">
        <v>37</v>
      </c>
      <c r="D16" s="28">
        <v>1</v>
      </c>
      <c r="E16" s="27">
        <v>6.4935064935064939E-3</v>
      </c>
    </row>
    <row r="17" spans="2:6" ht="15" customHeight="1">
      <c r="B17" s="76"/>
      <c r="C17" s="29" t="s">
        <v>115</v>
      </c>
      <c r="D17" s="28">
        <v>3</v>
      </c>
      <c r="E17" s="27">
        <v>1.948051948051948E-2</v>
      </c>
      <c r="F17" s="1"/>
    </row>
    <row r="18" spans="2:6" ht="15" customHeight="1">
      <c r="B18" s="78" t="s">
        <v>3</v>
      </c>
      <c r="C18" s="79"/>
      <c r="D18" s="61">
        <v>154</v>
      </c>
      <c r="E18" s="62">
        <v>1</v>
      </c>
      <c r="F18" s="1"/>
    </row>
    <row r="19" spans="2:6" ht="15" customHeight="1">
      <c r="B19" s="3"/>
      <c r="C19" s="30"/>
      <c r="D19" s="30"/>
      <c r="E19" s="30"/>
      <c r="F19" s="1"/>
    </row>
    <row r="20" spans="2:6" ht="15" customHeight="1">
      <c r="B20" s="3" t="s">
        <v>64</v>
      </c>
      <c r="F20" s="1"/>
    </row>
    <row r="21" spans="2:6" ht="15" customHeight="1">
      <c r="B21" s="5" t="s">
        <v>2</v>
      </c>
      <c r="F21" s="1"/>
    </row>
    <row r="22" spans="2:6" ht="15" customHeight="1">
      <c r="B22" s="4" t="s">
        <v>1</v>
      </c>
    </row>
    <row r="23" spans="2:6" ht="15" customHeight="1">
      <c r="B23" s="3" t="s">
        <v>0</v>
      </c>
    </row>
    <row r="24" spans="2:6" ht="15" customHeight="1">
      <c r="B24" s="3" t="s">
        <v>65</v>
      </c>
    </row>
    <row r="465" spans="2:2" s="21" customFormat="1" ht="15" customHeight="1">
      <c r="B465" s="22"/>
    </row>
    <row r="466" spans="2:2" s="21" customFormat="1" ht="15" customHeight="1">
      <c r="B466" s="23"/>
    </row>
    <row r="467" spans="2:2" s="21" customFormat="1" ht="15" customHeight="1">
      <c r="B467" s="23"/>
    </row>
    <row r="468" spans="2:2" s="21" customFormat="1" ht="15" customHeight="1">
      <c r="B468" s="22"/>
    </row>
    <row r="469" spans="2:2" s="21" customFormat="1" ht="15" customHeight="1">
      <c r="B469" s="22"/>
    </row>
  </sheetData>
  <mergeCells count="4">
    <mergeCell ref="B18:C18"/>
    <mergeCell ref="B7:E8"/>
    <mergeCell ref="B10:B13"/>
    <mergeCell ref="B14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5"/>
  <sheetViews>
    <sheetView showGridLines="0" zoomScaleNormal="100" zoomScaleSheetLayoutView="115" workbookViewId="0">
      <selection activeCell="D12" sqref="D1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116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45</v>
      </c>
      <c r="C11" s="15" t="s">
        <v>14</v>
      </c>
      <c r="D11" s="14" t="s">
        <v>13</v>
      </c>
    </row>
    <row r="12" spans="1:5">
      <c r="B12" s="11" t="s">
        <v>44</v>
      </c>
      <c r="C12" s="10">
        <v>134</v>
      </c>
      <c r="D12" s="9">
        <v>0.87012987012987009</v>
      </c>
    </row>
    <row r="13" spans="1:5">
      <c r="B13" s="11" t="s">
        <v>43</v>
      </c>
      <c r="C13" s="10">
        <v>10</v>
      </c>
      <c r="D13" s="9">
        <v>6.4935064935064929E-2</v>
      </c>
    </row>
    <row r="14" spans="1:5">
      <c r="A14" s="12"/>
      <c r="B14" s="11" t="s">
        <v>42</v>
      </c>
      <c r="C14" s="10">
        <v>4</v>
      </c>
      <c r="D14" s="9">
        <v>2.5974025974025976E-2</v>
      </c>
      <c r="E14" s="12"/>
    </row>
    <row r="15" spans="1:5">
      <c r="A15" s="12"/>
      <c r="B15" s="11" t="s">
        <v>117</v>
      </c>
      <c r="C15" s="10">
        <v>3</v>
      </c>
      <c r="D15" s="9">
        <v>1.948051948051948E-2</v>
      </c>
      <c r="E15" s="12"/>
    </row>
    <row r="16" spans="1:5">
      <c r="B16" s="11" t="s">
        <v>118</v>
      </c>
      <c r="C16" s="10">
        <v>1</v>
      </c>
      <c r="D16" s="9">
        <v>6.4935064935064939E-3</v>
      </c>
    </row>
    <row r="17" spans="2:4">
      <c r="B17" s="11" t="s">
        <v>41</v>
      </c>
      <c r="C17" s="10">
        <v>1</v>
      </c>
      <c r="D17" s="9">
        <v>6.4935064935064939E-3</v>
      </c>
    </row>
    <row r="18" spans="2:4">
      <c r="B18" s="11" t="s">
        <v>119</v>
      </c>
      <c r="C18" s="10">
        <v>1</v>
      </c>
      <c r="D18" s="9">
        <v>6.4935064935064939E-3</v>
      </c>
    </row>
    <row r="19" spans="2:4">
      <c r="B19" s="8" t="s">
        <v>3</v>
      </c>
      <c r="C19" s="7">
        <v>154</v>
      </c>
      <c r="D19" s="6">
        <v>1</v>
      </c>
    </row>
    <row r="21" spans="2:4">
      <c r="B21" s="3" t="s">
        <v>64</v>
      </c>
    </row>
    <row r="22" spans="2:4">
      <c r="B22" s="5" t="s">
        <v>2</v>
      </c>
    </row>
    <row r="23" spans="2:4">
      <c r="B23" s="4" t="s">
        <v>1</v>
      </c>
    </row>
    <row r="24" spans="2:4">
      <c r="B24" s="3" t="s">
        <v>0</v>
      </c>
    </row>
    <row r="25" spans="2:4">
      <c r="B25" s="3" t="s">
        <v>65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Vermont_Edomexgral</vt:lpstr>
      <vt:lpstr>Vermont_EDOMEX</vt:lpstr>
      <vt:lpstr>Vermont_Educagral</vt:lpstr>
      <vt:lpstr>Vermont_Eduedo</vt:lpstr>
      <vt:lpstr>Vermont_gengral</vt:lpstr>
      <vt:lpstr>Vermont_edomexgen</vt:lpstr>
      <vt:lpstr>Vermont_edadgen</vt:lpstr>
      <vt:lpstr>Vermont_ocupgral</vt:lpstr>
      <vt:lpstr>Índice!Área_de_impresión</vt:lpstr>
      <vt:lpstr>Vermont_edadgen!Área_de_impresión</vt:lpstr>
      <vt:lpstr>Vermont_EDOMEX!Área_de_impresión</vt:lpstr>
      <vt:lpstr>Vermont_edomexgen!Área_de_impresión</vt:lpstr>
      <vt:lpstr>Vermont_Eduedo!Área_de_impresión</vt:lpstr>
      <vt:lpstr>Vermont_edadgen!Títulos_a_imprimir</vt:lpstr>
      <vt:lpstr>Vermont_EDOMEX!Títulos_a_imprimir</vt:lpstr>
      <vt:lpstr>Vermont_edomexgen!Títulos_a_imprimir</vt:lpstr>
      <vt:lpstr>Vermont_Edomexgral!Títulos_a_imprimir</vt:lpstr>
      <vt:lpstr>Vermont_Educagral!Títulos_a_imprimir</vt:lpstr>
      <vt:lpstr>Vermont_Eduedo!Títulos_a_imprimir</vt:lpstr>
      <vt:lpstr>Vermont_gengral!Títulos_a_imprimir</vt:lpstr>
      <vt:lpstr>Vermont_ocupgral!Títulos_a_imprimir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2020-05-18T09:27:24Z</dcterms:created>
  <dcterms:modified xsi:type="dcterms:W3CDTF">2022-08-08T19:01:20Z</dcterms:modified>
</cp:coreProperties>
</file>