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USA\Finales_USA\"/>
    </mc:Choice>
  </mc:AlternateContent>
  <bookViews>
    <workbookView xWindow="0" yWindow="0" windowWidth="24000" windowHeight="9735" tabRatio="805"/>
  </bookViews>
  <sheets>
    <sheet name="Índice" sheetId="10" r:id="rId1"/>
    <sheet name="Rhode Island_Edomexgral" sheetId="2" r:id="rId2"/>
    <sheet name="Rhode Island_EDOMEX" sheetId="12" r:id="rId3"/>
    <sheet name="Rhode Island_Educagral" sheetId="4" r:id="rId4"/>
    <sheet name="Rhode Island_Eduedo" sheetId="11" r:id="rId5"/>
    <sheet name="Rhode Island_gengral" sheetId="6" r:id="rId6"/>
    <sheet name="Rhode Island_edomexgen" sheetId="7" r:id="rId7"/>
    <sheet name="Rhode Island_edadgen" sheetId="8" r:id="rId8"/>
    <sheet name="Rhode Island_ocupgral" sheetId="9" r:id="rId9"/>
  </sheets>
  <definedNames>
    <definedName name="_xlnm._FilterDatabase" localSheetId="7" hidden="1">'Rhode Island_edadgen'!$B$9:$E$9</definedName>
    <definedName name="_xlnm._FilterDatabase" localSheetId="2" hidden="1">'Rhode Island_EDOMEX'!$B$9:$E$9</definedName>
    <definedName name="_xlnm._FilterDatabase" localSheetId="6" hidden="1">'Rhode Island_edomexgen'!$B$9:$E$9</definedName>
    <definedName name="_xlnm._FilterDatabase" localSheetId="1" hidden="1">'Rhode Island_Edomexgral'!$B$11:$D$11</definedName>
    <definedName name="_xlnm._FilterDatabase" localSheetId="3" hidden="1">'Rhode Island_Educagral'!$B$11:$D$11</definedName>
    <definedName name="_xlnm._FilterDatabase" localSheetId="4" hidden="1">'Rhode Island_Eduedo'!$B$9:$E$9</definedName>
    <definedName name="_xlnm._FilterDatabase" localSheetId="5" hidden="1">'Rhode Island_gengral'!$B$11:$D$11</definedName>
    <definedName name="_xlnm._FilterDatabase" localSheetId="8" hidden="1">'Rhode Island_ocupgral'!$B$11:$D$11</definedName>
    <definedName name="_xlnm.Print_Area" localSheetId="7">'Rhode Island_edadgen'!$A$1:$E$9</definedName>
    <definedName name="_xlnm.Print_Area" localSheetId="2">'Rhode Island_EDOMEX'!$A$1:$E$9</definedName>
    <definedName name="_xlnm.Print_Area" localSheetId="6">'Rhode Island_edomexgen'!$A$1:$E$9</definedName>
    <definedName name="_xlnm.Print_Area" localSheetId="4">'Rhode Island_Eduedo'!$A$1:$E$9</definedName>
    <definedName name="_xlnm.Print_Titles" localSheetId="7">'Rhode Island_edadgen'!$1:$9</definedName>
    <definedName name="_xlnm.Print_Titles" localSheetId="2">'Rhode Island_EDOMEX'!$1:$9</definedName>
    <definedName name="_xlnm.Print_Titles" localSheetId="6">'Rhode Island_edomexgen'!$1:$9</definedName>
    <definedName name="_xlnm.Print_Titles" localSheetId="1">'Rhode Island_Edomexgral'!$1:$11</definedName>
    <definedName name="_xlnm.Print_Titles" localSheetId="3">'Rhode Island_Educagral'!$1:$11</definedName>
    <definedName name="_xlnm.Print_Titles" localSheetId="4">'Rhode Island_Eduedo'!$1:$9</definedName>
    <definedName name="_xlnm.Print_Titles" localSheetId="5">'Rhode Island_gengral'!$1:$11</definedName>
    <definedName name="_xlnm.Print_Titles" localSheetId="8">'Rhode Island_ocupgral'!$1:$11</definedName>
  </definedNames>
  <calcPr calcId="152511"/>
</workbook>
</file>

<file path=xl/calcChain.xml><?xml version="1.0" encoding="utf-8"?>
<calcChain xmlns="http://schemas.openxmlformats.org/spreadsheetml/2006/main">
  <c r="D75" i="7" l="1"/>
  <c r="D159" i="12" l="1"/>
</calcChain>
</file>

<file path=xl/sharedStrings.xml><?xml version="1.0" encoding="utf-8"?>
<sst xmlns="http://schemas.openxmlformats.org/spreadsheetml/2006/main" count="565" uniqueCount="220">
  <si>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</si>
  <si>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</si>
  <si>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</si>
  <si>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</si>
  <si>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Yucatán</t>
  </si>
  <si>
    <t>Tabasco</t>
  </si>
  <si>
    <t>Sonora</t>
  </si>
  <si>
    <t>Nuevo León</t>
  </si>
  <si>
    <t>Guanajuato</t>
  </si>
  <si>
    <t>Tamaulipas</t>
  </si>
  <si>
    <t>San Luis Potosí</t>
  </si>
  <si>
    <t>Oaxaca</t>
  </si>
  <si>
    <t>Jalisco</t>
  </si>
  <si>
    <t>Estado de México</t>
  </si>
  <si>
    <t>Querétaro</t>
  </si>
  <si>
    <t>Chiapas</t>
  </si>
  <si>
    <t>Michoacán</t>
  </si>
  <si>
    <t>Veracruz</t>
  </si>
  <si>
    <t>Puebla</t>
  </si>
  <si>
    <t>Ciudad de México</t>
  </si>
  <si>
    <t>Guerrero</t>
  </si>
  <si>
    <t>Hidalgo</t>
  </si>
  <si>
    <t>Porcentaje de Matrículas</t>
  </si>
  <si>
    <t>Número de Matrículas</t>
  </si>
  <si>
    <t>Estado de Origen</t>
  </si>
  <si>
    <t>Xalapa</t>
  </si>
  <si>
    <t>Huatusco</t>
  </si>
  <si>
    <t>Tampico</t>
  </si>
  <si>
    <t>Landa de Matamoros</t>
  </si>
  <si>
    <t>Huaquechula</t>
  </si>
  <si>
    <t>Atlixco</t>
  </si>
  <si>
    <t>Monterrey</t>
  </si>
  <si>
    <t>Tuzantla</t>
  </si>
  <si>
    <t>Morelia</t>
  </si>
  <si>
    <t>Unión de Tula</t>
  </si>
  <si>
    <t>Ixmiquilpan</t>
  </si>
  <si>
    <t>Chapantongo</t>
  </si>
  <si>
    <t>Alfajayucan</t>
  </si>
  <si>
    <t>Tecoanapa</t>
  </si>
  <si>
    <t>San Luis Acatlán</t>
  </si>
  <si>
    <t>Zihuatanejo de Azueta</t>
  </si>
  <si>
    <t>Azoyú</t>
  </si>
  <si>
    <t>Ayutla de los Libres</t>
  </si>
  <si>
    <t>Acapulco de Juárez</t>
  </si>
  <si>
    <t>Nezahualcóyotl</t>
  </si>
  <si>
    <t>Iztapalapa</t>
  </si>
  <si>
    <t>Gustavo A. Madero</t>
  </si>
  <si>
    <t>Municipio Origen</t>
  </si>
  <si>
    <t>Profesional Titulado</t>
  </si>
  <si>
    <t>Profesional pasante</t>
  </si>
  <si>
    <t>Preparatoria con certificado</t>
  </si>
  <si>
    <t>Preparatoria sin certificado</t>
  </si>
  <si>
    <t>Secundaria con certificado</t>
  </si>
  <si>
    <t>3° Secundaria</t>
  </si>
  <si>
    <t>1° Secundaria</t>
  </si>
  <si>
    <t>Primaria con certificado</t>
  </si>
  <si>
    <t>6° Primaria</t>
  </si>
  <si>
    <t>5° Primaria</t>
  </si>
  <si>
    <t>Sin Estudios</t>
  </si>
  <si>
    <t>Nivel de Estudios</t>
  </si>
  <si>
    <t>MATRÍCULAS CONSULARES EXPEDIDAS EN EL ESTADO DE RHODE ISLAND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</si>
  <si>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</si>
  <si>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</si>
  <si>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</si>
  <si>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</si>
  <si>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</si>
  <si>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</si>
  <si>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</si>
  <si>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</si>
  <si>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</si>
  <si>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</si>
  <si>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</si>
  <si>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</si>
  <si>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Otro</t>
  </si>
  <si>
    <t>Estudiante</t>
  </si>
  <si>
    <t>Obrero(a)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</si>
  <si>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</si>
  <si>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</si>
  <si>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</si>
  <si>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</si>
  <si>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</si>
  <si>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</si>
  <si>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</si>
  <si>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</si>
  <si>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</si>
  <si>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</si>
  <si>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</si>
  <si>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</si>
  <si>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</si>
  <si>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</si>
  <si>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</si>
  <si>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Profesional titulado</t>
  </si>
  <si>
    <t xml:space="preserve"> </t>
  </si>
  <si>
    <t>Morelos</t>
  </si>
  <si>
    <t>Chihuahua</t>
  </si>
  <si>
    <t>Sinaloa</t>
  </si>
  <si>
    <t>Baja California</t>
  </si>
  <si>
    <t>Campeche</t>
  </si>
  <si>
    <t>Coahuila</t>
  </si>
  <si>
    <t>Colima</t>
  </si>
  <si>
    <t>Atizapán de Zaragoza</t>
  </si>
  <si>
    <t>Huitzuco de los Figueroa</t>
  </si>
  <si>
    <t>Cardonal</t>
  </si>
  <si>
    <t>Guadalajara</t>
  </si>
  <si>
    <t>Cuautla</t>
  </si>
  <si>
    <t>Chietla</t>
  </si>
  <si>
    <t>Piaxtla</t>
  </si>
  <si>
    <t>Tepeojuma</t>
  </si>
  <si>
    <t>Salinas</t>
  </si>
  <si>
    <t>Tlalixcoyan</t>
  </si>
  <si>
    <t>1° Primaria</t>
  </si>
  <si>
    <t>3° Primaria</t>
  </si>
  <si>
    <t>Posgrado [Maestría]</t>
  </si>
  <si>
    <t>Cocinero(a)</t>
  </si>
  <si>
    <t>Campesino(a)</t>
  </si>
  <si>
    <t>MATRÍCULAS CONSULARES DE ALTA SEGURIDAD EXPEDIDAS EN EL ESTADO DE RHODE ISLAND EN EE.UU. POR ESTADO DE LA REPÚBLICA MEXICANA DURANTE EL 2021</t>
  </si>
  <si>
    <t>Tamaño de la muestra: 701,861</t>
  </si>
  <si>
    <t>Mayo de 2022</t>
  </si>
  <si>
    <t>Tijuana</t>
  </si>
  <si>
    <t>Champotón</t>
  </si>
  <si>
    <t>Coapilla</t>
  </si>
  <si>
    <t>Huehuetán</t>
  </si>
  <si>
    <t>Villa Comaltitlán</t>
  </si>
  <si>
    <t>Rosales</t>
  </si>
  <si>
    <t>Torreón</t>
  </si>
  <si>
    <t>Zaragoza</t>
  </si>
  <si>
    <t>Manzanillo</t>
  </si>
  <si>
    <t>Álvaro Obregón</t>
  </si>
  <si>
    <t>Benito Juárez</t>
  </si>
  <si>
    <t>Cuauhtémoc</t>
  </si>
  <si>
    <t>Iztacalco</t>
  </si>
  <si>
    <t>La Magdalena Contreras</t>
  </si>
  <si>
    <t>Miguel Hidalgo</t>
  </si>
  <si>
    <t>Tláhuac</t>
  </si>
  <si>
    <t>Venustiano Carranza</t>
  </si>
  <si>
    <t>Aculco</t>
  </si>
  <si>
    <t>Ixtapan de la Sal</t>
  </si>
  <si>
    <t>Ixtlahuaca</t>
  </si>
  <si>
    <t>Jiquipilco</t>
  </si>
  <si>
    <t>Tecámac</t>
  </si>
  <si>
    <t>Tenancingo</t>
  </si>
  <si>
    <t>Abasolo</t>
  </si>
  <si>
    <t>Apaseo el Alto</t>
  </si>
  <si>
    <t>León</t>
  </si>
  <si>
    <t>Salamanca</t>
  </si>
  <si>
    <t>Acatepec</t>
  </si>
  <si>
    <t>Alpoyeca</t>
  </si>
  <si>
    <t>Atlixtac</t>
  </si>
  <si>
    <t>Florencio Villarreal</t>
  </si>
  <si>
    <t>Iguala de la Independencia</t>
  </si>
  <si>
    <t>Ometepec</t>
  </si>
  <si>
    <t>San Marcos</t>
  </si>
  <si>
    <t>Tepecoacuilco de Trujano</t>
  </si>
  <si>
    <t>Tlapa de Comonfort</t>
  </si>
  <si>
    <t>Acatlán</t>
  </si>
  <si>
    <t>Atotonilco de Tula</t>
  </si>
  <si>
    <t>Chapulhuacán</t>
  </si>
  <si>
    <t>Chilcuautla</t>
  </si>
  <si>
    <t>Nopala de Villagrán</t>
  </si>
  <si>
    <t>Tepeapulco</t>
  </si>
  <si>
    <t>Tepehuacán de Guerrero</t>
  </si>
  <si>
    <t>Tlahuelilpan</t>
  </si>
  <si>
    <t>Tlahuiltepa</t>
  </si>
  <si>
    <t>Zimapán</t>
  </si>
  <si>
    <t>Ocotlán</t>
  </si>
  <si>
    <t>Puerto Vallarta</t>
  </si>
  <si>
    <t>Tizapán el Alto</t>
  </si>
  <si>
    <t>Zapopan</t>
  </si>
  <si>
    <t>Aguililla</t>
  </si>
  <si>
    <t>Arteaga</t>
  </si>
  <si>
    <t>Lázaro Cárdenas</t>
  </si>
  <si>
    <t>Tarímbaro</t>
  </si>
  <si>
    <t>Tuxpan</t>
  </si>
  <si>
    <t>Zitácuaro</t>
  </si>
  <si>
    <t>Tlaquiltenango</t>
  </si>
  <si>
    <t>Coatecas Altas</t>
  </si>
  <si>
    <t>Santa Cruz Itundujia</t>
  </si>
  <si>
    <t>Villa de Tututepec de Melchor Ocampo</t>
  </si>
  <si>
    <t>Zapotitlán Lagunas</t>
  </si>
  <si>
    <t>Acajete</t>
  </si>
  <si>
    <t>Cuayuca de Andrade</t>
  </si>
  <si>
    <t>Huejotzingo</t>
  </si>
  <si>
    <t>Izúcar de Matamoros</t>
  </si>
  <si>
    <t>San Nicolás de los Ranchos</t>
  </si>
  <si>
    <t>San Pedro Cholula</t>
  </si>
  <si>
    <t>San Salvador Huixcolotla</t>
  </si>
  <si>
    <t>Tulcingo</t>
  </si>
  <si>
    <t>Ciudad Valles</t>
  </si>
  <si>
    <t>El Fuerte</t>
  </si>
  <si>
    <t>Guasave</t>
  </si>
  <si>
    <t>Aconchi</t>
  </si>
  <si>
    <t>Cárdenas</t>
  </si>
  <si>
    <t>Centro</t>
  </si>
  <si>
    <t>Ciudad Madero</t>
  </si>
  <si>
    <t>Angel R. Cabada</t>
  </si>
  <si>
    <t>Atoyac</t>
  </si>
  <si>
    <t>Coatzacoalcos</t>
  </si>
  <si>
    <t>Córdoba</t>
  </si>
  <si>
    <t>Ignacio de la Llave</t>
  </si>
  <si>
    <t>Minatitlán</t>
  </si>
  <si>
    <t>Papantla</t>
  </si>
  <si>
    <t>Tantoyuca</t>
  </si>
  <si>
    <t>Texcatepec</t>
  </si>
  <si>
    <t>Tezonapa</t>
  </si>
  <si>
    <t>Tlaltetela</t>
  </si>
  <si>
    <t>Mérida</t>
  </si>
  <si>
    <t>2° Primaria</t>
  </si>
  <si>
    <t>2° Secundaria</t>
  </si>
  <si>
    <t>Capacitación Técnica</t>
  </si>
  <si>
    <t>2° Año de profesional</t>
  </si>
  <si>
    <t>3° Año de profesional</t>
  </si>
  <si>
    <t>Capacitación técnica</t>
  </si>
  <si>
    <t>MATRÍCULAS CONSULARES DE ALTA SEGURIDAD EXPEDIDAS EN EE.UU A MEXICANOS EN EL ESTADO DE RHODE ISLAND, POR GÉNERO 2021</t>
  </si>
  <si>
    <t>Entre 66 y 75 Años</t>
  </si>
  <si>
    <t>Más de 75 Años</t>
  </si>
  <si>
    <t>MATRÍCULAS CONSULARES DE ALTA SEGURIDAD EXPEDIDAS EN EE.UU A MEXICANOS EN EL ESTADO DE  RHODE ISLAND, POR PERFIL OCUPACIONAL 2021</t>
  </si>
  <si>
    <t>Jardinero(a)</t>
  </si>
  <si>
    <t>Jubilado(a)</t>
  </si>
  <si>
    <t>Panadero(a)</t>
  </si>
  <si>
    <t>Matrículas consulares expedidas a mexicanos  en el estado de Rhode Island  en el 2021.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</si>
</sst>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3" fillId="0" borderId="0"/>
    <xf numFmtId="0" fontId="22" fillId="0" borderId="0" applyNumberFormat="0" applyFill="0" applyBorder="0" applyAlignment="0" applyProtection="0"/>
  </cellStyleXfs>
  <cellXfs count="80"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1" xfId="0" applyNumberFormat="1" applyFont="1" applyFill="1" applyBorder="1" applyAlignment="1">
      <alignment horizontal="right" vertical="top" wrapText="1"/>
    </xf>
    <xf numFmtId="3" fontId="5" fillId="4" borderId="1" xfId="0" applyNumberFormat="1" applyFont="1" applyFill="1" applyBorder="1" applyAlignment="1">
      <alignment horizontal="right" vertical="top" wrapText="1"/>
    </xf>
    <xf numFmtId="49" fontId="5" fillId="4" borderId="1" xfId="0" applyNumberFormat="1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horizontal="right" vertical="top" wrapText="1"/>
    </xf>
    <xf numFmtId="3" fontId="6" fillId="3" borderId="1" xfId="0" applyNumberFormat="1" applyFont="1" applyFill="1" applyBorder="1" applyAlignment="1">
      <alignment horizontal="right" vertical="top" wrapText="1"/>
    </xf>
    <xf numFmtId="49" fontId="7" fillId="3" borderId="1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2" xfId="0" applyFont="1" applyFill="1" applyBorder="1" applyAlignment="1">
      <alignment horizontal="center" vertical="center" wrapText="1"/>
    </xf>
    <xf numFmtId="1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0" borderId="0" xfId="0" applyFont="1" applyBorder="1"/>
    <xf numFmtId="0" fontId="14" fillId="0" borderId="0" xfId="0" applyFont="1" applyBorder="1" applyAlignment="1">
      <alignment vertical="top"/>
    </xf>
    <xf numFmtId="165" fontId="5" fillId="5" borderId="1" xfId="1" applyNumberFormat="1" applyFont="1" applyFill="1" applyBorder="1" applyAlignment="1">
      <alignment vertical="center" wrapText="1"/>
    </xf>
    <xf numFmtId="3" fontId="5" fillId="5" borderId="1" xfId="2" applyNumberFormat="1" applyFont="1" applyFill="1" applyBorder="1" applyAlignment="1">
      <alignment horizontal="right" vertical="center" wrapText="1"/>
    </xf>
    <xf numFmtId="49" fontId="5" fillId="5" borderId="1" xfId="2" applyNumberFormat="1" applyFont="1" applyFill="1" applyBorder="1" applyAlignment="1">
      <alignment vertical="center" wrapText="1"/>
    </xf>
    <xf numFmtId="164" fontId="15" fillId="3" borderId="1" xfId="2" applyNumberFormat="1" applyFont="1" applyFill="1" applyBorder="1" applyAlignment="1">
      <alignment horizontal="right" vertical="center" wrapText="1"/>
    </xf>
    <xf numFmtId="166" fontId="15" fillId="3" borderId="1" xfId="2" applyNumberFormat="1" applyFont="1" applyFill="1" applyBorder="1" applyAlignment="1">
      <alignment horizontal="right" vertical="center" wrapText="1"/>
    </xf>
    <xf numFmtId="49" fontId="15" fillId="3" borderId="1" xfId="2" applyNumberFormat="1" applyFont="1" applyFill="1" applyBorder="1" applyAlignment="1">
      <alignment vertical="center" wrapText="1"/>
    </xf>
    <xf numFmtId="0" fontId="16" fillId="3" borderId="0" xfId="0" applyFont="1" applyFill="1"/>
    <xf numFmtId="0" fontId="17" fillId="2" borderId="2" xfId="3" applyFont="1" applyFill="1" applyBorder="1" applyAlignment="1">
      <alignment horizontal="center" vertical="center" wrapText="1"/>
    </xf>
    <xf numFmtId="1" fontId="17" fillId="2" borderId="2" xfId="3" applyNumberFormat="1" applyFont="1" applyFill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3" fontId="8" fillId="3" borderId="0" xfId="0" applyNumberFormat="1" applyFont="1" applyFill="1"/>
    <xf numFmtId="0" fontId="20" fillId="0" borderId="0" xfId="0" applyFont="1"/>
    <xf numFmtId="0" fontId="21" fillId="0" borderId="11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12" xfId="0" applyFont="1" applyBorder="1" applyAlignment="1">
      <alignment horizontal="left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21" fillId="0" borderId="11" xfId="0" applyFont="1" applyBorder="1" applyAlignment="1"/>
    <xf numFmtId="0" fontId="21" fillId="0" borderId="0" xfId="0" applyFont="1" applyBorder="1" applyAlignment="1"/>
    <xf numFmtId="0" fontId="21" fillId="0" borderId="12" xfId="0" applyFont="1" applyBorder="1" applyAlignment="1"/>
    <xf numFmtId="0" fontId="21" fillId="0" borderId="11" xfId="0" applyFont="1" applyBorder="1"/>
    <xf numFmtId="0" fontId="21" fillId="0" borderId="0" xfId="0" applyFont="1" applyBorder="1"/>
    <xf numFmtId="0" fontId="21" fillId="0" borderId="12" xfId="0" applyFont="1" applyBorder="1"/>
    <xf numFmtId="0" fontId="21" fillId="0" borderId="13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0" xfId="0" applyFont="1"/>
    <xf numFmtId="3" fontId="5" fillId="4" borderId="1" xfId="0" applyNumberFormat="1" applyFont="1" applyFill="1" applyBorder="1" applyAlignment="1">
      <alignment horizontal="right" vertical="center" wrapText="1"/>
    </xf>
    <xf numFmtId="164" fontId="5" fillId="4" borderId="1" xfId="0" applyNumberFormat="1" applyFont="1" applyFill="1" applyBorder="1" applyAlignment="1">
      <alignment horizontal="right" vertical="center" wrapText="1"/>
    </xf>
    <xf numFmtId="0" fontId="14" fillId="0" borderId="0" xfId="0" applyFont="1" applyAlignment="1">
      <alignment horizontal="justify" vertical="center"/>
    </xf>
    <xf numFmtId="0" fontId="14" fillId="0" borderId="0" xfId="0" applyFont="1" applyAlignment="1">
      <alignment vertical="top"/>
    </xf>
    <xf numFmtId="0" fontId="23" fillId="0" borderId="0" xfId="4" applyFont="1" applyBorder="1" applyAlignment="1">
      <alignment horizontal="left"/>
    </xf>
    <xf numFmtId="0" fontId="23" fillId="0" borderId="12" xfId="4" applyFont="1" applyBorder="1" applyAlignment="1">
      <alignment horizontal="left"/>
    </xf>
    <xf numFmtId="0" fontId="23" fillId="0" borderId="11" xfId="4" applyFont="1" applyBorder="1" applyAlignment="1">
      <alignment horizontal="left"/>
    </xf>
    <xf numFmtId="0" fontId="19" fillId="2" borderId="8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0" fontId="19" fillId="2" borderId="10" xfId="0" applyFont="1" applyFill="1" applyBorder="1" applyAlignment="1">
      <alignment horizontal="center" wrapText="1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49" fontId="15" fillId="3" borderId="2" xfId="2" applyNumberFormat="1" applyFont="1" applyFill="1" applyBorder="1" applyAlignment="1">
      <alignment horizontal="center" vertical="center" wrapText="1"/>
    </xf>
    <xf numFmtId="49" fontId="15" fillId="3" borderId="7" xfId="2" applyNumberFormat="1" applyFont="1" applyFill="1" applyBorder="1" applyAlignment="1">
      <alignment horizontal="center" vertical="center" wrapText="1"/>
    </xf>
    <xf numFmtId="49" fontId="15" fillId="3" borderId="6" xfId="2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5" fillId="4" borderId="5" xfId="0" applyNumberFormat="1" applyFont="1" applyFill="1" applyBorder="1" applyAlignment="1">
      <alignment horizontal="center" vertical="center" wrapText="1"/>
    </xf>
    <xf numFmtId="49" fontId="5" fillId="4" borderId="4" xfId="0" applyNumberFormat="1" applyFont="1" applyFill="1" applyBorder="1" applyAlignment="1">
      <alignment horizontal="center" vertical="center" wrapText="1"/>
    </xf>
  </cellXfs>
  <cellStyles count="5">
    <cellStyle name="Hipervínculo" xfId="4" builtinId="8"/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504771</xdr:colOff>
      <xdr:row>1</xdr:row>
      <xdr:rowOff>200354</xdr:rowOff>
    </xdr:from>
    <xdr:to>
      <xdr:col>3</xdr:col>
      <xdr:colOff>1016868</xdr:colOff>
      <xdr:row>2</xdr:row>
      <xdr:rowOff>190830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28996" y="733754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819400" y="330461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RHODE ISLAND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597776</xdr:colOff>
      <xdr:row>7</xdr:row>
      <xdr:rowOff>164224</xdr:rowOff>
    </xdr:from>
    <xdr:to>
      <xdr:col>4</xdr:col>
      <xdr:colOff>1109873</xdr:colOff>
      <xdr:row>7</xdr:row>
      <xdr:rowOff>354725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36451" y="190729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942975</xdr:colOff>
      <xdr:row>8</xdr:row>
      <xdr:rowOff>228600</xdr:rowOff>
    </xdr:from>
    <xdr:to>
      <xdr:col>4</xdr:col>
      <xdr:colOff>273972</xdr:colOff>
      <xdr:row>9</xdr:row>
      <xdr:rowOff>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81550" y="19431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RHODE ISLAND, POR NIVEL DE EDUCACIÓN Y ESTADO DE LA REPÚBLICA, DURANTE EL 2021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124810</xdr:rowOff>
    </xdr:from>
    <xdr:to>
      <xdr:col>4</xdr:col>
      <xdr:colOff>1037614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6558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85725</xdr:rowOff>
    </xdr:from>
    <xdr:to>
      <xdr:col>5</xdr:col>
      <xdr:colOff>197772</xdr:colOff>
      <xdr:row>8</xdr:row>
      <xdr:rowOff>276226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8002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RHODE ISLAND,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650328</xdr:colOff>
      <xdr:row>7</xdr:row>
      <xdr:rowOff>105103</xdr:rowOff>
    </xdr:from>
    <xdr:to>
      <xdr:col>5</xdr:col>
      <xdr:colOff>39132</xdr:colOff>
      <xdr:row>7</xdr:row>
      <xdr:rowOff>295604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88018" y="184587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RHODE ISLAND,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7</xdr:row>
      <xdr:rowOff>85396</xdr:rowOff>
    </xdr:from>
    <xdr:to>
      <xdr:col>4</xdr:col>
      <xdr:colOff>1083597</xdr:colOff>
      <xdr:row>7</xdr:row>
      <xdr:rowOff>275897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9190" y="182617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180975</xdr:rowOff>
    </xdr:from>
    <xdr:to>
      <xdr:col>5</xdr:col>
      <xdr:colOff>73947</xdr:colOff>
      <xdr:row>8</xdr:row>
      <xdr:rowOff>371476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8954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43" customWidth="1"/>
    <col min="2" max="2" width="20" style="43" customWidth="1"/>
    <col min="3" max="3" width="24.7109375" style="43" customWidth="1"/>
    <col min="4" max="4" width="28.85546875" style="43" customWidth="1"/>
    <col min="5" max="16384" width="11.42578125" style="43"/>
  </cols>
  <sheetData>
    <row r="1" spans="1:4" ht="42" customHeight="1" thickBot="1">
      <c r="A1" s="67" t="s">
        <v>219</v>
      </c>
      <c r="B1" s="68"/>
      <c r="C1" s="68"/>
      <c r="D1" s="69"/>
    </row>
    <row r="2" spans="1:4" ht="18.75">
      <c r="A2" s="44"/>
      <c r="B2" s="45"/>
      <c r="C2" s="45"/>
      <c r="D2" s="46"/>
    </row>
    <row r="3" spans="1:4">
      <c r="A3" s="70" t="s">
        <v>79</v>
      </c>
      <c r="B3" s="71"/>
      <c r="C3" s="71"/>
      <c r="D3" s="72"/>
    </row>
    <row r="4" spans="1:4">
      <c r="A4" s="70"/>
      <c r="B4" s="71"/>
      <c r="C4" s="71"/>
      <c r="D4" s="72"/>
    </row>
    <row r="5" spans="1:4" ht="18.75">
      <c r="A5" s="47"/>
      <c r="B5" s="48"/>
      <c r="C5" s="48"/>
      <c r="D5" s="49"/>
    </row>
    <row r="6" spans="1:4" ht="18.75">
      <c r="A6" s="66" t="s">
        <v>80</v>
      </c>
      <c r="B6" s="64"/>
      <c r="C6" s="64"/>
      <c r="D6" s="65"/>
    </row>
    <row r="7" spans="1:4" ht="18.75">
      <c r="A7" s="50"/>
      <c r="B7" s="51"/>
      <c r="C7" s="51"/>
      <c r="D7" s="52"/>
    </row>
    <row r="8" spans="1:4" ht="18.75">
      <c r="A8" s="53" t="s">
        <v>81</v>
      </c>
      <c r="B8" s="54"/>
      <c r="C8" s="54"/>
      <c r="D8" s="55"/>
    </row>
    <row r="9" spans="1:4" ht="18.75">
      <c r="A9" s="53"/>
      <c r="B9" s="64" t="s">
        <v>82</v>
      </c>
      <c r="C9" s="64"/>
      <c r="D9" s="65"/>
    </row>
    <row r="10" spans="1:4" ht="18.75">
      <c r="A10" s="53" t="s">
        <v>83</v>
      </c>
      <c r="B10" s="54"/>
      <c r="C10" s="54"/>
      <c r="D10" s="55"/>
    </row>
    <row r="11" spans="1:4" ht="18.75">
      <c r="A11" s="53"/>
      <c r="B11" s="64" t="s">
        <v>84</v>
      </c>
      <c r="C11" s="64"/>
      <c r="D11" s="65"/>
    </row>
    <row r="12" spans="1:4" ht="18.75">
      <c r="A12" s="53"/>
      <c r="B12" s="64" t="s">
        <v>85</v>
      </c>
      <c r="C12" s="64"/>
      <c r="D12" s="65"/>
    </row>
    <row r="13" spans="1:4" ht="18.75">
      <c r="A13" s="53"/>
      <c r="B13" s="54"/>
      <c r="C13" s="54"/>
      <c r="D13" s="55"/>
    </row>
    <row r="14" spans="1:4" ht="18.75">
      <c r="A14" s="53" t="s">
        <v>86</v>
      </c>
      <c r="B14" s="54"/>
      <c r="C14" s="54"/>
      <c r="D14" s="55"/>
    </row>
    <row r="15" spans="1:4" ht="18.75">
      <c r="A15" s="53"/>
      <c r="B15" s="64" t="s">
        <v>87</v>
      </c>
      <c r="C15" s="64"/>
      <c r="D15" s="65"/>
    </row>
    <row r="16" spans="1:4" ht="18.75">
      <c r="A16" s="53"/>
      <c r="B16" s="64" t="s">
        <v>88</v>
      </c>
      <c r="C16" s="64"/>
      <c r="D16" s="65"/>
    </row>
    <row r="17" spans="1:4" ht="18.75">
      <c r="A17" s="53"/>
      <c r="B17" s="54"/>
      <c r="C17" s="54"/>
      <c r="D17" s="55"/>
    </row>
    <row r="18" spans="1:4" ht="18.75">
      <c r="A18" s="66" t="s">
        <v>89</v>
      </c>
      <c r="B18" s="64"/>
      <c r="C18" s="64"/>
      <c r="D18" s="65"/>
    </row>
    <row r="19" spans="1:4" ht="18.75">
      <c r="A19" s="53"/>
      <c r="B19" s="54"/>
      <c r="C19" s="54"/>
      <c r="D19" s="55"/>
    </row>
    <row r="20" spans="1:4" ht="18.75">
      <c r="A20" s="66" t="s">
        <v>90</v>
      </c>
      <c r="B20" s="64"/>
      <c r="C20" s="64"/>
      <c r="D20" s="65"/>
    </row>
    <row r="21" spans="1:4" ht="19.5" thickBot="1">
      <c r="A21" s="56"/>
      <c r="B21" s="57"/>
      <c r="C21" s="57"/>
      <c r="D21" s="58"/>
    </row>
    <row r="22" spans="1:4" ht="18.75">
      <c r="A22" s="59"/>
      <c r="B22" s="59"/>
      <c r="C22" s="59"/>
      <c r="D22" s="59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Rhode Island_Edomexgral'!A1" display="1. Por Estados de la República Mexicana"/>
    <hyperlink ref="B9" location="'New Jersey_EDOMEX'!A1" display="2.1 Por estado de la República Mexicana y municipio de origen"/>
    <hyperlink ref="B11:D11" location="'Rhode Island_Educagral'!A1" display="3.1 Educación general"/>
    <hyperlink ref="B12:D12" location="'Rhode Island_Eduedo'!A1" display="3.2 Por Estado de la República Mexicana"/>
    <hyperlink ref="B15:D15" location="'Rhode Island_gengral'!A1" display="4.1 Género General"/>
    <hyperlink ref="B16:D16" location="'Rhode Island_edomexgen'!A1" display="4.2 Por Estados de la República Mexicana"/>
    <hyperlink ref="A18:D18" location="'Rhode Island_edadgen'!A1" display="5. Por estructura de Edad"/>
    <hyperlink ref="A20:D20" location="'Rhode Island_ocupgral'!A1" display="6. Por Ocupación"/>
    <hyperlink ref="B9:D9" location="'Rhode Island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3"/>
  <sheetViews>
    <sheetView showGridLines="0" topLeftCell="A13" zoomScaleNormal="100" zoomScaleSheetLayoutView="115" workbookViewId="0"/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3" t="s">
        <v>115</v>
      </c>
      <c r="C7" s="73"/>
      <c r="D7" s="73"/>
    </row>
    <row r="8" spans="1:5" s="13" customFormat="1" ht="15" customHeight="1">
      <c r="B8" s="73"/>
      <c r="C8" s="73"/>
      <c r="D8" s="73"/>
    </row>
    <row r="9" spans="1:5" s="13" customFormat="1" ht="33" customHeight="1">
      <c r="B9" s="73"/>
      <c r="C9" s="73"/>
      <c r="D9" s="73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24</v>
      </c>
      <c r="C11" s="15" t="s">
        <v>23</v>
      </c>
      <c r="D11" s="14" t="s">
        <v>22</v>
      </c>
    </row>
    <row r="12" spans="1:5">
      <c r="B12" s="11" t="s">
        <v>21</v>
      </c>
      <c r="C12" s="10">
        <v>50</v>
      </c>
      <c r="D12" s="9">
        <v>0.2032520325203252</v>
      </c>
    </row>
    <row r="13" spans="1:5">
      <c r="B13" s="11" t="s">
        <v>20</v>
      </c>
      <c r="C13" s="10">
        <v>46</v>
      </c>
      <c r="D13" s="9">
        <v>0.18699186991869918</v>
      </c>
    </row>
    <row r="14" spans="1:5">
      <c r="A14" s="12"/>
      <c r="B14" s="11" t="s">
        <v>17</v>
      </c>
      <c r="C14" s="10">
        <v>28</v>
      </c>
      <c r="D14" s="9">
        <v>0.11382113821138211</v>
      </c>
      <c r="E14" s="12"/>
    </row>
    <row r="15" spans="1:5">
      <c r="A15" s="12"/>
      <c r="B15" s="11" t="s">
        <v>19</v>
      </c>
      <c r="C15" s="10">
        <v>26</v>
      </c>
      <c r="D15" s="9">
        <v>0.10569105691056911</v>
      </c>
      <c r="E15" s="12"/>
    </row>
    <row r="16" spans="1:5">
      <c r="B16" s="11" t="s">
        <v>18</v>
      </c>
      <c r="C16" s="10">
        <v>20</v>
      </c>
      <c r="D16" s="9">
        <v>8.1300813008130079E-2</v>
      </c>
    </row>
    <row r="17" spans="2:4">
      <c r="B17" s="11" t="s">
        <v>16</v>
      </c>
      <c r="C17" s="10">
        <v>13</v>
      </c>
      <c r="D17" s="9">
        <v>5.2845528455284556E-2</v>
      </c>
    </row>
    <row r="18" spans="2:4">
      <c r="B18" s="11" t="s">
        <v>13</v>
      </c>
      <c r="C18" s="10">
        <v>10</v>
      </c>
      <c r="D18" s="9">
        <v>4.065040650406504E-2</v>
      </c>
    </row>
    <row r="19" spans="2:4">
      <c r="B19" s="11" t="s">
        <v>12</v>
      </c>
      <c r="C19" s="10">
        <v>10</v>
      </c>
      <c r="D19" s="9">
        <v>4.065040650406504E-2</v>
      </c>
    </row>
    <row r="20" spans="2:4">
      <c r="B20" s="11" t="s">
        <v>8</v>
      </c>
      <c r="C20" s="10">
        <v>8</v>
      </c>
      <c r="D20" s="9">
        <v>3.2520325203252036E-2</v>
      </c>
    </row>
    <row r="21" spans="2:4">
      <c r="B21" s="11" t="s">
        <v>11</v>
      </c>
      <c r="C21" s="10">
        <v>5</v>
      </c>
      <c r="D21" s="9">
        <v>2.032520325203252E-2</v>
      </c>
    </row>
    <row r="22" spans="2:4">
      <c r="B22" s="11" t="s">
        <v>9</v>
      </c>
      <c r="C22" s="10">
        <v>4</v>
      </c>
      <c r="D22" s="9">
        <v>1.6260162601626018E-2</v>
      </c>
    </row>
    <row r="23" spans="2:4">
      <c r="B23" s="11" t="s">
        <v>15</v>
      </c>
      <c r="C23" s="10">
        <v>3</v>
      </c>
      <c r="D23" s="9">
        <v>1.2195121951219513E-2</v>
      </c>
    </row>
    <row r="24" spans="2:4">
      <c r="B24" s="11" t="s">
        <v>93</v>
      </c>
      <c r="C24" s="10">
        <v>3</v>
      </c>
      <c r="D24" s="9">
        <v>1.2195121951219513E-2</v>
      </c>
    </row>
    <row r="25" spans="2:4">
      <c r="B25" s="11" t="s">
        <v>14</v>
      </c>
      <c r="C25" s="10">
        <v>3</v>
      </c>
      <c r="D25" s="9">
        <v>1.2195121951219513E-2</v>
      </c>
    </row>
    <row r="26" spans="2:4">
      <c r="B26" s="11" t="s">
        <v>95</v>
      </c>
      <c r="C26" s="10">
        <v>3</v>
      </c>
      <c r="D26" s="9">
        <v>1.2195121951219513E-2</v>
      </c>
    </row>
    <row r="27" spans="2:4">
      <c r="B27" s="11" t="s">
        <v>96</v>
      </c>
      <c r="C27" s="10">
        <v>2</v>
      </c>
      <c r="D27" s="9">
        <v>8.130081300813009E-3</v>
      </c>
    </row>
    <row r="28" spans="2:4">
      <c r="B28" s="11" t="s">
        <v>98</v>
      </c>
      <c r="C28" s="10">
        <v>2</v>
      </c>
      <c r="D28" s="9">
        <v>8.130081300813009E-3</v>
      </c>
    </row>
    <row r="29" spans="2:4">
      <c r="B29" s="11" t="s">
        <v>10</v>
      </c>
      <c r="C29" s="10">
        <v>2</v>
      </c>
      <c r="D29" s="9">
        <v>8.130081300813009E-3</v>
      </c>
    </row>
    <row r="30" spans="2:4">
      <c r="B30" s="11" t="s">
        <v>5</v>
      </c>
      <c r="C30" s="10">
        <v>2</v>
      </c>
      <c r="D30" s="9">
        <v>8.130081300813009E-3</v>
      </c>
    </row>
    <row r="31" spans="2:4">
      <c r="B31" s="11" t="s">
        <v>97</v>
      </c>
      <c r="C31" s="10">
        <v>1</v>
      </c>
      <c r="D31" s="9">
        <v>4.0650406504065045E-3</v>
      </c>
    </row>
    <row r="32" spans="2:4">
      <c r="B32" s="11" t="s">
        <v>94</v>
      </c>
      <c r="C32" s="10">
        <v>1</v>
      </c>
      <c r="D32" s="9">
        <v>4.0650406504065045E-3</v>
      </c>
    </row>
    <row r="33" spans="2:4">
      <c r="B33" s="11" t="s">
        <v>99</v>
      </c>
      <c r="C33" s="10">
        <v>1</v>
      </c>
      <c r="D33" s="9">
        <v>4.0650406504065045E-3</v>
      </c>
    </row>
    <row r="34" spans="2:4">
      <c r="B34" s="11" t="s">
        <v>7</v>
      </c>
      <c r="C34" s="10">
        <v>1</v>
      </c>
      <c r="D34" s="9">
        <v>4.0650406504065045E-3</v>
      </c>
    </row>
    <row r="35" spans="2:4">
      <c r="B35" s="11" t="s">
        <v>6</v>
      </c>
      <c r="C35" s="10">
        <v>1</v>
      </c>
      <c r="D35" s="9">
        <v>4.0650406504065045E-3</v>
      </c>
    </row>
    <row r="36" spans="2:4">
      <c r="B36" s="11" t="s">
        <v>4</v>
      </c>
      <c r="C36" s="10">
        <v>1</v>
      </c>
      <c r="D36" s="9">
        <v>4.0650406504065045E-3</v>
      </c>
    </row>
    <row r="37" spans="2:4">
      <c r="B37" s="8" t="s">
        <v>3</v>
      </c>
      <c r="C37" s="7">
        <v>246</v>
      </c>
      <c r="D37" s="6">
        <v>1</v>
      </c>
    </row>
    <row r="39" spans="2:4">
      <c r="B39" s="3" t="s">
        <v>116</v>
      </c>
    </row>
    <row r="40" spans="2:4">
      <c r="B40" s="5" t="s">
        <v>2</v>
      </c>
    </row>
    <row r="41" spans="2:4">
      <c r="B41" s="4" t="s">
        <v>1</v>
      </c>
    </row>
    <row r="42" spans="2:4">
      <c r="B42" s="3" t="s">
        <v>0</v>
      </c>
    </row>
    <row r="43" spans="2:4">
      <c r="B43" s="3" t="s">
        <v>117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66"/>
  <sheetViews>
    <sheetView showGridLines="0" topLeftCell="A145" zoomScaleNormal="100" zoomScaleSheetLayoutView="100" workbookViewId="0">
      <selection activeCell="F15" sqref="F15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77"/>
      <c r="C7" s="77"/>
      <c r="D7" s="77"/>
      <c r="E7" s="77"/>
    </row>
    <row r="8" spans="1:5" s="34" customFormat="1" ht="33" customHeight="1">
      <c r="A8" s="35"/>
      <c r="B8" s="77"/>
      <c r="C8" s="77"/>
      <c r="D8" s="77"/>
      <c r="E8" s="77"/>
    </row>
    <row r="9" spans="1:5" s="13" customFormat="1" ht="40.5" customHeight="1">
      <c r="B9" s="31" t="s">
        <v>24</v>
      </c>
      <c r="C9" s="33" t="s">
        <v>47</v>
      </c>
      <c r="D9" s="32" t="s">
        <v>23</v>
      </c>
      <c r="E9" s="31" t="s">
        <v>22</v>
      </c>
    </row>
    <row r="10" spans="1:5" ht="15" customHeight="1">
      <c r="B10" s="74" t="s">
        <v>96</v>
      </c>
      <c r="C10" s="29" t="s">
        <v>118</v>
      </c>
      <c r="D10" s="28">
        <v>2</v>
      </c>
      <c r="E10" s="27">
        <v>8.130081300813009E-3</v>
      </c>
    </row>
    <row r="11" spans="1:5" ht="15" customHeight="1">
      <c r="B11" s="76"/>
      <c r="C11" s="26" t="s">
        <v>3</v>
      </c>
      <c r="D11" s="25">
        <v>2</v>
      </c>
      <c r="E11" s="24">
        <v>8.130081300813009E-3</v>
      </c>
    </row>
    <row r="12" spans="1:5" ht="15" customHeight="1">
      <c r="B12" s="74" t="s">
        <v>97</v>
      </c>
      <c r="C12" s="29" t="s">
        <v>119</v>
      </c>
      <c r="D12" s="28">
        <v>1</v>
      </c>
      <c r="E12" s="27">
        <v>4.0650406504065045E-3</v>
      </c>
    </row>
    <row r="13" spans="1:5" ht="15" customHeight="1">
      <c r="B13" s="76"/>
      <c r="C13" s="26" t="s">
        <v>3</v>
      </c>
      <c r="D13" s="25">
        <v>1</v>
      </c>
      <c r="E13" s="24">
        <v>4.0650406504065045E-3</v>
      </c>
    </row>
    <row r="14" spans="1:5" ht="15" customHeight="1">
      <c r="B14" s="74" t="s">
        <v>15</v>
      </c>
      <c r="C14" s="29" t="s">
        <v>120</v>
      </c>
      <c r="D14" s="28">
        <v>1</v>
      </c>
      <c r="E14" s="27">
        <v>4.0650406504065045E-3</v>
      </c>
    </row>
    <row r="15" spans="1:5" ht="15" customHeight="1">
      <c r="B15" s="75"/>
      <c r="C15" s="29" t="s">
        <v>121</v>
      </c>
      <c r="D15" s="28">
        <v>1</v>
      </c>
      <c r="E15" s="27">
        <v>4.0650406504065045E-3</v>
      </c>
    </row>
    <row r="16" spans="1:5" ht="15" customHeight="1">
      <c r="B16" s="75"/>
      <c r="C16" s="29" t="s">
        <v>122</v>
      </c>
      <c r="D16" s="28">
        <v>1</v>
      </c>
      <c r="E16" s="27">
        <v>4.0650406504065045E-3</v>
      </c>
    </row>
    <row r="17" spans="2:5" ht="15" customHeight="1">
      <c r="B17" s="76"/>
      <c r="C17" s="26" t="s">
        <v>3</v>
      </c>
      <c r="D17" s="25">
        <v>3</v>
      </c>
      <c r="E17" s="24">
        <v>1.2195121951219513E-2</v>
      </c>
    </row>
    <row r="18" spans="2:5" ht="15" customHeight="1">
      <c r="B18" s="74" t="s">
        <v>94</v>
      </c>
      <c r="C18" s="29" t="s">
        <v>123</v>
      </c>
      <c r="D18" s="28">
        <v>1</v>
      </c>
      <c r="E18" s="27">
        <v>4.0650406504065045E-3</v>
      </c>
    </row>
    <row r="19" spans="2:5" ht="15" customHeight="1">
      <c r="B19" s="76"/>
      <c r="C19" s="26" t="s">
        <v>3</v>
      </c>
      <c r="D19" s="25">
        <v>1</v>
      </c>
      <c r="E19" s="24">
        <v>4.0650406504065045E-3</v>
      </c>
    </row>
    <row r="20" spans="2:5" ht="15" customHeight="1">
      <c r="B20" s="74" t="s">
        <v>98</v>
      </c>
      <c r="C20" s="29" t="s">
        <v>124</v>
      </c>
      <c r="D20" s="28">
        <v>1</v>
      </c>
      <c r="E20" s="27">
        <v>4.0650406504065045E-3</v>
      </c>
    </row>
    <row r="21" spans="2:5" ht="15" customHeight="1">
      <c r="B21" s="75"/>
      <c r="C21" s="29" t="s">
        <v>125</v>
      </c>
      <c r="D21" s="28">
        <v>1</v>
      </c>
      <c r="E21" s="27">
        <v>4.0650406504065045E-3</v>
      </c>
    </row>
    <row r="22" spans="2:5" ht="15" customHeight="1">
      <c r="B22" s="76"/>
      <c r="C22" s="26" t="s">
        <v>3</v>
      </c>
      <c r="D22" s="25">
        <v>2</v>
      </c>
      <c r="E22" s="24">
        <v>8.130081300813009E-3</v>
      </c>
    </row>
    <row r="23" spans="2:5" ht="15" customHeight="1">
      <c r="B23" s="74" t="s">
        <v>99</v>
      </c>
      <c r="C23" s="29" t="s">
        <v>126</v>
      </c>
      <c r="D23" s="28">
        <v>1</v>
      </c>
      <c r="E23" s="27">
        <v>4.0650406504065045E-3</v>
      </c>
    </row>
    <row r="24" spans="2:5" ht="15" customHeight="1">
      <c r="B24" s="76"/>
      <c r="C24" s="26" t="s">
        <v>3</v>
      </c>
      <c r="D24" s="25">
        <v>1</v>
      </c>
      <c r="E24" s="24">
        <v>4.0650406504065045E-3</v>
      </c>
    </row>
    <row r="25" spans="2:5" ht="15" customHeight="1">
      <c r="B25" s="74" t="s">
        <v>19</v>
      </c>
      <c r="C25" s="29" t="s">
        <v>127</v>
      </c>
      <c r="D25" s="28">
        <v>4</v>
      </c>
      <c r="E25" s="27">
        <v>1.6260162601626018E-2</v>
      </c>
    </row>
    <row r="26" spans="2:5" ht="15" customHeight="1">
      <c r="B26" s="75"/>
      <c r="C26" s="29" t="s">
        <v>128</v>
      </c>
      <c r="D26" s="28">
        <v>2</v>
      </c>
      <c r="E26" s="27">
        <v>8.130081300813009E-3</v>
      </c>
    </row>
    <row r="27" spans="2:5" ht="15" customHeight="1">
      <c r="B27" s="75"/>
      <c r="C27" s="29" t="s">
        <v>129</v>
      </c>
      <c r="D27" s="28">
        <v>2</v>
      </c>
      <c r="E27" s="27">
        <v>8.130081300813009E-3</v>
      </c>
    </row>
    <row r="28" spans="2:5" ht="15" customHeight="1">
      <c r="B28" s="75"/>
      <c r="C28" s="29" t="s">
        <v>46</v>
      </c>
      <c r="D28" s="28">
        <v>5</v>
      </c>
      <c r="E28" s="27">
        <v>2.032520325203252E-2</v>
      </c>
    </row>
    <row r="29" spans="2:5" ht="15" customHeight="1">
      <c r="B29" s="75"/>
      <c r="C29" s="29" t="s">
        <v>130</v>
      </c>
      <c r="D29" s="28">
        <v>2</v>
      </c>
      <c r="E29" s="27">
        <v>8.130081300813009E-3</v>
      </c>
    </row>
    <row r="30" spans="2:5" ht="15" customHeight="1">
      <c r="B30" s="75"/>
      <c r="C30" s="29" t="s">
        <v>45</v>
      </c>
      <c r="D30" s="28">
        <v>3</v>
      </c>
      <c r="E30" s="27">
        <v>1.2195121951219513E-2</v>
      </c>
    </row>
    <row r="31" spans="2:5" ht="15" customHeight="1">
      <c r="B31" s="75"/>
      <c r="C31" s="29" t="s">
        <v>131</v>
      </c>
      <c r="D31" s="28">
        <v>1</v>
      </c>
      <c r="E31" s="27">
        <v>4.0650406504065045E-3</v>
      </c>
    </row>
    <row r="32" spans="2:5" ht="15" customHeight="1">
      <c r="B32" s="75"/>
      <c r="C32" s="29" t="s">
        <v>132</v>
      </c>
      <c r="D32" s="28">
        <v>4</v>
      </c>
      <c r="E32" s="27">
        <v>1.6260162601626018E-2</v>
      </c>
    </row>
    <row r="33" spans="2:5" ht="15" customHeight="1">
      <c r="B33" s="75"/>
      <c r="C33" s="29" t="s">
        <v>133</v>
      </c>
      <c r="D33" s="28">
        <v>1</v>
      </c>
      <c r="E33" s="27">
        <v>4.0650406504065045E-3</v>
      </c>
    </row>
    <row r="34" spans="2:5" ht="15" customHeight="1">
      <c r="B34" s="75"/>
      <c r="C34" s="29" t="s">
        <v>134</v>
      </c>
      <c r="D34" s="28">
        <v>2</v>
      </c>
      <c r="E34" s="27">
        <v>8.130081300813009E-3</v>
      </c>
    </row>
    <row r="35" spans="2:5" ht="15" customHeight="1">
      <c r="B35" s="76"/>
      <c r="C35" s="26" t="s">
        <v>3</v>
      </c>
      <c r="D35" s="25">
        <v>26</v>
      </c>
      <c r="E35" s="24">
        <v>0.10569105691056911</v>
      </c>
    </row>
    <row r="36" spans="2:5" ht="15" customHeight="1">
      <c r="B36" s="74" t="s">
        <v>13</v>
      </c>
      <c r="C36" s="29" t="s">
        <v>135</v>
      </c>
      <c r="D36" s="28">
        <v>1</v>
      </c>
      <c r="E36" s="27">
        <v>4.0650406504065045E-3</v>
      </c>
    </row>
    <row r="37" spans="2:5" ht="15" customHeight="1">
      <c r="B37" s="75"/>
      <c r="C37" s="29" t="s">
        <v>100</v>
      </c>
      <c r="D37" s="28">
        <v>1</v>
      </c>
      <c r="E37" s="27">
        <v>4.0650406504065045E-3</v>
      </c>
    </row>
    <row r="38" spans="2:5" ht="15" customHeight="1">
      <c r="B38" s="75"/>
      <c r="C38" s="29" t="s">
        <v>136</v>
      </c>
      <c r="D38" s="28">
        <v>1</v>
      </c>
      <c r="E38" s="27">
        <v>4.0650406504065045E-3</v>
      </c>
    </row>
    <row r="39" spans="2:5" ht="15" customHeight="1">
      <c r="B39" s="75"/>
      <c r="C39" s="29" t="s">
        <v>137</v>
      </c>
      <c r="D39" s="28">
        <v>1</v>
      </c>
      <c r="E39" s="27">
        <v>4.0650406504065045E-3</v>
      </c>
    </row>
    <row r="40" spans="2:5" ht="15" customHeight="1">
      <c r="B40" s="75"/>
      <c r="C40" s="29" t="s">
        <v>138</v>
      </c>
      <c r="D40" s="28">
        <v>3</v>
      </c>
      <c r="E40" s="27">
        <v>1.2195121951219513E-2</v>
      </c>
    </row>
    <row r="41" spans="2:5" ht="15" customHeight="1">
      <c r="B41" s="75"/>
      <c r="C41" s="29" t="s">
        <v>44</v>
      </c>
      <c r="D41" s="28">
        <v>1</v>
      </c>
      <c r="E41" s="27">
        <v>4.0650406504065045E-3</v>
      </c>
    </row>
    <row r="42" spans="2:5" ht="15" customHeight="1">
      <c r="B42" s="75"/>
      <c r="C42" s="29" t="s">
        <v>139</v>
      </c>
      <c r="D42" s="28">
        <v>1</v>
      </c>
      <c r="E42" s="27">
        <v>4.0650406504065045E-3</v>
      </c>
    </row>
    <row r="43" spans="2:5" ht="15" customHeight="1">
      <c r="B43" s="75"/>
      <c r="C43" s="29" t="s">
        <v>140</v>
      </c>
      <c r="D43" s="28">
        <v>1</v>
      </c>
      <c r="E43" s="27">
        <v>4.0650406504065045E-3</v>
      </c>
    </row>
    <row r="44" spans="2:5" ht="15" customHeight="1">
      <c r="B44" s="76"/>
      <c r="C44" s="26" t="s">
        <v>3</v>
      </c>
      <c r="D44" s="25">
        <v>10</v>
      </c>
      <c r="E44" s="24">
        <v>4.065040650406504E-2</v>
      </c>
    </row>
    <row r="45" spans="2:5" ht="15" customHeight="1">
      <c r="B45" s="74" t="s">
        <v>8</v>
      </c>
      <c r="C45" s="29" t="s">
        <v>141</v>
      </c>
      <c r="D45" s="28">
        <v>1</v>
      </c>
      <c r="E45" s="27">
        <v>4.0650406504065045E-3</v>
      </c>
    </row>
    <row r="46" spans="2:5" ht="15" customHeight="1">
      <c r="B46" s="75"/>
      <c r="C46" s="29" t="s">
        <v>142</v>
      </c>
      <c r="D46" s="28">
        <v>2</v>
      </c>
      <c r="E46" s="27">
        <v>8.130081300813009E-3</v>
      </c>
    </row>
    <row r="47" spans="2:5" ht="15" customHeight="1">
      <c r="B47" s="75"/>
      <c r="C47" s="29" t="s">
        <v>143</v>
      </c>
      <c r="D47" s="28">
        <v>1</v>
      </c>
      <c r="E47" s="27">
        <v>4.0650406504065045E-3</v>
      </c>
    </row>
    <row r="48" spans="2:5" ht="15" customHeight="1">
      <c r="B48" s="75"/>
      <c r="C48" s="29" t="s">
        <v>144</v>
      </c>
      <c r="D48" s="28">
        <v>4</v>
      </c>
      <c r="E48" s="27">
        <v>1.6260162601626018E-2</v>
      </c>
    </row>
    <row r="49" spans="2:5" ht="15" customHeight="1">
      <c r="B49" s="76"/>
      <c r="C49" s="26" t="s">
        <v>3</v>
      </c>
      <c r="D49" s="25">
        <v>8</v>
      </c>
      <c r="E49" s="24">
        <v>3.2520325203252036E-2</v>
      </c>
    </row>
    <row r="50" spans="2:5" ht="15" customHeight="1">
      <c r="B50" s="74" t="s">
        <v>20</v>
      </c>
      <c r="C50" s="29" t="s">
        <v>43</v>
      </c>
      <c r="D50" s="28">
        <v>3</v>
      </c>
      <c r="E50" s="27">
        <v>1.2195121951219513E-2</v>
      </c>
    </row>
    <row r="51" spans="2:5" ht="15" customHeight="1">
      <c r="B51" s="75"/>
      <c r="C51" s="29" t="s">
        <v>145</v>
      </c>
      <c r="D51" s="28">
        <v>2</v>
      </c>
      <c r="E51" s="27">
        <v>8.130081300813009E-3</v>
      </c>
    </row>
    <row r="52" spans="2:5" ht="15" customHeight="1">
      <c r="B52" s="75"/>
      <c r="C52" s="29" t="s">
        <v>146</v>
      </c>
      <c r="D52" s="28">
        <v>1</v>
      </c>
      <c r="E52" s="27">
        <v>4.0650406504065045E-3</v>
      </c>
    </row>
    <row r="53" spans="2:5" ht="15" customHeight="1">
      <c r="B53" s="75"/>
      <c r="C53" s="29" t="s">
        <v>147</v>
      </c>
      <c r="D53" s="28">
        <v>1</v>
      </c>
      <c r="E53" s="27">
        <v>4.0650406504065045E-3</v>
      </c>
    </row>
    <row r="54" spans="2:5" ht="15" customHeight="1">
      <c r="B54" s="75"/>
      <c r="C54" s="29" t="s">
        <v>42</v>
      </c>
      <c r="D54" s="28">
        <v>7</v>
      </c>
      <c r="E54" s="27">
        <v>2.8455284552845527E-2</v>
      </c>
    </row>
    <row r="55" spans="2:5" ht="15" customHeight="1">
      <c r="B55" s="75"/>
      <c r="C55" s="29" t="s">
        <v>41</v>
      </c>
      <c r="D55" s="28">
        <v>1</v>
      </c>
      <c r="E55" s="27">
        <v>4.0650406504065045E-3</v>
      </c>
    </row>
    <row r="56" spans="2:5" ht="15" customHeight="1">
      <c r="B56" s="75"/>
      <c r="C56" s="29" t="s">
        <v>148</v>
      </c>
      <c r="D56" s="28">
        <v>1</v>
      </c>
      <c r="E56" s="27">
        <v>4.0650406504065045E-3</v>
      </c>
    </row>
    <row r="57" spans="2:5" ht="15" customHeight="1">
      <c r="B57" s="75"/>
      <c r="C57" s="29" t="s">
        <v>101</v>
      </c>
      <c r="D57" s="28">
        <v>1</v>
      </c>
      <c r="E57" s="27">
        <v>4.0650406504065045E-3</v>
      </c>
    </row>
    <row r="58" spans="2:5" ht="15" customHeight="1">
      <c r="B58" s="75"/>
      <c r="C58" s="29" t="s">
        <v>149</v>
      </c>
      <c r="D58" s="28">
        <v>2</v>
      </c>
      <c r="E58" s="27">
        <v>8.130081300813009E-3</v>
      </c>
    </row>
    <row r="59" spans="2:5" ht="15" customHeight="1">
      <c r="B59" s="75"/>
      <c r="C59" s="29" t="s">
        <v>40</v>
      </c>
      <c r="D59" s="28">
        <v>2</v>
      </c>
      <c r="E59" s="27">
        <v>8.130081300813009E-3</v>
      </c>
    </row>
    <row r="60" spans="2:5" ht="15" customHeight="1">
      <c r="B60" s="75"/>
      <c r="C60" s="29" t="s">
        <v>150</v>
      </c>
      <c r="D60" s="28">
        <v>2</v>
      </c>
      <c r="E60" s="27">
        <v>8.130081300813009E-3</v>
      </c>
    </row>
    <row r="61" spans="2:5" ht="15" customHeight="1">
      <c r="B61" s="75"/>
      <c r="C61" s="29" t="s">
        <v>39</v>
      </c>
      <c r="D61" s="28">
        <v>3</v>
      </c>
      <c r="E61" s="27">
        <v>1.2195121951219513E-2</v>
      </c>
    </row>
    <row r="62" spans="2:5" ht="15" customHeight="1">
      <c r="B62" s="75"/>
      <c r="C62" s="29" t="s">
        <v>151</v>
      </c>
      <c r="D62" s="28">
        <v>2</v>
      </c>
      <c r="E62" s="27">
        <v>8.130081300813009E-3</v>
      </c>
    </row>
    <row r="63" spans="2:5" ht="15" customHeight="1">
      <c r="B63" s="75"/>
      <c r="C63" s="29" t="s">
        <v>38</v>
      </c>
      <c r="D63" s="28">
        <v>16</v>
      </c>
      <c r="E63" s="27">
        <v>6.5040650406504072E-2</v>
      </c>
    </row>
    <row r="64" spans="2:5" ht="15" customHeight="1">
      <c r="B64" s="75"/>
      <c r="C64" s="29" t="s">
        <v>152</v>
      </c>
      <c r="D64" s="28">
        <v>1</v>
      </c>
      <c r="E64" s="27">
        <v>4.0650406504065045E-3</v>
      </c>
    </row>
    <row r="65" spans="2:5" ht="15" customHeight="1">
      <c r="B65" s="75"/>
      <c r="C65" s="29" t="s">
        <v>153</v>
      </c>
      <c r="D65" s="28">
        <v>1</v>
      </c>
      <c r="E65" s="27">
        <v>4.0650406504065045E-3</v>
      </c>
    </row>
    <row r="66" spans="2:5" ht="15" customHeight="1">
      <c r="B66" s="76"/>
      <c r="C66" s="26" t="s">
        <v>3</v>
      </c>
      <c r="D66" s="25">
        <v>46</v>
      </c>
      <c r="E66" s="24">
        <v>0.18699186991869918</v>
      </c>
    </row>
    <row r="67" spans="2:5" ht="15" customHeight="1">
      <c r="B67" s="74" t="s">
        <v>21</v>
      </c>
      <c r="C67" s="29" t="s">
        <v>154</v>
      </c>
      <c r="D67" s="28">
        <v>1</v>
      </c>
      <c r="E67" s="27">
        <v>4.0650406504065045E-3</v>
      </c>
    </row>
    <row r="68" spans="2:5" ht="15" customHeight="1">
      <c r="B68" s="75"/>
      <c r="C68" s="29" t="s">
        <v>37</v>
      </c>
      <c r="D68" s="28">
        <v>18</v>
      </c>
      <c r="E68" s="27">
        <v>7.3170731707317069E-2</v>
      </c>
    </row>
    <row r="69" spans="2:5" ht="15" customHeight="1">
      <c r="B69" s="75"/>
      <c r="C69" s="29" t="s">
        <v>155</v>
      </c>
      <c r="D69" s="28">
        <v>1</v>
      </c>
      <c r="E69" s="27">
        <v>4.0650406504065045E-3</v>
      </c>
    </row>
    <row r="70" spans="2:5" ht="15" customHeight="1">
      <c r="B70" s="75"/>
      <c r="C70" s="29" t="s">
        <v>102</v>
      </c>
      <c r="D70" s="28">
        <v>1</v>
      </c>
      <c r="E70" s="27">
        <v>4.0650406504065045E-3</v>
      </c>
    </row>
    <row r="71" spans="2:5" ht="15" customHeight="1">
      <c r="B71" s="75"/>
      <c r="C71" s="29" t="s">
        <v>36</v>
      </c>
      <c r="D71" s="28">
        <v>11</v>
      </c>
      <c r="E71" s="27">
        <v>4.4715447154471545E-2</v>
      </c>
    </row>
    <row r="72" spans="2:5" ht="15" customHeight="1">
      <c r="B72" s="75"/>
      <c r="C72" s="29" t="s">
        <v>156</v>
      </c>
      <c r="D72" s="28">
        <v>1</v>
      </c>
      <c r="E72" s="27">
        <v>4.0650406504065045E-3</v>
      </c>
    </row>
    <row r="73" spans="2:5" ht="15" customHeight="1">
      <c r="B73" s="75"/>
      <c r="C73" s="29" t="s">
        <v>157</v>
      </c>
      <c r="D73" s="28">
        <v>2</v>
      </c>
      <c r="E73" s="27">
        <v>8.130081300813009E-3</v>
      </c>
    </row>
    <row r="74" spans="2:5" ht="15" customHeight="1">
      <c r="B74" s="75"/>
      <c r="C74" s="29" t="s">
        <v>35</v>
      </c>
      <c r="D74" s="28">
        <v>8</v>
      </c>
      <c r="E74" s="27">
        <v>3.2520325203252036E-2</v>
      </c>
    </row>
    <row r="75" spans="2:5" ht="15" customHeight="1">
      <c r="B75" s="75"/>
      <c r="C75" s="29" t="s">
        <v>158</v>
      </c>
      <c r="D75" s="28">
        <v>1</v>
      </c>
      <c r="E75" s="27">
        <v>4.0650406504065045E-3</v>
      </c>
    </row>
    <row r="76" spans="2:5" ht="15" customHeight="1">
      <c r="B76" s="75"/>
      <c r="C76" s="29" t="s">
        <v>159</v>
      </c>
      <c r="D76" s="28">
        <v>1</v>
      </c>
      <c r="E76" s="27">
        <v>4.0650406504065045E-3</v>
      </c>
    </row>
    <row r="77" spans="2:5" ht="15" customHeight="1">
      <c r="B77" s="75"/>
      <c r="C77" s="29" t="s">
        <v>160</v>
      </c>
      <c r="D77" s="28">
        <v>1</v>
      </c>
      <c r="E77" s="27">
        <v>4.0650406504065045E-3</v>
      </c>
    </row>
    <row r="78" spans="2:5" ht="15" customHeight="1">
      <c r="B78" s="75"/>
      <c r="C78" s="29" t="s">
        <v>161</v>
      </c>
      <c r="D78" s="28">
        <v>1</v>
      </c>
      <c r="E78" s="27">
        <v>4.0650406504065045E-3</v>
      </c>
    </row>
    <row r="79" spans="2:5" ht="15" customHeight="1">
      <c r="B79" s="75"/>
      <c r="C79" s="29" t="s">
        <v>162</v>
      </c>
      <c r="D79" s="28">
        <v>2</v>
      </c>
      <c r="E79" s="27">
        <v>8.130081300813009E-3</v>
      </c>
    </row>
    <row r="80" spans="2:5" ht="15" customHeight="1">
      <c r="B80" s="75"/>
      <c r="C80" s="29" t="s">
        <v>163</v>
      </c>
      <c r="D80" s="28">
        <v>1</v>
      </c>
      <c r="E80" s="27">
        <v>4.0650406504065045E-3</v>
      </c>
    </row>
    <row r="81" spans="2:5" ht="15" customHeight="1">
      <c r="B81" s="76"/>
      <c r="C81" s="26" t="s">
        <v>3</v>
      </c>
      <c r="D81" s="25">
        <v>50</v>
      </c>
      <c r="E81" s="24">
        <v>0.2032520325203252</v>
      </c>
    </row>
    <row r="82" spans="2:5" ht="15" customHeight="1">
      <c r="B82" s="74" t="s">
        <v>12</v>
      </c>
      <c r="C82" s="29" t="s">
        <v>103</v>
      </c>
      <c r="D82" s="28">
        <v>3</v>
      </c>
      <c r="E82" s="27">
        <v>1.2195121951219513E-2</v>
      </c>
    </row>
    <row r="83" spans="2:5" ht="15" customHeight="1">
      <c r="B83" s="75"/>
      <c r="C83" s="29" t="s">
        <v>164</v>
      </c>
      <c r="D83" s="28">
        <v>1</v>
      </c>
      <c r="E83" s="27">
        <v>4.0650406504065045E-3</v>
      </c>
    </row>
    <row r="84" spans="2:5" ht="15" customHeight="1">
      <c r="B84" s="75"/>
      <c r="C84" s="29" t="s">
        <v>165</v>
      </c>
      <c r="D84" s="28">
        <v>2</v>
      </c>
      <c r="E84" s="27">
        <v>8.130081300813009E-3</v>
      </c>
    </row>
    <row r="85" spans="2:5" ht="15" customHeight="1">
      <c r="B85" s="75"/>
      <c r="C85" s="29" t="s">
        <v>166</v>
      </c>
      <c r="D85" s="28">
        <v>1</v>
      </c>
      <c r="E85" s="27">
        <v>4.0650406504065045E-3</v>
      </c>
    </row>
    <row r="86" spans="2:5" ht="15" customHeight="1">
      <c r="B86" s="75"/>
      <c r="C86" s="29" t="s">
        <v>34</v>
      </c>
      <c r="D86" s="28">
        <v>2</v>
      </c>
      <c r="E86" s="27">
        <v>8.130081300813009E-3</v>
      </c>
    </row>
    <row r="87" spans="2:5" ht="15" customHeight="1">
      <c r="B87" s="75"/>
      <c r="C87" s="29" t="s">
        <v>167</v>
      </c>
      <c r="D87" s="28">
        <v>1</v>
      </c>
      <c r="E87" s="27">
        <v>4.0650406504065045E-3</v>
      </c>
    </row>
    <row r="88" spans="2:5" ht="15" customHeight="1">
      <c r="B88" s="76"/>
      <c r="C88" s="26" t="s">
        <v>3</v>
      </c>
      <c r="D88" s="25">
        <v>10</v>
      </c>
      <c r="E88" s="24">
        <v>4.065040650406504E-2</v>
      </c>
    </row>
    <row r="89" spans="2:5" ht="15" customHeight="1">
      <c r="B89" s="74" t="s">
        <v>16</v>
      </c>
      <c r="C89" s="29" t="s">
        <v>168</v>
      </c>
      <c r="D89" s="28">
        <v>1</v>
      </c>
      <c r="E89" s="27">
        <v>4.0650406504065045E-3</v>
      </c>
    </row>
    <row r="90" spans="2:5" ht="15" customHeight="1">
      <c r="B90" s="75"/>
      <c r="C90" s="29" t="s">
        <v>169</v>
      </c>
      <c r="D90" s="28">
        <v>1</v>
      </c>
      <c r="E90" s="27">
        <v>4.0650406504065045E-3</v>
      </c>
    </row>
    <row r="91" spans="2:5" ht="15" customHeight="1">
      <c r="B91" s="75"/>
      <c r="C91" s="29" t="s">
        <v>170</v>
      </c>
      <c r="D91" s="28">
        <v>1</v>
      </c>
      <c r="E91" s="27">
        <v>4.0650406504065045E-3</v>
      </c>
    </row>
    <row r="92" spans="2:5" ht="15" customHeight="1">
      <c r="B92" s="75"/>
      <c r="C92" s="29" t="s">
        <v>33</v>
      </c>
      <c r="D92" s="28">
        <v>2</v>
      </c>
      <c r="E92" s="27">
        <v>8.130081300813009E-3</v>
      </c>
    </row>
    <row r="93" spans="2:5" ht="15" customHeight="1">
      <c r="B93" s="75"/>
      <c r="C93" s="29" t="s">
        <v>171</v>
      </c>
      <c r="D93" s="28">
        <v>2</v>
      </c>
      <c r="E93" s="27">
        <v>8.130081300813009E-3</v>
      </c>
    </row>
    <row r="94" spans="2:5" ht="15" customHeight="1">
      <c r="B94" s="75"/>
      <c r="C94" s="29" t="s">
        <v>172</v>
      </c>
      <c r="D94" s="28">
        <v>1</v>
      </c>
      <c r="E94" s="27">
        <v>4.0650406504065045E-3</v>
      </c>
    </row>
    <row r="95" spans="2:5" ht="15" customHeight="1">
      <c r="B95" s="75"/>
      <c r="C95" s="29" t="s">
        <v>32</v>
      </c>
      <c r="D95" s="28">
        <v>4</v>
      </c>
      <c r="E95" s="27">
        <v>1.6260162601626018E-2</v>
      </c>
    </row>
    <row r="96" spans="2:5" ht="15" customHeight="1">
      <c r="B96" s="75"/>
      <c r="C96" s="29" t="s">
        <v>173</v>
      </c>
      <c r="D96" s="28">
        <v>1</v>
      </c>
      <c r="E96" s="27">
        <v>4.0650406504065045E-3</v>
      </c>
    </row>
    <row r="97" spans="2:6" ht="15" customHeight="1">
      <c r="B97" s="76"/>
      <c r="C97" s="26" t="s">
        <v>3</v>
      </c>
      <c r="D97" s="25">
        <v>13</v>
      </c>
      <c r="E97" s="24">
        <v>5.2845528455284556E-2</v>
      </c>
    </row>
    <row r="98" spans="2:6" ht="15" customHeight="1">
      <c r="B98" s="74" t="s">
        <v>93</v>
      </c>
      <c r="C98" s="29" t="s">
        <v>104</v>
      </c>
      <c r="D98" s="28">
        <v>2</v>
      </c>
      <c r="E98" s="27">
        <v>8.130081300813009E-3</v>
      </c>
    </row>
    <row r="99" spans="2:6" ht="15" customHeight="1">
      <c r="B99" s="75"/>
      <c r="C99" s="29" t="s">
        <v>174</v>
      </c>
      <c r="D99" s="28">
        <v>1</v>
      </c>
      <c r="E99" s="27">
        <v>4.0650406504065045E-3</v>
      </c>
    </row>
    <row r="100" spans="2:6" ht="15" customHeight="1">
      <c r="B100" s="76"/>
      <c r="C100" s="26" t="s">
        <v>3</v>
      </c>
      <c r="D100" s="25">
        <v>3</v>
      </c>
      <c r="E100" s="24">
        <v>1.2195121951219513E-2</v>
      </c>
    </row>
    <row r="101" spans="2:6" ht="15" customHeight="1">
      <c r="B101" s="74" t="s">
        <v>7</v>
      </c>
      <c r="C101" s="29" t="s">
        <v>31</v>
      </c>
      <c r="D101" s="28">
        <v>1</v>
      </c>
      <c r="E101" s="27">
        <v>4.0650406504065045E-3</v>
      </c>
      <c r="F101" s="1"/>
    </row>
    <row r="102" spans="2:6" ht="15" customHeight="1">
      <c r="B102" s="76"/>
      <c r="C102" s="26" t="s">
        <v>3</v>
      </c>
      <c r="D102" s="25">
        <v>1</v>
      </c>
      <c r="E102" s="24">
        <v>4.0650406504065045E-3</v>
      </c>
      <c r="F102" s="1"/>
    </row>
    <row r="103" spans="2:6" ht="15" customHeight="1">
      <c r="B103" s="74" t="s">
        <v>11</v>
      </c>
      <c r="C103" s="29" t="s">
        <v>175</v>
      </c>
      <c r="D103" s="28">
        <v>1</v>
      </c>
      <c r="E103" s="27">
        <v>4.0650406504065045E-3</v>
      </c>
      <c r="F103" s="1"/>
    </row>
    <row r="104" spans="2:6" ht="15" customHeight="1">
      <c r="B104" s="75"/>
      <c r="C104" s="29" t="s">
        <v>176</v>
      </c>
      <c r="D104" s="28">
        <v>1</v>
      </c>
      <c r="E104" s="27">
        <v>4.0650406504065045E-3</v>
      </c>
      <c r="F104" s="1"/>
    </row>
    <row r="105" spans="2:6" ht="15" customHeight="1">
      <c r="B105" s="75"/>
      <c r="C105" s="29" t="s">
        <v>177</v>
      </c>
      <c r="D105" s="28">
        <v>1</v>
      </c>
      <c r="E105" s="27">
        <v>4.0650406504065045E-3</v>
      </c>
      <c r="F105" s="1"/>
    </row>
    <row r="106" spans="2:6" ht="15" customHeight="1">
      <c r="B106" s="75"/>
      <c r="C106" s="29" t="s">
        <v>178</v>
      </c>
      <c r="D106" s="28">
        <v>2</v>
      </c>
      <c r="E106" s="27">
        <v>8.130081300813009E-3</v>
      </c>
    </row>
    <row r="107" spans="2:6" ht="15" customHeight="1">
      <c r="B107" s="76"/>
      <c r="C107" s="26" t="s">
        <v>3</v>
      </c>
      <c r="D107" s="25">
        <v>5</v>
      </c>
      <c r="E107" s="24">
        <v>2.032520325203252E-2</v>
      </c>
    </row>
    <row r="108" spans="2:6" ht="15" customHeight="1">
      <c r="B108" s="74" t="s">
        <v>18</v>
      </c>
      <c r="C108" s="29" t="s">
        <v>179</v>
      </c>
      <c r="D108" s="28">
        <v>2</v>
      </c>
      <c r="E108" s="27">
        <v>8.130081300813009E-3</v>
      </c>
    </row>
    <row r="109" spans="2:6" ht="15" customHeight="1">
      <c r="B109" s="75"/>
      <c r="C109" s="29" t="s">
        <v>154</v>
      </c>
      <c r="D109" s="28">
        <v>1</v>
      </c>
      <c r="E109" s="27">
        <v>4.0650406504065045E-3</v>
      </c>
    </row>
    <row r="110" spans="2:6" ht="15" customHeight="1">
      <c r="B110" s="75"/>
      <c r="C110" s="29" t="s">
        <v>30</v>
      </c>
      <c r="D110" s="28">
        <v>2</v>
      </c>
      <c r="E110" s="27">
        <v>8.130081300813009E-3</v>
      </c>
    </row>
    <row r="111" spans="2:6" ht="15" customHeight="1">
      <c r="B111" s="75"/>
      <c r="C111" s="29" t="s">
        <v>105</v>
      </c>
      <c r="D111" s="28">
        <v>1</v>
      </c>
      <c r="E111" s="27">
        <v>4.0650406504065045E-3</v>
      </c>
    </row>
    <row r="112" spans="2:6" ht="15" customHeight="1">
      <c r="B112" s="75"/>
      <c r="C112" s="29" t="s">
        <v>180</v>
      </c>
      <c r="D112" s="28">
        <v>1</v>
      </c>
      <c r="E112" s="27">
        <v>4.0650406504065045E-3</v>
      </c>
    </row>
    <row r="113" spans="2:5" ht="15" customHeight="1">
      <c r="B113" s="75"/>
      <c r="C113" s="29" t="s">
        <v>29</v>
      </c>
      <c r="D113" s="28">
        <v>2</v>
      </c>
      <c r="E113" s="27">
        <v>8.130081300813009E-3</v>
      </c>
    </row>
    <row r="114" spans="2:5" ht="15" customHeight="1">
      <c r="B114" s="75"/>
      <c r="C114" s="29" t="s">
        <v>181</v>
      </c>
      <c r="D114" s="28">
        <v>1</v>
      </c>
      <c r="E114" s="27">
        <v>4.0650406504065045E-3</v>
      </c>
    </row>
    <row r="115" spans="2:5" ht="15" customHeight="1">
      <c r="B115" s="75"/>
      <c r="C115" s="29" t="s">
        <v>182</v>
      </c>
      <c r="D115" s="28">
        <v>2</v>
      </c>
      <c r="E115" s="27">
        <v>8.130081300813009E-3</v>
      </c>
    </row>
    <row r="116" spans="2:5" ht="15" customHeight="1">
      <c r="B116" s="75"/>
      <c r="C116" s="29" t="s">
        <v>106</v>
      </c>
      <c r="D116" s="28">
        <v>1</v>
      </c>
      <c r="E116" s="27">
        <v>4.0650406504065045E-3</v>
      </c>
    </row>
    <row r="117" spans="2:5" ht="15" customHeight="1">
      <c r="B117" s="75"/>
      <c r="C117" s="29" t="s">
        <v>18</v>
      </c>
      <c r="D117" s="28">
        <v>2</v>
      </c>
      <c r="E117" s="27">
        <v>8.130081300813009E-3</v>
      </c>
    </row>
    <row r="118" spans="2:5" ht="15" customHeight="1">
      <c r="B118" s="75"/>
      <c r="C118" s="29" t="s">
        <v>183</v>
      </c>
      <c r="D118" s="28">
        <v>1</v>
      </c>
      <c r="E118" s="27">
        <v>4.0650406504065045E-3</v>
      </c>
    </row>
    <row r="119" spans="2:5" ht="15" customHeight="1">
      <c r="B119" s="75"/>
      <c r="C119" s="29" t="s">
        <v>184</v>
      </c>
      <c r="D119" s="28">
        <v>1</v>
      </c>
      <c r="E119" s="27">
        <v>4.0650406504065045E-3</v>
      </c>
    </row>
    <row r="120" spans="2:5" ht="15" customHeight="1">
      <c r="B120" s="75"/>
      <c r="C120" s="29" t="s">
        <v>185</v>
      </c>
      <c r="D120" s="28">
        <v>1</v>
      </c>
      <c r="E120" s="27">
        <v>4.0650406504065045E-3</v>
      </c>
    </row>
    <row r="121" spans="2:5" ht="15" customHeight="1">
      <c r="B121" s="75"/>
      <c r="C121" s="29" t="s">
        <v>107</v>
      </c>
      <c r="D121" s="28">
        <v>1</v>
      </c>
      <c r="E121" s="27">
        <v>4.0650406504065045E-3</v>
      </c>
    </row>
    <row r="122" spans="2:5" ht="15" customHeight="1">
      <c r="B122" s="75"/>
      <c r="C122" s="29" t="s">
        <v>186</v>
      </c>
      <c r="D122" s="28">
        <v>1</v>
      </c>
      <c r="E122" s="27">
        <v>4.0650406504065045E-3</v>
      </c>
    </row>
    <row r="123" spans="2:5" ht="15" customHeight="1">
      <c r="B123" s="76"/>
      <c r="C123" s="26" t="s">
        <v>3</v>
      </c>
      <c r="D123" s="25">
        <v>20</v>
      </c>
      <c r="E123" s="24">
        <v>8.1300813008130079E-2</v>
      </c>
    </row>
    <row r="124" spans="2:5" ht="15" customHeight="1">
      <c r="B124" s="74" t="s">
        <v>14</v>
      </c>
      <c r="C124" s="29" t="s">
        <v>28</v>
      </c>
      <c r="D124" s="28">
        <v>3</v>
      </c>
      <c r="E124" s="27">
        <v>1.2195121951219513E-2</v>
      </c>
    </row>
    <row r="125" spans="2:5" ht="15" customHeight="1">
      <c r="B125" s="76"/>
      <c r="C125" s="26" t="s">
        <v>3</v>
      </c>
      <c r="D125" s="25">
        <v>3</v>
      </c>
      <c r="E125" s="24">
        <v>1.2195121951219513E-2</v>
      </c>
    </row>
    <row r="126" spans="2:5" ht="15" customHeight="1">
      <c r="B126" s="74" t="s">
        <v>10</v>
      </c>
      <c r="C126" s="29" t="s">
        <v>187</v>
      </c>
      <c r="D126" s="28">
        <v>1</v>
      </c>
      <c r="E126" s="27">
        <v>4.0650406504065045E-3</v>
      </c>
    </row>
    <row r="127" spans="2:5" ht="15" customHeight="1">
      <c r="B127" s="75"/>
      <c r="C127" s="29" t="s">
        <v>108</v>
      </c>
      <c r="D127" s="28">
        <v>1</v>
      </c>
      <c r="E127" s="27">
        <v>4.0650406504065045E-3</v>
      </c>
    </row>
    <row r="128" spans="2:5" ht="15" customHeight="1">
      <c r="B128" s="76"/>
      <c r="C128" s="26" t="s">
        <v>3</v>
      </c>
      <c r="D128" s="25">
        <v>2</v>
      </c>
      <c r="E128" s="24">
        <v>8.130081300813009E-3</v>
      </c>
    </row>
    <row r="129" spans="2:5" ht="15" customHeight="1">
      <c r="B129" s="74" t="s">
        <v>95</v>
      </c>
      <c r="C129" s="29" t="s">
        <v>188</v>
      </c>
      <c r="D129" s="28">
        <v>1</v>
      </c>
      <c r="E129" s="27">
        <v>4.0650406504065045E-3</v>
      </c>
    </row>
    <row r="130" spans="2:5" ht="15" customHeight="1">
      <c r="B130" s="75"/>
      <c r="C130" s="29" t="s">
        <v>189</v>
      </c>
      <c r="D130" s="28">
        <v>2</v>
      </c>
      <c r="E130" s="27">
        <v>8.130081300813009E-3</v>
      </c>
    </row>
    <row r="131" spans="2:5" ht="15" customHeight="1">
      <c r="B131" s="76"/>
      <c r="C131" s="26" t="s">
        <v>3</v>
      </c>
      <c r="D131" s="25">
        <v>3</v>
      </c>
      <c r="E131" s="24">
        <v>1.2195121951219513E-2</v>
      </c>
    </row>
    <row r="132" spans="2:5" ht="15" customHeight="1">
      <c r="B132" s="74" t="s">
        <v>6</v>
      </c>
      <c r="C132" s="29" t="s">
        <v>190</v>
      </c>
      <c r="D132" s="28">
        <v>1</v>
      </c>
      <c r="E132" s="27">
        <v>4.0650406504065045E-3</v>
      </c>
    </row>
    <row r="133" spans="2:5" ht="15" customHeight="1">
      <c r="B133" s="76"/>
      <c r="C133" s="26" t="s">
        <v>3</v>
      </c>
      <c r="D133" s="25">
        <v>1</v>
      </c>
      <c r="E133" s="24">
        <v>4.0650406504065045E-3</v>
      </c>
    </row>
    <row r="134" spans="2:5" ht="15" customHeight="1">
      <c r="B134" s="74" t="s">
        <v>5</v>
      </c>
      <c r="C134" s="29" t="s">
        <v>191</v>
      </c>
      <c r="D134" s="28">
        <v>1</v>
      </c>
      <c r="E134" s="27">
        <v>4.0650406504065045E-3</v>
      </c>
    </row>
    <row r="135" spans="2:5" ht="15" customHeight="1">
      <c r="B135" s="75"/>
      <c r="C135" s="29" t="s">
        <v>192</v>
      </c>
      <c r="D135" s="28">
        <v>1</v>
      </c>
      <c r="E135" s="27">
        <v>4.0650406504065045E-3</v>
      </c>
    </row>
    <row r="136" spans="2:5" ht="15" customHeight="1">
      <c r="B136" s="76"/>
      <c r="C136" s="26" t="s">
        <v>3</v>
      </c>
      <c r="D136" s="25">
        <v>2</v>
      </c>
      <c r="E136" s="24">
        <v>8.130081300813009E-3</v>
      </c>
    </row>
    <row r="137" spans="2:5" ht="15" customHeight="1">
      <c r="B137" s="74" t="s">
        <v>9</v>
      </c>
      <c r="C137" s="29" t="s">
        <v>193</v>
      </c>
      <c r="D137" s="28">
        <v>1</v>
      </c>
      <c r="E137" s="27">
        <v>4.0650406504065045E-3</v>
      </c>
    </row>
    <row r="138" spans="2:5" ht="15" customHeight="1">
      <c r="B138" s="75"/>
      <c r="C138" s="29" t="s">
        <v>27</v>
      </c>
      <c r="D138" s="28">
        <v>3</v>
      </c>
      <c r="E138" s="27">
        <v>1.2195121951219513E-2</v>
      </c>
    </row>
    <row r="139" spans="2:5" ht="15" customHeight="1">
      <c r="B139" s="76"/>
      <c r="C139" s="26" t="s">
        <v>3</v>
      </c>
      <c r="D139" s="25">
        <v>4</v>
      </c>
      <c r="E139" s="24">
        <v>1.6260162601626018E-2</v>
      </c>
    </row>
    <row r="140" spans="2:5" ht="15" customHeight="1">
      <c r="B140" s="74" t="s">
        <v>17</v>
      </c>
      <c r="C140" s="29" t="s">
        <v>194</v>
      </c>
      <c r="D140" s="28">
        <v>1</v>
      </c>
      <c r="E140" s="27">
        <v>4.0650406504065045E-3</v>
      </c>
    </row>
    <row r="141" spans="2:5" ht="15" customHeight="1">
      <c r="B141" s="75"/>
      <c r="C141" s="29" t="s">
        <v>195</v>
      </c>
      <c r="D141" s="28">
        <v>2</v>
      </c>
      <c r="E141" s="27">
        <v>8.130081300813009E-3</v>
      </c>
    </row>
    <row r="142" spans="2:5" ht="15" customHeight="1">
      <c r="B142" s="75"/>
      <c r="C142" s="29" t="s">
        <v>128</v>
      </c>
      <c r="D142" s="28">
        <v>2</v>
      </c>
      <c r="E142" s="27">
        <v>8.130081300813009E-3</v>
      </c>
    </row>
    <row r="143" spans="2:5" ht="15" customHeight="1">
      <c r="B143" s="75"/>
      <c r="C143" s="29" t="s">
        <v>196</v>
      </c>
      <c r="D143" s="28">
        <v>1</v>
      </c>
      <c r="E143" s="27">
        <v>4.0650406504065045E-3</v>
      </c>
    </row>
    <row r="144" spans="2:5" ht="15" customHeight="1">
      <c r="B144" s="75"/>
      <c r="C144" s="29" t="s">
        <v>197</v>
      </c>
      <c r="D144" s="28">
        <v>3</v>
      </c>
      <c r="E144" s="27">
        <v>1.2195121951219513E-2</v>
      </c>
    </row>
    <row r="145" spans="2:5" ht="15" customHeight="1">
      <c r="B145" s="75"/>
      <c r="C145" s="29" t="s">
        <v>26</v>
      </c>
      <c r="D145" s="28">
        <v>1</v>
      </c>
      <c r="E145" s="27">
        <v>4.0650406504065045E-3</v>
      </c>
    </row>
    <row r="146" spans="2:5" ht="15" customHeight="1">
      <c r="B146" s="75"/>
      <c r="C146" s="29" t="s">
        <v>198</v>
      </c>
      <c r="D146" s="28">
        <v>1</v>
      </c>
      <c r="E146" s="27">
        <v>4.0650406504065045E-3</v>
      </c>
    </row>
    <row r="147" spans="2:5" ht="15" customHeight="1">
      <c r="B147" s="75"/>
      <c r="C147" s="29" t="s">
        <v>199</v>
      </c>
      <c r="D147" s="28">
        <v>3</v>
      </c>
      <c r="E147" s="27">
        <v>1.2195121951219513E-2</v>
      </c>
    </row>
    <row r="148" spans="2:5" ht="15" customHeight="1">
      <c r="B148" s="75"/>
      <c r="C148" s="29" t="s">
        <v>200</v>
      </c>
      <c r="D148" s="28">
        <v>1</v>
      </c>
      <c r="E148" s="27">
        <v>4.0650406504065045E-3</v>
      </c>
    </row>
    <row r="149" spans="2:5" ht="15" customHeight="1">
      <c r="B149" s="75"/>
      <c r="C149" s="29" t="s">
        <v>201</v>
      </c>
      <c r="D149" s="28">
        <v>1</v>
      </c>
      <c r="E149" s="27">
        <v>4.0650406504065045E-3</v>
      </c>
    </row>
    <row r="150" spans="2:5" ht="15" customHeight="1">
      <c r="B150" s="75"/>
      <c r="C150" s="29" t="s">
        <v>202</v>
      </c>
      <c r="D150" s="28">
        <v>1</v>
      </c>
      <c r="E150" s="27">
        <v>4.0650406504065045E-3</v>
      </c>
    </row>
    <row r="151" spans="2:5" ht="15" customHeight="1">
      <c r="B151" s="75"/>
      <c r="C151" s="29" t="s">
        <v>203</v>
      </c>
      <c r="D151" s="28">
        <v>1</v>
      </c>
      <c r="E151" s="27">
        <v>4.0650406504065045E-3</v>
      </c>
    </row>
    <row r="152" spans="2:5" ht="15" customHeight="1">
      <c r="B152" s="75"/>
      <c r="C152" s="29" t="s">
        <v>109</v>
      </c>
      <c r="D152" s="28">
        <v>2</v>
      </c>
      <c r="E152" s="27">
        <v>8.130081300813009E-3</v>
      </c>
    </row>
    <row r="153" spans="2:5" ht="15" customHeight="1">
      <c r="B153" s="75"/>
      <c r="C153" s="29" t="s">
        <v>204</v>
      </c>
      <c r="D153" s="28">
        <v>1</v>
      </c>
      <c r="E153" s="27">
        <v>4.0650406504065045E-3</v>
      </c>
    </row>
    <row r="154" spans="2:5" ht="15" customHeight="1">
      <c r="B154" s="75"/>
      <c r="C154" s="29" t="s">
        <v>17</v>
      </c>
      <c r="D154" s="28">
        <v>6</v>
      </c>
      <c r="E154" s="27">
        <v>2.4390243902439025E-2</v>
      </c>
    </row>
    <row r="155" spans="2:5" ht="15" customHeight="1">
      <c r="B155" s="75"/>
      <c r="C155" s="29" t="s">
        <v>25</v>
      </c>
      <c r="D155" s="28">
        <v>1</v>
      </c>
      <c r="E155" s="27">
        <v>4.0650406504065045E-3</v>
      </c>
    </row>
    <row r="156" spans="2:5" ht="15" customHeight="1">
      <c r="B156" s="76"/>
      <c r="C156" s="26" t="s">
        <v>3</v>
      </c>
      <c r="D156" s="25">
        <v>28</v>
      </c>
      <c r="E156" s="24">
        <v>0.11382113821138211</v>
      </c>
    </row>
    <row r="157" spans="2:5" ht="15" customHeight="1">
      <c r="B157" s="74" t="s">
        <v>4</v>
      </c>
      <c r="C157" s="29" t="s">
        <v>205</v>
      </c>
      <c r="D157" s="28">
        <v>1</v>
      </c>
      <c r="E157" s="27">
        <v>4.0650406504065045E-3</v>
      </c>
    </row>
    <row r="158" spans="2:5" ht="15" customHeight="1">
      <c r="B158" s="76"/>
      <c r="C158" s="26" t="s">
        <v>3</v>
      </c>
      <c r="D158" s="25">
        <v>1</v>
      </c>
      <c r="E158" s="24">
        <v>4.0650406504065045E-3</v>
      </c>
    </row>
    <row r="159" spans="2:5" ht="15" customHeight="1">
      <c r="B159" s="78" t="s">
        <v>3</v>
      </c>
      <c r="C159" s="79"/>
      <c r="D159" s="60">
        <f>SUMIF(C$10:C158,"Total",D$10:D158)</f>
        <v>246</v>
      </c>
      <c r="E159" s="61">
        <v>1</v>
      </c>
    </row>
    <row r="161" spans="2:2" ht="15" customHeight="1">
      <c r="B161" s="3" t="s">
        <v>116</v>
      </c>
    </row>
    <row r="162" spans="2:2" ht="15" customHeight="1">
      <c r="B162" s="5" t="s">
        <v>2</v>
      </c>
    </row>
    <row r="163" spans="2:2" ht="15" customHeight="1">
      <c r="B163" s="4" t="s">
        <v>1</v>
      </c>
    </row>
    <row r="164" spans="2:2" ht="15" customHeight="1">
      <c r="B164" s="3" t="s">
        <v>0</v>
      </c>
    </row>
    <row r="165" spans="2:2" ht="15" customHeight="1">
      <c r="B165" s="3" t="s">
        <v>117</v>
      </c>
    </row>
    <row r="362" spans="1:2" s="21" customFormat="1" ht="15" customHeight="1">
      <c r="A362" s="20"/>
      <c r="B362" s="22"/>
    </row>
    <row r="363" spans="1:2" s="21" customFormat="1" ht="15" customHeight="1">
      <c r="A363" s="20"/>
      <c r="B363" s="23"/>
    </row>
    <row r="364" spans="1:2" s="21" customFormat="1" ht="15" customHeight="1">
      <c r="A364" s="20"/>
      <c r="B364" s="23"/>
    </row>
    <row r="365" spans="1:2" s="21" customFormat="1" ht="15" customHeight="1">
      <c r="A365" s="20"/>
      <c r="B365" s="22"/>
    </row>
    <row r="366" spans="1:2" s="21" customFormat="1" ht="15" customHeight="1">
      <c r="A366" s="20"/>
      <c r="B366" s="22"/>
    </row>
  </sheetData>
  <mergeCells count="27">
    <mergeCell ref="B157:B158"/>
    <mergeCell ref="B159:C159"/>
    <mergeCell ref="B129:B131"/>
    <mergeCell ref="B132:B133"/>
    <mergeCell ref="B134:B136"/>
    <mergeCell ref="B137:B139"/>
    <mergeCell ref="B140:B156"/>
    <mergeCell ref="B101:B102"/>
    <mergeCell ref="B103:B107"/>
    <mergeCell ref="B108:B123"/>
    <mergeCell ref="B124:B125"/>
    <mergeCell ref="B126:B128"/>
    <mergeCell ref="B7:E8"/>
    <mergeCell ref="B10:B11"/>
    <mergeCell ref="B12:B13"/>
    <mergeCell ref="B14:B17"/>
    <mergeCell ref="B18:B19"/>
    <mergeCell ref="B20:B22"/>
    <mergeCell ref="B23:B24"/>
    <mergeCell ref="B25:B35"/>
    <mergeCell ref="B36:B44"/>
    <mergeCell ref="B45:B49"/>
    <mergeCell ref="B50:B66"/>
    <mergeCell ref="B67:B81"/>
    <mergeCell ref="B82:B88"/>
    <mergeCell ref="B89:B97"/>
    <mergeCell ref="B98:B10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7"/>
  <sheetViews>
    <sheetView showGridLines="0" zoomScaleNormal="100" zoomScaleSheetLayoutView="115" workbookViewId="0">
      <selection activeCell="B19" sqref="B19"/>
    </sheetView>
  </sheetViews>
  <sheetFormatPr baseColWidth="10" defaultColWidth="11.42578125" defaultRowHeight="15"/>
  <cols>
    <col min="1" max="1" width="9.28515625" style="1" customWidth="1"/>
    <col min="2" max="2" width="30.570312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>
      <c r="C1" s="19"/>
    </row>
    <row r="2" spans="1:4" s="13" customFormat="1" ht="15" customHeight="1">
      <c r="C2" s="19"/>
    </row>
    <row r="3" spans="1:4" s="13" customFormat="1" ht="15" customHeight="1">
      <c r="C3" s="19"/>
    </row>
    <row r="4" spans="1:4" s="13" customFormat="1" ht="30" customHeight="1">
      <c r="C4" s="19"/>
      <c r="D4" s="18"/>
    </row>
    <row r="5" spans="1:4" s="13" customFormat="1" ht="15" customHeight="1">
      <c r="C5" s="19"/>
      <c r="D5" s="18"/>
    </row>
    <row r="6" spans="1:4" s="13" customFormat="1" ht="15" customHeight="1">
      <c r="C6" s="19"/>
      <c r="D6" s="18"/>
    </row>
    <row r="7" spans="1:4" s="13" customFormat="1" ht="15" customHeight="1">
      <c r="B7" s="73" t="s">
        <v>60</v>
      </c>
      <c r="C7" s="73"/>
      <c r="D7" s="73"/>
    </row>
    <row r="8" spans="1:4" s="13" customFormat="1" ht="15" customHeight="1">
      <c r="B8" s="73"/>
      <c r="C8" s="73"/>
      <c r="D8" s="73"/>
    </row>
    <row r="9" spans="1:4" s="13" customFormat="1" ht="33" customHeight="1">
      <c r="B9" s="73"/>
      <c r="C9" s="73"/>
      <c r="D9" s="73"/>
    </row>
    <row r="10" spans="1:4" s="13" customFormat="1" ht="4.5" customHeight="1">
      <c r="B10" s="17"/>
      <c r="C10" s="17"/>
      <c r="D10" s="17"/>
    </row>
    <row r="11" spans="1:4" s="13" customFormat="1" ht="33" customHeight="1">
      <c r="B11" s="16" t="s">
        <v>59</v>
      </c>
      <c r="C11" s="15" t="s">
        <v>23</v>
      </c>
      <c r="D11" s="14" t="s">
        <v>22</v>
      </c>
    </row>
    <row r="12" spans="1:4">
      <c r="B12" s="11" t="s">
        <v>58</v>
      </c>
      <c r="C12" s="10">
        <v>1</v>
      </c>
      <c r="D12" s="9">
        <v>4.0650406504065045E-3</v>
      </c>
    </row>
    <row r="13" spans="1:4">
      <c r="B13" s="11" t="s">
        <v>110</v>
      </c>
      <c r="C13" s="10">
        <v>1</v>
      </c>
      <c r="D13" s="9">
        <v>4.0650406504065045E-3</v>
      </c>
    </row>
    <row r="14" spans="1:4">
      <c r="A14" s="12"/>
      <c r="B14" s="11" t="s">
        <v>206</v>
      </c>
      <c r="C14" s="10">
        <v>1</v>
      </c>
      <c r="D14" s="9">
        <v>4.0650406504065045E-3</v>
      </c>
    </row>
    <row r="15" spans="1:4">
      <c r="A15" s="12"/>
      <c r="B15" s="11" t="s">
        <v>111</v>
      </c>
      <c r="C15" s="10">
        <v>4</v>
      </c>
      <c r="D15" s="9">
        <v>1.6260162601626018E-2</v>
      </c>
    </row>
    <row r="16" spans="1:4">
      <c r="B16" s="11" t="s">
        <v>57</v>
      </c>
      <c r="C16" s="10">
        <v>4</v>
      </c>
      <c r="D16" s="9">
        <v>1.6260162601626018E-2</v>
      </c>
    </row>
    <row r="17" spans="2:4">
      <c r="B17" s="11" t="s">
        <v>56</v>
      </c>
      <c r="C17" s="10">
        <v>10</v>
      </c>
      <c r="D17" s="9">
        <v>4.065040650406504E-2</v>
      </c>
    </row>
    <row r="18" spans="2:4">
      <c r="B18" s="11" t="s">
        <v>55</v>
      </c>
      <c r="C18" s="10">
        <v>31</v>
      </c>
      <c r="D18" s="9">
        <v>0.12601626016260162</v>
      </c>
    </row>
    <row r="19" spans="2:4">
      <c r="B19" s="11" t="s">
        <v>54</v>
      </c>
      <c r="C19" s="10">
        <v>6</v>
      </c>
      <c r="D19" s="9">
        <v>2.4390243902439025E-2</v>
      </c>
    </row>
    <row r="20" spans="2:4">
      <c r="B20" s="11" t="s">
        <v>207</v>
      </c>
      <c r="C20" s="10">
        <v>9</v>
      </c>
      <c r="D20" s="9">
        <v>3.6585365853658534E-2</v>
      </c>
    </row>
    <row r="21" spans="2:4">
      <c r="B21" s="11" t="s">
        <v>53</v>
      </c>
      <c r="C21" s="10">
        <v>11</v>
      </c>
      <c r="D21" s="9">
        <v>4.4715447154471545E-2</v>
      </c>
    </row>
    <row r="22" spans="2:4">
      <c r="B22" s="11" t="s">
        <v>52</v>
      </c>
      <c r="C22" s="10">
        <v>92</v>
      </c>
      <c r="D22" s="9">
        <v>0.37398373983739835</v>
      </c>
    </row>
    <row r="23" spans="2:4">
      <c r="B23" s="11" t="s">
        <v>208</v>
      </c>
      <c r="C23" s="10">
        <v>2</v>
      </c>
      <c r="D23" s="9">
        <v>8.130081300813009E-3</v>
      </c>
    </row>
    <row r="24" spans="2:4">
      <c r="B24" s="11" t="s">
        <v>51</v>
      </c>
      <c r="C24" s="10">
        <v>15</v>
      </c>
      <c r="D24" s="9">
        <v>6.097560975609756E-2</v>
      </c>
    </row>
    <row r="25" spans="2:4">
      <c r="B25" s="11" t="s">
        <v>50</v>
      </c>
      <c r="C25" s="10">
        <v>43</v>
      </c>
      <c r="D25" s="9">
        <v>0.17479674796747968</v>
      </c>
    </row>
    <row r="26" spans="2:4">
      <c r="B26" s="11" t="s">
        <v>209</v>
      </c>
      <c r="C26" s="10">
        <v>2</v>
      </c>
      <c r="D26" s="9">
        <v>8.130081300813009E-3</v>
      </c>
    </row>
    <row r="27" spans="2:4">
      <c r="B27" s="11" t="s">
        <v>210</v>
      </c>
      <c r="C27" s="10">
        <v>2</v>
      </c>
      <c r="D27" s="9">
        <v>8.130081300813009E-3</v>
      </c>
    </row>
    <row r="28" spans="2:4">
      <c r="B28" s="11" t="s">
        <v>49</v>
      </c>
      <c r="C28" s="10">
        <v>4</v>
      </c>
      <c r="D28" s="9">
        <v>1.6260162601626018E-2</v>
      </c>
    </row>
    <row r="29" spans="2:4">
      <c r="B29" s="11" t="s">
        <v>48</v>
      </c>
      <c r="C29" s="10">
        <v>7</v>
      </c>
      <c r="D29" s="9">
        <v>2.8455284552845527E-2</v>
      </c>
    </row>
    <row r="30" spans="2:4">
      <c r="B30" s="11" t="s">
        <v>112</v>
      </c>
      <c r="C30" s="10">
        <v>1</v>
      </c>
      <c r="D30" s="9">
        <v>4.0650406504065045E-3</v>
      </c>
    </row>
    <row r="31" spans="2:4">
      <c r="B31" s="8" t="s">
        <v>3</v>
      </c>
      <c r="C31" s="7">
        <v>246</v>
      </c>
      <c r="D31" s="6">
        <v>1</v>
      </c>
    </row>
    <row r="33" spans="2:2">
      <c r="B33" s="3" t="s">
        <v>116</v>
      </c>
    </row>
    <row r="34" spans="2:2">
      <c r="B34" s="5" t="s">
        <v>2</v>
      </c>
    </row>
    <row r="35" spans="2:2">
      <c r="B35" s="4" t="s">
        <v>1</v>
      </c>
    </row>
    <row r="36" spans="2:2">
      <c r="B36" s="3" t="s">
        <v>0</v>
      </c>
    </row>
    <row r="37" spans="2:2">
      <c r="B37" s="3" t="s">
        <v>117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35"/>
  <sheetViews>
    <sheetView showGridLines="0" topLeftCell="A104" zoomScaleNormal="100" zoomScaleSheetLayoutView="100" workbookViewId="0">
      <selection activeCell="B10" sqref="B10:B11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77"/>
      <c r="C7" s="77"/>
      <c r="D7" s="77"/>
      <c r="E7" s="77"/>
    </row>
    <row r="8" spans="1:5" s="34" customFormat="1" ht="33" customHeight="1">
      <c r="A8" s="35"/>
      <c r="B8" s="77"/>
      <c r="C8" s="77"/>
      <c r="D8" s="77"/>
      <c r="E8" s="77"/>
    </row>
    <row r="9" spans="1:5" s="13" customFormat="1" ht="40.5" customHeight="1">
      <c r="B9" s="31" t="s">
        <v>59</v>
      </c>
      <c r="C9" s="33" t="s">
        <v>24</v>
      </c>
      <c r="D9" s="32" t="s">
        <v>23</v>
      </c>
      <c r="E9" s="31" t="s">
        <v>22</v>
      </c>
    </row>
    <row r="10" spans="1:5" ht="15" customHeight="1">
      <c r="B10" s="74" t="s">
        <v>58</v>
      </c>
      <c r="C10" s="29" t="s">
        <v>4</v>
      </c>
      <c r="D10" s="28">
        <v>1</v>
      </c>
      <c r="E10" s="27">
        <v>4.0650406504065045E-3</v>
      </c>
    </row>
    <row r="11" spans="1:5" ht="15" customHeight="1">
      <c r="B11" s="76"/>
      <c r="C11" s="26" t="s">
        <v>3</v>
      </c>
      <c r="D11" s="25">
        <v>1</v>
      </c>
      <c r="E11" s="24">
        <v>4.0650406504065045E-3</v>
      </c>
    </row>
    <row r="12" spans="1:5" ht="15" customHeight="1">
      <c r="B12" s="74" t="s">
        <v>110</v>
      </c>
      <c r="C12" s="29" t="s">
        <v>20</v>
      </c>
      <c r="D12" s="28">
        <v>1</v>
      </c>
      <c r="E12" s="27">
        <v>4.0650406504065045E-3</v>
      </c>
    </row>
    <row r="13" spans="1:5" ht="15" customHeight="1">
      <c r="B13" s="76"/>
      <c r="C13" s="26" t="s">
        <v>3</v>
      </c>
      <c r="D13" s="25">
        <v>1</v>
      </c>
      <c r="E13" s="24">
        <v>4.0650406504065045E-3</v>
      </c>
    </row>
    <row r="14" spans="1:5" ht="15" customHeight="1">
      <c r="B14" s="74" t="s">
        <v>206</v>
      </c>
      <c r="C14" s="29" t="s">
        <v>21</v>
      </c>
      <c r="D14" s="28">
        <v>1</v>
      </c>
      <c r="E14" s="27">
        <v>4.0650406504065045E-3</v>
      </c>
    </row>
    <row r="15" spans="1:5" ht="15" customHeight="1">
      <c r="B15" s="76"/>
      <c r="C15" s="26" t="s">
        <v>3</v>
      </c>
      <c r="D15" s="25">
        <v>1</v>
      </c>
      <c r="E15" s="24">
        <v>4.0650406504065045E-3</v>
      </c>
    </row>
    <row r="16" spans="1:5" ht="15" customHeight="1">
      <c r="B16" s="74" t="s">
        <v>111</v>
      </c>
      <c r="C16" s="29" t="s">
        <v>21</v>
      </c>
      <c r="D16" s="28">
        <v>2</v>
      </c>
      <c r="E16" s="27">
        <v>8.130081300813009E-3</v>
      </c>
    </row>
    <row r="17" spans="2:5" ht="15" customHeight="1">
      <c r="B17" s="75"/>
      <c r="C17" s="29" t="s">
        <v>16</v>
      </c>
      <c r="D17" s="28">
        <v>1</v>
      </c>
      <c r="E17" s="27">
        <v>4.0650406504065045E-3</v>
      </c>
    </row>
    <row r="18" spans="2:5" ht="15" customHeight="1">
      <c r="B18" s="75"/>
      <c r="C18" s="29" t="s">
        <v>17</v>
      </c>
      <c r="D18" s="28">
        <v>1</v>
      </c>
      <c r="E18" s="27">
        <v>4.0650406504065045E-3</v>
      </c>
    </row>
    <row r="19" spans="2:5" ht="15" customHeight="1">
      <c r="B19" s="76"/>
      <c r="C19" s="26" t="s">
        <v>3</v>
      </c>
      <c r="D19" s="25">
        <v>4</v>
      </c>
      <c r="E19" s="24">
        <v>1.6260162601626018E-2</v>
      </c>
    </row>
    <row r="20" spans="2:5" ht="15" customHeight="1">
      <c r="B20" s="74" t="s">
        <v>57</v>
      </c>
      <c r="C20" s="29" t="s">
        <v>15</v>
      </c>
      <c r="D20" s="28">
        <v>1</v>
      </c>
      <c r="E20" s="27">
        <v>4.0650406504065045E-3</v>
      </c>
    </row>
    <row r="21" spans="2:5" ht="15" customHeight="1">
      <c r="B21" s="75"/>
      <c r="C21" s="29" t="s">
        <v>8</v>
      </c>
      <c r="D21" s="28">
        <v>1</v>
      </c>
      <c r="E21" s="27">
        <v>4.0650406504065045E-3</v>
      </c>
    </row>
    <row r="22" spans="2:5" ht="15" customHeight="1">
      <c r="B22" s="75"/>
      <c r="C22" s="29" t="s">
        <v>20</v>
      </c>
      <c r="D22" s="28">
        <v>1</v>
      </c>
      <c r="E22" s="27">
        <v>4.0650406504065045E-3</v>
      </c>
    </row>
    <row r="23" spans="2:5" ht="15" customHeight="1">
      <c r="B23" s="75"/>
      <c r="C23" s="29" t="s">
        <v>16</v>
      </c>
      <c r="D23" s="28">
        <v>1</v>
      </c>
      <c r="E23" s="27">
        <v>4.0650406504065045E-3</v>
      </c>
    </row>
    <row r="24" spans="2:5" ht="15" customHeight="1">
      <c r="B24" s="76"/>
      <c r="C24" s="26" t="s">
        <v>3</v>
      </c>
      <c r="D24" s="25">
        <v>4</v>
      </c>
      <c r="E24" s="24">
        <v>1.6260162601626018E-2</v>
      </c>
    </row>
    <row r="25" spans="2:5" ht="15" customHeight="1">
      <c r="B25" s="74" t="s">
        <v>56</v>
      </c>
      <c r="C25" s="29" t="s">
        <v>94</v>
      </c>
      <c r="D25" s="28">
        <v>1</v>
      </c>
      <c r="E25" s="27">
        <v>4.0650406504065045E-3</v>
      </c>
    </row>
    <row r="26" spans="2:5" ht="15" customHeight="1">
      <c r="B26" s="75"/>
      <c r="C26" s="29" t="s">
        <v>8</v>
      </c>
      <c r="D26" s="28">
        <v>2</v>
      </c>
      <c r="E26" s="27">
        <v>8.130081300813009E-3</v>
      </c>
    </row>
    <row r="27" spans="2:5" ht="15" customHeight="1">
      <c r="B27" s="75"/>
      <c r="C27" s="29" t="s">
        <v>20</v>
      </c>
      <c r="D27" s="28">
        <v>2</v>
      </c>
      <c r="E27" s="27">
        <v>8.130081300813009E-3</v>
      </c>
    </row>
    <row r="28" spans="2:5" ht="15" customHeight="1">
      <c r="B28" s="75"/>
      <c r="C28" s="29" t="s">
        <v>21</v>
      </c>
      <c r="D28" s="28">
        <v>3</v>
      </c>
      <c r="E28" s="27">
        <v>1.2195121951219513E-2</v>
      </c>
    </row>
    <row r="29" spans="2:5" ht="15" customHeight="1">
      <c r="B29" s="75"/>
      <c r="C29" s="29" t="s">
        <v>18</v>
      </c>
      <c r="D29" s="28">
        <v>1</v>
      </c>
      <c r="E29" s="27">
        <v>4.0650406504065045E-3</v>
      </c>
    </row>
    <row r="30" spans="2:5" ht="15" customHeight="1">
      <c r="B30" s="75"/>
      <c r="C30" s="29" t="s">
        <v>9</v>
      </c>
      <c r="D30" s="28">
        <v>1</v>
      </c>
      <c r="E30" s="27">
        <v>4.0650406504065045E-3</v>
      </c>
    </row>
    <row r="31" spans="2:5" ht="15" customHeight="1">
      <c r="B31" s="76"/>
      <c r="C31" s="26" t="s">
        <v>3</v>
      </c>
      <c r="D31" s="25">
        <v>10</v>
      </c>
      <c r="E31" s="24">
        <v>4.065040650406504E-2</v>
      </c>
    </row>
    <row r="32" spans="2:5" ht="15" customHeight="1">
      <c r="B32" s="74" t="s">
        <v>55</v>
      </c>
      <c r="C32" s="29" t="s">
        <v>19</v>
      </c>
      <c r="D32" s="28">
        <v>2</v>
      </c>
      <c r="E32" s="27">
        <v>8.130081300813009E-3</v>
      </c>
    </row>
    <row r="33" spans="2:5" ht="15" customHeight="1">
      <c r="B33" s="75"/>
      <c r="C33" s="29" t="s">
        <v>13</v>
      </c>
      <c r="D33" s="28">
        <v>1</v>
      </c>
      <c r="E33" s="27">
        <v>4.0650406504065045E-3</v>
      </c>
    </row>
    <row r="34" spans="2:5" ht="15" customHeight="1">
      <c r="B34" s="75"/>
      <c r="C34" s="29" t="s">
        <v>8</v>
      </c>
      <c r="D34" s="28">
        <v>2</v>
      </c>
      <c r="E34" s="27">
        <v>8.130081300813009E-3</v>
      </c>
    </row>
    <row r="35" spans="2:5" ht="15" customHeight="1">
      <c r="B35" s="75"/>
      <c r="C35" s="29" t="s">
        <v>20</v>
      </c>
      <c r="D35" s="28">
        <v>5</v>
      </c>
      <c r="E35" s="27">
        <v>2.032520325203252E-2</v>
      </c>
    </row>
    <row r="36" spans="2:5" ht="15" customHeight="1">
      <c r="B36" s="75"/>
      <c r="C36" s="29" t="s">
        <v>21</v>
      </c>
      <c r="D36" s="28">
        <v>6</v>
      </c>
      <c r="E36" s="27">
        <v>2.4390243902439025E-2</v>
      </c>
    </row>
    <row r="37" spans="2:5" ht="15" customHeight="1">
      <c r="B37" s="75"/>
      <c r="C37" s="29" t="s">
        <v>12</v>
      </c>
      <c r="D37" s="28">
        <v>1</v>
      </c>
      <c r="E37" s="27">
        <v>4.0650406504065045E-3</v>
      </c>
    </row>
    <row r="38" spans="2:5" ht="15" customHeight="1">
      <c r="B38" s="75"/>
      <c r="C38" s="29" t="s">
        <v>16</v>
      </c>
      <c r="D38" s="28">
        <v>4</v>
      </c>
      <c r="E38" s="27">
        <v>1.6260162601626018E-2</v>
      </c>
    </row>
    <row r="39" spans="2:5" ht="15" customHeight="1">
      <c r="B39" s="75"/>
      <c r="C39" s="29" t="s">
        <v>11</v>
      </c>
      <c r="D39" s="28">
        <v>1</v>
      </c>
      <c r="E39" s="27">
        <v>4.0650406504065045E-3</v>
      </c>
    </row>
    <row r="40" spans="2:5" ht="15" customHeight="1">
      <c r="B40" s="75"/>
      <c r="C40" s="29" t="s">
        <v>18</v>
      </c>
      <c r="D40" s="28">
        <v>4</v>
      </c>
      <c r="E40" s="27">
        <v>1.6260162601626018E-2</v>
      </c>
    </row>
    <row r="41" spans="2:5" ht="15" customHeight="1">
      <c r="B41" s="75"/>
      <c r="C41" s="29" t="s">
        <v>14</v>
      </c>
      <c r="D41" s="28">
        <v>1</v>
      </c>
      <c r="E41" s="27">
        <v>4.0650406504065045E-3</v>
      </c>
    </row>
    <row r="42" spans="2:5" ht="15" customHeight="1">
      <c r="B42" s="75"/>
      <c r="C42" s="29" t="s">
        <v>17</v>
      </c>
      <c r="D42" s="28">
        <v>4</v>
      </c>
      <c r="E42" s="27">
        <v>1.6260162601626018E-2</v>
      </c>
    </row>
    <row r="43" spans="2:5" ht="15" customHeight="1">
      <c r="B43" s="76"/>
      <c r="C43" s="26" t="s">
        <v>3</v>
      </c>
      <c r="D43" s="25">
        <v>31</v>
      </c>
      <c r="E43" s="24">
        <v>0.12601626016260162</v>
      </c>
    </row>
    <row r="44" spans="2:5" ht="15" customHeight="1">
      <c r="B44" s="74" t="s">
        <v>54</v>
      </c>
      <c r="C44" s="29" t="s">
        <v>19</v>
      </c>
      <c r="D44" s="28">
        <v>1</v>
      </c>
      <c r="E44" s="27">
        <v>4.0650406504065045E-3</v>
      </c>
    </row>
    <row r="45" spans="2:5" ht="15" customHeight="1">
      <c r="B45" s="75"/>
      <c r="C45" s="29" t="s">
        <v>13</v>
      </c>
      <c r="D45" s="28">
        <v>1</v>
      </c>
      <c r="E45" s="27">
        <v>4.0650406504065045E-3</v>
      </c>
    </row>
    <row r="46" spans="2:5" ht="15" customHeight="1">
      <c r="B46" s="75"/>
      <c r="C46" s="29" t="s">
        <v>20</v>
      </c>
      <c r="D46" s="28">
        <v>1</v>
      </c>
      <c r="E46" s="27">
        <v>4.0650406504065045E-3</v>
      </c>
    </row>
    <row r="47" spans="2:5" ht="15" customHeight="1">
      <c r="B47" s="75"/>
      <c r="C47" s="29" t="s">
        <v>21</v>
      </c>
      <c r="D47" s="28">
        <v>1</v>
      </c>
      <c r="E47" s="27">
        <v>4.0650406504065045E-3</v>
      </c>
    </row>
    <row r="48" spans="2:5" ht="15" customHeight="1">
      <c r="B48" s="75"/>
      <c r="C48" s="29" t="s">
        <v>12</v>
      </c>
      <c r="D48" s="28">
        <v>1</v>
      </c>
      <c r="E48" s="27">
        <v>4.0650406504065045E-3</v>
      </c>
    </row>
    <row r="49" spans="2:5" ht="15" customHeight="1">
      <c r="B49" s="75"/>
      <c r="C49" s="29" t="s">
        <v>18</v>
      </c>
      <c r="D49" s="28">
        <v>1</v>
      </c>
      <c r="E49" s="27">
        <v>4.0650406504065045E-3</v>
      </c>
    </row>
    <row r="50" spans="2:5" ht="15" customHeight="1">
      <c r="B50" s="76"/>
      <c r="C50" s="26" t="s">
        <v>3</v>
      </c>
      <c r="D50" s="25">
        <v>6</v>
      </c>
      <c r="E50" s="24">
        <v>2.4390243902439025E-2</v>
      </c>
    </row>
    <row r="51" spans="2:5" ht="15" customHeight="1">
      <c r="B51" s="74" t="s">
        <v>207</v>
      </c>
      <c r="C51" s="29" t="s">
        <v>19</v>
      </c>
      <c r="D51" s="28">
        <v>2</v>
      </c>
      <c r="E51" s="27">
        <v>8.130081300813009E-3</v>
      </c>
    </row>
    <row r="52" spans="2:5" ht="15" customHeight="1">
      <c r="B52" s="75"/>
      <c r="C52" s="29" t="s">
        <v>13</v>
      </c>
      <c r="D52" s="28">
        <v>1</v>
      </c>
      <c r="E52" s="27">
        <v>4.0650406504065045E-3</v>
      </c>
    </row>
    <row r="53" spans="2:5" ht="15" customHeight="1">
      <c r="B53" s="75"/>
      <c r="C53" s="29" t="s">
        <v>8</v>
      </c>
      <c r="D53" s="28">
        <v>1</v>
      </c>
      <c r="E53" s="27">
        <v>4.0650406504065045E-3</v>
      </c>
    </row>
    <row r="54" spans="2:5" ht="15" customHeight="1">
      <c r="B54" s="75"/>
      <c r="C54" s="29" t="s">
        <v>20</v>
      </c>
      <c r="D54" s="28">
        <v>2</v>
      </c>
      <c r="E54" s="27">
        <v>8.130081300813009E-3</v>
      </c>
    </row>
    <row r="55" spans="2:5" ht="15" customHeight="1">
      <c r="B55" s="75"/>
      <c r="C55" s="29" t="s">
        <v>21</v>
      </c>
      <c r="D55" s="28">
        <v>1</v>
      </c>
      <c r="E55" s="27">
        <v>4.0650406504065045E-3</v>
      </c>
    </row>
    <row r="56" spans="2:5" ht="15" customHeight="1">
      <c r="B56" s="75"/>
      <c r="C56" s="29" t="s">
        <v>16</v>
      </c>
      <c r="D56" s="28">
        <v>2</v>
      </c>
      <c r="E56" s="27">
        <v>8.130081300813009E-3</v>
      </c>
    </row>
    <row r="57" spans="2:5" ht="15" customHeight="1">
      <c r="B57" s="76"/>
      <c r="C57" s="26" t="s">
        <v>3</v>
      </c>
      <c r="D57" s="25">
        <v>9</v>
      </c>
      <c r="E57" s="24">
        <v>3.6585365853658534E-2</v>
      </c>
    </row>
    <row r="58" spans="2:5" ht="15" customHeight="1">
      <c r="B58" s="74" t="s">
        <v>53</v>
      </c>
      <c r="C58" s="29" t="s">
        <v>15</v>
      </c>
      <c r="D58" s="28">
        <v>1</v>
      </c>
      <c r="E58" s="27">
        <v>4.0650406504065045E-3</v>
      </c>
    </row>
    <row r="59" spans="2:5" ht="15" customHeight="1">
      <c r="B59" s="75"/>
      <c r="C59" s="29" t="s">
        <v>19</v>
      </c>
      <c r="D59" s="28">
        <v>3</v>
      </c>
      <c r="E59" s="27">
        <v>1.2195121951219513E-2</v>
      </c>
    </row>
    <row r="60" spans="2:5" ht="15" customHeight="1">
      <c r="B60" s="75"/>
      <c r="C60" s="29" t="s">
        <v>13</v>
      </c>
      <c r="D60" s="28">
        <v>1</v>
      </c>
      <c r="E60" s="27">
        <v>4.0650406504065045E-3</v>
      </c>
    </row>
    <row r="61" spans="2:5" ht="15" customHeight="1">
      <c r="B61" s="75"/>
      <c r="C61" s="29" t="s">
        <v>20</v>
      </c>
      <c r="D61" s="28">
        <v>3</v>
      </c>
      <c r="E61" s="27">
        <v>1.2195121951219513E-2</v>
      </c>
    </row>
    <row r="62" spans="2:5" ht="15" customHeight="1">
      <c r="B62" s="75"/>
      <c r="C62" s="29" t="s">
        <v>21</v>
      </c>
      <c r="D62" s="28">
        <v>2</v>
      </c>
      <c r="E62" s="27">
        <v>8.130081300813009E-3</v>
      </c>
    </row>
    <row r="63" spans="2:5" ht="15" customHeight="1">
      <c r="B63" s="75"/>
      <c r="C63" s="29" t="s">
        <v>95</v>
      </c>
      <c r="D63" s="28">
        <v>1</v>
      </c>
      <c r="E63" s="27">
        <v>4.0650406504065045E-3</v>
      </c>
    </row>
    <row r="64" spans="2:5" ht="15" customHeight="1">
      <c r="B64" s="76"/>
      <c r="C64" s="26" t="s">
        <v>3</v>
      </c>
      <c r="D64" s="25">
        <v>11</v>
      </c>
      <c r="E64" s="24">
        <v>4.4715447154471545E-2</v>
      </c>
    </row>
    <row r="65" spans="2:5" ht="15" customHeight="1">
      <c r="B65" s="74" t="s">
        <v>52</v>
      </c>
      <c r="C65" s="29" t="s">
        <v>97</v>
      </c>
      <c r="D65" s="28">
        <v>1</v>
      </c>
      <c r="E65" s="27">
        <v>4.0650406504065045E-3</v>
      </c>
    </row>
    <row r="66" spans="2:5" ht="15" customHeight="1">
      <c r="B66" s="75"/>
      <c r="C66" s="29" t="s">
        <v>15</v>
      </c>
      <c r="D66" s="28">
        <v>1</v>
      </c>
      <c r="E66" s="27">
        <v>4.0650406504065045E-3</v>
      </c>
    </row>
    <row r="67" spans="2:5" ht="15" customHeight="1">
      <c r="B67" s="75"/>
      <c r="C67" s="29" t="s">
        <v>19</v>
      </c>
      <c r="D67" s="28">
        <v>7</v>
      </c>
      <c r="E67" s="27">
        <v>2.8455284552845527E-2</v>
      </c>
    </row>
    <row r="68" spans="2:5" ht="15" customHeight="1">
      <c r="B68" s="75"/>
      <c r="C68" s="29" t="s">
        <v>13</v>
      </c>
      <c r="D68" s="28">
        <v>4</v>
      </c>
      <c r="E68" s="27">
        <v>1.6260162601626018E-2</v>
      </c>
    </row>
    <row r="69" spans="2:5" ht="15" customHeight="1">
      <c r="B69" s="75"/>
      <c r="C69" s="29" t="s">
        <v>8</v>
      </c>
      <c r="D69" s="28">
        <v>2</v>
      </c>
      <c r="E69" s="27">
        <v>8.130081300813009E-3</v>
      </c>
    </row>
    <row r="70" spans="2:5" ht="15" customHeight="1">
      <c r="B70" s="75"/>
      <c r="C70" s="29" t="s">
        <v>20</v>
      </c>
      <c r="D70" s="28">
        <v>21</v>
      </c>
      <c r="E70" s="27">
        <v>8.5365853658536592E-2</v>
      </c>
    </row>
    <row r="71" spans="2:5" ht="15" customHeight="1">
      <c r="B71" s="75"/>
      <c r="C71" s="29" t="s">
        <v>21</v>
      </c>
      <c r="D71" s="28">
        <v>19</v>
      </c>
      <c r="E71" s="27">
        <v>7.7235772357723581E-2</v>
      </c>
    </row>
    <row r="72" spans="2:5" ht="15" customHeight="1">
      <c r="B72" s="75"/>
      <c r="C72" s="29" t="s">
        <v>12</v>
      </c>
      <c r="D72" s="28">
        <v>2</v>
      </c>
      <c r="E72" s="27">
        <v>8.130081300813009E-3</v>
      </c>
    </row>
    <row r="73" spans="2:5" ht="15" customHeight="1">
      <c r="B73" s="75"/>
      <c r="C73" s="29" t="s">
        <v>16</v>
      </c>
      <c r="D73" s="28">
        <v>4</v>
      </c>
      <c r="E73" s="27">
        <v>1.6260162601626018E-2</v>
      </c>
    </row>
    <row r="74" spans="2:5" ht="15" customHeight="1">
      <c r="B74" s="75"/>
      <c r="C74" s="29" t="s">
        <v>93</v>
      </c>
      <c r="D74" s="28">
        <v>2</v>
      </c>
      <c r="E74" s="27">
        <v>8.130081300813009E-3</v>
      </c>
    </row>
    <row r="75" spans="2:5" ht="15" customHeight="1">
      <c r="B75" s="75"/>
      <c r="C75" s="29" t="s">
        <v>11</v>
      </c>
      <c r="D75" s="28">
        <v>4</v>
      </c>
      <c r="E75" s="27">
        <v>1.6260162601626018E-2</v>
      </c>
    </row>
    <row r="76" spans="2:5" ht="15" customHeight="1">
      <c r="B76" s="75"/>
      <c r="C76" s="29" t="s">
        <v>18</v>
      </c>
      <c r="D76" s="28">
        <v>11</v>
      </c>
      <c r="E76" s="27">
        <v>4.4715447154471545E-2</v>
      </c>
    </row>
    <row r="77" spans="2:5" ht="15" customHeight="1">
      <c r="B77" s="75"/>
      <c r="C77" s="29" t="s">
        <v>10</v>
      </c>
      <c r="D77" s="28">
        <v>2</v>
      </c>
      <c r="E77" s="27">
        <v>8.130081300813009E-3</v>
      </c>
    </row>
    <row r="78" spans="2:5" ht="15" customHeight="1">
      <c r="B78" s="75"/>
      <c r="C78" s="29" t="s">
        <v>95</v>
      </c>
      <c r="D78" s="28">
        <v>1</v>
      </c>
      <c r="E78" s="27">
        <v>4.0650406504065045E-3</v>
      </c>
    </row>
    <row r="79" spans="2:5" ht="15" customHeight="1">
      <c r="B79" s="75"/>
      <c r="C79" s="29" t="s">
        <v>5</v>
      </c>
      <c r="D79" s="28">
        <v>1</v>
      </c>
      <c r="E79" s="27">
        <v>4.0650406504065045E-3</v>
      </c>
    </row>
    <row r="80" spans="2:5" ht="15" customHeight="1">
      <c r="B80" s="75"/>
      <c r="C80" s="29" t="s">
        <v>9</v>
      </c>
      <c r="D80" s="28">
        <v>1</v>
      </c>
      <c r="E80" s="27">
        <v>4.0650406504065045E-3</v>
      </c>
    </row>
    <row r="81" spans="2:6" ht="15" customHeight="1">
      <c r="B81" s="75"/>
      <c r="C81" s="29" t="s">
        <v>17</v>
      </c>
      <c r="D81" s="28">
        <v>9</v>
      </c>
      <c r="E81" s="27">
        <v>3.6585365853658534E-2</v>
      </c>
    </row>
    <row r="82" spans="2:6" ht="15" customHeight="1">
      <c r="B82" s="76"/>
      <c r="C82" s="26" t="s">
        <v>3</v>
      </c>
      <c r="D82" s="25">
        <v>92</v>
      </c>
      <c r="E82" s="24">
        <v>0.37398373983739835</v>
      </c>
    </row>
    <row r="83" spans="2:6" ht="15" customHeight="1">
      <c r="B83" s="74" t="s">
        <v>211</v>
      </c>
      <c r="C83" s="29" t="s">
        <v>19</v>
      </c>
      <c r="D83" s="28">
        <v>1</v>
      </c>
      <c r="E83" s="27">
        <v>4.0650406504065045E-3</v>
      </c>
    </row>
    <row r="84" spans="2:6" ht="15" customHeight="1">
      <c r="B84" s="75"/>
      <c r="C84" s="29" t="s">
        <v>6</v>
      </c>
      <c r="D84" s="28">
        <v>1</v>
      </c>
      <c r="E84" s="27">
        <v>4.0650406504065045E-3</v>
      </c>
    </row>
    <row r="85" spans="2:6" ht="15" customHeight="1">
      <c r="B85" s="76"/>
      <c r="C85" s="26" t="s">
        <v>3</v>
      </c>
      <c r="D85" s="25">
        <v>2</v>
      </c>
      <c r="E85" s="24">
        <v>8.130081300813009E-3</v>
      </c>
    </row>
    <row r="86" spans="2:6" ht="15" customHeight="1">
      <c r="B86" s="74" t="s">
        <v>51</v>
      </c>
      <c r="C86" s="29" t="s">
        <v>98</v>
      </c>
      <c r="D86" s="28">
        <v>1</v>
      </c>
      <c r="E86" s="27">
        <v>4.0650406504065045E-3</v>
      </c>
    </row>
    <row r="87" spans="2:6" ht="15" customHeight="1">
      <c r="B87" s="75"/>
      <c r="C87" s="29" t="s">
        <v>19</v>
      </c>
      <c r="D87" s="28">
        <v>1</v>
      </c>
      <c r="E87" s="27">
        <v>4.0650406504065045E-3</v>
      </c>
    </row>
    <row r="88" spans="2:6" ht="15" customHeight="1">
      <c r="B88" s="75"/>
      <c r="C88" s="29" t="s">
        <v>13</v>
      </c>
      <c r="D88" s="28">
        <v>1</v>
      </c>
      <c r="E88" s="27">
        <v>4.0650406504065045E-3</v>
      </c>
    </row>
    <row r="89" spans="2:6" ht="15" customHeight="1">
      <c r="B89" s="75"/>
      <c r="C89" s="29" t="s">
        <v>20</v>
      </c>
      <c r="D89" s="28">
        <v>2</v>
      </c>
      <c r="E89" s="27">
        <v>8.130081300813009E-3</v>
      </c>
    </row>
    <row r="90" spans="2:6" ht="15" customHeight="1">
      <c r="B90" s="75"/>
      <c r="C90" s="29" t="s">
        <v>21</v>
      </c>
      <c r="D90" s="28">
        <v>3</v>
      </c>
      <c r="E90" s="27">
        <v>1.2195121951219513E-2</v>
      </c>
    </row>
    <row r="91" spans="2:6" ht="15" customHeight="1">
      <c r="B91" s="75"/>
      <c r="C91" s="29" t="s">
        <v>12</v>
      </c>
      <c r="D91" s="28">
        <v>1</v>
      </c>
      <c r="E91" s="27">
        <v>4.0650406504065045E-3</v>
      </c>
    </row>
    <row r="92" spans="2:6" ht="15" customHeight="1">
      <c r="B92" s="75"/>
      <c r="C92" s="29" t="s">
        <v>16</v>
      </c>
      <c r="D92" s="28">
        <v>1</v>
      </c>
      <c r="E92" s="27">
        <v>4.0650406504065045E-3</v>
      </c>
      <c r="F92" s="1"/>
    </row>
    <row r="93" spans="2:6" ht="15" customHeight="1">
      <c r="B93" s="75"/>
      <c r="C93" s="29" t="s">
        <v>17</v>
      </c>
      <c r="D93" s="28">
        <v>5</v>
      </c>
      <c r="E93" s="27">
        <v>2.032520325203252E-2</v>
      </c>
      <c r="F93" s="1"/>
    </row>
    <row r="94" spans="2:6" ht="15" customHeight="1">
      <c r="B94" s="76"/>
      <c r="C94" s="26" t="s">
        <v>3</v>
      </c>
      <c r="D94" s="25">
        <v>15</v>
      </c>
      <c r="E94" s="24">
        <v>6.097560975609756E-2</v>
      </c>
      <c r="F94" s="1"/>
    </row>
    <row r="95" spans="2:6" ht="15" customHeight="1">
      <c r="B95" s="74" t="s">
        <v>50</v>
      </c>
      <c r="C95" s="29" t="s">
        <v>99</v>
      </c>
      <c r="D95" s="28">
        <v>1</v>
      </c>
      <c r="E95" s="27">
        <v>4.0650406504065045E-3</v>
      </c>
      <c r="F95" s="1"/>
    </row>
    <row r="96" spans="2:6" ht="15" customHeight="1">
      <c r="B96" s="75"/>
      <c r="C96" s="29" t="s">
        <v>19</v>
      </c>
      <c r="D96" s="28">
        <v>7</v>
      </c>
      <c r="E96" s="27">
        <v>2.8455284552845527E-2</v>
      </c>
      <c r="F96" s="1"/>
    </row>
    <row r="97" spans="2:5" ht="15" customHeight="1">
      <c r="B97" s="75"/>
      <c r="C97" s="29" t="s">
        <v>13</v>
      </c>
      <c r="D97" s="28">
        <v>1</v>
      </c>
      <c r="E97" s="27">
        <v>4.0650406504065045E-3</v>
      </c>
    </row>
    <row r="98" spans="2:5" ht="15" customHeight="1">
      <c r="B98" s="75"/>
      <c r="C98" s="29" t="s">
        <v>20</v>
      </c>
      <c r="D98" s="28">
        <v>8</v>
      </c>
      <c r="E98" s="27">
        <v>3.2520325203252036E-2</v>
      </c>
    </row>
    <row r="99" spans="2:5" ht="15" customHeight="1">
      <c r="B99" s="75"/>
      <c r="C99" s="29" t="s">
        <v>21</v>
      </c>
      <c r="D99" s="28">
        <v>9</v>
      </c>
      <c r="E99" s="27">
        <v>3.6585365853658534E-2</v>
      </c>
    </row>
    <row r="100" spans="2:5" ht="15" customHeight="1">
      <c r="B100" s="75"/>
      <c r="C100" s="29" t="s">
        <v>12</v>
      </c>
      <c r="D100" s="28">
        <v>3</v>
      </c>
      <c r="E100" s="27">
        <v>1.2195121951219513E-2</v>
      </c>
    </row>
    <row r="101" spans="2:5" ht="15" customHeight="1">
      <c r="B101" s="75"/>
      <c r="C101" s="29" t="s">
        <v>93</v>
      </c>
      <c r="D101" s="28">
        <v>1</v>
      </c>
      <c r="E101" s="27">
        <v>4.0650406504065045E-3</v>
      </c>
    </row>
    <row r="102" spans="2:5" ht="15" customHeight="1">
      <c r="B102" s="75"/>
      <c r="C102" s="29" t="s">
        <v>18</v>
      </c>
      <c r="D102" s="28">
        <v>2</v>
      </c>
      <c r="E102" s="27">
        <v>8.130081300813009E-3</v>
      </c>
    </row>
    <row r="103" spans="2:5" ht="15" customHeight="1">
      <c r="B103" s="75"/>
      <c r="C103" s="29" t="s">
        <v>14</v>
      </c>
      <c r="D103" s="28">
        <v>1</v>
      </c>
      <c r="E103" s="27">
        <v>4.0650406504065045E-3</v>
      </c>
    </row>
    <row r="104" spans="2:5" ht="15" customHeight="1">
      <c r="B104" s="75"/>
      <c r="C104" s="29" t="s">
        <v>95</v>
      </c>
      <c r="D104" s="28">
        <v>1</v>
      </c>
      <c r="E104" s="27">
        <v>4.0650406504065045E-3</v>
      </c>
    </row>
    <row r="105" spans="2:5" ht="15" customHeight="1">
      <c r="B105" s="75"/>
      <c r="C105" s="29" t="s">
        <v>5</v>
      </c>
      <c r="D105" s="28">
        <v>1</v>
      </c>
      <c r="E105" s="27">
        <v>4.0650406504065045E-3</v>
      </c>
    </row>
    <row r="106" spans="2:5" ht="15" customHeight="1">
      <c r="B106" s="75"/>
      <c r="C106" s="29" t="s">
        <v>9</v>
      </c>
      <c r="D106" s="28">
        <v>2</v>
      </c>
      <c r="E106" s="27">
        <v>8.130081300813009E-3</v>
      </c>
    </row>
    <row r="107" spans="2:5" ht="15" customHeight="1">
      <c r="B107" s="75"/>
      <c r="C107" s="29" t="s">
        <v>17</v>
      </c>
      <c r="D107" s="28">
        <v>6</v>
      </c>
      <c r="E107" s="27">
        <v>2.4390243902439025E-2</v>
      </c>
    </row>
    <row r="108" spans="2:5" ht="15" customHeight="1">
      <c r="B108" s="76"/>
      <c r="C108" s="26" t="s">
        <v>3</v>
      </c>
      <c r="D108" s="25">
        <v>43</v>
      </c>
      <c r="E108" s="24">
        <v>0.17479674796747968</v>
      </c>
    </row>
    <row r="109" spans="2:5" ht="15" customHeight="1">
      <c r="B109" s="74" t="s">
        <v>209</v>
      </c>
      <c r="C109" s="29" t="s">
        <v>12</v>
      </c>
      <c r="D109" s="28">
        <v>1</v>
      </c>
      <c r="E109" s="27">
        <v>4.0650406504065045E-3</v>
      </c>
    </row>
    <row r="110" spans="2:5" ht="15" customHeight="1">
      <c r="B110" s="75"/>
      <c r="C110" s="29" t="s">
        <v>17</v>
      </c>
      <c r="D110" s="28">
        <v>1</v>
      </c>
      <c r="E110" s="27">
        <v>4.0650406504065045E-3</v>
      </c>
    </row>
    <row r="111" spans="2:5" ht="15" customHeight="1">
      <c r="B111" s="76"/>
      <c r="C111" s="26" t="s">
        <v>3</v>
      </c>
      <c r="D111" s="25">
        <v>2</v>
      </c>
      <c r="E111" s="24">
        <v>8.130081300813009E-3</v>
      </c>
    </row>
    <row r="112" spans="2:5" ht="15" customHeight="1">
      <c r="B112" s="74" t="s">
        <v>210</v>
      </c>
      <c r="C112" s="29" t="s">
        <v>21</v>
      </c>
      <c r="D112" s="28">
        <v>1</v>
      </c>
      <c r="E112" s="27">
        <v>4.0650406504065045E-3</v>
      </c>
    </row>
    <row r="113" spans="2:5" ht="15" customHeight="1">
      <c r="B113" s="75"/>
      <c r="C113" s="29" t="s">
        <v>7</v>
      </c>
      <c r="D113" s="28">
        <v>1</v>
      </c>
      <c r="E113" s="27">
        <v>4.0650406504065045E-3</v>
      </c>
    </row>
    <row r="114" spans="2:5" ht="15" customHeight="1">
      <c r="B114" s="76"/>
      <c r="C114" s="26" t="s">
        <v>3</v>
      </c>
      <c r="D114" s="25">
        <v>2</v>
      </c>
      <c r="E114" s="24">
        <v>8.130081300813009E-3</v>
      </c>
    </row>
    <row r="115" spans="2:5" ht="15" customHeight="1">
      <c r="B115" s="74" t="s">
        <v>49</v>
      </c>
      <c r="C115" s="29" t="s">
        <v>96</v>
      </c>
      <c r="D115" s="28">
        <v>1</v>
      </c>
      <c r="E115" s="27">
        <v>4.0650406504065045E-3</v>
      </c>
    </row>
    <row r="116" spans="2:5" ht="15" customHeight="1">
      <c r="B116" s="75"/>
      <c r="C116" s="29" t="s">
        <v>19</v>
      </c>
      <c r="D116" s="28">
        <v>1</v>
      </c>
      <c r="E116" s="27">
        <v>4.0650406504065045E-3</v>
      </c>
    </row>
    <row r="117" spans="2:5" ht="15" customHeight="1">
      <c r="B117" s="75"/>
      <c r="C117" s="29" t="s">
        <v>21</v>
      </c>
      <c r="D117" s="28">
        <v>1</v>
      </c>
      <c r="E117" s="27">
        <v>4.0650406504065045E-3</v>
      </c>
    </row>
    <row r="118" spans="2:5" ht="15" customHeight="1">
      <c r="B118" s="75"/>
      <c r="C118" s="29" t="s">
        <v>18</v>
      </c>
      <c r="D118" s="28">
        <v>1</v>
      </c>
      <c r="E118" s="27">
        <v>4.0650406504065045E-3</v>
      </c>
    </row>
    <row r="119" spans="2:5" ht="15" customHeight="1">
      <c r="B119" s="76"/>
      <c r="C119" s="26" t="s">
        <v>3</v>
      </c>
      <c r="D119" s="25">
        <v>4</v>
      </c>
      <c r="E119" s="24">
        <v>1.6260162601626018E-2</v>
      </c>
    </row>
    <row r="120" spans="2:5" ht="15" customHeight="1">
      <c r="B120" s="74" t="s">
        <v>91</v>
      </c>
      <c r="C120" s="29" t="s">
        <v>96</v>
      </c>
      <c r="D120" s="28">
        <v>1</v>
      </c>
      <c r="E120" s="27">
        <v>4.0650406504065045E-3</v>
      </c>
    </row>
    <row r="121" spans="2:5" ht="15" customHeight="1">
      <c r="B121" s="75"/>
      <c r="C121" s="29" t="s">
        <v>98</v>
      </c>
      <c r="D121" s="28">
        <v>1</v>
      </c>
      <c r="E121" s="27">
        <v>4.0650406504065045E-3</v>
      </c>
    </row>
    <row r="122" spans="2:5" ht="15" customHeight="1">
      <c r="B122" s="75"/>
      <c r="C122" s="29" t="s">
        <v>19</v>
      </c>
      <c r="D122" s="28">
        <v>1</v>
      </c>
      <c r="E122" s="27">
        <v>4.0650406504065045E-3</v>
      </c>
    </row>
    <row r="123" spans="2:5" ht="15" customHeight="1">
      <c r="B123" s="75"/>
      <c r="C123" s="29" t="s">
        <v>21</v>
      </c>
      <c r="D123" s="28">
        <v>1</v>
      </c>
      <c r="E123" s="27">
        <v>4.0650406504065045E-3</v>
      </c>
    </row>
    <row r="124" spans="2:5" ht="15" customHeight="1">
      <c r="B124" s="75"/>
      <c r="C124" s="29" t="s">
        <v>14</v>
      </c>
      <c r="D124" s="28">
        <v>1</v>
      </c>
      <c r="E124" s="27">
        <v>4.0650406504065045E-3</v>
      </c>
    </row>
    <row r="125" spans="2:5" ht="15" customHeight="1">
      <c r="B125" s="75"/>
      <c r="C125" s="29" t="s">
        <v>17</v>
      </c>
      <c r="D125" s="28">
        <v>2</v>
      </c>
      <c r="E125" s="27">
        <v>8.130081300813009E-3</v>
      </c>
    </row>
    <row r="126" spans="2:5" ht="15" customHeight="1">
      <c r="B126" s="76"/>
      <c r="C126" s="26" t="s">
        <v>3</v>
      </c>
      <c r="D126" s="25">
        <v>7</v>
      </c>
      <c r="E126" s="24">
        <v>2.8455284552845527E-2</v>
      </c>
    </row>
    <row r="127" spans="2:5" ht="15" customHeight="1">
      <c r="B127" s="74" t="s">
        <v>112</v>
      </c>
      <c r="C127" s="29" t="s">
        <v>12</v>
      </c>
      <c r="D127" s="28">
        <v>1</v>
      </c>
      <c r="E127" s="27">
        <v>4.0650406504065045E-3</v>
      </c>
    </row>
    <row r="128" spans="2:5" ht="15" customHeight="1">
      <c r="B128" s="76"/>
      <c r="C128" s="26" t="s">
        <v>3</v>
      </c>
      <c r="D128" s="25">
        <v>1</v>
      </c>
      <c r="E128" s="24">
        <v>4.0650406504065045E-3</v>
      </c>
    </row>
    <row r="129" spans="2:5" ht="15" customHeight="1">
      <c r="B129" s="78" t="s">
        <v>3</v>
      </c>
      <c r="C129" s="79"/>
      <c r="D129" s="60">
        <v>246</v>
      </c>
      <c r="E129" s="61">
        <v>1</v>
      </c>
    </row>
    <row r="131" spans="2:5" ht="15" customHeight="1">
      <c r="B131" s="3" t="s">
        <v>116</v>
      </c>
    </row>
    <row r="132" spans="2:5" ht="15" customHeight="1">
      <c r="B132" s="5" t="s">
        <v>2</v>
      </c>
    </row>
    <row r="133" spans="2:5" ht="15" customHeight="1">
      <c r="B133" s="4" t="s">
        <v>1</v>
      </c>
    </row>
    <row r="134" spans="2:5" ht="15" customHeight="1">
      <c r="B134" s="3" t="s">
        <v>0</v>
      </c>
    </row>
    <row r="135" spans="2:5" ht="15" customHeight="1">
      <c r="B135" s="3" t="s">
        <v>117</v>
      </c>
    </row>
  </sheetData>
  <mergeCells count="21">
    <mergeCell ref="B129:C129"/>
    <mergeCell ref="B109:B111"/>
    <mergeCell ref="B112:B114"/>
    <mergeCell ref="B115:B119"/>
    <mergeCell ref="B120:B126"/>
    <mergeCell ref="B127:B128"/>
    <mergeCell ref="B58:B64"/>
    <mergeCell ref="B65:B82"/>
    <mergeCell ref="B83:B85"/>
    <mergeCell ref="B86:B94"/>
    <mergeCell ref="B95:B108"/>
    <mergeCell ref="B7:E8"/>
    <mergeCell ref="B10:B11"/>
    <mergeCell ref="B12:B13"/>
    <mergeCell ref="B14:B15"/>
    <mergeCell ref="B16:B19"/>
    <mergeCell ref="B20:B24"/>
    <mergeCell ref="B25:B31"/>
    <mergeCell ref="B32:B43"/>
    <mergeCell ref="B44:B50"/>
    <mergeCell ref="B51:B5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D24" sqref="D24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3" t="s">
        <v>212</v>
      </c>
      <c r="C7" s="73"/>
      <c r="D7" s="73"/>
    </row>
    <row r="8" spans="1:5" s="13" customFormat="1" ht="15" customHeight="1">
      <c r="B8" s="73"/>
      <c r="C8" s="73"/>
      <c r="D8" s="73"/>
    </row>
    <row r="9" spans="1:5" s="13" customFormat="1" ht="33" customHeight="1">
      <c r="B9" s="73"/>
      <c r="C9" s="73"/>
      <c r="D9" s="73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64</v>
      </c>
      <c r="C11" s="15" t="s">
        <v>23</v>
      </c>
      <c r="D11" s="14" t="s">
        <v>22</v>
      </c>
    </row>
    <row r="12" spans="1:5">
      <c r="B12" s="11" t="s">
        <v>63</v>
      </c>
      <c r="C12" s="10">
        <v>170</v>
      </c>
      <c r="D12" s="9">
        <v>0.69105691056910568</v>
      </c>
    </row>
    <row r="13" spans="1:5">
      <c r="B13" s="11" t="s">
        <v>62</v>
      </c>
      <c r="C13" s="10">
        <v>76</v>
      </c>
      <c r="D13" s="9">
        <v>0.30894308943089432</v>
      </c>
    </row>
    <row r="14" spans="1:5">
      <c r="B14" s="8" t="s">
        <v>61</v>
      </c>
      <c r="C14" s="7">
        <v>246</v>
      </c>
      <c r="D14" s="6">
        <v>1</v>
      </c>
    </row>
    <row r="15" spans="1:5">
      <c r="A15" s="12"/>
      <c r="B15" s="12"/>
      <c r="C15" s="42"/>
      <c r="D15" s="12"/>
      <c r="E15" s="12"/>
    </row>
    <row r="16" spans="1:5">
      <c r="B16" s="3" t="s">
        <v>116</v>
      </c>
      <c r="C16" s="42"/>
      <c r="D16" s="12"/>
    </row>
    <row r="17" spans="2:4">
      <c r="B17" s="5" t="s">
        <v>2</v>
      </c>
      <c r="C17" s="62"/>
      <c r="D17" s="62"/>
    </row>
    <row r="18" spans="2:4">
      <c r="B18" s="4" t="s">
        <v>1</v>
      </c>
      <c r="C18" s="63"/>
      <c r="D18" s="63"/>
    </row>
    <row r="19" spans="2:4">
      <c r="B19" s="3" t="s">
        <v>0</v>
      </c>
    </row>
    <row r="20" spans="2:4">
      <c r="B20" s="3" t="s">
        <v>117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showGridLines="0" topLeftCell="A60" zoomScaleNormal="100" zoomScaleSheetLayoutView="100" workbookViewId="0">
      <selection activeCell="H24" sqref="H24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77"/>
      <c r="C7" s="77"/>
      <c r="D7" s="77"/>
      <c r="E7" s="77"/>
    </row>
    <row r="8" spans="1:5" s="34" customFormat="1" ht="33" customHeight="1">
      <c r="A8" s="35"/>
      <c r="B8" s="77"/>
      <c r="C8" s="77"/>
      <c r="D8" s="77"/>
      <c r="E8" s="77"/>
    </row>
    <row r="9" spans="1:5" s="13" customFormat="1" ht="40.5" customHeight="1">
      <c r="B9" s="31" t="s">
        <v>24</v>
      </c>
      <c r="C9" s="33" t="s">
        <v>64</v>
      </c>
      <c r="D9" s="32" t="s">
        <v>23</v>
      </c>
      <c r="E9" s="31" t="s">
        <v>22</v>
      </c>
    </row>
    <row r="10" spans="1:5" ht="15" customHeight="1">
      <c r="B10" s="74" t="s">
        <v>96</v>
      </c>
      <c r="C10" s="29" t="s">
        <v>66</v>
      </c>
      <c r="D10" s="28">
        <v>1</v>
      </c>
      <c r="E10" s="27">
        <v>4.0650406504065045E-3</v>
      </c>
    </row>
    <row r="11" spans="1:5" ht="15" customHeight="1">
      <c r="B11" s="75"/>
      <c r="C11" s="29" t="s">
        <v>65</v>
      </c>
      <c r="D11" s="28">
        <v>1</v>
      </c>
      <c r="E11" s="27">
        <v>4.0650406504065045E-3</v>
      </c>
    </row>
    <row r="12" spans="1:5" ht="15" customHeight="1">
      <c r="B12" s="76"/>
      <c r="C12" s="26" t="s">
        <v>3</v>
      </c>
      <c r="D12" s="25">
        <v>2</v>
      </c>
      <c r="E12" s="24">
        <v>8.130081300813009E-3</v>
      </c>
    </row>
    <row r="13" spans="1:5" ht="15" customHeight="1">
      <c r="B13" s="74" t="s">
        <v>97</v>
      </c>
      <c r="C13" s="29" t="s">
        <v>66</v>
      </c>
      <c r="D13" s="28">
        <v>1</v>
      </c>
      <c r="E13" s="27">
        <v>4.0650406504065045E-3</v>
      </c>
    </row>
    <row r="14" spans="1:5" ht="15" customHeight="1">
      <c r="B14" s="76"/>
      <c r="C14" s="26" t="s">
        <v>3</v>
      </c>
      <c r="D14" s="25">
        <v>1</v>
      </c>
      <c r="E14" s="24">
        <v>4.0650406504065045E-3</v>
      </c>
    </row>
    <row r="15" spans="1:5" ht="15" customHeight="1">
      <c r="B15" s="74" t="s">
        <v>15</v>
      </c>
      <c r="C15" s="29" t="s">
        <v>66</v>
      </c>
      <c r="D15" s="28">
        <v>2</v>
      </c>
      <c r="E15" s="27">
        <v>8.130081300813009E-3</v>
      </c>
    </row>
    <row r="16" spans="1:5" ht="15" customHeight="1">
      <c r="B16" s="75"/>
      <c r="C16" s="29" t="s">
        <v>65</v>
      </c>
      <c r="D16" s="28">
        <v>1</v>
      </c>
      <c r="E16" s="27">
        <v>4.0650406504065045E-3</v>
      </c>
    </row>
    <row r="17" spans="2:5" ht="15" customHeight="1">
      <c r="B17" s="76"/>
      <c r="C17" s="26" t="s">
        <v>3</v>
      </c>
      <c r="D17" s="25">
        <v>3</v>
      </c>
      <c r="E17" s="24">
        <v>1.2195121951219513E-2</v>
      </c>
    </row>
    <row r="18" spans="2:5" ht="15" customHeight="1">
      <c r="B18" s="74" t="s">
        <v>94</v>
      </c>
      <c r="C18" s="29" t="s">
        <v>65</v>
      </c>
      <c r="D18" s="28">
        <v>1</v>
      </c>
      <c r="E18" s="27">
        <v>4.0650406504065045E-3</v>
      </c>
    </row>
    <row r="19" spans="2:5" ht="15" customHeight="1">
      <c r="B19" s="76"/>
      <c r="C19" s="26" t="s">
        <v>3</v>
      </c>
      <c r="D19" s="25">
        <v>1</v>
      </c>
      <c r="E19" s="24">
        <v>4.0650406504065045E-3</v>
      </c>
    </row>
    <row r="20" spans="2:5" ht="15" customHeight="1">
      <c r="B20" s="74" t="s">
        <v>98</v>
      </c>
      <c r="C20" s="29" t="s">
        <v>66</v>
      </c>
      <c r="D20" s="28">
        <v>1</v>
      </c>
      <c r="E20" s="27">
        <v>4.0650406504065045E-3</v>
      </c>
    </row>
    <row r="21" spans="2:5" ht="15" customHeight="1">
      <c r="B21" s="75"/>
      <c r="C21" s="29" t="s">
        <v>65</v>
      </c>
      <c r="D21" s="28">
        <v>1</v>
      </c>
      <c r="E21" s="27">
        <v>4.0650406504065045E-3</v>
      </c>
    </row>
    <row r="22" spans="2:5" ht="15" customHeight="1">
      <c r="B22" s="76"/>
      <c r="C22" s="26" t="s">
        <v>3</v>
      </c>
      <c r="D22" s="25">
        <v>2</v>
      </c>
      <c r="E22" s="24">
        <v>8.130081300813009E-3</v>
      </c>
    </row>
    <row r="23" spans="2:5" ht="15" customHeight="1">
      <c r="B23" s="74" t="s">
        <v>99</v>
      </c>
      <c r="C23" s="29" t="s">
        <v>65</v>
      </c>
      <c r="D23" s="28">
        <v>1</v>
      </c>
      <c r="E23" s="27">
        <v>4.0650406504065045E-3</v>
      </c>
    </row>
    <row r="24" spans="2:5" ht="15" customHeight="1">
      <c r="B24" s="76"/>
      <c r="C24" s="26" t="s">
        <v>3</v>
      </c>
      <c r="D24" s="25">
        <v>1</v>
      </c>
      <c r="E24" s="24">
        <v>4.0650406504065045E-3</v>
      </c>
    </row>
    <row r="25" spans="2:5" ht="15" customHeight="1">
      <c r="B25" s="74" t="s">
        <v>19</v>
      </c>
      <c r="C25" s="29" t="s">
        <v>66</v>
      </c>
      <c r="D25" s="28">
        <v>19</v>
      </c>
      <c r="E25" s="27">
        <v>7.7235772357723581E-2</v>
      </c>
    </row>
    <row r="26" spans="2:5" ht="15" customHeight="1">
      <c r="B26" s="75"/>
      <c r="C26" s="29" t="s">
        <v>65</v>
      </c>
      <c r="D26" s="28">
        <v>7</v>
      </c>
      <c r="E26" s="27">
        <v>2.8455284552845527E-2</v>
      </c>
    </row>
    <row r="27" spans="2:5" ht="15" customHeight="1">
      <c r="B27" s="76"/>
      <c r="C27" s="26" t="s">
        <v>3</v>
      </c>
      <c r="D27" s="25">
        <v>26</v>
      </c>
      <c r="E27" s="24">
        <v>0.10569105691056911</v>
      </c>
    </row>
    <row r="28" spans="2:5" ht="15" customHeight="1">
      <c r="B28" s="74" t="s">
        <v>13</v>
      </c>
      <c r="C28" s="29" t="s">
        <v>66</v>
      </c>
      <c r="D28" s="28">
        <v>5</v>
      </c>
      <c r="E28" s="27">
        <v>2.032520325203252E-2</v>
      </c>
    </row>
    <row r="29" spans="2:5" ht="15" customHeight="1">
      <c r="B29" s="75"/>
      <c r="C29" s="29" t="s">
        <v>65</v>
      </c>
      <c r="D29" s="28">
        <v>5</v>
      </c>
      <c r="E29" s="27">
        <v>2.032520325203252E-2</v>
      </c>
    </row>
    <row r="30" spans="2:5" ht="15" customHeight="1">
      <c r="B30" s="76"/>
      <c r="C30" s="26" t="s">
        <v>3</v>
      </c>
      <c r="D30" s="25">
        <v>10</v>
      </c>
      <c r="E30" s="24">
        <v>4.065040650406504E-2</v>
      </c>
    </row>
    <row r="31" spans="2:5" ht="15" customHeight="1">
      <c r="B31" s="74" t="s">
        <v>8</v>
      </c>
      <c r="C31" s="29" t="s">
        <v>66</v>
      </c>
      <c r="D31" s="28">
        <v>6</v>
      </c>
      <c r="E31" s="27">
        <v>2.4390243902439025E-2</v>
      </c>
    </row>
    <row r="32" spans="2:5" ht="15" customHeight="1">
      <c r="B32" s="75"/>
      <c r="C32" s="29" t="s">
        <v>65</v>
      </c>
      <c r="D32" s="28">
        <v>2</v>
      </c>
      <c r="E32" s="27">
        <v>8.130081300813009E-3</v>
      </c>
    </row>
    <row r="33" spans="2:5" ht="15" customHeight="1">
      <c r="B33" s="76"/>
      <c r="C33" s="26" t="s">
        <v>3</v>
      </c>
      <c r="D33" s="25">
        <v>8</v>
      </c>
      <c r="E33" s="24">
        <v>3.2520325203252036E-2</v>
      </c>
    </row>
    <row r="34" spans="2:5" ht="15" customHeight="1">
      <c r="B34" s="74" t="s">
        <v>20</v>
      </c>
      <c r="C34" s="29" t="s">
        <v>66</v>
      </c>
      <c r="D34" s="28">
        <v>34</v>
      </c>
      <c r="E34" s="27">
        <v>0.13821138211382114</v>
      </c>
    </row>
    <row r="35" spans="2:5" ht="15" customHeight="1">
      <c r="B35" s="75"/>
      <c r="C35" s="29" t="s">
        <v>65</v>
      </c>
      <c r="D35" s="28">
        <v>12</v>
      </c>
      <c r="E35" s="27">
        <v>4.878048780487805E-2</v>
      </c>
    </row>
    <row r="36" spans="2:5" ht="15" customHeight="1">
      <c r="B36" s="76"/>
      <c r="C36" s="26" t="s">
        <v>3</v>
      </c>
      <c r="D36" s="25">
        <v>46</v>
      </c>
      <c r="E36" s="24">
        <v>0.18699186991869918</v>
      </c>
    </row>
    <row r="37" spans="2:5" ht="15" customHeight="1">
      <c r="B37" s="74" t="s">
        <v>21</v>
      </c>
      <c r="C37" s="29" t="s">
        <v>66</v>
      </c>
      <c r="D37" s="28">
        <v>31</v>
      </c>
      <c r="E37" s="27">
        <v>0.12601626016260162</v>
      </c>
    </row>
    <row r="38" spans="2:5" ht="15" customHeight="1">
      <c r="B38" s="75"/>
      <c r="C38" s="29" t="s">
        <v>65</v>
      </c>
      <c r="D38" s="28">
        <v>19</v>
      </c>
      <c r="E38" s="27">
        <v>7.7235772357723581E-2</v>
      </c>
    </row>
    <row r="39" spans="2:5" ht="15" customHeight="1">
      <c r="B39" s="76"/>
      <c r="C39" s="26" t="s">
        <v>3</v>
      </c>
      <c r="D39" s="25">
        <v>50</v>
      </c>
      <c r="E39" s="24">
        <v>0.2032520325203252</v>
      </c>
    </row>
    <row r="40" spans="2:5" ht="15" customHeight="1">
      <c r="B40" s="74" t="s">
        <v>12</v>
      </c>
      <c r="C40" s="29" t="s">
        <v>66</v>
      </c>
      <c r="D40" s="28">
        <v>7</v>
      </c>
      <c r="E40" s="27">
        <v>2.8455284552845527E-2</v>
      </c>
    </row>
    <row r="41" spans="2:5" ht="15" customHeight="1">
      <c r="B41" s="75"/>
      <c r="C41" s="29" t="s">
        <v>65</v>
      </c>
      <c r="D41" s="28">
        <v>3</v>
      </c>
      <c r="E41" s="27">
        <v>1.2195121951219513E-2</v>
      </c>
    </row>
    <row r="42" spans="2:5" ht="15" customHeight="1">
      <c r="B42" s="76"/>
      <c r="C42" s="26" t="s">
        <v>3</v>
      </c>
      <c r="D42" s="25">
        <v>10</v>
      </c>
      <c r="E42" s="24">
        <v>4.065040650406504E-2</v>
      </c>
    </row>
    <row r="43" spans="2:5" ht="15" customHeight="1">
      <c r="B43" s="74" t="s">
        <v>16</v>
      </c>
      <c r="C43" s="29" t="s">
        <v>66</v>
      </c>
      <c r="D43" s="28">
        <v>9</v>
      </c>
      <c r="E43" s="27">
        <v>3.6585365853658534E-2</v>
      </c>
    </row>
    <row r="44" spans="2:5" ht="15" customHeight="1">
      <c r="B44" s="75"/>
      <c r="C44" s="29" t="s">
        <v>65</v>
      </c>
      <c r="D44" s="28">
        <v>4</v>
      </c>
      <c r="E44" s="27">
        <v>1.6260162601626018E-2</v>
      </c>
    </row>
    <row r="45" spans="2:5" ht="15" customHeight="1">
      <c r="B45" s="76"/>
      <c r="C45" s="26" t="s">
        <v>3</v>
      </c>
      <c r="D45" s="25">
        <v>13</v>
      </c>
      <c r="E45" s="24">
        <v>5.2845528455284556E-2</v>
      </c>
    </row>
    <row r="46" spans="2:5" ht="15" customHeight="1">
      <c r="B46" s="74" t="s">
        <v>93</v>
      </c>
      <c r="C46" s="29" t="s">
        <v>66</v>
      </c>
      <c r="D46" s="28">
        <v>3</v>
      </c>
      <c r="E46" s="27">
        <v>1.2195121951219513E-2</v>
      </c>
    </row>
    <row r="47" spans="2:5" ht="15" customHeight="1">
      <c r="B47" s="76"/>
      <c r="C47" s="26" t="s">
        <v>3</v>
      </c>
      <c r="D47" s="25">
        <v>3</v>
      </c>
      <c r="E47" s="24">
        <v>1.2195121951219513E-2</v>
      </c>
    </row>
    <row r="48" spans="2:5" ht="15" customHeight="1">
      <c r="B48" s="74" t="s">
        <v>7</v>
      </c>
      <c r="C48" s="29" t="s">
        <v>65</v>
      </c>
      <c r="D48" s="28">
        <v>1</v>
      </c>
      <c r="E48" s="27">
        <v>4.0650406504065045E-3</v>
      </c>
    </row>
    <row r="49" spans="2:5" ht="15" customHeight="1">
      <c r="B49" s="76"/>
      <c r="C49" s="26" t="s">
        <v>3</v>
      </c>
      <c r="D49" s="25">
        <v>1</v>
      </c>
      <c r="E49" s="24">
        <v>4.0650406504065045E-3</v>
      </c>
    </row>
    <row r="50" spans="2:5" ht="15" customHeight="1">
      <c r="B50" s="74" t="s">
        <v>11</v>
      </c>
      <c r="C50" s="29" t="s">
        <v>66</v>
      </c>
      <c r="D50" s="28">
        <v>4</v>
      </c>
      <c r="E50" s="27">
        <v>1.6260162601626018E-2</v>
      </c>
    </row>
    <row r="51" spans="2:5" ht="15" customHeight="1">
      <c r="B51" s="75"/>
      <c r="C51" s="29" t="s">
        <v>65</v>
      </c>
      <c r="D51" s="28">
        <v>1</v>
      </c>
      <c r="E51" s="27">
        <v>4.0650406504065045E-3</v>
      </c>
    </row>
    <row r="52" spans="2:5" ht="15" customHeight="1">
      <c r="B52" s="76"/>
      <c r="C52" s="26" t="s">
        <v>3</v>
      </c>
      <c r="D52" s="25">
        <v>5</v>
      </c>
      <c r="E52" s="24">
        <v>2.032520325203252E-2</v>
      </c>
    </row>
    <row r="53" spans="2:5" ht="15" customHeight="1">
      <c r="B53" s="74" t="s">
        <v>18</v>
      </c>
      <c r="C53" s="29" t="s">
        <v>66</v>
      </c>
      <c r="D53" s="28">
        <v>12</v>
      </c>
      <c r="E53" s="27">
        <v>4.878048780487805E-2</v>
      </c>
    </row>
    <row r="54" spans="2:5" ht="15" customHeight="1">
      <c r="B54" s="75"/>
      <c r="C54" s="29" t="s">
        <v>65</v>
      </c>
      <c r="D54" s="28">
        <v>8</v>
      </c>
      <c r="E54" s="27">
        <v>3.2520325203252036E-2</v>
      </c>
    </row>
    <row r="55" spans="2:5" ht="15" customHeight="1">
      <c r="B55" s="76"/>
      <c r="C55" s="26" t="s">
        <v>3</v>
      </c>
      <c r="D55" s="25">
        <v>20</v>
      </c>
      <c r="E55" s="24">
        <v>8.1300813008130079E-2</v>
      </c>
    </row>
    <row r="56" spans="2:5" ht="15" customHeight="1">
      <c r="B56" s="74" t="s">
        <v>14</v>
      </c>
      <c r="C56" s="29" t="s">
        <v>66</v>
      </c>
      <c r="D56" s="28">
        <v>2</v>
      </c>
      <c r="E56" s="27">
        <v>8.130081300813009E-3</v>
      </c>
    </row>
    <row r="57" spans="2:5" ht="15" customHeight="1">
      <c r="B57" s="75"/>
      <c r="C57" s="29" t="s">
        <v>65</v>
      </c>
      <c r="D57" s="28">
        <v>1</v>
      </c>
      <c r="E57" s="27">
        <v>4.0650406504065045E-3</v>
      </c>
    </row>
    <row r="58" spans="2:5" ht="15" customHeight="1">
      <c r="B58" s="76"/>
      <c r="C58" s="26" t="s">
        <v>3</v>
      </c>
      <c r="D58" s="25">
        <v>3</v>
      </c>
      <c r="E58" s="24">
        <v>1.2195121951219513E-2</v>
      </c>
    </row>
    <row r="59" spans="2:5" ht="15" customHeight="1">
      <c r="B59" s="74" t="s">
        <v>10</v>
      </c>
      <c r="C59" s="29" t="s">
        <v>66</v>
      </c>
      <c r="D59" s="28">
        <v>2</v>
      </c>
      <c r="E59" s="27">
        <v>8.130081300813009E-3</v>
      </c>
    </row>
    <row r="60" spans="2:5" ht="15" customHeight="1">
      <c r="B60" s="76"/>
      <c r="C60" s="26" t="s">
        <v>3</v>
      </c>
      <c r="D60" s="25">
        <v>2</v>
      </c>
      <c r="E60" s="24">
        <v>8.130081300813009E-3</v>
      </c>
    </row>
    <row r="61" spans="2:5" ht="15" customHeight="1">
      <c r="B61" s="74" t="s">
        <v>95</v>
      </c>
      <c r="C61" s="29" t="s">
        <v>66</v>
      </c>
      <c r="D61" s="28">
        <v>2</v>
      </c>
      <c r="E61" s="27">
        <v>8.130081300813009E-3</v>
      </c>
    </row>
    <row r="62" spans="2:5" ht="15" customHeight="1">
      <c r="B62" s="75"/>
      <c r="C62" s="29" t="s">
        <v>65</v>
      </c>
      <c r="D62" s="28">
        <v>1</v>
      </c>
      <c r="E62" s="27">
        <v>4.0650406504065045E-3</v>
      </c>
    </row>
    <row r="63" spans="2:5" ht="15" customHeight="1">
      <c r="B63" s="76"/>
      <c r="C63" s="26" t="s">
        <v>3</v>
      </c>
      <c r="D63" s="25">
        <v>3</v>
      </c>
      <c r="E63" s="24">
        <v>1.2195121951219513E-2</v>
      </c>
    </row>
    <row r="64" spans="2:5" ht="15" customHeight="1">
      <c r="B64" s="74" t="s">
        <v>6</v>
      </c>
      <c r="C64" s="29" t="s">
        <v>65</v>
      </c>
      <c r="D64" s="28">
        <v>1</v>
      </c>
      <c r="E64" s="27">
        <v>4.0650406504065045E-3</v>
      </c>
    </row>
    <row r="65" spans="2:6" ht="15" customHeight="1">
      <c r="B65" s="76"/>
      <c r="C65" s="26" t="s">
        <v>3</v>
      </c>
      <c r="D65" s="25">
        <v>1</v>
      </c>
      <c r="E65" s="24">
        <v>4.0650406504065045E-3</v>
      </c>
      <c r="F65" s="1"/>
    </row>
    <row r="66" spans="2:6" ht="15" customHeight="1">
      <c r="B66" s="74" t="s">
        <v>5</v>
      </c>
      <c r="C66" s="29" t="s">
        <v>66</v>
      </c>
      <c r="D66" s="28">
        <v>2</v>
      </c>
      <c r="E66" s="27">
        <v>8.130081300813009E-3</v>
      </c>
      <c r="F66" s="1"/>
    </row>
    <row r="67" spans="2:6" ht="15" customHeight="1">
      <c r="B67" s="76"/>
      <c r="C67" s="26" t="s">
        <v>3</v>
      </c>
      <c r="D67" s="25">
        <v>2</v>
      </c>
      <c r="E67" s="24">
        <v>8.130081300813009E-3</v>
      </c>
      <c r="F67" s="1"/>
    </row>
    <row r="68" spans="2:6" ht="15" customHeight="1">
      <c r="B68" s="74" t="s">
        <v>9</v>
      </c>
      <c r="C68" s="29" t="s">
        <v>66</v>
      </c>
      <c r="D68" s="28">
        <v>4</v>
      </c>
      <c r="E68" s="27">
        <v>1.6260162601626018E-2</v>
      </c>
      <c r="F68" s="1"/>
    </row>
    <row r="69" spans="2:6" ht="15" customHeight="1">
      <c r="B69" s="76"/>
      <c r="C69" s="26" t="s">
        <v>3</v>
      </c>
      <c r="D69" s="25">
        <v>4</v>
      </c>
      <c r="E69" s="24">
        <v>1.6260162601626018E-2</v>
      </c>
      <c r="F69" s="1"/>
    </row>
    <row r="70" spans="2:6" ht="15" customHeight="1">
      <c r="B70" s="74" t="s">
        <v>17</v>
      </c>
      <c r="C70" s="29" t="s">
        <v>66</v>
      </c>
      <c r="D70" s="28">
        <v>22</v>
      </c>
      <c r="E70" s="27">
        <v>8.943089430894309E-2</v>
      </c>
    </row>
    <row r="71" spans="2:6" ht="15" customHeight="1">
      <c r="B71" s="75"/>
      <c r="C71" s="29" t="s">
        <v>65</v>
      </c>
      <c r="D71" s="28">
        <v>6</v>
      </c>
      <c r="E71" s="27">
        <v>2.4390243902439025E-2</v>
      </c>
    </row>
    <row r="72" spans="2:6" ht="15" customHeight="1">
      <c r="B72" s="76"/>
      <c r="C72" s="26" t="s">
        <v>3</v>
      </c>
      <c r="D72" s="25">
        <v>28</v>
      </c>
      <c r="E72" s="24">
        <v>0.11382113821138211</v>
      </c>
    </row>
    <row r="73" spans="2:6" ht="15" customHeight="1">
      <c r="B73" s="74" t="s">
        <v>4</v>
      </c>
      <c r="C73" s="29" t="s">
        <v>66</v>
      </c>
      <c r="D73" s="28">
        <v>1</v>
      </c>
      <c r="E73" s="27">
        <v>4.0650406504065045E-3</v>
      </c>
    </row>
    <row r="74" spans="2:6" ht="15" customHeight="1">
      <c r="B74" s="76"/>
      <c r="C74" s="26" t="s">
        <v>3</v>
      </c>
      <c r="D74" s="25">
        <v>1</v>
      </c>
      <c r="E74" s="24">
        <v>4.0650406504065045E-3</v>
      </c>
    </row>
    <row r="75" spans="2:6" ht="15" customHeight="1">
      <c r="B75" s="78" t="s">
        <v>3</v>
      </c>
      <c r="C75" s="79"/>
      <c r="D75" s="60">
        <f>SUMIF(C10:C74,"TOTAL",D10:D74)</f>
        <v>246</v>
      </c>
      <c r="E75" s="61">
        <v>1</v>
      </c>
    </row>
    <row r="77" spans="2:6" ht="15" customHeight="1">
      <c r="B77" s="3" t="s">
        <v>116</v>
      </c>
    </row>
    <row r="78" spans="2:6" ht="15" customHeight="1">
      <c r="B78" s="5" t="s">
        <v>2</v>
      </c>
    </row>
    <row r="79" spans="2:6" ht="15" customHeight="1">
      <c r="B79" s="4" t="s">
        <v>1</v>
      </c>
    </row>
    <row r="80" spans="2:6" ht="15" customHeight="1">
      <c r="B80" s="3" t="s">
        <v>0</v>
      </c>
    </row>
    <row r="81" spans="2:2" ht="15" customHeight="1">
      <c r="B81" s="3" t="s">
        <v>117</v>
      </c>
    </row>
    <row r="377" spans="2:2" s="21" customFormat="1" ht="15" customHeight="1">
      <c r="B377" s="22"/>
    </row>
    <row r="378" spans="2:2" s="21" customFormat="1" ht="15" customHeight="1">
      <c r="B378" s="23"/>
    </row>
    <row r="379" spans="2:2" s="21" customFormat="1" ht="15" customHeight="1">
      <c r="B379" s="23"/>
    </row>
    <row r="380" spans="2:2" s="21" customFormat="1" ht="15" customHeight="1">
      <c r="B380" s="22"/>
    </row>
    <row r="381" spans="2:2" s="21" customFormat="1" ht="15" customHeight="1">
      <c r="B381" s="22"/>
    </row>
  </sheetData>
  <mergeCells count="27">
    <mergeCell ref="B70:B72"/>
    <mergeCell ref="B73:B74"/>
    <mergeCell ref="B75:C75"/>
    <mergeCell ref="B59:B60"/>
    <mergeCell ref="B61:B63"/>
    <mergeCell ref="B64:B65"/>
    <mergeCell ref="B66:B67"/>
    <mergeCell ref="B68:B69"/>
    <mergeCell ref="B7:E8"/>
    <mergeCell ref="B10:B12"/>
    <mergeCell ref="B13:B14"/>
    <mergeCell ref="B15:B17"/>
    <mergeCell ref="B18:B19"/>
    <mergeCell ref="B20:B22"/>
    <mergeCell ref="B23:B24"/>
    <mergeCell ref="B25:B27"/>
    <mergeCell ref="B43:B45"/>
    <mergeCell ref="B28:B30"/>
    <mergeCell ref="B31:B33"/>
    <mergeCell ref="B34:B36"/>
    <mergeCell ref="B37:B39"/>
    <mergeCell ref="B40:B42"/>
    <mergeCell ref="B46:B47"/>
    <mergeCell ref="B48:B49"/>
    <mergeCell ref="B50:B52"/>
    <mergeCell ref="B53:B55"/>
    <mergeCell ref="B56:B5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7"/>
  <sheetViews>
    <sheetView showGridLines="0" zoomScaleNormal="100" zoomScaleSheetLayoutView="100" workbookViewId="0">
      <selection activeCell="B10" sqref="B10:B15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77"/>
      <c r="C7" s="77"/>
      <c r="D7" s="77"/>
      <c r="E7" s="77"/>
    </row>
    <row r="8" spans="1:5" s="34" customFormat="1" ht="33" customHeight="1">
      <c r="A8" s="35"/>
      <c r="B8" s="77"/>
      <c r="C8" s="77"/>
      <c r="D8" s="77"/>
      <c r="E8" s="77"/>
    </row>
    <row r="9" spans="1:5" s="13" customFormat="1" ht="40.5" customHeight="1">
      <c r="B9" s="31" t="s">
        <v>64</v>
      </c>
      <c r="C9" s="33" t="s">
        <v>72</v>
      </c>
      <c r="D9" s="32" t="s">
        <v>23</v>
      </c>
      <c r="E9" s="31" t="s">
        <v>22</v>
      </c>
    </row>
    <row r="10" spans="1:5" ht="15" customHeight="1">
      <c r="B10" s="74" t="s">
        <v>66</v>
      </c>
      <c r="C10" s="29" t="s">
        <v>71</v>
      </c>
      <c r="D10" s="28">
        <v>1</v>
      </c>
      <c r="E10" s="27">
        <v>4.0650406504065045E-3</v>
      </c>
    </row>
    <row r="11" spans="1:5" ht="15" customHeight="1">
      <c r="B11" s="75"/>
      <c r="C11" s="29" t="s">
        <v>70</v>
      </c>
      <c r="D11" s="28">
        <v>19</v>
      </c>
      <c r="E11" s="27">
        <v>7.7235772357723581E-2</v>
      </c>
    </row>
    <row r="12" spans="1:5" ht="15" customHeight="1">
      <c r="B12" s="75"/>
      <c r="C12" s="29" t="s">
        <v>69</v>
      </c>
      <c r="D12" s="28">
        <v>69</v>
      </c>
      <c r="E12" s="27">
        <v>0.28048780487804881</v>
      </c>
    </row>
    <row r="13" spans="1:5" ht="15" customHeight="1">
      <c r="B13" s="75"/>
      <c r="C13" s="29" t="s">
        <v>68</v>
      </c>
      <c r="D13" s="28">
        <v>57</v>
      </c>
      <c r="E13" s="27">
        <v>0.23170731707317074</v>
      </c>
    </row>
    <row r="14" spans="1:5" ht="15" customHeight="1">
      <c r="B14" s="75"/>
      <c r="C14" s="29" t="s">
        <v>67</v>
      </c>
      <c r="D14" s="28">
        <v>22</v>
      </c>
      <c r="E14" s="27">
        <v>8.943089430894309E-2</v>
      </c>
    </row>
    <row r="15" spans="1:5" ht="15" customHeight="1">
      <c r="B15" s="76"/>
      <c r="C15" s="29" t="s">
        <v>213</v>
      </c>
      <c r="D15" s="28">
        <v>2</v>
      </c>
      <c r="E15" s="27">
        <v>8.130081300813009E-3</v>
      </c>
    </row>
    <row r="16" spans="1:5" ht="15" customHeight="1">
      <c r="B16" s="74" t="s">
        <v>65</v>
      </c>
      <c r="C16" s="29" t="s">
        <v>70</v>
      </c>
      <c r="D16" s="28">
        <v>9</v>
      </c>
      <c r="E16" s="27">
        <v>3.6585365853658534E-2</v>
      </c>
    </row>
    <row r="17" spans="2:6" ht="15" customHeight="1">
      <c r="B17" s="75"/>
      <c r="C17" s="29" t="s">
        <v>69</v>
      </c>
      <c r="D17" s="28">
        <v>22</v>
      </c>
      <c r="E17" s="27">
        <v>8.943089430894309E-2</v>
      </c>
    </row>
    <row r="18" spans="2:6" ht="15" customHeight="1">
      <c r="B18" s="75"/>
      <c r="C18" s="29" t="s">
        <v>68</v>
      </c>
      <c r="D18" s="28">
        <v>31</v>
      </c>
      <c r="E18" s="27">
        <v>0.12601626016260162</v>
      </c>
    </row>
    <row r="19" spans="2:6" ht="15" customHeight="1">
      <c r="B19" s="75"/>
      <c r="C19" s="29" t="s">
        <v>67</v>
      </c>
      <c r="D19" s="28">
        <v>13</v>
      </c>
      <c r="E19" s="27">
        <v>5.2845528455284556E-2</v>
      </c>
    </row>
    <row r="20" spans="2:6" ht="15" customHeight="1">
      <c r="B20" s="76"/>
      <c r="C20" s="29" t="s">
        <v>214</v>
      </c>
      <c r="D20" s="28">
        <v>1</v>
      </c>
      <c r="E20" s="27">
        <v>4.0650406504065045E-3</v>
      </c>
    </row>
    <row r="21" spans="2:6" ht="15" customHeight="1">
      <c r="B21" s="78" t="s">
        <v>3</v>
      </c>
      <c r="C21" s="79"/>
      <c r="D21" s="60">
        <v>246</v>
      </c>
      <c r="E21" s="61">
        <v>1</v>
      </c>
      <c r="F21" s="1"/>
    </row>
    <row r="22" spans="2:6" ht="15" customHeight="1">
      <c r="F22" s="1"/>
    </row>
    <row r="23" spans="2:6" ht="15" customHeight="1">
      <c r="B23" s="3" t="s">
        <v>116</v>
      </c>
      <c r="F23" s="1"/>
    </row>
    <row r="24" spans="2:6" ht="15" customHeight="1">
      <c r="B24" s="5" t="s">
        <v>2</v>
      </c>
      <c r="F24" s="1"/>
    </row>
    <row r="25" spans="2:6" ht="15" customHeight="1">
      <c r="B25" s="4" t="s">
        <v>1</v>
      </c>
      <c r="F25" s="1"/>
    </row>
    <row r="26" spans="2:6" ht="15" customHeight="1">
      <c r="B26" s="3" t="s">
        <v>0</v>
      </c>
    </row>
    <row r="27" spans="2:6" ht="15" customHeight="1">
      <c r="B27" s="3" t="s">
        <v>117</v>
      </c>
    </row>
    <row r="463" spans="2:2" s="21" customFormat="1" ht="15" customHeight="1">
      <c r="B463" s="22"/>
    </row>
    <row r="464" spans="2:2" s="21" customFormat="1" ht="15" customHeight="1">
      <c r="B464" s="23"/>
    </row>
    <row r="465" spans="2:2" s="21" customFormat="1" ht="15" customHeight="1">
      <c r="B465" s="23"/>
    </row>
    <row r="466" spans="2:2" s="21" customFormat="1" ht="15" customHeight="1">
      <c r="B466" s="22"/>
    </row>
    <row r="467" spans="2:2" s="21" customFormat="1" ht="15" customHeight="1">
      <c r="B467" s="22"/>
    </row>
  </sheetData>
  <mergeCells count="4">
    <mergeCell ref="B21:C21"/>
    <mergeCell ref="B7:E8"/>
    <mergeCell ref="B10:B15"/>
    <mergeCell ref="B16:B2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F28"/>
  <sheetViews>
    <sheetView showGridLines="0" zoomScaleNormal="100" zoomScaleSheetLayoutView="115" workbookViewId="0">
      <selection activeCell="B7" sqref="B7:D10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6" s="13" customFormat="1" ht="15" customHeight="1">
      <c r="C1" s="19"/>
    </row>
    <row r="2" spans="1:6" s="13" customFormat="1" ht="15" customHeight="1">
      <c r="C2" s="19"/>
    </row>
    <row r="3" spans="1:6" s="13" customFormat="1" ht="15" customHeight="1">
      <c r="C3" s="19"/>
    </row>
    <row r="4" spans="1:6" s="13" customFormat="1" ht="30" customHeight="1">
      <c r="C4" s="19"/>
      <c r="D4" s="18"/>
    </row>
    <row r="5" spans="1:6" s="13" customFormat="1" ht="15" customHeight="1">
      <c r="C5" s="19"/>
      <c r="D5" s="18"/>
    </row>
    <row r="6" spans="1:6" s="13" customFormat="1" ht="15" customHeight="1">
      <c r="C6" s="19"/>
      <c r="D6" s="18"/>
    </row>
    <row r="7" spans="1:6" s="13" customFormat="1" ht="15" customHeight="1">
      <c r="B7" s="73" t="s">
        <v>215</v>
      </c>
      <c r="C7" s="73"/>
      <c r="D7" s="73"/>
    </row>
    <row r="8" spans="1:6" s="13" customFormat="1" ht="15" customHeight="1">
      <c r="B8" s="73"/>
      <c r="C8" s="73"/>
      <c r="D8" s="73"/>
    </row>
    <row r="9" spans="1:6" s="13" customFormat="1" ht="33" customHeight="1">
      <c r="B9" s="73"/>
      <c r="C9" s="73"/>
      <c r="D9" s="73"/>
      <c r="F9" s="13" t="s">
        <v>92</v>
      </c>
    </row>
    <row r="10" spans="1:6" s="13" customFormat="1" ht="4.5" customHeight="1">
      <c r="B10" s="17"/>
      <c r="C10" s="17"/>
      <c r="D10" s="17"/>
    </row>
    <row r="11" spans="1:6" s="13" customFormat="1" ht="33" customHeight="1">
      <c r="B11" s="16" t="s">
        <v>78</v>
      </c>
      <c r="C11" s="15" t="s">
        <v>23</v>
      </c>
      <c r="D11" s="14" t="s">
        <v>22</v>
      </c>
    </row>
    <row r="12" spans="1:6">
      <c r="B12" s="11" t="s">
        <v>77</v>
      </c>
      <c r="C12" s="10">
        <v>182</v>
      </c>
      <c r="D12" s="9">
        <v>0.73983739837398377</v>
      </c>
    </row>
    <row r="13" spans="1:6">
      <c r="B13" s="11" t="s">
        <v>76</v>
      </c>
      <c r="C13" s="10">
        <v>39</v>
      </c>
      <c r="D13" s="9">
        <v>0.15853658536585366</v>
      </c>
    </row>
    <row r="14" spans="1:6">
      <c r="A14" s="12"/>
      <c r="B14" s="11" t="s">
        <v>75</v>
      </c>
      <c r="C14" s="10">
        <v>6</v>
      </c>
      <c r="D14" s="9">
        <v>2.4390243902439025E-2</v>
      </c>
      <c r="E14" s="12"/>
    </row>
    <row r="15" spans="1:6">
      <c r="A15" s="12"/>
      <c r="B15" s="11" t="s">
        <v>73</v>
      </c>
      <c r="C15" s="10">
        <v>6</v>
      </c>
      <c r="D15" s="9">
        <v>2.4390243902439025E-2</v>
      </c>
      <c r="E15" s="12"/>
    </row>
    <row r="16" spans="1:6">
      <c r="B16" s="11" t="s">
        <v>113</v>
      </c>
      <c r="C16" s="10">
        <v>4</v>
      </c>
      <c r="D16" s="9">
        <v>1.6260162601626018E-2</v>
      </c>
    </row>
    <row r="17" spans="2:4">
      <c r="B17" s="11" t="s">
        <v>74</v>
      </c>
      <c r="C17" s="10">
        <v>4</v>
      </c>
      <c r="D17" s="9">
        <v>1.6260162601626018E-2</v>
      </c>
    </row>
    <row r="18" spans="2:4">
      <c r="B18" s="11" t="s">
        <v>114</v>
      </c>
      <c r="C18" s="10">
        <v>2</v>
      </c>
      <c r="D18" s="9">
        <v>8.130081300813009E-3</v>
      </c>
    </row>
    <row r="19" spans="2:4">
      <c r="B19" s="11" t="s">
        <v>216</v>
      </c>
      <c r="C19" s="10">
        <v>1</v>
      </c>
      <c r="D19" s="9">
        <v>4.0650406504065045E-3</v>
      </c>
    </row>
    <row r="20" spans="2:4">
      <c r="B20" s="11" t="s">
        <v>217</v>
      </c>
      <c r="C20" s="10">
        <v>1</v>
      </c>
      <c r="D20" s="9">
        <v>4.0650406504065045E-3</v>
      </c>
    </row>
    <row r="21" spans="2:4">
      <c r="B21" s="11" t="s">
        <v>218</v>
      </c>
      <c r="C21" s="10">
        <v>1</v>
      </c>
      <c r="D21" s="9">
        <v>4.0650406504065045E-3</v>
      </c>
    </row>
    <row r="22" spans="2:4">
      <c r="B22" s="8" t="s">
        <v>3</v>
      </c>
      <c r="C22" s="7">
        <v>246</v>
      </c>
      <c r="D22" s="6">
        <v>1</v>
      </c>
    </row>
    <row r="24" spans="2:4">
      <c r="B24" s="3" t="s">
        <v>116</v>
      </c>
    </row>
    <row r="25" spans="2:4">
      <c r="B25" s="5" t="s">
        <v>2</v>
      </c>
    </row>
    <row r="26" spans="2:4">
      <c r="B26" s="4" t="s">
        <v>1</v>
      </c>
    </row>
    <row r="27" spans="2:4">
      <c r="B27" s="3" t="s">
        <v>0</v>
      </c>
    </row>
    <row r="28" spans="2:4">
      <c r="B28" s="3" t="s">
        <v>117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Rhode Island_Edomexgral</vt:lpstr>
      <vt:lpstr>Rhode Island_EDOMEX</vt:lpstr>
      <vt:lpstr>Rhode Island_Educagral</vt:lpstr>
      <vt:lpstr>Rhode Island_Eduedo</vt:lpstr>
      <vt:lpstr>Rhode Island_gengral</vt:lpstr>
      <vt:lpstr>Rhode Island_edomexgen</vt:lpstr>
      <vt:lpstr>Rhode Island_edadgen</vt:lpstr>
      <vt:lpstr>Rhode Island_ocupgral</vt:lpstr>
      <vt:lpstr>'Rhode Island_edadgen'!Área_de_impresión</vt:lpstr>
      <vt:lpstr>'Rhode Island_EDOMEX'!Área_de_impresión</vt:lpstr>
      <vt:lpstr>'Rhode Island_edomexgen'!Área_de_impresión</vt:lpstr>
      <vt:lpstr>'Rhode Island_Eduedo'!Área_de_impresión</vt:lpstr>
      <vt:lpstr>'Rhode Island_edadgen'!Títulos_a_imprimir</vt:lpstr>
      <vt:lpstr>'Rhode Island_EDOMEX'!Títulos_a_imprimir</vt:lpstr>
      <vt:lpstr>'Rhode Island_edomexgen'!Títulos_a_imprimir</vt:lpstr>
      <vt:lpstr>'Rhode Island_Edomexgral'!Títulos_a_imprimir</vt:lpstr>
      <vt:lpstr>'Rhode Island_Educagral'!Títulos_a_imprimir</vt:lpstr>
      <vt:lpstr>'Rhode Island_Eduedo'!Títulos_a_imprimir</vt:lpstr>
      <vt:lpstr>'Rhode Island_gengral'!Títulos_a_imprimir</vt:lpstr>
      <vt:lpstr>'Rhode Island_ocupgral'!Títulos_a_imprimir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2020-05-18T08:18:34Z</dcterms:created>
  <dcterms:modified xsi:type="dcterms:W3CDTF">2022-08-08T18:16:01Z</dcterms:modified>
</cp:coreProperties>
</file>