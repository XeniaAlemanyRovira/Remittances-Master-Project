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20"/>
  </bookViews>
  <sheets>
    <sheet name="Índice" sheetId="10" r:id="rId1"/>
    <sheet name="New Hampshire_Edomexgral" sheetId="2" r:id="rId2"/>
    <sheet name="New Hampshire_EDOMEX" sheetId="14" r:id="rId3"/>
    <sheet name="New Hampshire_Educagral" sheetId="12" r:id="rId4"/>
    <sheet name="New Hampshire_Eduedo" sheetId="13" r:id="rId5"/>
    <sheet name="New Hampshire_gengral" sheetId="6" r:id="rId6"/>
    <sheet name="New Hampshire_edomexgen" sheetId="7" r:id="rId7"/>
    <sheet name="New Hampshire_edadgen" sheetId="8" r:id="rId8"/>
    <sheet name="New Hampshire_ocupgral" sheetId="9" r:id="rId9"/>
  </sheets>
  <definedNames>
    <definedName name="_xlnm._FilterDatabase" localSheetId="7" hidden="1">'New Hampshire_edadgen'!$B$9:$E$9</definedName>
    <definedName name="_xlnm._FilterDatabase" localSheetId="2" hidden="1">'New Hampshire_EDOMEX'!$B$9:$E$9</definedName>
    <definedName name="_xlnm._FilterDatabase" localSheetId="6" hidden="1">'New Hampshire_edomexgen'!$B$9:$E$9</definedName>
    <definedName name="_xlnm._FilterDatabase" localSheetId="1" hidden="1">'New Hampshire_Edomexgral'!$B$11:$D$11</definedName>
    <definedName name="_xlnm._FilterDatabase" localSheetId="3" hidden="1">'New Hampshire_Educagral'!$B$11:$D$11</definedName>
    <definedName name="_xlnm._FilterDatabase" localSheetId="4" hidden="1">'New Hampshire_Eduedo'!$B$9:$E$9</definedName>
    <definedName name="_xlnm._FilterDatabase" localSheetId="5" hidden="1">'New Hampshire_gengral'!$B$11:$D$11</definedName>
    <definedName name="_xlnm._FilterDatabase" localSheetId="8" hidden="1">'New Hampshire_ocupgral'!$B$11:$D$11</definedName>
    <definedName name="_xlnm.Print_Area" localSheetId="7">'New Hampshire_edadgen'!$A$1:$E$9</definedName>
    <definedName name="_xlnm.Print_Area" localSheetId="2">'New Hampshire_EDOMEX'!$A$1:$E$9</definedName>
    <definedName name="_xlnm.Print_Area" localSheetId="6">'New Hampshire_edomexgen'!$A$1:$E$9</definedName>
    <definedName name="_xlnm.Print_Area" localSheetId="4">'New Hampshire_Eduedo'!$A$1:$E$9</definedName>
    <definedName name="_xlnm.Print_Titles" localSheetId="7">'New Hampshire_edadgen'!$1:$9</definedName>
    <definedName name="_xlnm.Print_Titles" localSheetId="2">'New Hampshire_EDOMEX'!$1:$9</definedName>
    <definedName name="_xlnm.Print_Titles" localSheetId="6">'New Hampshire_edomexgen'!$1:$9</definedName>
    <definedName name="_xlnm.Print_Titles" localSheetId="1">'New Hampshire_Edomexgral'!$1:$11</definedName>
    <definedName name="_xlnm.Print_Titles" localSheetId="3">'New Hampshire_Educagral'!$1:$11</definedName>
    <definedName name="_xlnm.Print_Titles" localSheetId="4">'New Hampshire_Eduedo'!$1:$9</definedName>
    <definedName name="_xlnm.Print_Titles" localSheetId="5">'New Hampshire_gengral'!$1:$11</definedName>
    <definedName name="_xlnm.Print_Titles" localSheetId="8">'New Hampshire_ocupgral'!$1:$11</definedName>
  </definedNames>
  <calcPr calcId="152511"/>
</workbook>
</file>

<file path=xl/calcChain.xml><?xml version="1.0" encoding="utf-8"?>
<calcChain xmlns="http://schemas.openxmlformats.org/spreadsheetml/2006/main">
  <c r="D68" i="7" l="1"/>
  <c r="D103" i="14" l="1"/>
</calcChain>
</file>

<file path=xl/sharedStrings.xml><?xml version="1.0" encoding="utf-8"?>
<sst xmlns="http://schemas.openxmlformats.org/spreadsheetml/2006/main" count="442" uniqueCount="150">
  <si>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</si>
  <si>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</si>
  <si>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</si>
  <si>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</si>
  <si>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Tamaulipas</t>
  </si>
  <si>
    <t>Oaxaca</t>
  </si>
  <si>
    <t>Baja California</t>
  </si>
  <si>
    <t>Michoacán</t>
  </si>
  <si>
    <t>Durango</t>
  </si>
  <si>
    <t>San Luis Potosí</t>
  </si>
  <si>
    <t>Guanajuato</t>
  </si>
  <si>
    <t>Ciudad de México</t>
  </si>
  <si>
    <t>Puebla</t>
  </si>
  <si>
    <t>Estado de México</t>
  </si>
  <si>
    <t>Colima</t>
  </si>
  <si>
    <t>Zacatecas</t>
  </si>
  <si>
    <t>Veracruz</t>
  </si>
  <si>
    <t>Guerrero</t>
  </si>
  <si>
    <t>Jalisco</t>
  </si>
  <si>
    <t>Chiapas</t>
  </si>
  <si>
    <t>Querétaro</t>
  </si>
  <si>
    <t>Porcentaje de Matrículas</t>
  </si>
  <si>
    <t>Número de Matrículas</t>
  </si>
  <si>
    <t>Estado de Origen</t>
  </si>
  <si>
    <t>Sombrerete</t>
  </si>
  <si>
    <t>Landa de Matamoros</t>
  </si>
  <si>
    <t>El Marqués</t>
  </si>
  <si>
    <t>Guadalajara</t>
  </si>
  <si>
    <t>Degollado</t>
  </si>
  <si>
    <t>Mártir de Cuilapan</t>
  </si>
  <si>
    <t>Manzanillo</t>
  </si>
  <si>
    <t>Las Margaritas</t>
  </si>
  <si>
    <t>Municipio Origen</t>
  </si>
  <si>
    <t>Profesional Titulado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</si>
  <si>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</si>
  <si>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</si>
  <si>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</si>
  <si>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</si>
  <si>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</si>
  <si>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</si>
  <si>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</si>
  <si>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</si>
  <si>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3° Primaria</t>
  </si>
  <si>
    <t>Nivel de Estudios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</si>
  <si>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</si>
  <si>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</si>
  <si>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</si>
  <si>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</si>
  <si>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</si>
  <si>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</si>
  <si>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</si>
  <si>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</si>
  <si>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</si>
  <si>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</si>
  <si>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</si>
  <si>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</si>
  <si>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</si>
  <si>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</si>
  <si>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</si>
  <si>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</si>
  <si>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</si>
  <si>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</si>
  <si>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</si>
  <si>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</si>
  <si>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</si>
  <si>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</si>
  <si>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</si>
  <si>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</si>
  <si>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</si>
  <si>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</si>
  <si>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</si>
  <si>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EN EL ESTADO DE NEW HAMPSHIRE EN EE.UU. POR NIVEL DE EDUCACIÓN</t>
  </si>
  <si>
    <t>Profesional titulado</t>
  </si>
  <si>
    <t>Chihuahua</t>
  </si>
  <si>
    <t>Nuevo León</t>
  </si>
  <si>
    <t>Sonora</t>
  </si>
  <si>
    <t>Tabasco</t>
  </si>
  <si>
    <t>Hidalgo</t>
  </si>
  <si>
    <t>Juárez</t>
  </si>
  <si>
    <t>Acapulco de Juárez</t>
  </si>
  <si>
    <t>San Luis Acatlán</t>
  </si>
  <si>
    <t>Monterrey</t>
  </si>
  <si>
    <t>Cajeme</t>
  </si>
  <si>
    <t>Fresnillo</t>
  </si>
  <si>
    <t>4° Primaria</t>
  </si>
  <si>
    <t>Cocinero(a)</t>
  </si>
  <si>
    <t>MATRÍCULAS CONSULARES DE ALTA SEGURIDAD EXPEDIDAS EN EL ESTADO DE NEW HAMPSHIRE EN EE.UU. POR ESTADO DE LA REPÚBLICA MEXICANA DURANTE EL 2021</t>
  </si>
  <si>
    <t>Tamaño de la muestra: 701,861</t>
  </si>
  <si>
    <t>Mayo de 2022</t>
  </si>
  <si>
    <t>Tijuana</t>
  </si>
  <si>
    <t>La Independencia</t>
  </si>
  <si>
    <t>Tapachula</t>
  </si>
  <si>
    <t>Comala</t>
  </si>
  <si>
    <t>Iztapalapa</t>
  </si>
  <si>
    <t>Tlalpan</t>
  </si>
  <si>
    <t>Vicente Guerrero</t>
  </si>
  <si>
    <t>Aculco</t>
  </si>
  <si>
    <t>Coroneo</t>
  </si>
  <si>
    <t>Salvatierra</t>
  </si>
  <si>
    <t>Tarimoro</t>
  </si>
  <si>
    <t>Ahuacuotzingo</t>
  </si>
  <si>
    <t>Copanatoyac</t>
  </si>
  <si>
    <t>Cuajinicuilapa</t>
  </si>
  <si>
    <t>Igualapa</t>
  </si>
  <si>
    <t>Ometepec</t>
  </si>
  <si>
    <t>Ixmiquilpan</t>
  </si>
  <si>
    <t>Progreso de Obregón</t>
  </si>
  <si>
    <t>Autlán de Navarro</t>
  </si>
  <si>
    <t>Cuautitlán de García Barragán</t>
  </si>
  <si>
    <t>Encarnación de Díaz</t>
  </si>
  <si>
    <t>Huejúcar</t>
  </si>
  <si>
    <t>Teuchitlán</t>
  </si>
  <si>
    <t>Unión de Tula</t>
  </si>
  <si>
    <t>Coahuayana</t>
  </si>
  <si>
    <t>La Piedad</t>
  </si>
  <si>
    <t>Maravatío</t>
  </si>
  <si>
    <t>Zitácuaro</t>
  </si>
  <si>
    <t>Guadalupe</t>
  </si>
  <si>
    <t>San Nicolás de los Garza</t>
  </si>
  <si>
    <t>Heroica Ciudad de Ejutla de Crespo</t>
  </si>
  <si>
    <t>San Agustín Etla</t>
  </si>
  <si>
    <t>San Juan Chilateca</t>
  </si>
  <si>
    <t>Acatzingo</t>
  </si>
  <si>
    <t>Hermenegildo Galeana</t>
  </si>
  <si>
    <t>Huaquechula</t>
  </si>
  <si>
    <t>Ixtacamaxtitlán</t>
  </si>
  <si>
    <t>Teziutlán</t>
  </si>
  <si>
    <t>Tlaola</t>
  </si>
  <si>
    <t>Jalpan de Serra</t>
  </si>
  <si>
    <t>Pedro Escobedo</t>
  </si>
  <si>
    <t>Ciudad Valles</t>
  </si>
  <si>
    <t>Rioverde</t>
  </si>
  <si>
    <t>Tamuín</t>
  </si>
  <si>
    <t>Xilitla</t>
  </si>
  <si>
    <t>Hermosillo</t>
  </si>
  <si>
    <t>Emiliano Zapata</t>
  </si>
  <si>
    <t>Ciudad Madero</t>
  </si>
  <si>
    <t>González</t>
  </si>
  <si>
    <t>Catemaco</t>
  </si>
  <si>
    <t>José Azueta</t>
  </si>
  <si>
    <t>Río Blanco</t>
  </si>
  <si>
    <t>Sin Estudios</t>
  </si>
  <si>
    <t>5° Primaria</t>
  </si>
  <si>
    <t>Profesional pasante</t>
  </si>
  <si>
    <t>MATRÍCULAS CONSULARES DE ALTA SEGURIDAD EXPEDIDAS EN EE.UU A MEXICANOS EN EL ESTADO DE NEW HAMPSHIRE, POR GÉNERO 2021</t>
  </si>
  <si>
    <t>Entre 66 y 75 Años</t>
  </si>
  <si>
    <t>Más de 75 Años</t>
  </si>
  <si>
    <t>Jubilado(a)</t>
  </si>
  <si>
    <t>MATRÍCULAS CONSULARES DE ALTA SEGURIDAD EXPEDIDAS EN EE.UU A MEXICANOS EN EL ESTADO DE  NEW HAMPSHIRE, POR PERFIL OCUPACIONAL 2021</t>
  </si>
  <si>
    <t>Matrículas consulares expedidas a mexicanos  en el estado de New Hampshire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</si>
</sst>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5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right" vertical="center" wrapText="1"/>
    </xf>
    <xf numFmtId="166" fontId="15" fillId="3" borderId="1" xfId="2" applyNumberFormat="1" applyFont="1" applyFill="1" applyBorder="1" applyAlignment="1">
      <alignment horizontal="right" vertical="center" wrapText="1"/>
    </xf>
    <xf numFmtId="49" fontId="15" fillId="3" borderId="1" xfId="2" applyNumberFormat="1" applyFont="1" applyFill="1" applyBorder="1" applyAlignment="1">
      <alignment vertical="center" wrapText="1"/>
    </xf>
    <xf numFmtId="0" fontId="16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8" xfId="0" applyFont="1" applyBorder="1" applyAlignment="1"/>
    <xf numFmtId="0" fontId="21" fillId="0" borderId="0" xfId="0" applyFont="1" applyBorder="1" applyAlignment="1"/>
    <xf numFmtId="0" fontId="21" fillId="0" borderId="9" xfId="0" applyFont="1" applyBorder="1" applyAlignment="1"/>
    <xf numFmtId="0" fontId="21" fillId="0" borderId="10" xfId="0" applyFont="1" applyBorder="1"/>
    <xf numFmtId="0" fontId="21" fillId="0" borderId="11" xfId="0" applyFont="1" applyBorder="1"/>
    <xf numFmtId="0" fontId="21" fillId="0" borderId="12" xfId="0" applyFont="1" applyBorder="1"/>
    <xf numFmtId="0" fontId="22" fillId="0" borderId="0" xfId="4" quotePrefix="1"/>
    <xf numFmtId="0" fontId="24" fillId="0" borderId="8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4" fillId="0" borderId="9" xfId="0" applyFont="1" applyBorder="1" applyAlignment="1">
      <alignment horizontal="left"/>
    </xf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horizontal="justify" vertical="center"/>
    </xf>
    <xf numFmtId="0" fontId="14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9" xfId="4" applyFont="1" applyBorder="1" applyAlignment="1">
      <alignment horizontal="left"/>
    </xf>
    <xf numFmtId="0" fontId="23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5" fillId="3" borderId="2" xfId="2" applyNumberFormat="1" applyFont="1" applyFill="1" applyBorder="1" applyAlignment="1">
      <alignment horizontal="center" vertical="center" wrapText="1"/>
    </xf>
    <xf numFmtId="49" fontId="15" fillId="3" borderId="7" xfId="2" applyNumberFormat="1" applyFont="1" applyFill="1" applyBorder="1" applyAlignment="1">
      <alignment horizontal="center" vertical="center" wrapText="1"/>
    </xf>
    <xf numFmtId="49" fontId="15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480117</xdr:colOff>
      <xdr:row>2</xdr:row>
      <xdr:rowOff>212681</xdr:rowOff>
    </xdr:from>
    <xdr:to>
      <xdr:col>3</xdr:col>
      <xdr:colOff>992214</xdr:colOff>
      <xdr:row>3</xdr:row>
      <xdr:rowOff>212682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4342" y="984206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133350</xdr:rowOff>
    </xdr:from>
    <xdr:to>
      <xdr:col>5</xdr:col>
      <xdr:colOff>64422</xdr:colOff>
      <xdr:row>8</xdr:row>
      <xdr:rowOff>122145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6573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NEW HAMPSHIRE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142875</xdr:rowOff>
    </xdr:from>
    <xdr:to>
      <xdr:col>4</xdr:col>
      <xdr:colOff>1064547</xdr:colOff>
      <xdr:row>7</xdr:row>
      <xdr:rowOff>333376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NEW HAMPSHIRE,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548701</xdr:colOff>
      <xdr:row>7</xdr:row>
      <xdr:rowOff>51006</xdr:rowOff>
    </xdr:from>
    <xdr:to>
      <xdr:col>5</xdr:col>
      <xdr:colOff>1060798</xdr:colOff>
      <xdr:row>7</xdr:row>
      <xdr:rowOff>241507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308525" y="17991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38100</xdr:rowOff>
    </xdr:from>
    <xdr:to>
      <xdr:col>5</xdr:col>
      <xdr:colOff>235872</xdr:colOff>
      <xdr:row>8</xdr:row>
      <xdr:rowOff>26895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5621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HAMPSHIRE,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118241</xdr:rowOff>
    </xdr:from>
    <xdr:to>
      <xdr:col>4</xdr:col>
      <xdr:colOff>1096735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2328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HAMPSHIRE,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170793</xdr:rowOff>
    </xdr:from>
    <xdr:to>
      <xdr:col>4</xdr:col>
      <xdr:colOff>1031045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133350</xdr:rowOff>
    </xdr:from>
    <xdr:to>
      <xdr:col>5</xdr:col>
      <xdr:colOff>131097</xdr:colOff>
      <xdr:row>8</xdr:row>
      <xdr:rowOff>122145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573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>
      <c r="A1" s="64" t="s">
        <v>149</v>
      </c>
      <c r="B1" s="64"/>
      <c r="C1" s="64"/>
      <c r="D1" s="64"/>
    </row>
    <row r="2" spans="1:4" ht="18.75">
      <c r="A2" s="54"/>
      <c r="B2" s="55"/>
      <c r="C2" s="55"/>
      <c r="D2" s="56"/>
    </row>
    <row r="3" spans="1:4">
      <c r="A3" s="65" t="s">
        <v>59</v>
      </c>
      <c r="B3" s="66"/>
      <c r="C3" s="66"/>
      <c r="D3" s="67"/>
    </row>
    <row r="4" spans="1:4">
      <c r="A4" s="65"/>
      <c r="B4" s="66"/>
      <c r="C4" s="66"/>
      <c r="D4" s="67"/>
    </row>
    <row r="5" spans="1:4" ht="18.75">
      <c r="A5" s="44"/>
      <c r="B5" s="45"/>
      <c r="C5" s="45"/>
      <c r="D5" s="46"/>
    </row>
    <row r="6" spans="1:4" ht="18.75">
      <c r="A6" s="63" t="s">
        <v>60</v>
      </c>
      <c r="B6" s="61"/>
      <c r="C6" s="61"/>
      <c r="D6" s="62"/>
    </row>
    <row r="7" spans="1:4" ht="18.75">
      <c r="A7" s="47"/>
      <c r="B7" s="48"/>
      <c r="C7" s="48"/>
      <c r="D7" s="49"/>
    </row>
    <row r="8" spans="1:4" ht="18.75">
      <c r="A8" s="47" t="s">
        <v>61</v>
      </c>
      <c r="B8" s="48"/>
      <c r="C8" s="48"/>
      <c r="D8" s="49"/>
    </row>
    <row r="9" spans="1:4" ht="18.75">
      <c r="A9" s="47"/>
      <c r="B9" s="61" t="s">
        <v>62</v>
      </c>
      <c r="C9" s="61"/>
      <c r="D9" s="62"/>
    </row>
    <row r="10" spans="1:4" ht="18.75">
      <c r="A10" s="47" t="s">
        <v>63</v>
      </c>
      <c r="B10" s="48"/>
      <c r="C10" s="48"/>
      <c r="D10" s="49"/>
    </row>
    <row r="11" spans="1:4" ht="18.75">
      <c r="A11" s="47"/>
      <c r="B11" s="61" t="s">
        <v>64</v>
      </c>
      <c r="C11" s="61"/>
      <c r="D11" s="62"/>
    </row>
    <row r="12" spans="1:4" ht="18.75">
      <c r="A12" s="47"/>
      <c r="B12" s="61" t="s">
        <v>65</v>
      </c>
      <c r="C12" s="61"/>
      <c r="D12" s="62"/>
    </row>
    <row r="13" spans="1:4" ht="18.75">
      <c r="A13" s="47"/>
      <c r="B13" s="48"/>
      <c r="C13" s="48"/>
      <c r="D13" s="49"/>
    </row>
    <row r="14" spans="1:4" ht="18.75">
      <c r="A14" s="47" t="s">
        <v>66</v>
      </c>
      <c r="B14" s="48"/>
      <c r="C14" s="48"/>
      <c r="D14" s="49"/>
    </row>
    <row r="15" spans="1:4" ht="18.75">
      <c r="A15" s="47"/>
      <c r="B15" s="61" t="s">
        <v>67</v>
      </c>
      <c r="C15" s="61"/>
      <c r="D15" s="62"/>
    </row>
    <row r="16" spans="1:4" ht="18.75">
      <c r="A16" s="47"/>
      <c r="B16" s="61" t="s">
        <v>68</v>
      </c>
      <c r="C16" s="61"/>
      <c r="D16" s="62"/>
    </row>
    <row r="17" spans="1:4" ht="18.75">
      <c r="A17" s="47"/>
      <c r="B17" s="48"/>
      <c r="C17" s="48"/>
      <c r="D17" s="49"/>
    </row>
    <row r="18" spans="1:4" ht="18.75">
      <c r="A18" s="63" t="s">
        <v>69</v>
      </c>
      <c r="B18" s="61"/>
      <c r="C18" s="61"/>
      <c r="D18" s="62"/>
    </row>
    <row r="19" spans="1:4" ht="18.75">
      <c r="A19" s="47"/>
      <c r="B19" s="48"/>
      <c r="C19" s="48"/>
      <c r="D19" s="49"/>
    </row>
    <row r="20" spans="1:4" ht="18.75">
      <c r="A20" s="63" t="s">
        <v>70</v>
      </c>
      <c r="B20" s="61"/>
      <c r="C20" s="61"/>
      <c r="D20" s="62"/>
    </row>
    <row r="21" spans="1:4" ht="19.5" thickBot="1">
      <c r="A21" s="50"/>
      <c r="B21" s="51"/>
      <c r="C21" s="51"/>
      <c r="D21" s="5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Hampshire_Edomexgral'!A1" display="1. Por Estados de la República Mexicana"/>
    <hyperlink ref="B9" location="Nebraska_EDOMEX!A1" display="2.1 Por estado de la República Mexicana y municipio de origen"/>
    <hyperlink ref="B11:D11" location="'New Hampshire_Educagral'!A1" display="3.1 Educación general"/>
    <hyperlink ref="B12:D12" location="'New Hampshire_Eduedo'!A1" display="3.2 Por Estado de la República Mexicana"/>
    <hyperlink ref="B15:D15" location="'New Hampshire_gengral'!A1" display="4.1 Género General"/>
    <hyperlink ref="B16:D16" location="'New Hampshire_edomexgen'!A1" display="4.2 Por Estados de la República Mexicana"/>
    <hyperlink ref="A18:D18" location="'New Hampshire_edadgen'!A1" display="5. Por estructura de Edad"/>
    <hyperlink ref="A20:D20" location="'New Hampshire_ocupgral'!A1" display="6. Por Ocupación"/>
    <hyperlink ref="B9:D9" location="'New Hampshire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0"/>
  <sheetViews>
    <sheetView showGridLines="0" topLeftCell="A13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8" t="s">
        <v>86</v>
      </c>
      <c r="C7" s="68"/>
      <c r="D7" s="68"/>
    </row>
    <row r="8" spans="1:5" s="13" customFormat="1" ht="15" customHeight="1">
      <c r="B8" s="68"/>
      <c r="C8" s="68"/>
      <c r="D8" s="68"/>
    </row>
    <row r="9" spans="1:5" s="13" customFormat="1" ht="33" customHeight="1">
      <c r="B9" s="68"/>
      <c r="C9" s="68"/>
      <c r="D9" s="68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23</v>
      </c>
      <c r="C11" s="15" t="s">
        <v>22</v>
      </c>
      <c r="D11" s="14" t="s">
        <v>21</v>
      </c>
    </row>
    <row r="12" spans="1:5">
      <c r="B12" s="11" t="s">
        <v>20</v>
      </c>
      <c r="C12" s="10">
        <v>26</v>
      </c>
      <c r="D12" s="9">
        <v>0.18705035971223022</v>
      </c>
    </row>
    <row r="13" spans="1:5">
      <c r="B13" s="11" t="s">
        <v>15</v>
      </c>
      <c r="C13" s="10">
        <v>16</v>
      </c>
      <c r="D13" s="9">
        <v>0.11510791366906475</v>
      </c>
    </row>
    <row r="14" spans="1:5">
      <c r="A14" s="12"/>
      <c r="B14" s="11" t="s">
        <v>17</v>
      </c>
      <c r="C14" s="10">
        <v>15</v>
      </c>
      <c r="D14" s="9">
        <v>0.1079136690647482</v>
      </c>
      <c r="E14" s="12"/>
    </row>
    <row r="15" spans="1:5">
      <c r="A15" s="12"/>
      <c r="B15" s="11" t="s">
        <v>18</v>
      </c>
      <c r="C15" s="10">
        <v>11</v>
      </c>
      <c r="D15" s="9">
        <v>7.9136690647482008E-2</v>
      </c>
      <c r="E15" s="12"/>
    </row>
    <row r="16" spans="1:5">
      <c r="B16" s="11" t="s">
        <v>7</v>
      </c>
      <c r="C16" s="10">
        <v>9</v>
      </c>
      <c r="D16" s="9">
        <v>6.4748201438848921E-2</v>
      </c>
    </row>
    <row r="17" spans="2:4">
      <c r="B17" s="11" t="s">
        <v>14</v>
      </c>
      <c r="C17" s="10">
        <v>8</v>
      </c>
      <c r="D17" s="9">
        <v>5.7553956834532377E-2</v>
      </c>
    </row>
    <row r="18" spans="2:4">
      <c r="B18" s="11" t="s">
        <v>12</v>
      </c>
      <c r="C18" s="10">
        <v>8</v>
      </c>
      <c r="D18" s="9">
        <v>5.7553956834532377E-2</v>
      </c>
    </row>
    <row r="19" spans="2:4">
      <c r="B19" s="11" t="s">
        <v>9</v>
      </c>
      <c r="C19" s="10">
        <v>7</v>
      </c>
      <c r="D19" s="9">
        <v>5.0359712230215826E-2</v>
      </c>
    </row>
    <row r="20" spans="2:4">
      <c r="B20" s="11" t="s">
        <v>19</v>
      </c>
      <c r="C20" s="10">
        <v>5</v>
      </c>
      <c r="D20" s="9">
        <v>3.5971223021582732E-2</v>
      </c>
    </row>
    <row r="21" spans="2:4">
      <c r="B21" s="11" t="s">
        <v>11</v>
      </c>
      <c r="C21" s="10">
        <v>4</v>
      </c>
      <c r="D21" s="9">
        <v>2.8776978417266189E-2</v>
      </c>
    </row>
    <row r="22" spans="2:4">
      <c r="B22" s="11" t="s">
        <v>8</v>
      </c>
      <c r="C22" s="10">
        <v>4</v>
      </c>
      <c r="D22" s="9">
        <v>2.8776978417266189E-2</v>
      </c>
    </row>
    <row r="23" spans="2:4">
      <c r="B23" s="11" t="s">
        <v>10</v>
      </c>
      <c r="C23" s="10">
        <v>4</v>
      </c>
      <c r="D23" s="9">
        <v>2.8776978417266189E-2</v>
      </c>
    </row>
    <row r="24" spans="2:4">
      <c r="B24" s="11" t="s">
        <v>6</v>
      </c>
      <c r="C24" s="10">
        <v>3</v>
      </c>
      <c r="D24" s="9">
        <v>2.1582733812949641E-2</v>
      </c>
    </row>
    <row r="25" spans="2:4">
      <c r="B25" s="11" t="s">
        <v>77</v>
      </c>
      <c r="C25" s="10">
        <v>3</v>
      </c>
      <c r="D25" s="9">
        <v>2.1582733812949641E-2</v>
      </c>
    </row>
    <row r="26" spans="2:4">
      <c r="B26" s="11" t="s">
        <v>74</v>
      </c>
      <c r="C26" s="10">
        <v>3</v>
      </c>
      <c r="D26" s="9">
        <v>2.1582733812949641E-2</v>
      </c>
    </row>
    <row r="27" spans="2:4">
      <c r="B27" s="11" t="s">
        <v>5</v>
      </c>
      <c r="C27" s="10">
        <v>3</v>
      </c>
      <c r="D27" s="9">
        <v>2.1582733812949641E-2</v>
      </c>
    </row>
    <row r="28" spans="2:4">
      <c r="B28" s="11" t="s">
        <v>16</v>
      </c>
      <c r="C28" s="10">
        <v>3</v>
      </c>
      <c r="D28" s="9">
        <v>2.1582733812949641E-2</v>
      </c>
    </row>
    <row r="29" spans="2:4">
      <c r="B29" s="11" t="s">
        <v>75</v>
      </c>
      <c r="C29" s="10">
        <v>2</v>
      </c>
      <c r="D29" s="9">
        <v>1.4388489208633094E-2</v>
      </c>
    </row>
    <row r="30" spans="2:4">
      <c r="B30" s="11" t="s">
        <v>4</v>
      </c>
      <c r="C30" s="10">
        <v>2</v>
      </c>
      <c r="D30" s="9">
        <v>1.4388489208633094E-2</v>
      </c>
    </row>
    <row r="31" spans="2:4">
      <c r="B31" s="11" t="s">
        <v>73</v>
      </c>
      <c r="C31" s="10">
        <v>1</v>
      </c>
      <c r="D31" s="9">
        <v>7.1942446043165471E-3</v>
      </c>
    </row>
    <row r="32" spans="2:4">
      <c r="B32" s="11" t="s">
        <v>13</v>
      </c>
      <c r="C32" s="10">
        <v>1</v>
      </c>
      <c r="D32" s="9">
        <v>7.1942446043165471E-3</v>
      </c>
    </row>
    <row r="33" spans="2:4">
      <c r="B33" s="11" t="s">
        <v>76</v>
      </c>
      <c r="C33" s="10">
        <v>1</v>
      </c>
      <c r="D33" s="9">
        <v>7.1942446043165471E-3</v>
      </c>
    </row>
    <row r="34" spans="2:4">
      <c r="B34" s="8" t="s">
        <v>3</v>
      </c>
      <c r="C34" s="7">
        <v>139</v>
      </c>
      <c r="D34" s="6">
        <v>1</v>
      </c>
    </row>
    <row r="36" spans="2:4">
      <c r="B36" s="3" t="s">
        <v>87</v>
      </c>
    </row>
    <row r="37" spans="2:4">
      <c r="B37" s="5" t="s">
        <v>2</v>
      </c>
    </row>
    <row r="38" spans="2:4">
      <c r="B38" s="4" t="s">
        <v>1</v>
      </c>
    </row>
    <row r="39" spans="2:4">
      <c r="B39" s="3" t="s">
        <v>0</v>
      </c>
    </row>
    <row r="40" spans="2:4">
      <c r="B40" s="3" t="s">
        <v>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02"/>
  <sheetViews>
    <sheetView showGridLines="0" topLeftCell="A94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2"/>
      <c r="C7" s="72"/>
      <c r="D7" s="72"/>
      <c r="E7" s="72"/>
    </row>
    <row r="8" spans="1:5" s="34" customFormat="1" ht="33" customHeight="1">
      <c r="A8" s="35"/>
      <c r="B8" s="72"/>
      <c r="C8" s="72"/>
      <c r="D8" s="72"/>
      <c r="E8" s="72"/>
    </row>
    <row r="9" spans="1:5" s="13" customFormat="1" ht="40.5" customHeight="1">
      <c r="B9" s="31" t="s">
        <v>23</v>
      </c>
      <c r="C9" s="33" t="s">
        <v>32</v>
      </c>
      <c r="D9" s="32" t="s">
        <v>22</v>
      </c>
      <c r="E9" s="31" t="s">
        <v>21</v>
      </c>
    </row>
    <row r="10" spans="1:5" ht="15" customHeight="1">
      <c r="B10" s="69" t="s">
        <v>6</v>
      </c>
      <c r="C10" s="29" t="s">
        <v>89</v>
      </c>
      <c r="D10" s="28">
        <v>3</v>
      </c>
      <c r="E10" s="27">
        <v>2.1582733812949641E-2</v>
      </c>
    </row>
    <row r="11" spans="1:5" ht="15" customHeight="1">
      <c r="B11" s="71"/>
      <c r="C11" s="26" t="s">
        <v>3</v>
      </c>
      <c r="D11" s="25">
        <v>3</v>
      </c>
      <c r="E11" s="24">
        <v>2.1582733812949641E-2</v>
      </c>
    </row>
    <row r="12" spans="1:5" ht="15" customHeight="1">
      <c r="B12" s="69" t="s">
        <v>19</v>
      </c>
      <c r="C12" s="29" t="s">
        <v>90</v>
      </c>
      <c r="D12" s="28">
        <v>1</v>
      </c>
      <c r="E12" s="27">
        <v>7.1942446043165471E-3</v>
      </c>
    </row>
    <row r="13" spans="1:5" ht="15" customHeight="1">
      <c r="B13" s="70"/>
      <c r="C13" s="29" t="s">
        <v>31</v>
      </c>
      <c r="D13" s="28">
        <v>3</v>
      </c>
      <c r="E13" s="27">
        <v>2.1582733812949641E-2</v>
      </c>
    </row>
    <row r="14" spans="1:5" ht="15" customHeight="1">
      <c r="B14" s="70"/>
      <c r="C14" s="29" t="s">
        <v>91</v>
      </c>
      <c r="D14" s="28">
        <v>1</v>
      </c>
      <c r="E14" s="27">
        <v>7.1942446043165471E-3</v>
      </c>
    </row>
    <row r="15" spans="1:5" ht="15" customHeight="1">
      <c r="B15" s="71"/>
      <c r="C15" s="26" t="s">
        <v>3</v>
      </c>
      <c r="D15" s="25">
        <v>5</v>
      </c>
      <c r="E15" s="24">
        <v>3.5971223021582732E-2</v>
      </c>
    </row>
    <row r="16" spans="1:5" ht="15" customHeight="1">
      <c r="B16" s="69" t="s">
        <v>73</v>
      </c>
      <c r="C16" s="29" t="s">
        <v>78</v>
      </c>
      <c r="D16" s="28">
        <v>1</v>
      </c>
      <c r="E16" s="27">
        <v>7.1942446043165471E-3</v>
      </c>
    </row>
    <row r="17" spans="2:5" ht="15" customHeight="1">
      <c r="B17" s="71"/>
      <c r="C17" s="26" t="s">
        <v>3</v>
      </c>
      <c r="D17" s="25">
        <v>1</v>
      </c>
      <c r="E17" s="24">
        <v>7.1942446043165471E-3</v>
      </c>
    </row>
    <row r="18" spans="2:5" ht="15" customHeight="1">
      <c r="B18" s="69" t="s">
        <v>14</v>
      </c>
      <c r="C18" s="29" t="s">
        <v>14</v>
      </c>
      <c r="D18" s="28">
        <v>1</v>
      </c>
      <c r="E18" s="27">
        <v>7.1942446043165471E-3</v>
      </c>
    </row>
    <row r="19" spans="2:5" ht="15" customHeight="1">
      <c r="B19" s="70"/>
      <c r="C19" s="29" t="s">
        <v>92</v>
      </c>
      <c r="D19" s="28">
        <v>1</v>
      </c>
      <c r="E19" s="27">
        <v>7.1942446043165471E-3</v>
      </c>
    </row>
    <row r="20" spans="2:5" ht="15" customHeight="1">
      <c r="B20" s="70"/>
      <c r="C20" s="29" t="s">
        <v>30</v>
      </c>
      <c r="D20" s="28">
        <v>6</v>
      </c>
      <c r="E20" s="27">
        <v>4.3165467625899283E-2</v>
      </c>
    </row>
    <row r="21" spans="2:5" ht="15" customHeight="1">
      <c r="B21" s="71"/>
      <c r="C21" s="26" t="s">
        <v>3</v>
      </c>
      <c r="D21" s="25">
        <v>8</v>
      </c>
      <c r="E21" s="24">
        <v>5.7553956834532377E-2</v>
      </c>
    </row>
    <row r="22" spans="2:5" ht="15" customHeight="1">
      <c r="B22" s="69" t="s">
        <v>11</v>
      </c>
      <c r="C22" s="29" t="s">
        <v>93</v>
      </c>
      <c r="D22" s="28">
        <v>2</v>
      </c>
      <c r="E22" s="27">
        <v>1.4388489208633094E-2</v>
      </c>
    </row>
    <row r="23" spans="2:5" ht="15" customHeight="1">
      <c r="B23" s="70"/>
      <c r="C23" s="29" t="s">
        <v>94</v>
      </c>
      <c r="D23" s="28">
        <v>2</v>
      </c>
      <c r="E23" s="27">
        <v>1.4388489208633094E-2</v>
      </c>
    </row>
    <row r="24" spans="2:5" ht="15" customHeight="1">
      <c r="B24" s="71"/>
      <c r="C24" s="26" t="s">
        <v>3</v>
      </c>
      <c r="D24" s="25">
        <v>4</v>
      </c>
      <c r="E24" s="24">
        <v>2.8776978417266189E-2</v>
      </c>
    </row>
    <row r="25" spans="2:5" ht="15" customHeight="1">
      <c r="B25" s="69" t="s">
        <v>8</v>
      </c>
      <c r="C25" s="29" t="s">
        <v>8</v>
      </c>
      <c r="D25" s="28">
        <v>1</v>
      </c>
      <c r="E25" s="27">
        <v>7.1942446043165471E-3</v>
      </c>
    </row>
    <row r="26" spans="2:5" ht="15" customHeight="1">
      <c r="B26" s="70"/>
      <c r="C26" s="29" t="s">
        <v>95</v>
      </c>
      <c r="D26" s="28">
        <v>3</v>
      </c>
      <c r="E26" s="27">
        <v>2.1582733812949641E-2</v>
      </c>
    </row>
    <row r="27" spans="2:5" ht="15" customHeight="1">
      <c r="B27" s="71"/>
      <c r="C27" s="26" t="s">
        <v>3</v>
      </c>
      <c r="D27" s="25">
        <v>4</v>
      </c>
      <c r="E27" s="24">
        <v>2.8776978417266189E-2</v>
      </c>
    </row>
    <row r="28" spans="2:5" ht="15" customHeight="1">
      <c r="B28" s="69" t="s">
        <v>13</v>
      </c>
      <c r="C28" s="29" t="s">
        <v>96</v>
      </c>
      <c r="D28" s="28">
        <v>1</v>
      </c>
      <c r="E28" s="27">
        <v>7.1942446043165471E-3</v>
      </c>
    </row>
    <row r="29" spans="2:5" ht="15" customHeight="1">
      <c r="B29" s="71"/>
      <c r="C29" s="26" t="s">
        <v>3</v>
      </c>
      <c r="D29" s="25">
        <v>1</v>
      </c>
      <c r="E29" s="24">
        <v>7.1942446043165471E-3</v>
      </c>
    </row>
    <row r="30" spans="2:5" ht="15" customHeight="1">
      <c r="B30" s="69" t="s">
        <v>10</v>
      </c>
      <c r="C30" s="29" t="s">
        <v>97</v>
      </c>
      <c r="D30" s="28">
        <v>1</v>
      </c>
      <c r="E30" s="27">
        <v>7.1942446043165471E-3</v>
      </c>
    </row>
    <row r="31" spans="2:5" ht="15" customHeight="1">
      <c r="B31" s="70"/>
      <c r="C31" s="29" t="s">
        <v>98</v>
      </c>
      <c r="D31" s="28">
        <v>2</v>
      </c>
      <c r="E31" s="27">
        <v>1.4388489208633094E-2</v>
      </c>
    </row>
    <row r="32" spans="2:5" ht="15" customHeight="1">
      <c r="B32" s="70"/>
      <c r="C32" s="29" t="s">
        <v>99</v>
      </c>
      <c r="D32" s="28">
        <v>1</v>
      </c>
      <c r="E32" s="27">
        <v>7.1942446043165471E-3</v>
      </c>
    </row>
    <row r="33" spans="2:5" ht="15" customHeight="1">
      <c r="B33" s="71"/>
      <c r="C33" s="26" t="s">
        <v>3</v>
      </c>
      <c r="D33" s="25">
        <v>4</v>
      </c>
      <c r="E33" s="24">
        <v>2.8776978417266189E-2</v>
      </c>
    </row>
    <row r="34" spans="2:5" ht="15" customHeight="1">
      <c r="B34" s="69" t="s">
        <v>17</v>
      </c>
      <c r="C34" s="29" t="s">
        <v>79</v>
      </c>
      <c r="D34" s="28">
        <v>2</v>
      </c>
      <c r="E34" s="27">
        <v>1.4388489208633094E-2</v>
      </c>
    </row>
    <row r="35" spans="2:5" ht="15" customHeight="1">
      <c r="B35" s="70"/>
      <c r="C35" s="29" t="s">
        <v>100</v>
      </c>
      <c r="D35" s="28">
        <v>2</v>
      </c>
      <c r="E35" s="27">
        <v>1.4388489208633094E-2</v>
      </c>
    </row>
    <row r="36" spans="2:5" ht="15" customHeight="1">
      <c r="B36" s="70"/>
      <c r="C36" s="29" t="s">
        <v>101</v>
      </c>
      <c r="D36" s="28">
        <v>1</v>
      </c>
      <c r="E36" s="27">
        <v>7.1942446043165471E-3</v>
      </c>
    </row>
    <row r="37" spans="2:5" ht="15" customHeight="1">
      <c r="B37" s="70"/>
      <c r="C37" s="29" t="s">
        <v>102</v>
      </c>
      <c r="D37" s="28">
        <v>1</v>
      </c>
      <c r="E37" s="27">
        <v>7.1942446043165471E-3</v>
      </c>
    </row>
    <row r="38" spans="2:5" ht="15" customHeight="1">
      <c r="B38" s="70"/>
      <c r="C38" s="29" t="s">
        <v>103</v>
      </c>
      <c r="D38" s="28">
        <v>2</v>
      </c>
      <c r="E38" s="27">
        <v>1.4388489208633094E-2</v>
      </c>
    </row>
    <row r="39" spans="2:5" ht="15" customHeight="1">
      <c r="B39" s="70"/>
      <c r="C39" s="29" t="s">
        <v>29</v>
      </c>
      <c r="D39" s="28">
        <v>2</v>
      </c>
      <c r="E39" s="27">
        <v>1.4388489208633094E-2</v>
      </c>
    </row>
    <row r="40" spans="2:5" ht="15" customHeight="1">
      <c r="B40" s="70"/>
      <c r="C40" s="29" t="s">
        <v>104</v>
      </c>
      <c r="D40" s="28">
        <v>1</v>
      </c>
      <c r="E40" s="27">
        <v>7.1942446043165471E-3</v>
      </c>
    </row>
    <row r="41" spans="2:5" ht="15" customHeight="1">
      <c r="B41" s="70"/>
      <c r="C41" s="29" t="s">
        <v>80</v>
      </c>
      <c r="D41" s="28">
        <v>4</v>
      </c>
      <c r="E41" s="27">
        <v>2.8776978417266189E-2</v>
      </c>
    </row>
    <row r="42" spans="2:5" ht="15" customHeight="1">
      <c r="B42" s="71"/>
      <c r="C42" s="26" t="s">
        <v>3</v>
      </c>
      <c r="D42" s="25">
        <v>15</v>
      </c>
      <c r="E42" s="24">
        <v>0.1079136690647482</v>
      </c>
    </row>
    <row r="43" spans="2:5" ht="15" customHeight="1">
      <c r="B43" s="69" t="s">
        <v>77</v>
      </c>
      <c r="C43" s="29" t="s">
        <v>105</v>
      </c>
      <c r="D43" s="28">
        <v>2</v>
      </c>
      <c r="E43" s="27">
        <v>1.4388489208633094E-2</v>
      </c>
    </row>
    <row r="44" spans="2:5" ht="15" customHeight="1">
      <c r="B44" s="70"/>
      <c r="C44" s="29" t="s">
        <v>106</v>
      </c>
      <c r="D44" s="28">
        <v>1</v>
      </c>
      <c r="E44" s="27">
        <v>7.1942446043165471E-3</v>
      </c>
    </row>
    <row r="45" spans="2:5" ht="15" customHeight="1">
      <c r="B45" s="71"/>
      <c r="C45" s="26" t="s">
        <v>3</v>
      </c>
      <c r="D45" s="25">
        <v>3</v>
      </c>
      <c r="E45" s="24">
        <v>2.1582733812949641E-2</v>
      </c>
    </row>
    <row r="46" spans="2:5" ht="15" customHeight="1">
      <c r="B46" s="69" t="s">
        <v>18</v>
      </c>
      <c r="C46" s="29" t="s">
        <v>107</v>
      </c>
      <c r="D46" s="28">
        <v>1</v>
      </c>
      <c r="E46" s="27">
        <v>7.1942446043165471E-3</v>
      </c>
    </row>
    <row r="47" spans="2:5" ht="15" customHeight="1">
      <c r="B47" s="70"/>
      <c r="C47" s="29" t="s">
        <v>108</v>
      </c>
      <c r="D47" s="28">
        <v>1</v>
      </c>
      <c r="E47" s="27">
        <v>7.1942446043165471E-3</v>
      </c>
    </row>
    <row r="48" spans="2:5" ht="15" customHeight="1">
      <c r="B48" s="70"/>
      <c r="C48" s="29" t="s">
        <v>28</v>
      </c>
      <c r="D48" s="28">
        <v>1</v>
      </c>
      <c r="E48" s="27">
        <v>7.1942446043165471E-3</v>
      </c>
    </row>
    <row r="49" spans="2:5" ht="15" customHeight="1">
      <c r="B49" s="70"/>
      <c r="C49" s="29" t="s">
        <v>109</v>
      </c>
      <c r="D49" s="28">
        <v>1</v>
      </c>
      <c r="E49" s="27">
        <v>7.1942446043165471E-3</v>
      </c>
    </row>
    <row r="50" spans="2:5" ht="15" customHeight="1">
      <c r="B50" s="70"/>
      <c r="C50" s="29" t="s">
        <v>27</v>
      </c>
      <c r="D50" s="28">
        <v>2</v>
      </c>
      <c r="E50" s="27">
        <v>1.4388489208633094E-2</v>
      </c>
    </row>
    <row r="51" spans="2:5" ht="15" customHeight="1">
      <c r="B51" s="70"/>
      <c r="C51" s="29" t="s">
        <v>110</v>
      </c>
      <c r="D51" s="28">
        <v>1</v>
      </c>
      <c r="E51" s="27">
        <v>7.1942446043165471E-3</v>
      </c>
    </row>
    <row r="52" spans="2:5" ht="15" customHeight="1">
      <c r="B52" s="70"/>
      <c r="C52" s="29" t="s">
        <v>111</v>
      </c>
      <c r="D52" s="28">
        <v>1</v>
      </c>
      <c r="E52" s="27">
        <v>7.1942446043165471E-3</v>
      </c>
    </row>
    <row r="53" spans="2:5" ht="15" customHeight="1">
      <c r="B53" s="70"/>
      <c r="C53" s="29" t="s">
        <v>112</v>
      </c>
      <c r="D53" s="28">
        <v>3</v>
      </c>
      <c r="E53" s="27">
        <v>2.1582733812949641E-2</v>
      </c>
    </row>
    <row r="54" spans="2:5" ht="15" customHeight="1">
      <c r="B54" s="71"/>
      <c r="C54" s="26" t="s">
        <v>3</v>
      </c>
      <c r="D54" s="25">
        <v>11</v>
      </c>
      <c r="E54" s="24">
        <v>7.9136690647482008E-2</v>
      </c>
    </row>
    <row r="55" spans="2:5" ht="15" customHeight="1">
      <c r="B55" s="69" t="s">
        <v>7</v>
      </c>
      <c r="C55" s="29" t="s">
        <v>113</v>
      </c>
      <c r="D55" s="28">
        <v>1</v>
      </c>
      <c r="E55" s="27">
        <v>7.1942446043165471E-3</v>
      </c>
    </row>
    <row r="56" spans="2:5" ht="15" customHeight="1">
      <c r="B56" s="70"/>
      <c r="C56" s="29" t="s">
        <v>77</v>
      </c>
      <c r="D56" s="28">
        <v>4</v>
      </c>
      <c r="E56" s="27">
        <v>2.8776978417266189E-2</v>
      </c>
    </row>
    <row r="57" spans="2:5" ht="15" customHeight="1">
      <c r="B57" s="70"/>
      <c r="C57" s="29" t="s">
        <v>114</v>
      </c>
      <c r="D57" s="28">
        <v>2</v>
      </c>
      <c r="E57" s="27">
        <v>1.4388489208633094E-2</v>
      </c>
    </row>
    <row r="58" spans="2:5" ht="15" customHeight="1">
      <c r="B58" s="70"/>
      <c r="C58" s="29" t="s">
        <v>115</v>
      </c>
      <c r="D58" s="28">
        <v>1</v>
      </c>
      <c r="E58" s="27">
        <v>7.1942446043165471E-3</v>
      </c>
    </row>
    <row r="59" spans="2:5" ht="15" customHeight="1">
      <c r="B59" s="70"/>
      <c r="C59" s="29" t="s">
        <v>116</v>
      </c>
      <c r="D59" s="28">
        <v>1</v>
      </c>
      <c r="E59" s="27">
        <v>7.1942446043165471E-3</v>
      </c>
    </row>
    <row r="60" spans="2:5" ht="15" customHeight="1">
      <c r="B60" s="71"/>
      <c r="C60" s="26" t="s">
        <v>3</v>
      </c>
      <c r="D60" s="25">
        <v>9</v>
      </c>
      <c r="E60" s="24">
        <v>6.4748201438848921E-2</v>
      </c>
    </row>
    <row r="61" spans="2:5" ht="15" customHeight="1">
      <c r="B61" s="69" t="s">
        <v>74</v>
      </c>
      <c r="C61" s="29" t="s">
        <v>117</v>
      </c>
      <c r="D61" s="28">
        <v>1</v>
      </c>
      <c r="E61" s="27">
        <v>7.1942446043165471E-3</v>
      </c>
    </row>
    <row r="62" spans="2:5" ht="15" customHeight="1">
      <c r="B62" s="70"/>
      <c r="C62" s="29" t="s">
        <v>81</v>
      </c>
      <c r="D62" s="28">
        <v>1</v>
      </c>
      <c r="E62" s="27">
        <v>7.1942446043165471E-3</v>
      </c>
    </row>
    <row r="63" spans="2:5" ht="15" customHeight="1">
      <c r="B63" s="70"/>
      <c r="C63" s="29" t="s">
        <v>118</v>
      </c>
      <c r="D63" s="28">
        <v>1</v>
      </c>
      <c r="E63" s="27">
        <v>7.1942446043165471E-3</v>
      </c>
    </row>
    <row r="64" spans="2:5" ht="15" customHeight="1">
      <c r="B64" s="71"/>
      <c r="C64" s="26" t="s">
        <v>3</v>
      </c>
      <c r="D64" s="25">
        <v>3</v>
      </c>
      <c r="E64" s="24">
        <v>2.1582733812949641E-2</v>
      </c>
    </row>
    <row r="65" spans="2:6" ht="15" customHeight="1">
      <c r="B65" s="69" t="s">
        <v>5</v>
      </c>
      <c r="C65" s="29" t="s">
        <v>119</v>
      </c>
      <c r="D65" s="28">
        <v>1</v>
      </c>
      <c r="E65" s="27">
        <v>7.1942446043165471E-3</v>
      </c>
    </row>
    <row r="66" spans="2:6" ht="15" customHeight="1">
      <c r="B66" s="70"/>
      <c r="C66" s="29" t="s">
        <v>120</v>
      </c>
      <c r="D66" s="28">
        <v>1</v>
      </c>
      <c r="E66" s="27">
        <v>7.1942446043165471E-3</v>
      </c>
    </row>
    <row r="67" spans="2:6" ht="15" customHeight="1">
      <c r="B67" s="70"/>
      <c r="C67" s="29" t="s">
        <v>121</v>
      </c>
      <c r="D67" s="28">
        <v>1</v>
      </c>
      <c r="E67" s="27">
        <v>7.1942446043165471E-3</v>
      </c>
    </row>
    <row r="68" spans="2:6" ht="15" customHeight="1">
      <c r="B68" s="71"/>
      <c r="C68" s="26" t="s">
        <v>3</v>
      </c>
      <c r="D68" s="25">
        <v>3</v>
      </c>
      <c r="E68" s="24">
        <v>2.1582733812949641E-2</v>
      </c>
      <c r="F68" s="1"/>
    </row>
    <row r="69" spans="2:6" ht="15" customHeight="1">
      <c r="B69" s="69" t="s">
        <v>12</v>
      </c>
      <c r="C69" s="29" t="s">
        <v>122</v>
      </c>
      <c r="D69" s="28">
        <v>1</v>
      </c>
      <c r="E69" s="27">
        <v>7.1942446043165471E-3</v>
      </c>
      <c r="F69" s="1"/>
    </row>
    <row r="70" spans="2:6" ht="15" customHeight="1">
      <c r="B70" s="70"/>
      <c r="C70" s="29" t="s">
        <v>123</v>
      </c>
      <c r="D70" s="28">
        <v>1</v>
      </c>
      <c r="E70" s="27">
        <v>7.1942446043165471E-3</v>
      </c>
      <c r="F70" s="1"/>
    </row>
    <row r="71" spans="2:6" ht="15" customHeight="1">
      <c r="B71" s="70"/>
      <c r="C71" s="29" t="s">
        <v>124</v>
      </c>
      <c r="D71" s="28">
        <v>3</v>
      </c>
      <c r="E71" s="27">
        <v>2.1582733812949641E-2</v>
      </c>
      <c r="F71" s="1"/>
    </row>
    <row r="72" spans="2:6" ht="15" customHeight="1">
      <c r="B72" s="70"/>
      <c r="C72" s="29" t="s">
        <v>125</v>
      </c>
      <c r="D72" s="28">
        <v>1</v>
      </c>
      <c r="E72" s="27">
        <v>7.1942446043165471E-3</v>
      </c>
      <c r="F72" s="1"/>
    </row>
    <row r="73" spans="2:6" ht="15" customHeight="1">
      <c r="B73" s="70"/>
      <c r="C73" s="29" t="s">
        <v>126</v>
      </c>
      <c r="D73" s="28">
        <v>1</v>
      </c>
      <c r="E73" s="27">
        <v>7.1942446043165471E-3</v>
      </c>
    </row>
    <row r="74" spans="2:6" ht="15" customHeight="1">
      <c r="B74" s="70"/>
      <c r="C74" s="29" t="s">
        <v>127</v>
      </c>
      <c r="D74" s="28">
        <v>1</v>
      </c>
      <c r="E74" s="27">
        <v>7.1942446043165471E-3</v>
      </c>
    </row>
    <row r="75" spans="2:6" ht="15" customHeight="1">
      <c r="B75" s="71"/>
      <c r="C75" s="26" t="s">
        <v>3</v>
      </c>
      <c r="D75" s="25">
        <v>8</v>
      </c>
      <c r="E75" s="24">
        <v>5.7553956834532377E-2</v>
      </c>
    </row>
    <row r="76" spans="2:6" ht="15" customHeight="1">
      <c r="B76" s="69" t="s">
        <v>20</v>
      </c>
      <c r="C76" s="29" t="s">
        <v>26</v>
      </c>
      <c r="D76" s="28">
        <v>7</v>
      </c>
      <c r="E76" s="27">
        <v>5.0359712230215826E-2</v>
      </c>
    </row>
    <row r="77" spans="2:6" ht="15" customHeight="1">
      <c r="B77" s="70"/>
      <c r="C77" s="29" t="s">
        <v>128</v>
      </c>
      <c r="D77" s="28">
        <v>1</v>
      </c>
      <c r="E77" s="27">
        <v>7.1942446043165471E-3</v>
      </c>
    </row>
    <row r="78" spans="2:6" ht="15" customHeight="1">
      <c r="B78" s="70"/>
      <c r="C78" s="29" t="s">
        <v>25</v>
      </c>
      <c r="D78" s="28">
        <v>4</v>
      </c>
      <c r="E78" s="27">
        <v>2.8776978417266189E-2</v>
      </c>
    </row>
    <row r="79" spans="2:6" ht="15" customHeight="1">
      <c r="B79" s="70"/>
      <c r="C79" s="29" t="s">
        <v>129</v>
      </c>
      <c r="D79" s="28">
        <v>1</v>
      </c>
      <c r="E79" s="27">
        <v>7.1942446043165471E-3</v>
      </c>
    </row>
    <row r="80" spans="2:6" ht="15" customHeight="1">
      <c r="B80" s="70"/>
      <c r="C80" s="29" t="s">
        <v>20</v>
      </c>
      <c r="D80" s="28">
        <v>13</v>
      </c>
      <c r="E80" s="27">
        <v>9.3525179856115109E-2</v>
      </c>
    </row>
    <row r="81" spans="2:5" ht="15" customHeight="1">
      <c r="B81" s="71"/>
      <c r="C81" s="26" t="s">
        <v>3</v>
      </c>
      <c r="D81" s="25">
        <v>26</v>
      </c>
      <c r="E81" s="24">
        <v>0.18705035971223022</v>
      </c>
    </row>
    <row r="82" spans="2:5" ht="15" customHeight="1">
      <c r="B82" s="69" t="s">
        <v>9</v>
      </c>
      <c r="C82" s="29" t="s">
        <v>130</v>
      </c>
      <c r="D82" s="28">
        <v>2</v>
      </c>
      <c r="E82" s="27">
        <v>1.4388489208633094E-2</v>
      </c>
    </row>
    <row r="83" spans="2:5" ht="15" customHeight="1">
      <c r="B83" s="70"/>
      <c r="C83" s="29" t="s">
        <v>131</v>
      </c>
      <c r="D83" s="28">
        <v>2</v>
      </c>
      <c r="E83" s="27">
        <v>1.4388489208633094E-2</v>
      </c>
    </row>
    <row r="84" spans="2:5" ht="15" customHeight="1">
      <c r="B84" s="70"/>
      <c r="C84" s="29" t="s">
        <v>9</v>
      </c>
      <c r="D84" s="28">
        <v>1</v>
      </c>
      <c r="E84" s="27">
        <v>7.1942446043165471E-3</v>
      </c>
    </row>
    <row r="85" spans="2:5" ht="15" customHeight="1">
      <c r="B85" s="70"/>
      <c r="C85" s="29" t="s">
        <v>132</v>
      </c>
      <c r="D85" s="28">
        <v>1</v>
      </c>
      <c r="E85" s="27">
        <v>7.1942446043165471E-3</v>
      </c>
    </row>
    <row r="86" spans="2:5" ht="15" customHeight="1">
      <c r="B86" s="70"/>
      <c r="C86" s="29" t="s">
        <v>133</v>
      </c>
      <c r="D86" s="28">
        <v>1</v>
      </c>
      <c r="E86" s="27">
        <v>7.1942446043165471E-3</v>
      </c>
    </row>
    <row r="87" spans="2:5" ht="15" customHeight="1">
      <c r="B87" s="71"/>
      <c r="C87" s="26" t="s">
        <v>3</v>
      </c>
      <c r="D87" s="25">
        <v>7</v>
      </c>
      <c r="E87" s="24">
        <v>5.0359712230215826E-2</v>
      </c>
    </row>
    <row r="88" spans="2:5" ht="15" customHeight="1">
      <c r="B88" s="69" t="s">
        <v>75</v>
      </c>
      <c r="C88" s="29" t="s">
        <v>82</v>
      </c>
      <c r="D88" s="28">
        <v>1</v>
      </c>
      <c r="E88" s="27">
        <v>7.1942446043165471E-3</v>
      </c>
    </row>
    <row r="89" spans="2:5" ht="15" customHeight="1">
      <c r="B89" s="70"/>
      <c r="C89" s="29" t="s">
        <v>134</v>
      </c>
      <c r="D89" s="28">
        <v>1</v>
      </c>
      <c r="E89" s="27">
        <v>7.1942446043165471E-3</v>
      </c>
    </row>
    <row r="90" spans="2:5" ht="15" customHeight="1">
      <c r="B90" s="71"/>
      <c r="C90" s="26" t="s">
        <v>3</v>
      </c>
      <c r="D90" s="25">
        <v>2</v>
      </c>
      <c r="E90" s="24">
        <v>1.4388489208633094E-2</v>
      </c>
    </row>
    <row r="91" spans="2:5" ht="15" customHeight="1">
      <c r="B91" s="69" t="s">
        <v>76</v>
      </c>
      <c r="C91" s="29" t="s">
        <v>135</v>
      </c>
      <c r="D91" s="28">
        <v>1</v>
      </c>
      <c r="E91" s="27">
        <v>7.1942446043165471E-3</v>
      </c>
    </row>
    <row r="92" spans="2:5" ht="15" customHeight="1">
      <c r="B92" s="71"/>
      <c r="C92" s="26" t="s">
        <v>3</v>
      </c>
      <c r="D92" s="25">
        <v>1</v>
      </c>
      <c r="E92" s="24">
        <v>7.1942446043165471E-3</v>
      </c>
    </row>
    <row r="93" spans="2:5" ht="15" customHeight="1">
      <c r="B93" s="69" t="s">
        <v>4</v>
      </c>
      <c r="C93" s="29" t="s">
        <v>136</v>
      </c>
      <c r="D93" s="28">
        <v>1</v>
      </c>
      <c r="E93" s="27">
        <v>7.1942446043165471E-3</v>
      </c>
    </row>
    <row r="94" spans="2:5" ht="15" customHeight="1">
      <c r="B94" s="70"/>
      <c r="C94" s="29" t="s">
        <v>137</v>
      </c>
      <c r="D94" s="28">
        <v>1</v>
      </c>
      <c r="E94" s="27">
        <v>7.1942446043165471E-3</v>
      </c>
    </row>
    <row r="95" spans="2:5" ht="15" customHeight="1">
      <c r="B95" s="71"/>
      <c r="C95" s="26" t="s">
        <v>3</v>
      </c>
      <c r="D95" s="25">
        <v>2</v>
      </c>
      <c r="E95" s="24">
        <v>1.4388489208633094E-2</v>
      </c>
    </row>
    <row r="96" spans="2:5" ht="15" customHeight="1">
      <c r="B96" s="69" t="s">
        <v>16</v>
      </c>
      <c r="C96" s="29" t="s">
        <v>138</v>
      </c>
      <c r="D96" s="28">
        <v>1</v>
      </c>
      <c r="E96" s="27">
        <v>7.1942446043165471E-3</v>
      </c>
    </row>
    <row r="97" spans="2:5" ht="15" customHeight="1">
      <c r="B97" s="70"/>
      <c r="C97" s="29" t="s">
        <v>139</v>
      </c>
      <c r="D97" s="28">
        <v>1</v>
      </c>
      <c r="E97" s="27">
        <v>7.1942446043165471E-3</v>
      </c>
    </row>
    <row r="98" spans="2:5" ht="15" customHeight="1">
      <c r="B98" s="70"/>
      <c r="C98" s="29" t="s">
        <v>140</v>
      </c>
      <c r="D98" s="28">
        <v>1</v>
      </c>
      <c r="E98" s="27">
        <v>7.1942446043165471E-3</v>
      </c>
    </row>
    <row r="99" spans="2:5" ht="15" customHeight="1">
      <c r="B99" s="71"/>
      <c r="C99" s="26" t="s">
        <v>3</v>
      </c>
      <c r="D99" s="25">
        <v>3</v>
      </c>
      <c r="E99" s="24">
        <v>2.1582733812949641E-2</v>
      </c>
    </row>
    <row r="100" spans="2:5" ht="15" customHeight="1">
      <c r="B100" s="69" t="s">
        <v>15</v>
      </c>
      <c r="C100" s="29" t="s">
        <v>83</v>
      </c>
      <c r="D100" s="28">
        <v>1</v>
      </c>
      <c r="E100" s="27">
        <v>7.1942446043165471E-3</v>
      </c>
    </row>
    <row r="101" spans="2:5" ht="15" customHeight="1">
      <c r="B101" s="70"/>
      <c r="C101" s="29" t="s">
        <v>24</v>
      </c>
      <c r="D101" s="28">
        <v>15</v>
      </c>
      <c r="E101" s="27">
        <v>0.1079136690647482</v>
      </c>
    </row>
    <row r="102" spans="2:5" ht="15" customHeight="1">
      <c r="B102" s="71"/>
      <c r="C102" s="26" t="s">
        <v>3</v>
      </c>
      <c r="D102" s="25">
        <v>16</v>
      </c>
      <c r="E102" s="24">
        <v>0.11510791366906475</v>
      </c>
    </row>
    <row r="103" spans="2:5" ht="15" customHeight="1">
      <c r="B103" s="73" t="s">
        <v>3</v>
      </c>
      <c r="C103" s="74"/>
      <c r="D103" s="57">
        <f>SUMIF(C$10:C102,"Total",D$10:D102)</f>
        <v>139</v>
      </c>
      <c r="E103" s="58">
        <v>1</v>
      </c>
    </row>
    <row r="105" spans="2:5" ht="15" customHeight="1">
      <c r="B105" s="3" t="s">
        <v>87</v>
      </c>
    </row>
    <row r="106" spans="2:5" ht="15" customHeight="1">
      <c r="B106" s="5" t="s">
        <v>2</v>
      </c>
    </row>
    <row r="107" spans="2:5" ht="15" customHeight="1">
      <c r="B107" s="4" t="s">
        <v>1</v>
      </c>
    </row>
    <row r="108" spans="2:5" ht="15" customHeight="1">
      <c r="B108" s="3" t="s">
        <v>0</v>
      </c>
    </row>
    <row r="109" spans="2:5" ht="15" customHeight="1">
      <c r="B109" s="3" t="s">
        <v>88</v>
      </c>
    </row>
    <row r="398" spans="1:2" s="21" customFormat="1" ht="15" customHeight="1">
      <c r="A398" s="20"/>
      <c r="B398" s="22"/>
    </row>
    <row r="399" spans="1:2" s="21" customFormat="1" ht="15" customHeight="1">
      <c r="A399" s="20"/>
      <c r="B399" s="23"/>
    </row>
    <row r="400" spans="1:2" s="21" customFormat="1" ht="15" customHeight="1">
      <c r="A400" s="20"/>
      <c r="B400" s="23"/>
    </row>
    <row r="401" spans="1:2" s="21" customFormat="1" ht="15" customHeight="1">
      <c r="A401" s="20"/>
      <c r="B401" s="22"/>
    </row>
    <row r="402" spans="1:2" s="21" customFormat="1" ht="15" customHeight="1">
      <c r="A402" s="20"/>
      <c r="B402" s="22"/>
    </row>
  </sheetData>
  <mergeCells count="24">
    <mergeCell ref="B93:B95"/>
    <mergeCell ref="B96:B99"/>
    <mergeCell ref="B100:B102"/>
    <mergeCell ref="B103:C103"/>
    <mergeCell ref="B69:B75"/>
    <mergeCell ref="B76:B81"/>
    <mergeCell ref="B82:B87"/>
    <mergeCell ref="B88:B90"/>
    <mergeCell ref="B91:B92"/>
    <mergeCell ref="B7:E8"/>
    <mergeCell ref="B10:B11"/>
    <mergeCell ref="B12:B15"/>
    <mergeCell ref="B16:B17"/>
    <mergeCell ref="B18:B21"/>
    <mergeCell ref="B22:B24"/>
    <mergeCell ref="B25:B27"/>
    <mergeCell ref="B28:B29"/>
    <mergeCell ref="B61:B64"/>
    <mergeCell ref="B65:B68"/>
    <mergeCell ref="B30:B33"/>
    <mergeCell ref="B34:B42"/>
    <mergeCell ref="B43:B45"/>
    <mergeCell ref="B46:B54"/>
    <mergeCell ref="B55:B6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2"/>
  <sheetViews>
    <sheetView showGridLines="0" topLeftCell="A7" zoomScaleNormal="100" zoomScaleSheetLayoutView="115" workbookViewId="0">
      <selection activeCell="C19" sqref="C19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8" t="s">
        <v>71</v>
      </c>
      <c r="C7" s="68"/>
      <c r="D7" s="68"/>
    </row>
    <row r="8" spans="1:4" s="13" customFormat="1" ht="15" customHeight="1">
      <c r="B8" s="68"/>
      <c r="C8" s="68"/>
      <c r="D8" s="68"/>
    </row>
    <row r="9" spans="1:4" s="13" customFormat="1" ht="33" customHeight="1">
      <c r="B9" s="68"/>
      <c r="C9" s="68"/>
      <c r="D9" s="68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43</v>
      </c>
      <c r="C11" s="15" t="s">
        <v>22</v>
      </c>
      <c r="D11" s="14" t="s">
        <v>21</v>
      </c>
    </row>
    <row r="12" spans="1:4">
      <c r="B12" s="11" t="s">
        <v>141</v>
      </c>
      <c r="C12" s="10">
        <v>1</v>
      </c>
      <c r="D12" s="9">
        <v>7.1942446043165471E-3</v>
      </c>
    </row>
    <row r="13" spans="1:4">
      <c r="B13" s="11" t="s">
        <v>42</v>
      </c>
      <c r="C13" s="10">
        <v>3</v>
      </c>
      <c r="D13" s="9">
        <v>2.1582733812949641E-2</v>
      </c>
    </row>
    <row r="14" spans="1:4">
      <c r="A14" s="12"/>
      <c r="B14" s="11" t="s">
        <v>84</v>
      </c>
      <c r="C14" s="10">
        <v>3</v>
      </c>
      <c r="D14" s="9">
        <v>2.1582733812949641E-2</v>
      </c>
    </row>
    <row r="15" spans="1:4">
      <c r="A15" s="12"/>
      <c r="B15" s="11" t="s">
        <v>142</v>
      </c>
      <c r="C15" s="10">
        <v>2</v>
      </c>
      <c r="D15" s="9">
        <v>1.4388489208633094E-2</v>
      </c>
    </row>
    <row r="16" spans="1:4">
      <c r="B16" s="11" t="s">
        <v>41</v>
      </c>
      <c r="C16" s="10">
        <v>9</v>
      </c>
      <c r="D16" s="9">
        <v>6.4748201438848921E-2</v>
      </c>
    </row>
    <row r="17" spans="2:4">
      <c r="B17" s="11" t="s">
        <v>40</v>
      </c>
      <c r="C17" s="10">
        <v>26</v>
      </c>
      <c r="D17" s="9">
        <v>0.18705035971223022</v>
      </c>
    </row>
    <row r="18" spans="2:4">
      <c r="B18" s="11" t="s">
        <v>39</v>
      </c>
      <c r="C18" s="10">
        <v>2</v>
      </c>
      <c r="D18" s="9">
        <v>1.4388489208633094E-2</v>
      </c>
    </row>
    <row r="19" spans="2:4">
      <c r="B19" s="11" t="s">
        <v>38</v>
      </c>
      <c r="C19" s="10">
        <v>6</v>
      </c>
      <c r="D19" s="9">
        <v>4.3165467625899283E-2</v>
      </c>
    </row>
    <row r="20" spans="2:4">
      <c r="B20" s="11" t="s">
        <v>37</v>
      </c>
      <c r="C20" s="10">
        <v>3</v>
      </c>
      <c r="D20" s="9">
        <v>2.1582733812949641E-2</v>
      </c>
    </row>
    <row r="21" spans="2:4">
      <c r="B21" s="11" t="s">
        <v>36</v>
      </c>
      <c r="C21" s="10">
        <v>52</v>
      </c>
      <c r="D21" s="9">
        <v>0.37410071942446044</v>
      </c>
    </row>
    <row r="22" spans="2:4">
      <c r="B22" s="11" t="s">
        <v>35</v>
      </c>
      <c r="C22" s="10">
        <v>3</v>
      </c>
      <c r="D22" s="9">
        <v>2.1582733812949641E-2</v>
      </c>
    </row>
    <row r="23" spans="2:4">
      <c r="B23" s="11" t="s">
        <v>34</v>
      </c>
      <c r="C23" s="10">
        <v>25</v>
      </c>
      <c r="D23" s="9">
        <v>0.17985611510791366</v>
      </c>
    </row>
    <row r="24" spans="2:4">
      <c r="B24" s="11" t="s">
        <v>143</v>
      </c>
      <c r="C24" s="10">
        <v>2</v>
      </c>
      <c r="D24" s="9">
        <v>1.4388489208633094E-2</v>
      </c>
    </row>
    <row r="25" spans="2:4">
      <c r="B25" s="11" t="s">
        <v>33</v>
      </c>
      <c r="C25" s="10">
        <v>2</v>
      </c>
      <c r="D25" s="9">
        <v>1.4388489208633094E-2</v>
      </c>
    </row>
    <row r="26" spans="2:4">
      <c r="B26" s="8" t="s">
        <v>3</v>
      </c>
      <c r="C26" s="7">
        <v>139</v>
      </c>
      <c r="D26" s="6">
        <v>1</v>
      </c>
    </row>
    <row r="28" spans="2:4">
      <c r="B28" s="3" t="s">
        <v>87</v>
      </c>
    </row>
    <row r="29" spans="2:4">
      <c r="B29" s="5" t="s">
        <v>2</v>
      </c>
    </row>
    <row r="30" spans="2:4">
      <c r="B30" s="4" t="s">
        <v>1</v>
      </c>
    </row>
    <row r="31" spans="2:4">
      <c r="B31" s="3" t="s">
        <v>0</v>
      </c>
    </row>
    <row r="32" spans="2:4">
      <c r="B32" s="3" t="s">
        <v>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99"/>
  <sheetViews>
    <sheetView showGridLines="0" topLeftCell="A73" zoomScaleNormal="100" zoomScaleSheetLayoutView="100" workbookViewId="0">
      <selection activeCell="C15" sqref="C1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2"/>
      <c r="C7" s="72"/>
      <c r="D7" s="72"/>
      <c r="E7" s="72"/>
    </row>
    <row r="8" spans="1:5" s="34" customFormat="1" ht="33" customHeight="1">
      <c r="A8" s="35"/>
      <c r="B8" s="72"/>
      <c r="C8" s="72"/>
      <c r="D8" s="72"/>
      <c r="E8" s="72"/>
    </row>
    <row r="9" spans="1:5" s="13" customFormat="1" ht="40.5" customHeight="1">
      <c r="B9" s="31" t="s">
        <v>43</v>
      </c>
      <c r="C9" s="33" t="s">
        <v>23</v>
      </c>
      <c r="D9" s="32" t="s">
        <v>22</v>
      </c>
      <c r="E9" s="31" t="s">
        <v>21</v>
      </c>
    </row>
    <row r="10" spans="1:5" ht="15" customHeight="1">
      <c r="B10" s="69" t="s">
        <v>141</v>
      </c>
      <c r="C10" s="29" t="s">
        <v>9</v>
      </c>
      <c r="D10" s="28">
        <v>1</v>
      </c>
      <c r="E10" s="27">
        <v>7.1942446043165471E-3</v>
      </c>
    </row>
    <row r="11" spans="1:5" ht="15" customHeight="1">
      <c r="B11" s="71"/>
      <c r="C11" s="26" t="s">
        <v>3</v>
      </c>
      <c r="D11" s="25">
        <v>1</v>
      </c>
      <c r="E11" s="24">
        <v>7.1942446043165471E-3</v>
      </c>
    </row>
    <row r="12" spans="1:5" ht="15" customHeight="1">
      <c r="B12" s="69" t="s">
        <v>42</v>
      </c>
      <c r="C12" s="29" t="s">
        <v>19</v>
      </c>
      <c r="D12" s="28">
        <v>1</v>
      </c>
      <c r="E12" s="27">
        <v>7.1942446043165471E-3</v>
      </c>
    </row>
    <row r="13" spans="1:5" ht="15" customHeight="1">
      <c r="B13" s="70"/>
      <c r="C13" s="29" t="s">
        <v>15</v>
      </c>
      <c r="D13" s="28">
        <v>2</v>
      </c>
      <c r="E13" s="27">
        <v>1.4388489208633094E-2</v>
      </c>
    </row>
    <row r="14" spans="1:5" ht="15" customHeight="1">
      <c r="B14" s="71"/>
      <c r="C14" s="26" t="s">
        <v>3</v>
      </c>
      <c r="D14" s="25">
        <v>3</v>
      </c>
      <c r="E14" s="24">
        <v>2.1582733812949641E-2</v>
      </c>
    </row>
    <row r="15" spans="1:5" ht="15" customHeight="1">
      <c r="B15" s="69" t="s">
        <v>84</v>
      </c>
      <c r="C15" s="29" t="s">
        <v>17</v>
      </c>
      <c r="D15" s="28">
        <v>1</v>
      </c>
      <c r="E15" s="27">
        <v>7.1942446043165471E-3</v>
      </c>
    </row>
    <row r="16" spans="1:5" ht="15" customHeight="1">
      <c r="B16" s="70"/>
      <c r="C16" s="29" t="s">
        <v>7</v>
      </c>
      <c r="D16" s="28">
        <v>1</v>
      </c>
      <c r="E16" s="27">
        <v>7.1942446043165471E-3</v>
      </c>
    </row>
    <row r="17" spans="2:5" ht="15" customHeight="1">
      <c r="B17" s="70"/>
      <c r="C17" s="29" t="s">
        <v>20</v>
      </c>
      <c r="D17" s="28">
        <v>1</v>
      </c>
      <c r="E17" s="27">
        <v>7.1942446043165471E-3</v>
      </c>
    </row>
    <row r="18" spans="2:5" ht="15" customHeight="1">
      <c r="B18" s="71"/>
      <c r="C18" s="26" t="s">
        <v>3</v>
      </c>
      <c r="D18" s="25">
        <v>3</v>
      </c>
      <c r="E18" s="24">
        <v>2.1582733812949641E-2</v>
      </c>
    </row>
    <row r="19" spans="2:5" ht="15" customHeight="1">
      <c r="B19" s="69" t="s">
        <v>142</v>
      </c>
      <c r="C19" s="29" t="s">
        <v>73</v>
      </c>
      <c r="D19" s="28">
        <v>1</v>
      </c>
      <c r="E19" s="27">
        <v>7.1942446043165471E-3</v>
      </c>
    </row>
    <row r="20" spans="2:5" ht="15" customHeight="1">
      <c r="B20" s="70"/>
      <c r="C20" s="29" t="s">
        <v>15</v>
      </c>
      <c r="D20" s="28">
        <v>1</v>
      </c>
      <c r="E20" s="27">
        <v>7.1942446043165471E-3</v>
      </c>
    </row>
    <row r="21" spans="2:5" ht="15" customHeight="1">
      <c r="B21" s="71"/>
      <c r="C21" s="26" t="s">
        <v>3</v>
      </c>
      <c r="D21" s="25">
        <v>2</v>
      </c>
      <c r="E21" s="24">
        <v>1.4388489208633094E-2</v>
      </c>
    </row>
    <row r="22" spans="2:5" ht="15" customHeight="1">
      <c r="B22" s="69" t="s">
        <v>41</v>
      </c>
      <c r="C22" s="29" t="s">
        <v>8</v>
      </c>
      <c r="D22" s="28">
        <v>1</v>
      </c>
      <c r="E22" s="27">
        <v>7.1942446043165471E-3</v>
      </c>
    </row>
    <row r="23" spans="2:5" ht="15" customHeight="1">
      <c r="B23" s="70"/>
      <c r="C23" s="29" t="s">
        <v>18</v>
      </c>
      <c r="D23" s="28">
        <v>1</v>
      </c>
      <c r="E23" s="27">
        <v>7.1942446043165471E-3</v>
      </c>
    </row>
    <row r="24" spans="2:5" ht="15" customHeight="1">
      <c r="B24" s="70"/>
      <c r="C24" s="29" t="s">
        <v>12</v>
      </c>
      <c r="D24" s="28">
        <v>1</v>
      </c>
      <c r="E24" s="27">
        <v>7.1942446043165471E-3</v>
      </c>
    </row>
    <row r="25" spans="2:5" ht="15" customHeight="1">
      <c r="B25" s="70"/>
      <c r="C25" s="29" t="s">
        <v>20</v>
      </c>
      <c r="D25" s="28">
        <v>3</v>
      </c>
      <c r="E25" s="27">
        <v>2.1582733812949641E-2</v>
      </c>
    </row>
    <row r="26" spans="2:5" ht="15" customHeight="1">
      <c r="B26" s="70"/>
      <c r="C26" s="29" t="s">
        <v>15</v>
      </c>
      <c r="D26" s="28">
        <v>3</v>
      </c>
      <c r="E26" s="27">
        <v>2.1582733812949641E-2</v>
      </c>
    </row>
    <row r="27" spans="2:5" ht="15" customHeight="1">
      <c r="B27" s="71"/>
      <c r="C27" s="26" t="s">
        <v>3</v>
      </c>
      <c r="D27" s="25">
        <v>9</v>
      </c>
      <c r="E27" s="24">
        <v>6.4748201438848921E-2</v>
      </c>
    </row>
    <row r="28" spans="2:5" ht="15" customHeight="1">
      <c r="B28" s="69" t="s">
        <v>40</v>
      </c>
      <c r="C28" s="29" t="s">
        <v>14</v>
      </c>
      <c r="D28" s="28">
        <v>3</v>
      </c>
      <c r="E28" s="27">
        <v>2.1582733812949641E-2</v>
      </c>
    </row>
    <row r="29" spans="2:5" ht="15" customHeight="1">
      <c r="B29" s="70"/>
      <c r="C29" s="29" t="s">
        <v>8</v>
      </c>
      <c r="D29" s="28">
        <v>2</v>
      </c>
      <c r="E29" s="27">
        <v>1.4388489208633094E-2</v>
      </c>
    </row>
    <row r="30" spans="2:5" ht="15" customHeight="1">
      <c r="B30" s="70"/>
      <c r="C30" s="29" t="s">
        <v>10</v>
      </c>
      <c r="D30" s="28">
        <v>2</v>
      </c>
      <c r="E30" s="27">
        <v>1.4388489208633094E-2</v>
      </c>
    </row>
    <row r="31" spans="2:5" ht="15" customHeight="1">
      <c r="B31" s="70"/>
      <c r="C31" s="29" t="s">
        <v>17</v>
      </c>
      <c r="D31" s="28">
        <v>2</v>
      </c>
      <c r="E31" s="27">
        <v>1.4388489208633094E-2</v>
      </c>
    </row>
    <row r="32" spans="2:5" ht="15" customHeight="1">
      <c r="B32" s="70"/>
      <c r="C32" s="29" t="s">
        <v>77</v>
      </c>
      <c r="D32" s="28">
        <v>1</v>
      </c>
      <c r="E32" s="27">
        <v>7.1942446043165471E-3</v>
      </c>
    </row>
    <row r="33" spans="2:5" ht="15" customHeight="1">
      <c r="B33" s="70"/>
      <c r="C33" s="29" t="s">
        <v>18</v>
      </c>
      <c r="D33" s="28">
        <v>2</v>
      </c>
      <c r="E33" s="27">
        <v>1.4388489208633094E-2</v>
      </c>
    </row>
    <row r="34" spans="2:5" ht="15" customHeight="1">
      <c r="B34" s="70"/>
      <c r="C34" s="29" t="s">
        <v>7</v>
      </c>
      <c r="D34" s="28">
        <v>4</v>
      </c>
      <c r="E34" s="27">
        <v>2.8776978417266189E-2</v>
      </c>
    </row>
    <row r="35" spans="2:5" ht="15" customHeight="1">
      <c r="B35" s="70"/>
      <c r="C35" s="29" t="s">
        <v>5</v>
      </c>
      <c r="D35" s="28">
        <v>1</v>
      </c>
      <c r="E35" s="27">
        <v>7.1942446043165471E-3</v>
      </c>
    </row>
    <row r="36" spans="2:5" ht="15" customHeight="1">
      <c r="B36" s="70"/>
      <c r="C36" s="29" t="s">
        <v>12</v>
      </c>
      <c r="D36" s="28">
        <v>4</v>
      </c>
      <c r="E36" s="27">
        <v>2.8776978417266189E-2</v>
      </c>
    </row>
    <row r="37" spans="2:5" ht="15" customHeight="1">
      <c r="B37" s="70"/>
      <c r="C37" s="29" t="s">
        <v>20</v>
      </c>
      <c r="D37" s="28">
        <v>2</v>
      </c>
      <c r="E37" s="27">
        <v>1.4388489208633094E-2</v>
      </c>
    </row>
    <row r="38" spans="2:5" ht="15" customHeight="1">
      <c r="B38" s="70"/>
      <c r="C38" s="29" t="s">
        <v>16</v>
      </c>
      <c r="D38" s="28">
        <v>1</v>
      </c>
      <c r="E38" s="27">
        <v>7.1942446043165471E-3</v>
      </c>
    </row>
    <row r="39" spans="2:5" ht="15" customHeight="1">
      <c r="B39" s="70"/>
      <c r="C39" s="29" t="s">
        <v>15</v>
      </c>
      <c r="D39" s="28">
        <v>2</v>
      </c>
      <c r="E39" s="27">
        <v>1.4388489208633094E-2</v>
      </c>
    </row>
    <row r="40" spans="2:5" ht="15" customHeight="1">
      <c r="B40" s="71"/>
      <c r="C40" s="26" t="s">
        <v>3</v>
      </c>
      <c r="D40" s="25">
        <v>26</v>
      </c>
      <c r="E40" s="24">
        <v>0.18705035971223022</v>
      </c>
    </row>
    <row r="41" spans="2:5" ht="15" customHeight="1">
      <c r="B41" s="69" t="s">
        <v>39</v>
      </c>
      <c r="C41" s="29" t="s">
        <v>14</v>
      </c>
      <c r="D41" s="28">
        <v>1</v>
      </c>
      <c r="E41" s="27">
        <v>7.1942446043165471E-3</v>
      </c>
    </row>
    <row r="42" spans="2:5" ht="15" customHeight="1">
      <c r="B42" s="70"/>
      <c r="C42" s="29" t="s">
        <v>17</v>
      </c>
      <c r="D42" s="28">
        <v>1</v>
      </c>
      <c r="E42" s="27">
        <v>7.1942446043165471E-3</v>
      </c>
    </row>
    <row r="43" spans="2:5" ht="15" customHeight="1">
      <c r="B43" s="71"/>
      <c r="C43" s="26" t="s">
        <v>3</v>
      </c>
      <c r="D43" s="25">
        <v>2</v>
      </c>
      <c r="E43" s="24">
        <v>1.4388489208633094E-2</v>
      </c>
    </row>
    <row r="44" spans="2:5" ht="15" customHeight="1">
      <c r="B44" s="69" t="s">
        <v>38</v>
      </c>
      <c r="C44" s="29" t="s">
        <v>11</v>
      </c>
      <c r="D44" s="28">
        <v>1</v>
      </c>
      <c r="E44" s="27">
        <v>7.1942446043165471E-3</v>
      </c>
    </row>
    <row r="45" spans="2:5" ht="15" customHeight="1">
      <c r="B45" s="70"/>
      <c r="C45" s="29" t="s">
        <v>18</v>
      </c>
      <c r="D45" s="28">
        <v>3</v>
      </c>
      <c r="E45" s="27">
        <v>2.1582733812949641E-2</v>
      </c>
    </row>
    <row r="46" spans="2:5" ht="15" customHeight="1">
      <c r="B46" s="70"/>
      <c r="C46" s="29" t="s">
        <v>20</v>
      </c>
      <c r="D46" s="28">
        <v>1</v>
      </c>
      <c r="E46" s="27">
        <v>7.1942446043165471E-3</v>
      </c>
    </row>
    <row r="47" spans="2:5" ht="15" customHeight="1">
      <c r="B47" s="70"/>
      <c r="C47" s="29" t="s">
        <v>16</v>
      </c>
      <c r="D47" s="28">
        <v>1</v>
      </c>
      <c r="E47" s="27">
        <v>7.1942446043165471E-3</v>
      </c>
    </row>
    <row r="48" spans="2:5" ht="15" customHeight="1">
      <c r="B48" s="71"/>
      <c r="C48" s="26" t="s">
        <v>3</v>
      </c>
      <c r="D48" s="25">
        <v>6</v>
      </c>
      <c r="E48" s="24">
        <v>4.3165467625899283E-2</v>
      </c>
    </row>
    <row r="49" spans="2:5" ht="15" customHeight="1">
      <c r="B49" s="69" t="s">
        <v>37</v>
      </c>
      <c r="C49" s="29" t="s">
        <v>77</v>
      </c>
      <c r="D49" s="28">
        <v>1</v>
      </c>
      <c r="E49" s="27">
        <v>7.1942446043165471E-3</v>
      </c>
    </row>
    <row r="50" spans="2:5" ht="15" customHeight="1">
      <c r="B50" s="70"/>
      <c r="C50" s="29" t="s">
        <v>7</v>
      </c>
      <c r="D50" s="28">
        <v>1</v>
      </c>
      <c r="E50" s="27">
        <v>7.1942446043165471E-3</v>
      </c>
    </row>
    <row r="51" spans="2:5" ht="15" customHeight="1">
      <c r="B51" s="70"/>
      <c r="C51" s="29" t="s">
        <v>20</v>
      </c>
      <c r="D51" s="28">
        <v>1</v>
      </c>
      <c r="E51" s="27">
        <v>7.1942446043165471E-3</v>
      </c>
    </row>
    <row r="52" spans="2:5" ht="15" customHeight="1">
      <c r="B52" s="71"/>
      <c r="C52" s="26" t="s">
        <v>3</v>
      </c>
      <c r="D52" s="25">
        <v>3</v>
      </c>
      <c r="E52" s="24">
        <v>2.1582733812949641E-2</v>
      </c>
    </row>
    <row r="53" spans="2:5" ht="15" customHeight="1">
      <c r="B53" s="69" t="s">
        <v>36</v>
      </c>
      <c r="C53" s="29" t="s">
        <v>6</v>
      </c>
      <c r="D53" s="28">
        <v>1</v>
      </c>
      <c r="E53" s="27">
        <v>7.1942446043165471E-3</v>
      </c>
    </row>
    <row r="54" spans="2:5" ht="15" customHeight="1">
      <c r="B54" s="70"/>
      <c r="C54" s="29" t="s">
        <v>19</v>
      </c>
      <c r="D54" s="28">
        <v>4</v>
      </c>
      <c r="E54" s="27">
        <v>2.8776978417266189E-2</v>
      </c>
    </row>
    <row r="55" spans="2:5" ht="15" customHeight="1">
      <c r="B55" s="70"/>
      <c r="C55" s="29" t="s">
        <v>14</v>
      </c>
      <c r="D55" s="28">
        <v>2</v>
      </c>
      <c r="E55" s="27">
        <v>1.4388489208633094E-2</v>
      </c>
    </row>
    <row r="56" spans="2:5" ht="15" customHeight="1">
      <c r="B56" s="70"/>
      <c r="C56" s="29" t="s">
        <v>11</v>
      </c>
      <c r="D56" s="28">
        <v>1</v>
      </c>
      <c r="E56" s="27">
        <v>7.1942446043165471E-3</v>
      </c>
    </row>
    <row r="57" spans="2:5" ht="15" customHeight="1">
      <c r="B57" s="70"/>
      <c r="C57" s="29" t="s">
        <v>8</v>
      </c>
      <c r="D57" s="28">
        <v>1</v>
      </c>
      <c r="E57" s="27">
        <v>7.1942446043165471E-3</v>
      </c>
    </row>
    <row r="58" spans="2:5" ht="15" customHeight="1">
      <c r="B58" s="70"/>
      <c r="C58" s="29" t="s">
        <v>13</v>
      </c>
      <c r="D58" s="28">
        <v>1</v>
      </c>
      <c r="E58" s="27">
        <v>7.1942446043165471E-3</v>
      </c>
    </row>
    <row r="59" spans="2:5" ht="15" customHeight="1">
      <c r="B59" s="70"/>
      <c r="C59" s="29" t="s">
        <v>10</v>
      </c>
      <c r="D59" s="28">
        <v>2</v>
      </c>
      <c r="E59" s="27">
        <v>1.4388489208633094E-2</v>
      </c>
    </row>
    <row r="60" spans="2:5" ht="15" customHeight="1">
      <c r="B60" s="70"/>
      <c r="C60" s="29" t="s">
        <v>17</v>
      </c>
      <c r="D60" s="28">
        <v>7</v>
      </c>
      <c r="E60" s="27">
        <v>5.0359712230215826E-2</v>
      </c>
    </row>
    <row r="61" spans="2:5" ht="15" customHeight="1">
      <c r="B61" s="70"/>
      <c r="C61" s="29" t="s">
        <v>77</v>
      </c>
      <c r="D61" s="28">
        <v>1</v>
      </c>
      <c r="E61" s="27">
        <v>7.1942446043165471E-3</v>
      </c>
    </row>
    <row r="62" spans="2:5" ht="15" customHeight="1">
      <c r="B62" s="70"/>
      <c r="C62" s="29" t="s">
        <v>18</v>
      </c>
      <c r="D62" s="28">
        <v>4</v>
      </c>
      <c r="E62" s="27">
        <v>2.8776978417266189E-2</v>
      </c>
    </row>
    <row r="63" spans="2:5" ht="15" customHeight="1">
      <c r="B63" s="70"/>
      <c r="C63" s="29" t="s">
        <v>7</v>
      </c>
      <c r="D63" s="28">
        <v>2</v>
      </c>
      <c r="E63" s="27">
        <v>1.4388489208633094E-2</v>
      </c>
    </row>
    <row r="64" spans="2:5" ht="15" customHeight="1">
      <c r="B64" s="70"/>
      <c r="C64" s="29" t="s">
        <v>5</v>
      </c>
      <c r="D64" s="28">
        <v>2</v>
      </c>
      <c r="E64" s="27">
        <v>1.4388489208633094E-2</v>
      </c>
    </row>
    <row r="65" spans="2:6" ht="15" customHeight="1">
      <c r="B65" s="70"/>
      <c r="C65" s="29" t="s">
        <v>12</v>
      </c>
      <c r="D65" s="28">
        <v>3</v>
      </c>
      <c r="E65" s="27">
        <v>2.1582733812949641E-2</v>
      </c>
      <c r="F65" s="1"/>
    </row>
    <row r="66" spans="2:6" ht="15" customHeight="1">
      <c r="B66" s="70"/>
      <c r="C66" s="29" t="s">
        <v>20</v>
      </c>
      <c r="D66" s="28">
        <v>10</v>
      </c>
      <c r="E66" s="27">
        <v>7.1942446043165464E-2</v>
      </c>
      <c r="F66" s="1"/>
    </row>
    <row r="67" spans="2:6" ht="15" customHeight="1">
      <c r="B67" s="70"/>
      <c r="C67" s="29" t="s">
        <v>9</v>
      </c>
      <c r="D67" s="28">
        <v>3</v>
      </c>
      <c r="E67" s="27">
        <v>2.1582733812949641E-2</v>
      </c>
      <c r="F67" s="1"/>
    </row>
    <row r="68" spans="2:6" ht="15" customHeight="1">
      <c r="B68" s="70"/>
      <c r="C68" s="29" t="s">
        <v>76</v>
      </c>
      <c r="D68" s="28">
        <v>1</v>
      </c>
      <c r="E68" s="27">
        <v>7.1942446043165471E-3</v>
      </c>
      <c r="F68" s="1"/>
    </row>
    <row r="69" spans="2:6" ht="15" customHeight="1">
      <c r="B69" s="70"/>
      <c r="C69" s="29" t="s">
        <v>4</v>
      </c>
      <c r="D69" s="28">
        <v>2</v>
      </c>
      <c r="E69" s="27">
        <v>1.4388489208633094E-2</v>
      </c>
      <c r="F69" s="1"/>
    </row>
    <row r="70" spans="2:6" ht="15" customHeight="1">
      <c r="B70" s="70"/>
      <c r="C70" s="29" t="s">
        <v>15</v>
      </c>
      <c r="D70" s="28">
        <v>5</v>
      </c>
      <c r="E70" s="27">
        <v>3.5971223021582732E-2</v>
      </c>
    </row>
    <row r="71" spans="2:6" ht="15" customHeight="1">
      <c r="B71" s="71"/>
      <c r="C71" s="26" t="s">
        <v>3</v>
      </c>
      <c r="D71" s="25">
        <v>52</v>
      </c>
      <c r="E71" s="24">
        <v>0.37410071942446044</v>
      </c>
    </row>
    <row r="72" spans="2:6" ht="15" customHeight="1">
      <c r="B72" s="69" t="s">
        <v>35</v>
      </c>
      <c r="C72" s="29" t="s">
        <v>75</v>
      </c>
      <c r="D72" s="28">
        <v>1</v>
      </c>
      <c r="E72" s="27">
        <v>7.1942446043165471E-3</v>
      </c>
    </row>
    <row r="73" spans="2:6" ht="15" customHeight="1">
      <c r="B73" s="70"/>
      <c r="C73" s="29" t="s">
        <v>16</v>
      </c>
      <c r="D73" s="28">
        <v>1</v>
      </c>
      <c r="E73" s="27">
        <v>7.1942446043165471E-3</v>
      </c>
    </row>
    <row r="74" spans="2:6" ht="15" customHeight="1">
      <c r="B74" s="70"/>
      <c r="C74" s="29" t="s">
        <v>15</v>
      </c>
      <c r="D74" s="28">
        <v>1</v>
      </c>
      <c r="E74" s="27">
        <v>7.1942446043165471E-3</v>
      </c>
    </row>
    <row r="75" spans="2:6" ht="15" customHeight="1">
      <c r="B75" s="71"/>
      <c r="C75" s="26" t="s">
        <v>3</v>
      </c>
      <c r="D75" s="25">
        <v>3</v>
      </c>
      <c r="E75" s="24">
        <v>2.1582733812949641E-2</v>
      </c>
    </row>
    <row r="76" spans="2:6" ht="15" customHeight="1">
      <c r="B76" s="69" t="s">
        <v>34</v>
      </c>
      <c r="C76" s="29" t="s">
        <v>6</v>
      </c>
      <c r="D76" s="28">
        <v>2</v>
      </c>
      <c r="E76" s="27">
        <v>1.4388489208633094E-2</v>
      </c>
    </row>
    <row r="77" spans="2:6" ht="15" customHeight="1">
      <c r="B77" s="70"/>
      <c r="C77" s="29" t="s">
        <v>14</v>
      </c>
      <c r="D77" s="28">
        <v>2</v>
      </c>
      <c r="E77" s="27">
        <v>1.4388489208633094E-2</v>
      </c>
    </row>
    <row r="78" spans="2:6" ht="15" customHeight="1">
      <c r="B78" s="70"/>
      <c r="C78" s="29" t="s">
        <v>11</v>
      </c>
      <c r="D78" s="28">
        <v>2</v>
      </c>
      <c r="E78" s="27">
        <v>1.4388489208633094E-2</v>
      </c>
    </row>
    <row r="79" spans="2:6" ht="15" customHeight="1">
      <c r="B79" s="70"/>
      <c r="C79" s="29" t="s">
        <v>17</v>
      </c>
      <c r="D79" s="28">
        <v>3</v>
      </c>
      <c r="E79" s="27">
        <v>2.1582733812949641E-2</v>
      </c>
    </row>
    <row r="80" spans="2:6" ht="15" customHeight="1">
      <c r="B80" s="70"/>
      <c r="C80" s="29" t="s">
        <v>18</v>
      </c>
      <c r="D80" s="28">
        <v>1</v>
      </c>
      <c r="E80" s="27">
        <v>7.1942446043165471E-3</v>
      </c>
    </row>
    <row r="81" spans="2:5" ht="15" customHeight="1">
      <c r="B81" s="70"/>
      <c r="C81" s="29" t="s">
        <v>7</v>
      </c>
      <c r="D81" s="28">
        <v>1</v>
      </c>
      <c r="E81" s="27">
        <v>7.1942446043165471E-3</v>
      </c>
    </row>
    <row r="82" spans="2:5" ht="15" customHeight="1">
      <c r="B82" s="70"/>
      <c r="C82" s="29" t="s">
        <v>74</v>
      </c>
      <c r="D82" s="28">
        <v>2</v>
      </c>
      <c r="E82" s="27">
        <v>1.4388489208633094E-2</v>
      </c>
    </row>
    <row r="83" spans="2:5" ht="15" customHeight="1">
      <c r="B83" s="70"/>
      <c r="C83" s="29" t="s">
        <v>20</v>
      </c>
      <c r="D83" s="28">
        <v>8</v>
      </c>
      <c r="E83" s="27">
        <v>5.7553956834532377E-2</v>
      </c>
    </row>
    <row r="84" spans="2:5" ht="15" customHeight="1">
      <c r="B84" s="70"/>
      <c r="C84" s="29" t="s">
        <v>9</v>
      </c>
      <c r="D84" s="28">
        <v>3</v>
      </c>
      <c r="E84" s="27">
        <v>2.1582733812949641E-2</v>
      </c>
    </row>
    <row r="85" spans="2:5" ht="15" customHeight="1">
      <c r="B85" s="70"/>
      <c r="C85" s="29" t="s">
        <v>15</v>
      </c>
      <c r="D85" s="28">
        <v>1</v>
      </c>
      <c r="E85" s="27">
        <v>7.1942446043165471E-3</v>
      </c>
    </row>
    <row r="86" spans="2:5" ht="15" customHeight="1">
      <c r="B86" s="71"/>
      <c r="C86" s="26" t="s">
        <v>3</v>
      </c>
      <c r="D86" s="25">
        <v>25</v>
      </c>
      <c r="E86" s="24">
        <v>0.17985611510791366</v>
      </c>
    </row>
    <row r="87" spans="2:5" ht="15" customHeight="1">
      <c r="B87" s="69" t="s">
        <v>143</v>
      </c>
      <c r="C87" s="29" t="s">
        <v>74</v>
      </c>
      <c r="D87" s="28">
        <v>1</v>
      </c>
      <c r="E87" s="27">
        <v>7.1942446043165471E-3</v>
      </c>
    </row>
    <row r="88" spans="2:5" ht="15" customHeight="1">
      <c r="B88" s="70"/>
      <c r="C88" s="29" t="s">
        <v>15</v>
      </c>
      <c r="D88" s="28">
        <v>1</v>
      </c>
      <c r="E88" s="27">
        <v>7.1942446043165471E-3</v>
      </c>
    </row>
    <row r="89" spans="2:5" ht="15" customHeight="1">
      <c r="B89" s="71"/>
      <c r="C89" s="26" t="s">
        <v>3</v>
      </c>
      <c r="D89" s="25">
        <v>2</v>
      </c>
      <c r="E89" s="24">
        <v>1.4388489208633094E-2</v>
      </c>
    </row>
    <row r="90" spans="2:5" ht="15" customHeight="1">
      <c r="B90" s="69" t="s">
        <v>72</v>
      </c>
      <c r="C90" s="29" t="s">
        <v>17</v>
      </c>
      <c r="D90" s="28">
        <v>1</v>
      </c>
      <c r="E90" s="27">
        <v>7.1942446043165471E-3</v>
      </c>
    </row>
    <row r="91" spans="2:5" ht="15" customHeight="1">
      <c r="B91" s="70"/>
      <c r="C91" s="29" t="s">
        <v>75</v>
      </c>
      <c r="D91" s="28">
        <v>1</v>
      </c>
      <c r="E91" s="27">
        <v>7.1942446043165471E-3</v>
      </c>
    </row>
    <row r="92" spans="2:5" ht="15" customHeight="1">
      <c r="B92" s="71"/>
      <c r="C92" s="26" t="s">
        <v>3</v>
      </c>
      <c r="D92" s="25">
        <v>2</v>
      </c>
      <c r="E92" s="24">
        <v>1.4388489208633094E-2</v>
      </c>
    </row>
    <row r="93" spans="2:5" ht="15" customHeight="1">
      <c r="B93" s="73" t="s">
        <v>3</v>
      </c>
      <c r="C93" s="74"/>
      <c r="D93" s="57">
        <v>139</v>
      </c>
      <c r="E93" s="58">
        <v>1</v>
      </c>
    </row>
    <row r="95" spans="2:5" ht="15" customHeight="1">
      <c r="B95" s="3" t="s">
        <v>87</v>
      </c>
    </row>
    <row r="96" spans="2:5" ht="15" customHeight="1">
      <c r="B96" s="5" t="s">
        <v>2</v>
      </c>
    </row>
    <row r="97" spans="2:2" ht="15" customHeight="1">
      <c r="B97" s="4" t="s">
        <v>1</v>
      </c>
    </row>
    <row r="98" spans="2:2" ht="15" customHeight="1">
      <c r="B98" s="3" t="s">
        <v>0</v>
      </c>
    </row>
    <row r="99" spans="2:2" ht="15" customHeight="1">
      <c r="B99" s="3" t="s">
        <v>88</v>
      </c>
    </row>
  </sheetData>
  <mergeCells count="16">
    <mergeCell ref="B72:B75"/>
    <mergeCell ref="B76:B86"/>
    <mergeCell ref="B87:B89"/>
    <mergeCell ref="B90:B92"/>
    <mergeCell ref="B93:C93"/>
    <mergeCell ref="B7:E8"/>
    <mergeCell ref="B10:B11"/>
    <mergeCell ref="B12:B14"/>
    <mergeCell ref="B15:B18"/>
    <mergeCell ref="B19:B21"/>
    <mergeCell ref="B53:B71"/>
    <mergeCell ref="B22:B27"/>
    <mergeCell ref="B28:B40"/>
    <mergeCell ref="B41:B43"/>
    <mergeCell ref="B44:B48"/>
    <mergeCell ref="B49:B5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8" sqref="C2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A1" s="53"/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8" t="s">
        <v>144</v>
      </c>
      <c r="C7" s="68"/>
      <c r="D7" s="68"/>
    </row>
    <row r="8" spans="1:5" s="13" customFormat="1" ht="15" customHeight="1">
      <c r="B8" s="68"/>
      <c r="C8" s="68"/>
      <c r="D8" s="68"/>
    </row>
    <row r="9" spans="1:5" s="13" customFormat="1" ht="33" customHeight="1">
      <c r="B9" s="68"/>
      <c r="C9" s="68"/>
      <c r="D9" s="68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47</v>
      </c>
      <c r="C11" s="15" t="s">
        <v>22</v>
      </c>
      <c r="D11" s="14" t="s">
        <v>21</v>
      </c>
    </row>
    <row r="12" spans="1:5">
      <c r="B12" s="11" t="s">
        <v>46</v>
      </c>
      <c r="C12" s="10">
        <v>99</v>
      </c>
      <c r="D12" s="9">
        <v>0.71223021582733814</v>
      </c>
    </row>
    <row r="13" spans="1:5">
      <c r="B13" s="11" t="s">
        <v>45</v>
      </c>
      <c r="C13" s="10">
        <v>40</v>
      </c>
      <c r="D13" s="9">
        <v>0.28776978417266186</v>
      </c>
    </row>
    <row r="14" spans="1:5">
      <c r="B14" s="8" t="s">
        <v>44</v>
      </c>
      <c r="C14" s="7">
        <v>139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87</v>
      </c>
      <c r="C16" s="42"/>
      <c r="D16" s="12"/>
    </row>
    <row r="17" spans="2:4">
      <c r="B17" s="5" t="s">
        <v>2</v>
      </c>
      <c r="C17" s="59"/>
      <c r="D17" s="59"/>
    </row>
    <row r="18" spans="2:4">
      <c r="B18" s="4" t="s">
        <v>1</v>
      </c>
      <c r="C18" s="60"/>
      <c r="D18" s="60"/>
    </row>
    <row r="19" spans="2:4">
      <c r="B19" s="3" t="s">
        <v>0</v>
      </c>
    </row>
    <row r="20" spans="2:4">
      <c r="B20" s="3" t="s">
        <v>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59" zoomScaleNormal="100" zoomScaleSheetLayoutView="100" workbookViewId="0">
      <selection activeCell="E75" sqref="E7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2"/>
      <c r="C7" s="72"/>
      <c r="D7" s="72"/>
      <c r="E7" s="72"/>
    </row>
    <row r="8" spans="1:5" s="34" customFormat="1" ht="33" customHeight="1">
      <c r="A8" s="35"/>
      <c r="B8" s="72"/>
      <c r="C8" s="72"/>
      <c r="D8" s="72"/>
      <c r="E8" s="72"/>
    </row>
    <row r="9" spans="1:5" s="13" customFormat="1" ht="40.5" customHeight="1">
      <c r="B9" s="31" t="s">
        <v>23</v>
      </c>
      <c r="C9" s="33" t="s">
        <v>47</v>
      </c>
      <c r="D9" s="32" t="s">
        <v>22</v>
      </c>
      <c r="E9" s="31" t="s">
        <v>21</v>
      </c>
    </row>
    <row r="10" spans="1:5" ht="15" customHeight="1">
      <c r="B10" s="69" t="s">
        <v>6</v>
      </c>
      <c r="C10" s="29" t="s">
        <v>49</v>
      </c>
      <c r="D10" s="28">
        <v>1</v>
      </c>
      <c r="E10" s="27">
        <v>7.1942446043165471E-3</v>
      </c>
    </row>
    <row r="11" spans="1:5" ht="15" customHeight="1">
      <c r="B11" s="70"/>
      <c r="C11" s="29" t="s">
        <v>48</v>
      </c>
      <c r="D11" s="28">
        <v>2</v>
      </c>
      <c r="E11" s="27">
        <v>1.4388489208633094E-2</v>
      </c>
    </row>
    <row r="12" spans="1:5" ht="15" customHeight="1">
      <c r="B12" s="71"/>
      <c r="C12" s="26" t="s">
        <v>3</v>
      </c>
      <c r="D12" s="25">
        <v>3</v>
      </c>
      <c r="E12" s="24">
        <v>2.1582733812949641E-2</v>
      </c>
    </row>
    <row r="13" spans="1:5" ht="15" customHeight="1">
      <c r="B13" s="69" t="s">
        <v>19</v>
      </c>
      <c r="C13" s="29" t="s">
        <v>49</v>
      </c>
      <c r="D13" s="28">
        <v>4</v>
      </c>
      <c r="E13" s="27">
        <v>2.8776978417266189E-2</v>
      </c>
    </row>
    <row r="14" spans="1:5" ht="15" customHeight="1">
      <c r="B14" s="70"/>
      <c r="C14" s="29" t="s">
        <v>48</v>
      </c>
      <c r="D14" s="28">
        <v>1</v>
      </c>
      <c r="E14" s="27">
        <v>7.1942446043165471E-3</v>
      </c>
    </row>
    <row r="15" spans="1:5" ht="15" customHeight="1">
      <c r="B15" s="71"/>
      <c r="C15" s="26" t="s">
        <v>3</v>
      </c>
      <c r="D15" s="25">
        <v>5</v>
      </c>
      <c r="E15" s="24">
        <v>3.5971223021582732E-2</v>
      </c>
    </row>
    <row r="16" spans="1:5" ht="15" customHeight="1">
      <c r="B16" s="69" t="s">
        <v>73</v>
      </c>
      <c r="C16" s="29" t="s">
        <v>49</v>
      </c>
      <c r="D16" s="28">
        <v>1</v>
      </c>
      <c r="E16" s="27">
        <v>7.1942446043165471E-3</v>
      </c>
    </row>
    <row r="17" spans="2:5" ht="15" customHeight="1">
      <c r="B17" s="71"/>
      <c r="C17" s="26" t="s">
        <v>3</v>
      </c>
      <c r="D17" s="25">
        <v>1</v>
      </c>
      <c r="E17" s="24">
        <v>7.1942446043165471E-3</v>
      </c>
    </row>
    <row r="18" spans="2:5" ht="15" customHeight="1">
      <c r="B18" s="69" t="s">
        <v>14</v>
      </c>
      <c r="C18" s="29" t="s">
        <v>49</v>
      </c>
      <c r="D18" s="28">
        <v>6</v>
      </c>
      <c r="E18" s="27">
        <v>4.3165467625899283E-2</v>
      </c>
    </row>
    <row r="19" spans="2:5" ht="15" customHeight="1">
      <c r="B19" s="70"/>
      <c r="C19" s="29" t="s">
        <v>48</v>
      </c>
      <c r="D19" s="28">
        <v>2</v>
      </c>
      <c r="E19" s="27">
        <v>1.4388489208633094E-2</v>
      </c>
    </row>
    <row r="20" spans="2:5" ht="15" customHeight="1">
      <c r="B20" s="71"/>
      <c r="C20" s="26" t="s">
        <v>3</v>
      </c>
      <c r="D20" s="25">
        <v>8</v>
      </c>
      <c r="E20" s="24">
        <v>5.7553956834532377E-2</v>
      </c>
    </row>
    <row r="21" spans="2:5" ht="15" customHeight="1">
      <c r="B21" s="69" t="s">
        <v>11</v>
      </c>
      <c r="C21" s="29" t="s">
        <v>49</v>
      </c>
      <c r="D21" s="28">
        <v>1</v>
      </c>
      <c r="E21" s="27">
        <v>7.1942446043165471E-3</v>
      </c>
    </row>
    <row r="22" spans="2:5" ht="15" customHeight="1">
      <c r="B22" s="70"/>
      <c r="C22" s="29" t="s">
        <v>48</v>
      </c>
      <c r="D22" s="28">
        <v>3</v>
      </c>
      <c r="E22" s="27">
        <v>2.1582733812949641E-2</v>
      </c>
    </row>
    <row r="23" spans="2:5" ht="15" customHeight="1">
      <c r="B23" s="71"/>
      <c r="C23" s="26" t="s">
        <v>3</v>
      </c>
      <c r="D23" s="25">
        <v>4</v>
      </c>
      <c r="E23" s="24">
        <v>2.8776978417266189E-2</v>
      </c>
    </row>
    <row r="24" spans="2:5" ht="15" customHeight="1">
      <c r="B24" s="69" t="s">
        <v>8</v>
      </c>
      <c r="C24" s="29" t="s">
        <v>49</v>
      </c>
      <c r="D24" s="28">
        <v>1</v>
      </c>
      <c r="E24" s="27">
        <v>7.1942446043165471E-3</v>
      </c>
    </row>
    <row r="25" spans="2:5" ht="15" customHeight="1">
      <c r="B25" s="70"/>
      <c r="C25" s="29" t="s">
        <v>48</v>
      </c>
      <c r="D25" s="28">
        <v>3</v>
      </c>
      <c r="E25" s="27">
        <v>2.1582733812949641E-2</v>
      </c>
    </row>
    <row r="26" spans="2:5" ht="15" customHeight="1">
      <c r="B26" s="71"/>
      <c r="C26" s="26" t="s">
        <v>3</v>
      </c>
      <c r="D26" s="25">
        <v>4</v>
      </c>
      <c r="E26" s="24">
        <v>2.8776978417266189E-2</v>
      </c>
    </row>
    <row r="27" spans="2:5" ht="15" customHeight="1">
      <c r="B27" s="69" t="s">
        <v>13</v>
      </c>
      <c r="C27" s="29" t="s">
        <v>49</v>
      </c>
      <c r="D27" s="28">
        <v>1</v>
      </c>
      <c r="E27" s="27">
        <v>7.1942446043165471E-3</v>
      </c>
    </row>
    <row r="28" spans="2:5" ht="15" customHeight="1">
      <c r="B28" s="71"/>
      <c r="C28" s="26" t="s">
        <v>3</v>
      </c>
      <c r="D28" s="25">
        <v>1</v>
      </c>
      <c r="E28" s="24">
        <v>7.1942446043165471E-3</v>
      </c>
    </row>
    <row r="29" spans="2:5" ht="15" customHeight="1">
      <c r="B29" s="69" t="s">
        <v>10</v>
      </c>
      <c r="C29" s="29" t="s">
        <v>49</v>
      </c>
      <c r="D29" s="28">
        <v>2</v>
      </c>
      <c r="E29" s="27">
        <v>1.4388489208633094E-2</v>
      </c>
    </row>
    <row r="30" spans="2:5" ht="15" customHeight="1">
      <c r="B30" s="70"/>
      <c r="C30" s="29" t="s">
        <v>48</v>
      </c>
      <c r="D30" s="28">
        <v>2</v>
      </c>
      <c r="E30" s="27">
        <v>1.4388489208633094E-2</v>
      </c>
    </row>
    <row r="31" spans="2:5" ht="15" customHeight="1">
      <c r="B31" s="71"/>
      <c r="C31" s="26" t="s">
        <v>3</v>
      </c>
      <c r="D31" s="25">
        <v>4</v>
      </c>
      <c r="E31" s="24">
        <v>2.8776978417266189E-2</v>
      </c>
    </row>
    <row r="32" spans="2:5" ht="15" customHeight="1">
      <c r="B32" s="69" t="s">
        <v>17</v>
      </c>
      <c r="C32" s="29" t="s">
        <v>49</v>
      </c>
      <c r="D32" s="28">
        <v>10</v>
      </c>
      <c r="E32" s="27">
        <v>7.1942446043165464E-2</v>
      </c>
    </row>
    <row r="33" spans="2:5" ht="15" customHeight="1">
      <c r="B33" s="70"/>
      <c r="C33" s="29" t="s">
        <v>48</v>
      </c>
      <c r="D33" s="28">
        <v>5</v>
      </c>
      <c r="E33" s="27">
        <v>3.5971223021582732E-2</v>
      </c>
    </row>
    <row r="34" spans="2:5" ht="15" customHeight="1">
      <c r="B34" s="71"/>
      <c r="C34" s="26" t="s">
        <v>3</v>
      </c>
      <c r="D34" s="25">
        <v>15</v>
      </c>
      <c r="E34" s="24">
        <v>0.1079136690647482</v>
      </c>
    </row>
    <row r="35" spans="2:5" ht="15" customHeight="1">
      <c r="B35" s="69" t="s">
        <v>77</v>
      </c>
      <c r="C35" s="29" t="s">
        <v>49</v>
      </c>
      <c r="D35" s="28">
        <v>3</v>
      </c>
      <c r="E35" s="27">
        <v>2.1582733812949641E-2</v>
      </c>
    </row>
    <row r="36" spans="2:5" ht="15" customHeight="1">
      <c r="B36" s="71"/>
      <c r="C36" s="26" t="s">
        <v>3</v>
      </c>
      <c r="D36" s="25">
        <v>3</v>
      </c>
      <c r="E36" s="24">
        <v>2.1582733812949641E-2</v>
      </c>
    </row>
    <row r="37" spans="2:5" ht="15" customHeight="1">
      <c r="B37" s="69" t="s">
        <v>18</v>
      </c>
      <c r="C37" s="29" t="s">
        <v>49</v>
      </c>
      <c r="D37" s="28">
        <v>9</v>
      </c>
      <c r="E37" s="27">
        <v>6.4748201438848921E-2</v>
      </c>
    </row>
    <row r="38" spans="2:5" ht="15" customHeight="1">
      <c r="B38" s="70"/>
      <c r="C38" s="29" t="s">
        <v>48</v>
      </c>
      <c r="D38" s="28">
        <v>2</v>
      </c>
      <c r="E38" s="27">
        <v>1.4388489208633094E-2</v>
      </c>
    </row>
    <row r="39" spans="2:5" ht="15" customHeight="1">
      <c r="B39" s="71"/>
      <c r="C39" s="26" t="s">
        <v>3</v>
      </c>
      <c r="D39" s="25">
        <v>11</v>
      </c>
      <c r="E39" s="24">
        <v>7.9136690647482008E-2</v>
      </c>
    </row>
    <row r="40" spans="2:5" ht="15" customHeight="1">
      <c r="B40" s="69" t="s">
        <v>7</v>
      </c>
      <c r="C40" s="29" t="s">
        <v>49</v>
      </c>
      <c r="D40" s="28">
        <v>8</v>
      </c>
      <c r="E40" s="27">
        <v>5.7553956834532377E-2</v>
      </c>
    </row>
    <row r="41" spans="2:5" ht="15" customHeight="1">
      <c r="B41" s="70"/>
      <c r="C41" s="29" t="s">
        <v>48</v>
      </c>
      <c r="D41" s="28">
        <v>1</v>
      </c>
      <c r="E41" s="27">
        <v>7.1942446043165471E-3</v>
      </c>
    </row>
    <row r="42" spans="2:5" ht="15" customHeight="1">
      <c r="B42" s="71"/>
      <c r="C42" s="26" t="s">
        <v>3</v>
      </c>
      <c r="D42" s="25">
        <v>9</v>
      </c>
      <c r="E42" s="24">
        <v>6.4748201438848921E-2</v>
      </c>
    </row>
    <row r="43" spans="2:5" ht="15" customHeight="1">
      <c r="B43" s="69" t="s">
        <v>74</v>
      </c>
      <c r="C43" s="29" t="s">
        <v>49</v>
      </c>
      <c r="D43" s="28">
        <v>2</v>
      </c>
      <c r="E43" s="27">
        <v>1.4388489208633094E-2</v>
      </c>
    </row>
    <row r="44" spans="2:5" ht="15" customHeight="1">
      <c r="B44" s="70"/>
      <c r="C44" s="29" t="s">
        <v>48</v>
      </c>
      <c r="D44" s="28">
        <v>1</v>
      </c>
      <c r="E44" s="27">
        <v>7.1942446043165471E-3</v>
      </c>
    </row>
    <row r="45" spans="2:5" ht="15" customHeight="1">
      <c r="B45" s="71"/>
      <c r="C45" s="26" t="s">
        <v>3</v>
      </c>
      <c r="D45" s="25">
        <v>3</v>
      </c>
      <c r="E45" s="24">
        <v>2.1582733812949641E-2</v>
      </c>
    </row>
    <row r="46" spans="2:5" ht="15" customHeight="1">
      <c r="B46" s="69" t="s">
        <v>5</v>
      </c>
      <c r="C46" s="29" t="s">
        <v>49</v>
      </c>
      <c r="D46" s="28">
        <v>3</v>
      </c>
      <c r="E46" s="27">
        <v>2.1582733812949641E-2</v>
      </c>
    </row>
    <row r="47" spans="2:5" ht="15" customHeight="1">
      <c r="B47" s="71"/>
      <c r="C47" s="26" t="s">
        <v>3</v>
      </c>
      <c r="D47" s="25">
        <v>3</v>
      </c>
      <c r="E47" s="24">
        <v>2.1582733812949641E-2</v>
      </c>
    </row>
    <row r="48" spans="2:5" ht="15" customHeight="1">
      <c r="B48" s="69" t="s">
        <v>12</v>
      </c>
      <c r="C48" s="29" t="s">
        <v>49</v>
      </c>
      <c r="D48" s="28">
        <v>7</v>
      </c>
      <c r="E48" s="27">
        <v>5.0359712230215826E-2</v>
      </c>
    </row>
    <row r="49" spans="2:6" ht="15" customHeight="1">
      <c r="B49" s="70"/>
      <c r="C49" s="29" t="s">
        <v>48</v>
      </c>
      <c r="D49" s="28">
        <v>1</v>
      </c>
      <c r="E49" s="27">
        <v>7.1942446043165471E-3</v>
      </c>
    </row>
    <row r="50" spans="2:6" ht="15" customHeight="1">
      <c r="B50" s="71"/>
      <c r="C50" s="26" t="s">
        <v>3</v>
      </c>
      <c r="D50" s="25">
        <v>8</v>
      </c>
      <c r="E50" s="24">
        <v>5.7553956834532377E-2</v>
      </c>
    </row>
    <row r="51" spans="2:6" ht="15" customHeight="1">
      <c r="B51" s="69" t="s">
        <v>20</v>
      </c>
      <c r="C51" s="29" t="s">
        <v>49</v>
      </c>
      <c r="D51" s="28">
        <v>22</v>
      </c>
      <c r="E51" s="27">
        <v>0.15827338129496402</v>
      </c>
    </row>
    <row r="52" spans="2:6" ht="15" customHeight="1">
      <c r="B52" s="70"/>
      <c r="C52" s="29" t="s">
        <v>48</v>
      </c>
      <c r="D52" s="28">
        <v>4</v>
      </c>
      <c r="E52" s="27">
        <v>2.8776978417266189E-2</v>
      </c>
    </row>
    <row r="53" spans="2:6" ht="15" customHeight="1">
      <c r="B53" s="71"/>
      <c r="C53" s="26" t="s">
        <v>3</v>
      </c>
      <c r="D53" s="25">
        <v>26</v>
      </c>
      <c r="E53" s="24">
        <v>0.18705035971223022</v>
      </c>
    </row>
    <row r="54" spans="2:6" ht="15" customHeight="1">
      <c r="B54" s="69" t="s">
        <v>9</v>
      </c>
      <c r="C54" s="29" t="s">
        <v>49</v>
      </c>
      <c r="D54" s="28">
        <v>6</v>
      </c>
      <c r="E54" s="27">
        <v>4.3165467625899283E-2</v>
      </c>
    </row>
    <row r="55" spans="2:6" ht="15" customHeight="1">
      <c r="B55" s="70"/>
      <c r="C55" s="29" t="s">
        <v>48</v>
      </c>
      <c r="D55" s="28">
        <v>1</v>
      </c>
      <c r="E55" s="27">
        <v>7.1942446043165471E-3</v>
      </c>
      <c r="F55" s="1"/>
    </row>
    <row r="56" spans="2:6" ht="15" customHeight="1">
      <c r="B56" s="71"/>
      <c r="C56" s="26" t="s">
        <v>3</v>
      </c>
      <c r="D56" s="25">
        <v>7</v>
      </c>
      <c r="E56" s="24">
        <v>5.0359712230215826E-2</v>
      </c>
      <c r="F56" s="1"/>
    </row>
    <row r="57" spans="2:6" ht="15" customHeight="1">
      <c r="B57" s="69" t="s">
        <v>75</v>
      </c>
      <c r="C57" s="29" t="s">
        <v>48</v>
      </c>
      <c r="D57" s="28">
        <v>2</v>
      </c>
      <c r="E57" s="27">
        <v>1.4388489208633094E-2</v>
      </c>
      <c r="F57" s="1"/>
    </row>
    <row r="58" spans="2:6" ht="15" customHeight="1">
      <c r="B58" s="71"/>
      <c r="C58" s="26" t="s">
        <v>3</v>
      </c>
      <c r="D58" s="25">
        <v>2</v>
      </c>
      <c r="E58" s="24">
        <v>1.4388489208633094E-2</v>
      </c>
      <c r="F58" s="1"/>
    </row>
    <row r="59" spans="2:6" ht="15" customHeight="1">
      <c r="B59" s="69" t="s">
        <v>76</v>
      </c>
      <c r="C59" s="29" t="s">
        <v>49</v>
      </c>
      <c r="D59" s="28">
        <v>1</v>
      </c>
      <c r="E59" s="27">
        <v>7.1942446043165471E-3</v>
      </c>
      <c r="F59" s="1"/>
    </row>
    <row r="60" spans="2:6" ht="15" customHeight="1">
      <c r="B60" s="71"/>
      <c r="C60" s="26" t="s">
        <v>3</v>
      </c>
      <c r="D60" s="25">
        <v>1</v>
      </c>
      <c r="E60" s="24">
        <v>7.1942446043165471E-3</v>
      </c>
    </row>
    <row r="61" spans="2:6" ht="15" customHeight="1">
      <c r="B61" s="69" t="s">
        <v>4</v>
      </c>
      <c r="C61" s="29" t="s">
        <v>49</v>
      </c>
      <c r="D61" s="28">
        <v>2</v>
      </c>
      <c r="E61" s="27">
        <v>1.4388489208633094E-2</v>
      </c>
    </row>
    <row r="62" spans="2:6" ht="15" customHeight="1">
      <c r="B62" s="71"/>
      <c r="C62" s="26" t="s">
        <v>3</v>
      </c>
      <c r="D62" s="25">
        <v>2</v>
      </c>
      <c r="E62" s="24">
        <v>1.4388489208633094E-2</v>
      </c>
    </row>
    <row r="63" spans="2:6" ht="15" customHeight="1">
      <c r="B63" s="69" t="s">
        <v>16</v>
      </c>
      <c r="C63" s="29" t="s">
        <v>49</v>
      </c>
      <c r="D63" s="28">
        <v>3</v>
      </c>
      <c r="E63" s="27">
        <v>2.1582733812949641E-2</v>
      </c>
    </row>
    <row r="64" spans="2:6" ht="15" customHeight="1">
      <c r="B64" s="71"/>
      <c r="C64" s="26" t="s">
        <v>3</v>
      </c>
      <c r="D64" s="25">
        <v>3</v>
      </c>
      <c r="E64" s="24">
        <v>2.1582733812949641E-2</v>
      </c>
    </row>
    <row r="65" spans="2:5" ht="15" customHeight="1">
      <c r="B65" s="69" t="s">
        <v>15</v>
      </c>
      <c r="C65" s="29" t="s">
        <v>49</v>
      </c>
      <c r="D65" s="28">
        <v>6</v>
      </c>
      <c r="E65" s="27">
        <v>4.3165467625899283E-2</v>
      </c>
    </row>
    <row r="66" spans="2:5" ht="15" customHeight="1">
      <c r="B66" s="70"/>
      <c r="C66" s="29" t="s">
        <v>48</v>
      </c>
      <c r="D66" s="28">
        <v>10</v>
      </c>
      <c r="E66" s="27">
        <v>7.1942446043165464E-2</v>
      </c>
    </row>
    <row r="67" spans="2:5" ht="15" customHeight="1">
      <c r="B67" s="71"/>
      <c r="C67" s="26" t="s">
        <v>3</v>
      </c>
      <c r="D67" s="25">
        <v>16</v>
      </c>
      <c r="E67" s="24">
        <v>0.11510791366906475</v>
      </c>
    </row>
    <row r="68" spans="2:5" ht="15" customHeight="1">
      <c r="B68" s="73" t="s">
        <v>3</v>
      </c>
      <c r="C68" s="74"/>
      <c r="D68" s="57">
        <f>SUMIF(C10:C67,"TOTAL",D10:D67)</f>
        <v>139</v>
      </c>
      <c r="E68" s="58">
        <v>1</v>
      </c>
    </row>
    <row r="70" spans="2:5" ht="15" customHeight="1">
      <c r="B70" s="3" t="s">
        <v>87</v>
      </c>
    </row>
    <row r="71" spans="2:5" ht="15" customHeight="1">
      <c r="B71" s="5" t="s">
        <v>2</v>
      </c>
    </row>
    <row r="72" spans="2:5" ht="15" customHeight="1">
      <c r="B72" s="4" t="s">
        <v>1</v>
      </c>
    </row>
    <row r="73" spans="2:5" ht="15" customHeight="1">
      <c r="B73" s="3" t="s">
        <v>0</v>
      </c>
    </row>
    <row r="74" spans="2:5" ht="15" customHeight="1">
      <c r="B74" s="3" t="s">
        <v>88</v>
      </c>
    </row>
    <row r="377" spans="2:2" s="21" customFormat="1" ht="15" customHeight="1">
      <c r="B377" s="22"/>
    </row>
    <row r="378" spans="2:2" s="21" customFormat="1" ht="15" customHeight="1">
      <c r="B378" s="23"/>
    </row>
    <row r="379" spans="2:2" s="21" customFormat="1" ht="15" customHeight="1">
      <c r="B379" s="23"/>
    </row>
    <row r="380" spans="2:2" s="21" customFormat="1" ht="15" customHeight="1">
      <c r="B380" s="22"/>
    </row>
    <row r="381" spans="2:2" s="21" customFormat="1" ht="15" customHeight="1">
      <c r="B381" s="22"/>
    </row>
  </sheetData>
  <mergeCells count="24">
    <mergeCell ref="B65:B67"/>
    <mergeCell ref="B68:C68"/>
    <mergeCell ref="B54:B56"/>
    <mergeCell ref="B57:B58"/>
    <mergeCell ref="B59:B60"/>
    <mergeCell ref="B61:B62"/>
    <mergeCell ref="B63:B64"/>
    <mergeCell ref="B7:E8"/>
    <mergeCell ref="B13:B15"/>
    <mergeCell ref="B16:B17"/>
    <mergeCell ref="B18:B20"/>
    <mergeCell ref="B21:B23"/>
    <mergeCell ref="B51:B53"/>
    <mergeCell ref="B10:B12"/>
    <mergeCell ref="B46:B47"/>
    <mergeCell ref="B37:B39"/>
    <mergeCell ref="B40:B42"/>
    <mergeCell ref="B43:B45"/>
    <mergeCell ref="B48:B50"/>
    <mergeCell ref="B24:B26"/>
    <mergeCell ref="B27:B28"/>
    <mergeCell ref="B29:B31"/>
    <mergeCell ref="B32:B34"/>
    <mergeCell ref="B35:B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7"/>
  <sheetViews>
    <sheetView showGridLines="0" topLeftCell="A7" zoomScaleNormal="100" zoomScaleSheetLayoutView="100" workbookViewId="0">
      <selection activeCell="G15" sqref="G1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2"/>
      <c r="C7" s="72"/>
      <c r="D7" s="72"/>
      <c r="E7" s="72"/>
    </row>
    <row r="8" spans="1:5" s="34" customFormat="1" ht="33" customHeight="1">
      <c r="A8" s="35"/>
      <c r="B8" s="72"/>
      <c r="C8" s="72"/>
      <c r="D8" s="72"/>
      <c r="E8" s="72"/>
    </row>
    <row r="9" spans="1:5" s="13" customFormat="1" ht="40.5" customHeight="1">
      <c r="B9" s="31" t="s">
        <v>47</v>
      </c>
      <c r="C9" s="33" t="s">
        <v>54</v>
      </c>
      <c r="D9" s="32" t="s">
        <v>22</v>
      </c>
      <c r="E9" s="31" t="s">
        <v>21</v>
      </c>
    </row>
    <row r="10" spans="1:5" ht="15" customHeight="1">
      <c r="B10" s="69" t="s">
        <v>49</v>
      </c>
      <c r="C10" s="29" t="s">
        <v>53</v>
      </c>
      <c r="D10" s="28">
        <v>30</v>
      </c>
      <c r="E10" s="27">
        <v>0.21582733812949639</v>
      </c>
    </row>
    <row r="11" spans="1:5" ht="15" customHeight="1">
      <c r="B11" s="70"/>
      <c r="C11" s="29" t="s">
        <v>52</v>
      </c>
      <c r="D11" s="28">
        <v>31</v>
      </c>
      <c r="E11" s="27">
        <v>0.22302158273381295</v>
      </c>
    </row>
    <row r="12" spans="1:5" ht="15" customHeight="1">
      <c r="B12" s="70"/>
      <c r="C12" s="29" t="s">
        <v>51</v>
      </c>
      <c r="D12" s="28">
        <v>25</v>
      </c>
      <c r="E12" s="27">
        <v>0.17985611510791366</v>
      </c>
    </row>
    <row r="13" spans="1:5" ht="15" customHeight="1">
      <c r="B13" s="70"/>
      <c r="C13" s="29" t="s">
        <v>50</v>
      </c>
      <c r="D13" s="28">
        <v>11</v>
      </c>
      <c r="E13" s="27">
        <v>7.9136690647482008E-2</v>
      </c>
    </row>
    <row r="14" spans="1:5" ht="15" customHeight="1">
      <c r="B14" s="70"/>
      <c r="C14" s="29" t="s">
        <v>145</v>
      </c>
      <c r="D14" s="28">
        <v>1</v>
      </c>
      <c r="E14" s="27">
        <v>7.1942446043165471E-3</v>
      </c>
    </row>
    <row r="15" spans="1:5" ht="15" customHeight="1">
      <c r="B15" s="71"/>
      <c r="C15" s="29" t="s">
        <v>146</v>
      </c>
      <c r="D15" s="28">
        <v>1</v>
      </c>
      <c r="E15" s="27">
        <v>7.1942446043165471E-3</v>
      </c>
    </row>
    <row r="16" spans="1:5" ht="15" customHeight="1">
      <c r="B16" s="69" t="s">
        <v>48</v>
      </c>
      <c r="C16" s="29" t="s">
        <v>53</v>
      </c>
      <c r="D16" s="28">
        <v>4</v>
      </c>
      <c r="E16" s="27">
        <v>2.8776978417266189E-2</v>
      </c>
    </row>
    <row r="17" spans="2:6" ht="15" customHeight="1">
      <c r="B17" s="70"/>
      <c r="C17" s="29" t="s">
        <v>52</v>
      </c>
      <c r="D17" s="28">
        <v>11</v>
      </c>
      <c r="E17" s="27">
        <v>7.9136690647482008E-2</v>
      </c>
    </row>
    <row r="18" spans="2:6" ht="15" customHeight="1">
      <c r="B18" s="70"/>
      <c r="C18" s="29" t="s">
        <v>51</v>
      </c>
      <c r="D18" s="28">
        <v>17</v>
      </c>
      <c r="E18" s="27">
        <v>0.1223021582733813</v>
      </c>
    </row>
    <row r="19" spans="2:6" ht="15" customHeight="1">
      <c r="B19" s="70"/>
      <c r="C19" s="29" t="s">
        <v>50</v>
      </c>
      <c r="D19" s="28">
        <v>6</v>
      </c>
      <c r="E19" s="27">
        <v>4.3165467625899283E-2</v>
      </c>
    </row>
    <row r="20" spans="2:6" ht="15" customHeight="1">
      <c r="B20" s="70"/>
      <c r="C20" s="29" t="s">
        <v>145</v>
      </c>
      <c r="D20" s="28">
        <v>1</v>
      </c>
      <c r="E20" s="27">
        <v>7.1942446043165471E-3</v>
      </c>
      <c r="F20" s="1"/>
    </row>
    <row r="21" spans="2:6" ht="15" customHeight="1">
      <c r="B21" s="71"/>
      <c r="C21" s="29" t="s">
        <v>146</v>
      </c>
      <c r="D21" s="28">
        <v>1</v>
      </c>
      <c r="E21" s="27">
        <v>7.1942446043165471E-3</v>
      </c>
      <c r="F21" s="1"/>
    </row>
    <row r="22" spans="2:6" ht="15" customHeight="1">
      <c r="B22" s="73" t="s">
        <v>3</v>
      </c>
      <c r="C22" s="74"/>
      <c r="D22" s="57">
        <v>139</v>
      </c>
      <c r="E22" s="58">
        <v>1</v>
      </c>
      <c r="F22" s="1"/>
    </row>
    <row r="23" spans="2:6" ht="15" customHeight="1">
      <c r="F23" s="1"/>
    </row>
    <row r="24" spans="2:6" ht="15" customHeight="1">
      <c r="B24" s="3" t="s">
        <v>87</v>
      </c>
      <c r="F24" s="1"/>
    </row>
    <row r="25" spans="2:6" ht="15" customHeight="1">
      <c r="B25" s="5" t="s">
        <v>2</v>
      </c>
    </row>
    <row r="26" spans="2:6" ht="15" customHeight="1">
      <c r="B26" s="4" t="s">
        <v>1</v>
      </c>
    </row>
    <row r="27" spans="2:6" ht="15" customHeight="1">
      <c r="B27" s="3" t="s">
        <v>0</v>
      </c>
    </row>
    <row r="28" spans="2:6" ht="15" customHeight="1">
      <c r="B28" s="3" t="s">
        <v>88</v>
      </c>
    </row>
    <row r="463" spans="2:2" s="21" customFormat="1" ht="15" customHeight="1">
      <c r="B463" s="22"/>
    </row>
    <row r="464" spans="2:2" s="21" customFormat="1" ht="15" customHeight="1">
      <c r="B464" s="23"/>
    </row>
    <row r="465" spans="2:2" s="21" customFormat="1" ht="15" customHeight="1">
      <c r="B465" s="23"/>
    </row>
    <row r="466" spans="2:2" s="21" customFormat="1" ht="15" customHeight="1">
      <c r="B466" s="22"/>
    </row>
    <row r="467" spans="2:2" s="21" customFormat="1" ht="15" customHeight="1">
      <c r="B467" s="22"/>
    </row>
  </sheetData>
  <mergeCells count="4">
    <mergeCell ref="B22:C22"/>
    <mergeCell ref="B7:E8"/>
    <mergeCell ref="B10:B15"/>
    <mergeCell ref="B16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3"/>
  <sheetViews>
    <sheetView showGridLines="0" zoomScaleNormal="100" zoomScaleSheetLayoutView="115" workbookViewId="0">
      <selection activeCell="D21" sqref="D2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8" t="s">
        <v>148</v>
      </c>
      <c r="C7" s="68"/>
      <c r="D7" s="68"/>
    </row>
    <row r="8" spans="1:5" s="13" customFormat="1" ht="15" customHeight="1">
      <c r="B8" s="68"/>
      <c r="C8" s="68"/>
      <c r="D8" s="68"/>
    </row>
    <row r="9" spans="1:5" s="13" customFormat="1" ht="33" customHeight="1">
      <c r="B9" s="68"/>
      <c r="C9" s="68"/>
      <c r="D9" s="68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58</v>
      </c>
      <c r="C11" s="15" t="s">
        <v>22</v>
      </c>
      <c r="D11" s="14" t="s">
        <v>21</v>
      </c>
    </row>
    <row r="12" spans="1:5">
      <c r="B12" s="11" t="s">
        <v>57</v>
      </c>
      <c r="C12" s="10">
        <v>100</v>
      </c>
      <c r="D12" s="9">
        <v>0.71942446043165464</v>
      </c>
    </row>
    <row r="13" spans="1:5">
      <c r="B13" s="11" t="s">
        <v>56</v>
      </c>
      <c r="C13" s="10">
        <v>31</v>
      </c>
      <c r="D13" s="9">
        <v>0.22302158273381295</v>
      </c>
    </row>
    <row r="14" spans="1:5">
      <c r="A14" s="12"/>
      <c r="B14" s="11" t="s">
        <v>55</v>
      </c>
      <c r="C14" s="10">
        <v>5</v>
      </c>
      <c r="D14" s="9">
        <v>3.5971223021582732E-2</v>
      </c>
      <c r="E14" s="12"/>
    </row>
    <row r="15" spans="1:5">
      <c r="A15" s="12"/>
      <c r="B15" s="11" t="s">
        <v>147</v>
      </c>
      <c r="C15" s="10">
        <v>2</v>
      </c>
      <c r="D15" s="9">
        <v>1.4388489208633094E-2</v>
      </c>
      <c r="E15" s="12"/>
    </row>
    <row r="16" spans="1:5">
      <c r="B16" s="11" t="s">
        <v>85</v>
      </c>
      <c r="C16" s="10">
        <v>1</v>
      </c>
      <c r="D16" s="9">
        <v>7.1942446043165471E-3</v>
      </c>
    </row>
    <row r="17" spans="2:4">
      <c r="B17" s="8" t="s">
        <v>3</v>
      </c>
      <c r="C17" s="7">
        <v>139</v>
      </c>
      <c r="D17" s="6">
        <v>1</v>
      </c>
    </row>
    <row r="18" spans="2:4">
      <c r="B18" s="3"/>
    </row>
    <row r="19" spans="2:4">
      <c r="B19" s="3" t="s">
        <v>87</v>
      </c>
    </row>
    <row r="20" spans="2:4">
      <c r="B20" s="5" t="s">
        <v>2</v>
      </c>
    </row>
    <row r="21" spans="2:4">
      <c r="B21" s="4" t="s">
        <v>1</v>
      </c>
    </row>
    <row r="22" spans="2:4">
      <c r="B22" s="3" t="s">
        <v>0</v>
      </c>
    </row>
    <row r="23" spans="2:4">
      <c r="B23" s="3" t="s">
        <v>88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Hampshire_Edomexgral</vt:lpstr>
      <vt:lpstr>New Hampshire_EDOMEX</vt:lpstr>
      <vt:lpstr>New Hampshire_Educagral</vt:lpstr>
      <vt:lpstr>New Hampshire_Eduedo</vt:lpstr>
      <vt:lpstr>New Hampshire_gengral</vt:lpstr>
      <vt:lpstr>New Hampshire_edomexgen</vt:lpstr>
      <vt:lpstr>New Hampshire_edadgen</vt:lpstr>
      <vt:lpstr>New Hampshire_ocupgral</vt:lpstr>
      <vt:lpstr>'New Hampshire_edadgen'!Área_de_impresión</vt:lpstr>
      <vt:lpstr>'New Hampshire_EDOMEX'!Área_de_impresión</vt:lpstr>
      <vt:lpstr>'New Hampshire_edomexgen'!Área_de_impresión</vt:lpstr>
      <vt:lpstr>'New Hampshire_Eduedo'!Área_de_impresión</vt:lpstr>
      <vt:lpstr>'New Hampshire_edadgen'!Títulos_a_imprimir</vt:lpstr>
      <vt:lpstr>'New Hampshire_EDOMEX'!Títulos_a_imprimir</vt:lpstr>
      <vt:lpstr>'New Hampshire_edomexgen'!Títulos_a_imprimir</vt:lpstr>
      <vt:lpstr>'New Hampshire_Edomexgral'!Títulos_a_imprimir</vt:lpstr>
      <vt:lpstr>'New Hampshire_Educagral'!Títulos_a_imprimir</vt:lpstr>
      <vt:lpstr>'New Hampshire_Eduedo'!Títulos_a_imprimir</vt:lpstr>
      <vt:lpstr>'New Hampshire_gengral'!Títulos_a_imprimir</vt:lpstr>
      <vt:lpstr>'New Hampshire_ocupgral'!Títulos_a_imprimir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2020-05-15T18:21:40Z</dcterms:created>
  <dcterms:modified xsi:type="dcterms:W3CDTF">2022-08-08T17:57:20Z</dcterms:modified>
</cp:coreProperties>
</file>