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" r:id="rId1"/>
    <sheet name="Connecticut_Edomexgral" sheetId="3" r:id="rId2"/>
    <sheet name="Connecticut_EDOMEX" sheetId="12" r:id="rId3"/>
    <sheet name="Connecticut_Educagral" sheetId="5" r:id="rId4"/>
    <sheet name="Connecticut_Eduedo" sheetId="11" r:id="rId5"/>
    <sheet name="Connecticut_gengral" sheetId="7" r:id="rId6"/>
    <sheet name="Connecticut_edomexgen" sheetId="8" r:id="rId7"/>
    <sheet name="Connecticut_edadgen" sheetId="9" r:id="rId8"/>
    <sheet name="Connecticut_ocupgral" sheetId="10" r:id="rId9"/>
  </sheets>
  <definedNames>
    <definedName name="_xlnm._FilterDatabase" localSheetId="7" hidden="1">Connecticut_edadgen!$B$9:$E$13</definedName>
    <definedName name="_xlnm._FilterDatabase" localSheetId="2" hidden="1">Connecticut_EDOMEX!$B$9:$E$13</definedName>
    <definedName name="_xlnm._FilterDatabase" localSheetId="6" hidden="1">Connecticut_edomexgen!$B$9:$E$13</definedName>
    <definedName name="_xlnm._FilterDatabase" localSheetId="1" hidden="1">Connecticut_Edomexgral!$B$11:$D$12</definedName>
    <definedName name="_xlnm._FilterDatabase" localSheetId="3" hidden="1">Connecticut_Educagral!$B$11:$D$12</definedName>
    <definedName name="_xlnm._FilterDatabase" localSheetId="4" hidden="1">Connecticut_Eduedo!$B$9:$E$13</definedName>
    <definedName name="_xlnm._FilterDatabase" localSheetId="5" hidden="1">Connecticut_gengral!$B$11:$D$12</definedName>
    <definedName name="_xlnm._FilterDatabase" localSheetId="8" hidden="1">Connecticut_ocupgral!$B$11:$D$12</definedName>
    <definedName name="_xlnm.Print_Area" localSheetId="7">Connecticut_edadgen!$A$1:$E$31</definedName>
    <definedName name="_xlnm.Print_Area" localSheetId="2">Connecticut_EDOMEX!$A$1:$E$723</definedName>
    <definedName name="_xlnm.Print_Area" localSheetId="6">Connecticut_edomexgen!$A$1:$E$96</definedName>
    <definedName name="_xlnm.Print_Area" localSheetId="4">Connecticut_Eduedo!$A$1:$E$317</definedName>
    <definedName name="_xlnm.Print_Titles" localSheetId="7">Connecticut_edadgen!$1:$9</definedName>
    <definedName name="_xlnm.Print_Titles" localSheetId="2">Connecticut_EDOMEX!$1:$9</definedName>
    <definedName name="_xlnm.Print_Titles" localSheetId="6">Connecticut_edomexgen!$1:$9</definedName>
    <definedName name="_xlnm.Print_Titles" localSheetId="1">Connecticut_Edomexgral!$1:$11</definedName>
    <definedName name="_xlnm.Print_Titles" localSheetId="3">Connecticut_Educagral!$1:$11</definedName>
    <definedName name="_xlnm.Print_Titles" localSheetId="4">Connecticut_Eduedo!$1:$9</definedName>
    <definedName name="_xlnm.Print_Titles" localSheetId="5">Connecticut_gengral!$1:$11</definedName>
    <definedName name="_xlnm.Print_Titles" localSheetId="8">Connecticut_ocupgral!$1:$11</definedName>
  </definedNames>
  <calcPr calcId="152511"/>
</workbook>
</file>

<file path=xl/calcChain.xml><?xml version="1.0" encoding="utf-8"?>
<calcChain xmlns="http://schemas.openxmlformats.org/spreadsheetml/2006/main">
  <c r="D717" i="12" l="1"/>
  <c r="D90" i="8" l="1"/>
</calcChain>
</file>

<file path=xl/sharedStrings.xml><?xml version="1.0" encoding="utf-8"?>
<sst xmlns="http://schemas.openxmlformats.org/spreadsheetml/2006/main" count="1347" uniqueCount="773">
  <si>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</si>
  <si>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</si>
  <si>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</si>
  <si>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</si>
  <si>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</si>
  <si>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</si>
  <si>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</si>
  <si>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</si>
  <si>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</si>
  <si>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</si>
  <si>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</si>
  <si>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</si>
  <si>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Connecticut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</si>
  <si>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</si>
  <si>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</si>
  <si>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</si>
  <si>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</si>
  <si>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</si>
  <si>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</si>
  <si>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Yucatán</t>
  </si>
  <si>
    <t>Quintana Roo</t>
  </si>
  <si>
    <t>Campeche</t>
  </si>
  <si>
    <t>Nuevo León</t>
  </si>
  <si>
    <t>Colima</t>
  </si>
  <si>
    <t>Baja California</t>
  </si>
  <si>
    <t>Sinaloa</t>
  </si>
  <si>
    <t>Durango</t>
  </si>
  <si>
    <t>Coahuila</t>
  </si>
  <si>
    <t>Zacatecas</t>
  </si>
  <si>
    <t>Aguascalientes</t>
  </si>
  <si>
    <t>Tabasco</t>
  </si>
  <si>
    <t>Tamaulipas</t>
  </si>
  <si>
    <t>Querétaro</t>
  </si>
  <si>
    <t>San Luis Potosí</t>
  </si>
  <si>
    <t>Guanajuato</t>
  </si>
  <si>
    <t>Jalisco</t>
  </si>
  <si>
    <t>Hidalgo</t>
  </si>
  <si>
    <t>Morelos</t>
  </si>
  <si>
    <t>Chiapas</t>
  </si>
  <si>
    <t>Estado de México</t>
  </si>
  <si>
    <t>Veracruz</t>
  </si>
  <si>
    <t>Michoacán</t>
  </si>
  <si>
    <t>Guerrero</t>
  </si>
  <si>
    <t>Ciudad de México</t>
  </si>
  <si>
    <t>Oaxaca</t>
  </si>
  <si>
    <t>Tlaxcala</t>
  </si>
  <si>
    <t>Puebla</t>
  </si>
  <si>
    <t>Porcentaje de Matrículas</t>
  </si>
  <si>
    <t>Número de Matrículas</t>
  </si>
  <si>
    <t>Estado de Origen</t>
  </si>
  <si>
    <t>MATRÍCULAS CONSULARES DE ALTA SEGURIDAD EXPEDIDAS EN EL ESTADO DE CONNECTICUT EN EE.UU. POR ESTADO DE LA REPÚBLICA MEXICANA DURANTE EL 2019</t>
  </si>
  <si>
    <t>Villa Hidalgo</t>
  </si>
  <si>
    <t>Sombrerete</t>
  </si>
  <si>
    <t>Mazapil</t>
  </si>
  <si>
    <t>Loreto</t>
  </si>
  <si>
    <t>General Pánfilo Natera</t>
  </si>
  <si>
    <t>Mérida</t>
  </si>
  <si>
    <t>Zacualpan</t>
  </si>
  <si>
    <t>Xalapa</t>
  </si>
  <si>
    <t>Ursulo Galván</t>
  </si>
  <si>
    <t>Totutla</t>
  </si>
  <si>
    <t>Tlaquilpa</t>
  </si>
  <si>
    <t>Tlalixcoyan</t>
  </si>
  <si>
    <t>Tlacotalpan</t>
  </si>
  <si>
    <t>Tierra Blanca</t>
  </si>
  <si>
    <t>Tezonapa</t>
  </si>
  <si>
    <t>Texcatepec</t>
  </si>
  <si>
    <t>Tepatlaxco</t>
  </si>
  <si>
    <t>Álamo Temapache</t>
  </si>
  <si>
    <t>Soledad de Doblado</t>
  </si>
  <si>
    <t>Sayula de Alemán</t>
  </si>
  <si>
    <t>San Juan Evangelista</t>
  </si>
  <si>
    <t>San Andrés Tuxtla</t>
  </si>
  <si>
    <t>Poza Rica de Hidalgo</t>
  </si>
  <si>
    <t>Playa Vicente</t>
  </si>
  <si>
    <t>Perote</t>
  </si>
  <si>
    <t>Paso de Ovejas</t>
  </si>
  <si>
    <t>Papantla</t>
  </si>
  <si>
    <t>Orizaba</t>
  </si>
  <si>
    <t>Omealca</t>
  </si>
  <si>
    <t>Nautla</t>
  </si>
  <si>
    <t>Moloacán</t>
  </si>
  <si>
    <t>Misantla</t>
  </si>
  <si>
    <t>Minatitlán</t>
  </si>
  <si>
    <t>Martínez de la Torre</t>
  </si>
  <si>
    <t>Lerdo de Tejada</t>
  </si>
  <si>
    <t>Las Choapas</t>
  </si>
  <si>
    <t>La Antigua</t>
  </si>
  <si>
    <t>José Azueta</t>
  </si>
  <si>
    <t>Jesús Carranza</t>
  </si>
  <si>
    <t>Ixtaczoquitlán</t>
  </si>
  <si>
    <t>Ixcatepec</t>
  </si>
  <si>
    <t>Ignacio de la Llave</t>
  </si>
  <si>
    <t>Huayacocotla</t>
  </si>
  <si>
    <t>Gutiérrez Zamora</t>
  </si>
  <si>
    <t>Fortín</t>
  </si>
  <si>
    <t>Emiliano Zapata</t>
  </si>
  <si>
    <t>Cuitláhuac</t>
  </si>
  <si>
    <t>Coyutla</t>
  </si>
  <si>
    <t>Cosamaloapan de Carpio</t>
  </si>
  <si>
    <t>Córdoba</t>
  </si>
  <si>
    <t>Colipa</t>
  </si>
  <si>
    <t>Coatzacoalcos</t>
  </si>
  <si>
    <t>Chontla</t>
  </si>
  <si>
    <t>Chicontepec</t>
  </si>
  <si>
    <t>Catemaco</t>
  </si>
  <si>
    <t>Castillo de Teayo</t>
  </si>
  <si>
    <t>Calcahualco</t>
  </si>
  <si>
    <t>Atzalan</t>
  </si>
  <si>
    <t>Aquila</t>
  </si>
  <si>
    <t>Altotonga</t>
  </si>
  <si>
    <t>Alto Lucero de Gutiérrez Barrios</t>
  </si>
  <si>
    <t>Actopan</t>
  </si>
  <si>
    <t>Acayucan</t>
  </si>
  <si>
    <t>Zacatelco</t>
  </si>
  <si>
    <t>Xicohtzinco</t>
  </si>
  <si>
    <t>Xaloztoc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</si>
  <si>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</si>
  <si>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</si>
  <si>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</si>
  <si>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</si>
  <si>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</si>
  <si>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</si>
  <si>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</si>
  <si>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</si>
  <si>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Apolonia Teacalco</t>
  </si>
  <si>
    <t>San Pablo del Monte</t>
  </si>
  <si>
    <t>San Juan Huactzinco</t>
  </si>
  <si>
    <t>San Jerónimo Zacualpan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</si>
  <si>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</si>
  <si>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</si>
  <si>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</si>
  <si>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</si>
  <si>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</si>
  <si>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</si>
  <si>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</si>
  <si>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</si>
  <si>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Ixtenco</t>
  </si>
  <si>
    <t>Hueyotlipan</t>
  </si>
  <si>
    <t>Huamantla</t>
  </si>
  <si>
    <t>Contla de Juan Cuamatzi</t>
  </si>
  <si>
    <t>Chiautempan</t>
  </si>
  <si>
    <t>Calpulalpan</t>
  </si>
  <si>
    <t>Apizaco</t>
  </si>
  <si>
    <t>Victoria</t>
  </si>
  <si>
    <t>Tampico</t>
  </si>
  <si>
    <t>Soto la Marina</t>
  </si>
  <si>
    <t>Reynosa</t>
  </si>
  <si>
    <t>Nuevo Laredo</t>
  </si>
  <si>
    <t>Matamoros</t>
  </si>
  <si>
    <t>Ciudad Madero</t>
  </si>
  <si>
    <t>Antiguo Morelos</t>
  </si>
  <si>
    <t>Tenosique</t>
  </si>
  <si>
    <t>Huimanguillo</t>
  </si>
  <si>
    <t>Cunduacán</t>
  </si>
  <si>
    <t>Cárdenas</t>
  </si>
  <si>
    <t>Balancán</t>
  </si>
  <si>
    <t>Mazatlán</t>
  </si>
  <si>
    <t>Elota</t>
  </si>
  <si>
    <t>Culiacán</t>
  </si>
  <si>
    <t>Villa Juárez</t>
  </si>
  <si>
    <t>Villa de Guadalupe</t>
  </si>
  <si>
    <t>Santo Domingo</t>
  </si>
  <si>
    <t>Santa María del Río</t>
  </si>
  <si>
    <t>Salinas</t>
  </si>
  <si>
    <t>Rayón</t>
  </si>
  <si>
    <t>Mexquitic de Carmona</t>
  </si>
  <si>
    <t>Matehuala</t>
  </si>
  <si>
    <t>Ciudad Valles</t>
  </si>
  <si>
    <t>Charcas</t>
  </si>
  <si>
    <t>Axtla de Terrazas</t>
  </si>
  <si>
    <t>Aquismón</t>
  </si>
  <si>
    <t>Ahualulco</t>
  </si>
  <si>
    <t>Felipe Carrillo Puerto</t>
  </si>
  <si>
    <t>Benito Juárez</t>
  </si>
  <si>
    <t>Tequisquiapan</t>
  </si>
  <si>
    <t>Jalpan de Serra</t>
  </si>
  <si>
    <t>El Marqués</t>
  </si>
  <si>
    <t>Cadereyta de Montes</t>
  </si>
  <si>
    <t>Zaragoza</t>
  </si>
  <si>
    <t>Zacapoaxtla</t>
  </si>
  <si>
    <t>Zacapala</t>
  </si>
  <si>
    <t>Yehualtepec</t>
  </si>
  <si>
    <t>Xochitlán de Vicente Suárez</t>
  </si>
  <si>
    <t>Xochiltepec</t>
  </si>
  <si>
    <t>Xiutetelco</t>
  </si>
  <si>
    <t>Xicotlán</t>
  </si>
  <si>
    <t>Xicotepec</t>
  </si>
  <si>
    <t>Xayacatlán de Bravo</t>
  </si>
  <si>
    <t>Vicente Guerrero</t>
  </si>
  <si>
    <t>Venustiano Carranza</t>
  </si>
  <si>
    <t>Tulcingo</t>
  </si>
  <si>
    <t>Tochtepec</t>
  </si>
  <si>
    <t>Tochimilco</t>
  </si>
  <si>
    <t>Tlatlauquitepec</t>
  </si>
  <si>
    <t>Tlapanalá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</si>
  <si>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</si>
  <si>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</si>
  <si>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</si>
  <si>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</si>
  <si>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</si>
  <si>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</si>
  <si>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</si>
  <si>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</si>
  <si>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</si>
  <si>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Tepeyahualco de Cuauhtémoc</t>
  </si>
  <si>
    <t>Tepeyahualco</t>
  </si>
  <si>
    <t>Tepexco</t>
  </si>
  <si>
    <t>Tepetzintla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</si>
  <si>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</si>
  <si>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</si>
  <si>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</si>
  <si>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</si>
  <si>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</si>
  <si>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</si>
  <si>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</si>
  <si>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Tehuitzingo</t>
  </si>
  <si>
    <t>Tehuacán</t>
  </si>
  <si>
    <t>Tecomatlán</t>
  </si>
  <si>
    <t>Tecamachalco</t>
  </si>
  <si>
    <t>Tecali de Herrera</t>
  </si>
  <si>
    <t>Santa Isabel Cholula</t>
  </si>
  <si>
    <t>Santa Inés Ahuatempan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</si>
  <si>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</si>
  <si>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</si>
  <si>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</si>
  <si>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</si>
  <si>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</si>
  <si>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</si>
  <si>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Matías Tlalancaleca</t>
  </si>
  <si>
    <t>San Martín Texmelucan</t>
  </si>
  <si>
    <t>San Juan Atzompa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</si>
  <si>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</si>
  <si>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</si>
  <si>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</si>
  <si>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</si>
  <si>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</si>
  <si>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Teotlalcingo</t>
  </si>
  <si>
    <t>San Andrés Cholula</t>
  </si>
  <si>
    <t>Rafael Lara Grajales</t>
  </si>
  <si>
    <t>Quecholac</t>
  </si>
  <si>
    <t>Piaxtla</t>
  </si>
  <si>
    <t>Petlalcingo</t>
  </si>
  <si>
    <t>Palmar de Bravo</t>
  </si>
  <si>
    <t>Pahuatlán</t>
  </si>
  <si>
    <t>Ocoyucan</t>
  </si>
  <si>
    <t>Ocotepec</t>
  </si>
  <si>
    <t>Nopalucan</t>
  </si>
  <si>
    <t>Nicolás Bravo</t>
  </si>
  <si>
    <t>Los Reyes de Juárez</t>
  </si>
  <si>
    <t>Libres</t>
  </si>
  <si>
    <t>Juan Galindo</t>
  </si>
  <si>
    <t>Juan C. Bonilla</t>
  </si>
  <si>
    <t>Jopala</t>
  </si>
  <si>
    <t>Jolalpan</t>
  </si>
  <si>
    <t>Izúcar de Matamoros</t>
  </si>
  <si>
    <t>Ixtacamaxtitlán</t>
  </si>
  <si>
    <t>Ixcamilpa de Guerrero</t>
  </si>
  <si>
    <t>Hueytlalpan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</si>
  <si>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</si>
  <si>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</si>
  <si>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</si>
  <si>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</si>
  <si>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</si>
  <si>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</si>
  <si>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</si>
  <si>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</si>
  <si>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</si>
  <si>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</si>
  <si>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Guadalupe</t>
  </si>
  <si>
    <t>General Felipe Ángeles</t>
  </si>
  <si>
    <t>Francisco Z. Mena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</si>
  <si>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</si>
  <si>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</si>
  <si>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</si>
  <si>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</si>
  <si>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</si>
  <si>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</si>
  <si>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</si>
  <si>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Coyomeapan</t>
  </si>
  <si>
    <t>Coxcatlán</t>
  </si>
  <si>
    <t>Coronango</t>
  </si>
  <si>
    <t>Cohuecan</t>
  </si>
  <si>
    <t>Coatzingo</t>
  </si>
  <si>
    <t>Chila de la Sal</t>
  </si>
  <si>
    <t>Chignautla</t>
  </si>
  <si>
    <t>Chignahuapan</t>
  </si>
  <si>
    <t>Chietla</t>
  </si>
  <si>
    <t>Chiconcuautla</t>
  </si>
  <si>
    <t>Chiautzingo</t>
  </si>
  <si>
    <t>Chiautla</t>
  </si>
  <si>
    <t>Chapulco</t>
  </si>
  <si>
    <t>Chalchicomula de Sesma</t>
  </si>
  <si>
    <t>Calpan</t>
  </si>
  <si>
    <t>Axutla</t>
  </si>
  <si>
    <t>Atzitzihuacán</t>
  </si>
  <si>
    <t>Atzala</t>
  </si>
  <si>
    <t>Atoyatempan</t>
  </si>
  <si>
    <t>Atlixco</t>
  </si>
  <si>
    <t>Amozoc</t>
  </si>
  <si>
    <t>Aljojuca</t>
  </si>
  <si>
    <t>Albino Zertuche</t>
  </si>
  <si>
    <t>Ajalpan</t>
  </si>
  <si>
    <t>Ahuehuetitla</t>
  </si>
  <si>
    <t>Ahuacatlán</t>
  </si>
  <si>
    <t>Acatzingo</t>
  </si>
  <si>
    <t>Acatlán</t>
  </si>
  <si>
    <t>Acajete</t>
  </si>
  <si>
    <t>Zimatlán de Álvarez</t>
  </si>
  <si>
    <t>Zapotitlán Lagunas</t>
  </si>
  <si>
    <t>Villa Tejúpam de la Unión</t>
  </si>
  <si>
    <t>Villa Sola de Vega</t>
  </si>
  <si>
    <t>Villa de Zaachila</t>
  </si>
  <si>
    <t>Villa de Tamazulápam del Progreso</t>
  </si>
  <si>
    <t>Unión Hidalgo</t>
  </si>
  <si>
    <t>Trinidad Zaachila</t>
  </si>
  <si>
    <t>Totontepec Villa de Morelos</t>
  </si>
  <si>
    <t>Tlalixtac de Cabrera</t>
  </si>
  <si>
    <t>Tlacolula de Matamoros</t>
  </si>
  <si>
    <t>Tezoatlán de Segura y Luna</t>
  </si>
  <si>
    <t>Teotitlán de Flores Magón</t>
  </si>
  <si>
    <t>Tamazulápam del Espíritu Santo</t>
  </si>
  <si>
    <t>Silacayoápam</t>
  </si>
  <si>
    <t>Santos Reyes Nopala</t>
  </si>
  <si>
    <t>Santo Domingo Tehuantepec</t>
  </si>
  <si>
    <t>Santo Domingo de Morelos</t>
  </si>
  <si>
    <t>Santiago Tetepec</t>
  </si>
  <si>
    <t>Santiago Tapextla</t>
  </si>
  <si>
    <t>Santiago Juxtlahuaca</t>
  </si>
  <si>
    <t>Santiago Jocotepec</t>
  </si>
  <si>
    <t>Santiago Jamiltepec</t>
  </si>
  <si>
    <t>Santiago Ixtayutla</t>
  </si>
  <si>
    <t>Santiago Chazumba</t>
  </si>
  <si>
    <t>Santiago Cacaloxtepec</t>
  </si>
  <si>
    <t>Santa María Zoquitlán</t>
  </si>
  <si>
    <t>Santa María Zacatepec</t>
  </si>
  <si>
    <t>Santa María Lachixío</t>
  </si>
  <si>
    <t>Santa María Jaltianguis</t>
  </si>
  <si>
    <t>Santa María Ipalapa</t>
  </si>
  <si>
    <t>Santa María Huazolotitlán</t>
  </si>
  <si>
    <t>Santa Cruz Xitla</t>
  </si>
  <si>
    <t>Santa Cruz Itundujia</t>
  </si>
  <si>
    <t>Santa Catarina Yosonotú</t>
  </si>
  <si>
    <t>Santa Catarina Loxicha</t>
  </si>
  <si>
    <t>Santa Catarina Juquila</t>
  </si>
  <si>
    <t>San Vicente Lachixío</t>
  </si>
  <si>
    <t>San Simón Almolongas</t>
  </si>
  <si>
    <t>San Sebastián Ixcapa</t>
  </si>
  <si>
    <t>San Raymundo Jalpan</t>
  </si>
  <si>
    <t>San Pedro Pochutla</t>
  </si>
  <si>
    <t>San Pedro Mixtepec - Distr. 22 -</t>
  </si>
  <si>
    <t>San Pedro Mártir Yucuxaco</t>
  </si>
  <si>
    <t>San Pedro Jicayán</t>
  </si>
  <si>
    <t>San Pedro Atoyac</t>
  </si>
  <si>
    <t>San Pablo Villa de Mitla</t>
  </si>
  <si>
    <t>San Miguel Quetzaltepec</t>
  </si>
  <si>
    <t>San Miguel Peras</t>
  </si>
  <si>
    <t>San Miguel Panixtlahuaca</t>
  </si>
  <si>
    <t>San Miguel Mixtepec</t>
  </si>
  <si>
    <t>San Miguel del Puerto</t>
  </si>
  <si>
    <t>San Miguel Chicahua</t>
  </si>
  <si>
    <t>San Miguel Amatitlán</t>
  </si>
  <si>
    <t>San Miguel Ahuehuetitlán</t>
  </si>
  <si>
    <t>San Mateo Sindihui</t>
  </si>
  <si>
    <t>San Mateo Cajonos</t>
  </si>
  <si>
    <t>San Martín Peras</t>
  </si>
  <si>
    <t>San Lucas Ojitlán</t>
  </si>
  <si>
    <t>San Lorenzo</t>
  </si>
  <si>
    <t>San Juan Ñumí</t>
  </si>
  <si>
    <t>San Juan Yaeé</t>
  </si>
  <si>
    <t>San Juan Mixtepec - Distr. 08 -</t>
  </si>
  <si>
    <t>San Juan Mazatlán</t>
  </si>
  <si>
    <t>San Juan Lachao</t>
  </si>
  <si>
    <t>San Juan Juquila Vijanos</t>
  </si>
  <si>
    <t>San Juan del Río</t>
  </si>
  <si>
    <t>San Juan Cotzocón</t>
  </si>
  <si>
    <t>San Juan Colorado</t>
  </si>
  <si>
    <t>San Juan Bautista Tuxtepec</t>
  </si>
  <si>
    <t>San José Lachiguiri</t>
  </si>
  <si>
    <t>San Jacinto Tlacotepec</t>
  </si>
  <si>
    <t>San Francisco Ozolotepec</t>
  </si>
  <si>
    <t>San Dionisio Ocotepec</t>
  </si>
  <si>
    <t>San Antonio Nanahuatípam</t>
  </si>
  <si>
    <t>San Antonino Monte Verde</t>
  </si>
  <si>
    <t>San Antonino el Alto</t>
  </si>
  <si>
    <t>San Andrés Huayápam</t>
  </si>
  <si>
    <t>San Agustín Yatareni</t>
  </si>
  <si>
    <t>San Agustín Chayuco</t>
  </si>
  <si>
    <t>San Agustín Amatengo</t>
  </si>
  <si>
    <t>Putla Villa de Guerrero</t>
  </si>
  <si>
    <t>Ocotlán de Morelos</t>
  </si>
  <si>
    <t>Oaxaca de Juárez</t>
  </si>
  <si>
    <t>Nazareno Etla</t>
  </si>
  <si>
    <t>Miahuatlán de Porfirio Díaz</t>
  </si>
  <si>
    <t>Magdalena Teitipac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</si>
  <si>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</si>
  <si>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</si>
  <si>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</si>
  <si>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</si>
  <si>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</si>
  <si>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Coicoyán de las Flores</t>
  </si>
  <si>
    <t>Coatecas Altas</t>
  </si>
  <si>
    <t>Ciénega de Zimatlán</t>
  </si>
  <si>
    <t>Calihualá</t>
  </si>
  <si>
    <t>Asunción Ocotlán</t>
  </si>
  <si>
    <t>Asunción Cacalotepec</t>
  </si>
  <si>
    <t>Acatlán de Pérez Figueroa</t>
  </si>
  <si>
    <t>Monterrey</t>
  </si>
  <si>
    <t>Linares</t>
  </si>
  <si>
    <t>Hualahuises</t>
  </si>
  <si>
    <t>Zacualpan de Amilpas</t>
  </si>
  <si>
    <t>Zacatepec</t>
  </si>
  <si>
    <t>Yecapixtla</t>
  </si>
  <si>
    <t>Yautepec</t>
  </si>
  <si>
    <t>Tlayacapan</t>
  </si>
  <si>
    <t>Tetela del Volcán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</si>
  <si>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</si>
  <si>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</si>
  <si>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</si>
  <si>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</si>
  <si>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</si>
  <si>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</si>
  <si>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</si>
  <si>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Jonacatepec de Leandro Valle</t>
  </si>
  <si>
    <t>Jojutla</t>
  </si>
  <si>
    <t>Jantetelco</t>
  </si>
  <si>
    <t>Cuernavaca</t>
  </si>
  <si>
    <t>Cuautla</t>
  </si>
  <si>
    <t>Ayala</t>
  </si>
  <si>
    <t>Amacuzac</t>
  </si>
  <si>
    <t>Zitácuaro</t>
  </si>
  <si>
    <t>Zináparo</t>
  </si>
  <si>
    <t>Zamora</t>
  </si>
  <si>
    <t>Turicato</t>
  </si>
  <si>
    <t>Tocumbo</t>
  </si>
  <si>
    <t>Tiquicheo de Nicolás Romero</t>
  </si>
  <si>
    <t>Tingambato</t>
  </si>
  <si>
    <t>Tangamandapio</t>
  </si>
  <si>
    <t>Tacámbaro</t>
  </si>
  <si>
    <t>San Lucas</t>
  </si>
  <si>
    <t>Sahuayo</t>
  </si>
  <si>
    <t>Puruándiro</t>
  </si>
  <si>
    <t>Pátzcuaro</t>
  </si>
  <si>
    <t>Panindícuaro</t>
  </si>
  <si>
    <t>Nocupétaro</t>
  </si>
  <si>
    <t>Múgica</t>
  </si>
  <si>
    <t>Morelia</t>
  </si>
  <si>
    <t>Marcos Castellanos</t>
  </si>
  <si>
    <t>Maravatío</t>
  </si>
  <si>
    <t>Los Reyes</t>
  </si>
  <si>
    <t>Lagunillas</t>
  </si>
  <si>
    <t>La Huacana</t>
  </si>
  <si>
    <t>Jungapeo</t>
  </si>
  <si>
    <t>Jiquilpan</t>
  </si>
  <si>
    <t>Jacona</t>
  </si>
  <si>
    <t>Cotija</t>
  </si>
  <si>
    <t>Coeneo</t>
  </si>
  <si>
    <t>Charo</t>
  </si>
  <si>
    <t>Carácuaro</t>
  </si>
  <si>
    <t>Buenavista</t>
  </si>
  <si>
    <t>Aporo</t>
  </si>
  <si>
    <t>Apatzingán</t>
  </si>
  <si>
    <t>Acuitzio</t>
  </si>
  <si>
    <t>Zapotiltic</t>
  </si>
  <si>
    <t>Valle de Juárez</t>
  </si>
  <si>
    <t>Unión de Tula</t>
  </si>
  <si>
    <t>Unión de San Antonio</t>
  </si>
  <si>
    <t>Tizapán el Alto</t>
  </si>
  <si>
    <t>Tecolotlán</t>
  </si>
  <si>
    <t>Tecalitlán</t>
  </si>
  <si>
    <t>Tamazula de Gordiano</t>
  </si>
  <si>
    <t>Talpa de Allende</t>
  </si>
  <si>
    <t>Tala</t>
  </si>
  <si>
    <t>San Juanito de Escobedo</t>
  </si>
  <si>
    <t>San Juan de los Lagos</t>
  </si>
  <si>
    <t>Quitupan</t>
  </si>
  <si>
    <t>Poncitlán</t>
  </si>
  <si>
    <t>Mazamitla</t>
  </si>
  <si>
    <t>Magdalena</t>
  </si>
  <si>
    <t>La Barca</t>
  </si>
  <si>
    <t>Guadalajara</t>
  </si>
  <si>
    <t>Etzatlán</t>
  </si>
  <si>
    <t>Encarnación de Díaz</t>
  </si>
  <si>
    <t>El Grullo</t>
  </si>
  <si>
    <t>Cuquío</t>
  </si>
  <si>
    <t>Autlán de Navarro</t>
  </si>
  <si>
    <t>Atotonilco el Alto</t>
  </si>
  <si>
    <t>Atengo</t>
  </si>
  <si>
    <t>Ahualulco de Mercado</t>
  </si>
  <si>
    <t>Zacualtipán de Ángeles</t>
  </si>
  <si>
    <t>Xochicoatlán</t>
  </si>
  <si>
    <t>Xochiatipan</t>
  </si>
  <si>
    <t>Tulancingo de Bravo</t>
  </si>
  <si>
    <t>Tula de Allende</t>
  </si>
  <si>
    <t>Tlaxcoapan</t>
  </si>
  <si>
    <t>Tlahuiltepa</t>
  </si>
  <si>
    <t>Tepeji del Río de Ocampo</t>
  </si>
  <si>
    <t>Tepeapulco</t>
  </si>
  <si>
    <t>Tecozautla</t>
  </si>
  <si>
    <t>Tasquillo</t>
  </si>
  <si>
    <t>Singuilucan</t>
  </si>
  <si>
    <t>Santiago de Anaya</t>
  </si>
  <si>
    <t>San Salvador</t>
  </si>
  <si>
    <t>Pisaflores</t>
  </si>
  <si>
    <t>Pachuca de Soto</t>
  </si>
  <si>
    <t>Nopala de Villagrán</t>
  </si>
  <si>
    <t>Nicolás Flores</t>
  </si>
  <si>
    <t>Molango de Escamilla</t>
  </si>
  <si>
    <t>Mixquiahuala de Juárez</t>
  </si>
  <si>
    <t>Metztitlán</t>
  </si>
  <si>
    <t>Metepec</t>
  </si>
  <si>
    <t>Lolotla</t>
  </si>
  <si>
    <t>Jacala de Ledezma</t>
  </si>
  <si>
    <t>Ixmiquilpan</t>
  </si>
  <si>
    <t>Huehuetla</t>
  </si>
  <si>
    <t>Huasca de Ocampo</t>
  </si>
  <si>
    <t>Francisco I. Madero</t>
  </si>
  <si>
    <t>Cuautepec de Hinojosa</t>
  </si>
  <si>
    <t>Chilcuautla</t>
  </si>
  <si>
    <t>Chapulhuacán</t>
  </si>
  <si>
    <t>Calnali</t>
  </si>
  <si>
    <t>Apan</t>
  </si>
  <si>
    <t>Alfajayucan</t>
  </si>
  <si>
    <t>Acaxochitlán</t>
  </si>
  <si>
    <t>Zapotitlán Tablas</t>
  </si>
  <si>
    <t>Xochistlahuaca</t>
  </si>
  <si>
    <t>Xochihuehuetlán</t>
  </si>
  <si>
    <t>Xalpatláhuac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</si>
  <si>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</si>
  <si>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</si>
  <si>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</si>
  <si>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</si>
  <si>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</si>
  <si>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</si>
  <si>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</si>
  <si>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</si>
  <si>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</si>
  <si>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</si>
  <si>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</si>
  <si>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</si>
  <si>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</si>
  <si>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</si>
  <si>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</si>
  <si>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Pilcaya</t>
  </si>
  <si>
    <t>Petatlán</t>
  </si>
  <si>
    <t>Ometepec</t>
  </si>
  <si>
    <t>Olinalá</t>
  </si>
  <si>
    <t>Metlatónoc</t>
  </si>
  <si>
    <t>Juan R. Escudero</t>
  </si>
  <si>
    <t>Zihuatanejo de Azueta</t>
  </si>
  <si>
    <t>Igualapa</t>
  </si>
  <si>
    <t>Iguala de la Independencia</t>
  </si>
  <si>
    <t>Huamuxtitlán</t>
  </si>
  <si>
    <t>General Heliodoro Castillo</t>
  </si>
  <si>
    <t>Cutzamala de Pinzón</t>
  </si>
  <si>
    <t>Cuetzala del Progreso</t>
  </si>
  <si>
    <t>Cualác</t>
  </si>
  <si>
    <t>Cuajinicuilapa</t>
  </si>
  <si>
    <t>Coyuca de Catalán</t>
  </si>
  <si>
    <t>Coyuca de Benítez</t>
  </si>
  <si>
    <t>Copanatoyac</t>
  </si>
  <si>
    <t>Copala</t>
  </si>
  <si>
    <t>Chilapa de Álvarez</t>
  </si>
  <si>
    <t>Ayutla de los Libres</t>
  </si>
  <si>
    <t>Atoyac de Álvarez</t>
  </si>
  <si>
    <t>Atlixtac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</si>
  <si>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</si>
  <si>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</si>
  <si>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</si>
  <si>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</si>
  <si>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</si>
  <si>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</si>
  <si>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</si>
  <si>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Villagrán</t>
  </si>
  <si>
    <t>Valle de Santiago</t>
  </si>
  <si>
    <t>Tarimoro</t>
  </si>
  <si>
    <t>Santa Cruz de Juventino Rosas</t>
  </si>
  <si>
    <t>San Luis de la Paz</t>
  </si>
  <si>
    <t>San Felipe</t>
  </si>
  <si>
    <t>San Diego de la Unión</t>
  </si>
  <si>
    <t>Salvatierra</t>
  </si>
  <si>
    <t>Salamanca</t>
  </si>
  <si>
    <t>Pénjamo</t>
  </si>
  <si>
    <t>Moroleón</t>
  </si>
  <si>
    <t>León</t>
  </si>
  <si>
    <t>Jerécuaro</t>
  </si>
  <si>
    <t>Irapuato</t>
  </si>
  <si>
    <t>Dolores Hidalgo Cuna de la Independencia Nacional</t>
  </si>
  <si>
    <t>Cuerámaro</t>
  </si>
  <si>
    <t>Comonfort</t>
  </si>
  <si>
    <t>Apaseo el Grande</t>
  </si>
  <si>
    <t>Apaseo el Alto</t>
  </si>
  <si>
    <t>Acámbaro</t>
  </si>
  <si>
    <t>Abasolo</t>
  </si>
  <si>
    <t>Villa Victoria</t>
  </si>
  <si>
    <t>Villa Guerrero</t>
  </si>
  <si>
    <t>Tultitlán</t>
  </si>
  <si>
    <t>Toluca</t>
  </si>
  <si>
    <t>Tlatlaya</t>
  </si>
  <si>
    <t>Tlalnepantla de Baz</t>
  </si>
  <si>
    <t>Tlalmanalco</t>
  </si>
  <si>
    <t>Texcoco</t>
  </si>
  <si>
    <t>Tequixquiac</t>
  </si>
  <si>
    <t>Tepetlixpa</t>
  </si>
  <si>
    <t>Temascaltepec</t>
  </si>
  <si>
    <t>Temascalcingo</t>
  </si>
  <si>
    <t>Temascalapa</t>
  </si>
  <si>
    <t>Tejupilco</t>
  </si>
  <si>
    <t>Tecámac</t>
  </si>
  <si>
    <t>San Mateo Atenco</t>
  </si>
  <si>
    <t>San Felipe del Progreso</t>
  </si>
  <si>
    <t>Otumba</t>
  </si>
  <si>
    <t>Ocuilan</t>
  </si>
  <si>
    <t>Nezahualcóyotl</t>
  </si>
  <si>
    <t>Naucalpan de Juárez</t>
  </si>
  <si>
    <t>Malinalco</t>
  </si>
  <si>
    <t>Lerma</t>
  </si>
  <si>
    <t>La Paz</t>
  </si>
  <si>
    <t>Jiquipilco</t>
  </si>
  <si>
    <t>Jilotepec</t>
  </si>
  <si>
    <t>Ixtlahuaca</t>
  </si>
  <si>
    <t>Ixtapaluca</t>
  </si>
  <si>
    <t>Huixquilucan</t>
  </si>
  <si>
    <t>Ecatepec de Morelos</t>
  </si>
  <si>
    <t>Cuautitlán</t>
  </si>
  <si>
    <t>Coatepec Harinas</t>
  </si>
  <si>
    <t>Chimalhuacán</t>
  </si>
  <si>
    <t>Chiconcuac</t>
  </si>
  <si>
    <t>Chicoloapan</t>
  </si>
  <si>
    <t>Chapa de Mota</t>
  </si>
  <si>
    <t>Chalco</t>
  </si>
  <si>
    <t>Atlacomulco</t>
  </si>
  <si>
    <t>Atizapán de Zaragoza</t>
  </si>
  <si>
    <t>Amatepec</t>
  </si>
  <si>
    <t>Almoloya de Juárez</t>
  </si>
  <si>
    <t>Acambay de Ruíz Castañeda</t>
  </si>
  <si>
    <t>Tlahualilo</t>
  </si>
  <si>
    <t>Cuencamé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</si>
  <si>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</si>
  <si>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</si>
  <si>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</si>
  <si>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</si>
  <si>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</si>
  <si>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</si>
  <si>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</si>
  <si>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</si>
  <si>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</si>
  <si>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</si>
  <si>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</si>
  <si>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</si>
  <si>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</si>
  <si>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</si>
  <si>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</si>
  <si>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</si>
  <si>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</si>
  <si>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Torreón</t>
  </si>
  <si>
    <t>San Pedro</t>
  </si>
  <si>
    <t>Piedras Negras</t>
  </si>
  <si>
    <t>Allende</t>
  </si>
  <si>
    <t>Villa Comaltitlán</t>
  </si>
  <si>
    <t>Tuzantán</t>
  </si>
  <si>
    <t>Tuxtla Gutiérrez</t>
  </si>
  <si>
    <t>Tuxtla Chico</t>
  </si>
  <si>
    <t>Tila</t>
  </si>
  <si>
    <t>Tecpatán</t>
  </si>
  <si>
    <t>Tapachula</t>
  </si>
  <si>
    <t>Soyaló</t>
  </si>
  <si>
    <t>Siltepec</t>
  </si>
  <si>
    <t>San Fernando</t>
  </si>
  <si>
    <t>Salto de Agua</t>
  </si>
  <si>
    <t>Sabanilla</t>
  </si>
  <si>
    <t>Pijijiapan</t>
  </si>
  <si>
    <t>Ocosingo</t>
  </si>
  <si>
    <t>Motozintla</t>
  </si>
  <si>
    <t>Mazatán</t>
  </si>
  <si>
    <t>Mazapa de Madero</t>
  </si>
  <si>
    <t>Mapastepec</t>
  </si>
  <si>
    <t>La Trinitaria</t>
  </si>
  <si>
    <t>La Independencia</t>
  </si>
  <si>
    <t>La Grandeza</t>
  </si>
  <si>
    <t>La Concordia</t>
  </si>
  <si>
    <t>Jiquipilas</t>
  </si>
  <si>
    <t>Huixtla</t>
  </si>
  <si>
    <t>Huehuetán</t>
  </si>
  <si>
    <t>Frontera Comalapa</t>
  </si>
  <si>
    <t>Escuintla</t>
  </si>
  <si>
    <t>El Porvenir</t>
  </si>
  <si>
    <t>Comitán de Domínguez</t>
  </si>
  <si>
    <t>Cintalapa</t>
  </si>
  <si>
    <t>Chilón</t>
  </si>
  <si>
    <t>Chiapilla</t>
  </si>
  <si>
    <t>Chiapa de Corzo</t>
  </si>
  <si>
    <t>Chamula</t>
  </si>
  <si>
    <t>Cacahoatán</t>
  </si>
  <si>
    <t>Arriaga</t>
  </si>
  <si>
    <t>Angel Albino Corzo</t>
  </si>
  <si>
    <t>Amatenango de la Frontera</t>
  </si>
  <si>
    <t>Aldama</t>
  </si>
  <si>
    <t>Acapetahua</t>
  </si>
  <si>
    <t>Acacoyagua</t>
  </si>
  <si>
    <t>Champotón</t>
  </si>
  <si>
    <t>Carmen</t>
  </si>
  <si>
    <t>Tijuana</t>
  </si>
  <si>
    <t>Mexicali</t>
  </si>
  <si>
    <t>Ensenada</t>
  </si>
  <si>
    <t>San Francisco de los Romo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</si>
  <si>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</si>
  <si>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</si>
  <si>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</si>
  <si>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</si>
  <si>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</si>
  <si>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</si>
  <si>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</si>
  <si>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</si>
  <si>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</si>
  <si>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</si>
  <si>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</si>
  <si>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</si>
  <si>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</si>
  <si>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</si>
  <si>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</si>
  <si>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</si>
  <si>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</si>
  <si>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</si>
  <si>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</si>
  <si>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</si>
  <si>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</si>
  <si>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</si>
  <si>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</si>
  <si>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</si>
  <si>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</si>
  <si>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</si>
  <si>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CONNECTICUT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</si>
  <si>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</si>
  <si>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</si>
  <si>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</si>
  <si>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</si>
  <si>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CONNECTICUT,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</si>
  <si>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</si>
  <si>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</si>
  <si>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</si>
  <si>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</si>
  <si>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</si>
  <si>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</si>
  <si>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</si>
  <si>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</si>
  <si>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</si>
  <si>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Más de 75 Años</t>
  </si>
  <si>
    <t>Edad cumplida</t>
  </si>
  <si>
    <t>Panadero(a)</t>
  </si>
  <si>
    <t>Operario(a)</t>
  </si>
  <si>
    <t>Chofer</t>
  </si>
  <si>
    <t>Cajero(a)</t>
  </si>
  <si>
    <t>Profesionista</t>
  </si>
  <si>
    <t>Comerciante</t>
  </si>
  <si>
    <t>Otro</t>
  </si>
  <si>
    <t>Mesero(a)</t>
  </si>
  <si>
    <t>Albañil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</si>
  <si>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</si>
  <si>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</si>
  <si>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</si>
  <si>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</si>
  <si>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</si>
  <si>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</si>
  <si>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</si>
  <si>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</si>
  <si>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</si>
  <si>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CONNECTICUT, POR PERFIL OCUPACIONAL 2019</t>
  </si>
  <si>
    <t>Menores De Edad</t>
  </si>
  <si>
    <t>Profesional titulado</t>
  </si>
  <si>
    <t>Capacitación técnica</t>
  </si>
  <si>
    <t>Gómez Palacio</t>
  </si>
  <si>
    <t>Lerdo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</si>
</sst>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4" fontId="10" fillId="5" borderId="9" xfId="0" applyNumberFormat="1" applyFont="1" applyFill="1" applyBorder="1" applyAlignment="1">
      <alignment horizontal="right" vertical="center" wrapText="1"/>
    </xf>
    <xf numFmtId="3" fontId="10" fillId="5" borderId="9" xfId="0" applyNumberFormat="1" applyFont="1" applyFill="1" applyBorder="1" applyAlignment="1">
      <alignment horizontal="right" vertical="center" wrapText="1"/>
    </xf>
    <xf numFmtId="165" fontId="10" fillId="6" borderId="9" xfId="1" applyNumberFormat="1" applyFont="1" applyFill="1" applyBorder="1" applyAlignment="1">
      <alignment vertical="center" wrapText="1"/>
    </xf>
    <xf numFmtId="3" fontId="10" fillId="6" borderId="9" xfId="3" applyNumberFormat="1" applyFont="1" applyFill="1" applyBorder="1" applyAlignment="1">
      <alignment horizontal="right" vertical="center" wrapText="1"/>
    </xf>
    <xf numFmtId="49" fontId="10" fillId="6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5" borderId="13" xfId="0" applyNumberFormat="1" applyFont="1" applyFill="1" applyBorder="1" applyAlignment="1">
      <alignment horizontal="center" vertical="center" wrapText="1"/>
    </xf>
    <xf numFmtId="49" fontId="10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CONNECTICUT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7037" y="190073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CONNECTICUT,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124810</xdr:rowOff>
    </xdr:from>
    <xdr:to>
      <xdr:col>4</xdr:col>
      <xdr:colOff>1070459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92862" y="1458310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CONNECTICUT,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124810</xdr:rowOff>
    </xdr:from>
    <xdr:to>
      <xdr:col>4</xdr:col>
      <xdr:colOff>1057321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CONNECTICUT,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91966</xdr:rowOff>
    </xdr:from>
    <xdr:to>
      <xdr:col>4</xdr:col>
      <xdr:colOff>1050752</xdr:colOff>
      <xdr:row>7</xdr:row>
      <xdr:rowOff>282467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3274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J21" sqref="J21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12</v>
      </c>
      <c r="B1" s="69"/>
      <c r="C1" s="69"/>
      <c r="D1" s="70"/>
    </row>
    <row r="2" spans="1:4" ht="18" x14ac:dyDescent="0.4">
      <c r="A2" s="2"/>
      <c r="B2" s="3"/>
      <c r="C2" s="3"/>
      <c r="D2" s="4"/>
    </row>
    <row r="3" spans="1:4" x14ac:dyDescent="0.4">
      <c r="A3" s="71" t="s">
        <v>0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"/>
      <c r="B5" s="6"/>
      <c r="C5" s="6"/>
      <c r="D5" s="7"/>
    </row>
    <row r="6" spans="1:4" ht="18" x14ac:dyDescent="0.4">
      <c r="A6" s="67" t="s">
        <v>1</v>
      </c>
      <c r="B6" s="65"/>
      <c r="C6" s="65"/>
      <c r="D6" s="66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5" t="s">
        <v>3</v>
      </c>
      <c r="C9" s="65"/>
      <c r="D9" s="66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5" t="s">
        <v>5</v>
      </c>
      <c r="C11" s="65"/>
      <c r="D11" s="66"/>
    </row>
    <row r="12" spans="1:4" ht="18" x14ac:dyDescent="0.4">
      <c r="A12" s="11"/>
      <c r="B12" s="65" t="s">
        <v>6</v>
      </c>
      <c r="C12" s="65"/>
      <c r="D12" s="66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5" t="s">
        <v>8</v>
      </c>
      <c r="C15" s="65"/>
      <c r="D15" s="66"/>
    </row>
    <row r="16" spans="1:4" ht="18" x14ac:dyDescent="0.4">
      <c r="A16" s="11"/>
      <c r="B16" s="65" t="s">
        <v>9</v>
      </c>
      <c r="C16" s="65"/>
      <c r="D16" s="66"/>
    </row>
    <row r="17" spans="1:4" ht="18" x14ac:dyDescent="0.4">
      <c r="A17" s="11"/>
      <c r="B17" s="12"/>
      <c r="C17" s="12"/>
      <c r="D17" s="13"/>
    </row>
    <row r="18" spans="1:4" ht="18" x14ac:dyDescent="0.4">
      <c r="A18" s="67" t="s">
        <v>10</v>
      </c>
      <c r="B18" s="65"/>
      <c r="C18" s="65"/>
      <c r="D18" s="66"/>
    </row>
    <row r="19" spans="1:4" ht="18" x14ac:dyDescent="0.4">
      <c r="A19" s="11"/>
      <c r="B19" s="12"/>
      <c r="C19" s="12"/>
      <c r="D19" s="13"/>
    </row>
    <row r="20" spans="1:4" ht="18" x14ac:dyDescent="0.4">
      <c r="A20" s="67" t="s">
        <v>11</v>
      </c>
      <c r="B20" s="65"/>
      <c r="C20" s="65"/>
      <c r="D20" s="66"/>
    </row>
    <row r="21" spans="1:4" ht="18.600000000000001" thickBot="1" x14ac:dyDescent="0.45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nnecticut_Edomexgral!A1" display="1. Por Estados de la República Mexicana"/>
    <hyperlink ref="B9" location="Alabama_EDOMEX!Área_de_impresión" display="2.1 Por estado de la República Mexicana y municipio de origen"/>
    <hyperlink ref="B11:D11" location="Connecticut_Educagral!A1" display="3.1 Educación general"/>
    <hyperlink ref="B12:D12" location="Connecticut_Eduedo!A1" display="3.2 Por Estado de la República Mexicana"/>
    <hyperlink ref="B15:D15" location="Connecticut_gengral!A1" display="4.1 Género General"/>
    <hyperlink ref="B16:D16" location="Connecticut_edomexgen!A1" display="4.2 Por Estados de la República Mexicana"/>
    <hyperlink ref="A18:D18" location="Connecticut_edadgen!A1" display="5. Por estructura de Edad"/>
    <hyperlink ref="A20:D20" location="Connecticut_ocupgral!A1" display="6. Por Ocupación"/>
    <hyperlink ref="B9:D9" location="Connecticu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6"/>
  <sheetViews>
    <sheetView showGridLines="0" topLeftCell="A22" zoomScaleNormal="100" zoomScaleSheetLayoutView="115" workbookViewId="0">
      <selection activeCell="A40" sqref="A40:XFD43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50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49</v>
      </c>
      <c r="C11" s="31" t="s">
        <v>48</v>
      </c>
      <c r="D11" s="30" t="s">
        <v>47</v>
      </c>
    </row>
    <row r="12" spans="2:4" ht="15" customHeight="1" x14ac:dyDescent="0.3">
      <c r="B12" s="27" t="s">
        <v>46</v>
      </c>
      <c r="C12" s="26">
        <v>974</v>
      </c>
      <c r="D12" s="25">
        <v>0.33539944903581265</v>
      </c>
    </row>
    <row r="13" spans="2:4" x14ac:dyDescent="0.3">
      <c r="B13" s="27" t="s">
        <v>45</v>
      </c>
      <c r="C13" s="26">
        <v>327</v>
      </c>
      <c r="D13" s="25">
        <v>0.11260330578512397</v>
      </c>
    </row>
    <row r="14" spans="2:4" s="28" customFormat="1" ht="15" x14ac:dyDescent="0.3">
      <c r="B14" s="27" t="s">
        <v>44</v>
      </c>
      <c r="C14" s="26">
        <v>255</v>
      </c>
      <c r="D14" s="25">
        <v>8.78099173553719E-2</v>
      </c>
    </row>
    <row r="15" spans="2:4" s="28" customFormat="1" ht="15" x14ac:dyDescent="0.3">
      <c r="B15" s="27" t="s">
        <v>43</v>
      </c>
      <c r="C15" s="26">
        <v>225</v>
      </c>
      <c r="D15" s="25">
        <v>7.7479338842975212E-2</v>
      </c>
    </row>
    <row r="16" spans="2:4" x14ac:dyDescent="0.3">
      <c r="B16" s="27" t="s">
        <v>42</v>
      </c>
      <c r="C16" s="26">
        <v>196</v>
      </c>
      <c r="D16" s="25">
        <v>6.7493112947658404E-2</v>
      </c>
    </row>
    <row r="17" spans="2:4" x14ac:dyDescent="0.3">
      <c r="B17" s="27" t="s">
        <v>41</v>
      </c>
      <c r="C17" s="26">
        <v>150</v>
      </c>
      <c r="D17" s="25">
        <v>5.1652892561983473E-2</v>
      </c>
    </row>
    <row r="18" spans="2:4" x14ac:dyDescent="0.3">
      <c r="B18" s="27" t="s">
        <v>40</v>
      </c>
      <c r="C18" s="26">
        <v>137</v>
      </c>
      <c r="D18" s="25">
        <v>4.7176308539944901E-2</v>
      </c>
    </row>
    <row r="19" spans="2:4" x14ac:dyDescent="0.3">
      <c r="B19" s="27" t="s">
        <v>39</v>
      </c>
      <c r="C19" s="26">
        <v>125</v>
      </c>
      <c r="D19" s="25">
        <v>4.3044077134986224E-2</v>
      </c>
    </row>
    <row r="20" spans="2:4" x14ac:dyDescent="0.3">
      <c r="B20" s="27" t="s">
        <v>38</v>
      </c>
      <c r="C20" s="26">
        <v>123</v>
      </c>
      <c r="D20" s="25">
        <v>4.2355371900826444E-2</v>
      </c>
    </row>
    <row r="21" spans="2:4" x14ac:dyDescent="0.3">
      <c r="B21" s="27" t="s">
        <v>37</v>
      </c>
      <c r="C21" s="26">
        <v>91</v>
      </c>
      <c r="D21" s="25">
        <v>3.133608815426997E-2</v>
      </c>
    </row>
    <row r="22" spans="2:4" x14ac:dyDescent="0.3">
      <c r="B22" s="27" t="s">
        <v>36</v>
      </c>
      <c r="C22" s="26">
        <v>61</v>
      </c>
      <c r="D22" s="25">
        <v>2.1005509641873279E-2</v>
      </c>
    </row>
    <row r="23" spans="2:4" x14ac:dyDescent="0.3">
      <c r="B23" s="27" t="s">
        <v>35</v>
      </c>
      <c r="C23" s="26">
        <v>59</v>
      </c>
      <c r="D23" s="25">
        <v>2.0316804407713499E-2</v>
      </c>
    </row>
    <row r="24" spans="2:4" x14ac:dyDescent="0.3">
      <c r="B24" s="27" t="s">
        <v>34</v>
      </c>
      <c r="C24" s="26">
        <v>57</v>
      </c>
      <c r="D24" s="25">
        <v>1.962809917355372E-2</v>
      </c>
    </row>
    <row r="25" spans="2:4" x14ac:dyDescent="0.3">
      <c r="B25" s="27" t="s">
        <v>33</v>
      </c>
      <c r="C25" s="26">
        <v>21</v>
      </c>
      <c r="D25" s="25">
        <v>7.2314049586776862E-3</v>
      </c>
    </row>
    <row r="26" spans="2:4" x14ac:dyDescent="0.3">
      <c r="B26" s="27" t="s">
        <v>32</v>
      </c>
      <c r="C26" s="26">
        <v>15</v>
      </c>
      <c r="D26" s="25">
        <v>5.1652892561983473E-3</v>
      </c>
    </row>
    <row r="27" spans="2:4" x14ac:dyDescent="0.3">
      <c r="B27" s="27" t="s">
        <v>31</v>
      </c>
      <c r="C27" s="26">
        <v>15</v>
      </c>
      <c r="D27" s="25">
        <v>5.1652892561983473E-3</v>
      </c>
    </row>
    <row r="28" spans="2:4" x14ac:dyDescent="0.3">
      <c r="B28" s="27" t="s">
        <v>30</v>
      </c>
      <c r="C28" s="26">
        <v>12</v>
      </c>
      <c r="D28" s="25">
        <v>4.1322314049586778E-3</v>
      </c>
    </row>
    <row r="29" spans="2:4" x14ac:dyDescent="0.3">
      <c r="B29" s="27" t="s">
        <v>29</v>
      </c>
      <c r="C29" s="26">
        <v>11</v>
      </c>
      <c r="D29" s="25">
        <v>3.787878787878788E-3</v>
      </c>
    </row>
    <row r="30" spans="2:4" x14ac:dyDescent="0.3">
      <c r="B30" s="27" t="s">
        <v>28</v>
      </c>
      <c r="C30" s="26">
        <v>10</v>
      </c>
      <c r="D30" s="25">
        <v>3.4435261707988982E-3</v>
      </c>
    </row>
    <row r="31" spans="2:4" x14ac:dyDescent="0.3">
      <c r="B31" s="27" t="s">
        <v>27</v>
      </c>
      <c r="C31" s="26">
        <v>7</v>
      </c>
      <c r="D31" s="25">
        <v>2.4104683195592287E-3</v>
      </c>
    </row>
    <row r="32" spans="2:4" x14ac:dyDescent="0.3">
      <c r="B32" s="27" t="s">
        <v>26</v>
      </c>
      <c r="C32" s="26">
        <v>6</v>
      </c>
      <c r="D32" s="25">
        <v>2.0661157024793389E-3</v>
      </c>
    </row>
    <row r="33" spans="2:4" x14ac:dyDescent="0.3">
      <c r="B33" s="27" t="s">
        <v>25</v>
      </c>
      <c r="C33" s="26">
        <v>6</v>
      </c>
      <c r="D33" s="25">
        <v>2.0661157024793389E-3</v>
      </c>
    </row>
    <row r="34" spans="2:4" x14ac:dyDescent="0.3">
      <c r="B34" s="27" t="s">
        <v>24</v>
      </c>
      <c r="C34" s="26">
        <v>5</v>
      </c>
      <c r="D34" s="25">
        <v>1.7217630853994491E-3</v>
      </c>
    </row>
    <row r="35" spans="2:4" x14ac:dyDescent="0.3">
      <c r="B35" s="27" t="s">
        <v>23</v>
      </c>
      <c r="C35" s="26">
        <v>5</v>
      </c>
      <c r="D35" s="25">
        <v>1.7217630853994491E-3</v>
      </c>
    </row>
    <row r="36" spans="2:4" x14ac:dyDescent="0.3">
      <c r="B36" s="27" t="s">
        <v>22</v>
      </c>
      <c r="C36" s="26">
        <v>5</v>
      </c>
      <c r="D36" s="25">
        <v>1.7217630853994491E-3</v>
      </c>
    </row>
    <row r="37" spans="2:4" x14ac:dyDescent="0.3">
      <c r="B37" s="27" t="s">
        <v>21</v>
      </c>
      <c r="C37" s="26">
        <v>3</v>
      </c>
      <c r="D37" s="25">
        <v>1.0330578512396695E-3</v>
      </c>
    </row>
    <row r="38" spans="2:4" x14ac:dyDescent="0.3">
      <c r="B38" s="27" t="s">
        <v>20</v>
      </c>
      <c r="C38" s="26">
        <v>2</v>
      </c>
      <c r="D38" s="25">
        <v>6.8870523415977963E-4</v>
      </c>
    </row>
    <row r="39" spans="2:4" x14ac:dyDescent="0.3">
      <c r="B39" s="27" t="s">
        <v>19</v>
      </c>
      <c r="C39" s="26">
        <v>1</v>
      </c>
      <c r="D39" s="25">
        <v>3.4435261707988982E-4</v>
      </c>
    </row>
    <row r="40" spans="2:4" x14ac:dyDescent="0.3">
      <c r="B40" s="24" t="s">
        <v>18</v>
      </c>
      <c r="C40" s="23">
        <v>2904</v>
      </c>
      <c r="D40" s="22">
        <v>1</v>
      </c>
    </row>
    <row r="42" spans="2:4" x14ac:dyDescent="0.3">
      <c r="B42" s="19" t="s">
        <v>17</v>
      </c>
    </row>
    <row r="43" spans="2:4" x14ac:dyDescent="0.3">
      <c r="B43" s="21" t="s">
        <v>16</v>
      </c>
    </row>
    <row r="44" spans="2:4" x14ac:dyDescent="0.3">
      <c r="B44" s="20" t="s">
        <v>15</v>
      </c>
    </row>
    <row r="45" spans="2:4" x14ac:dyDescent="0.3">
      <c r="B45" s="19" t="s">
        <v>14</v>
      </c>
    </row>
    <row r="46" spans="2:4" x14ac:dyDescent="0.3">
      <c r="B46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23"/>
  <sheetViews>
    <sheetView topLeftCell="A706" zoomScale="96" zoomScaleNormal="96" zoomScaleSheetLayoutView="100" workbookViewId="0">
      <selection activeCell="E721" sqref="E721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80"/>
      <c r="C7" s="80"/>
      <c r="D7" s="80"/>
      <c r="E7" s="80"/>
    </row>
    <row r="8" spans="1:5" s="50" customFormat="1" ht="33" customHeight="1" x14ac:dyDescent="0.25">
      <c r="A8" s="51"/>
      <c r="B8" s="80"/>
      <c r="C8" s="80"/>
      <c r="D8" s="80"/>
      <c r="E8" s="80"/>
    </row>
    <row r="9" spans="1:5" s="29" customFormat="1" ht="40.5" customHeight="1" x14ac:dyDescent="0.2">
      <c r="B9" s="47" t="s">
        <v>49</v>
      </c>
      <c r="C9" s="49" t="s">
        <v>707</v>
      </c>
      <c r="D9" s="48" t="s">
        <v>48</v>
      </c>
      <c r="E9" s="47" t="s">
        <v>47</v>
      </c>
    </row>
    <row r="10" spans="1:5" ht="15" customHeight="1" x14ac:dyDescent="0.3">
      <c r="B10" s="75" t="s">
        <v>29</v>
      </c>
      <c r="C10" s="45" t="s">
        <v>29</v>
      </c>
      <c r="D10" s="44">
        <v>9</v>
      </c>
      <c r="E10" s="43">
        <v>3.0991735537190084E-3</v>
      </c>
    </row>
    <row r="11" spans="1:5" ht="15" customHeight="1" x14ac:dyDescent="0.3">
      <c r="B11" s="76"/>
      <c r="C11" s="45" t="s">
        <v>706</v>
      </c>
      <c r="D11" s="44">
        <v>1</v>
      </c>
      <c r="E11" s="43">
        <v>3.4435261707988982E-4</v>
      </c>
    </row>
    <row r="12" spans="1:5" ht="15" customHeight="1" x14ac:dyDescent="0.3">
      <c r="B12" s="76"/>
      <c r="C12" s="45" t="s">
        <v>705</v>
      </c>
      <c r="D12" s="44">
        <v>1</v>
      </c>
      <c r="E12" s="43">
        <v>3.4435261707988982E-4</v>
      </c>
    </row>
    <row r="13" spans="1:5" ht="15" customHeight="1" x14ac:dyDescent="0.3">
      <c r="B13" s="77"/>
      <c r="C13" s="42" t="s">
        <v>18</v>
      </c>
      <c r="D13" s="41">
        <v>11</v>
      </c>
      <c r="E13" s="40">
        <v>3.787878787878788E-3</v>
      </c>
    </row>
    <row r="14" spans="1:5" ht="15" customHeight="1" x14ac:dyDescent="0.3">
      <c r="B14" s="75" t="s">
        <v>24</v>
      </c>
      <c r="C14" s="45" t="s">
        <v>704</v>
      </c>
      <c r="D14" s="44">
        <v>1</v>
      </c>
      <c r="E14" s="43">
        <v>3.4435261707988982E-4</v>
      </c>
    </row>
    <row r="15" spans="1:5" s="46" customFormat="1" ht="15" customHeight="1" x14ac:dyDescent="0.2">
      <c r="B15" s="76"/>
      <c r="C15" s="45" t="s">
        <v>703</v>
      </c>
      <c r="D15" s="44">
        <v>3</v>
      </c>
      <c r="E15" s="43">
        <v>1.0330578512396695E-3</v>
      </c>
    </row>
    <row r="16" spans="1:5" s="46" customFormat="1" ht="15" customHeight="1" x14ac:dyDescent="0.2">
      <c r="B16" s="76"/>
      <c r="C16" s="45" t="s">
        <v>702</v>
      </c>
      <c r="D16" s="44">
        <v>1</v>
      </c>
      <c r="E16" s="43">
        <v>3.4435261707988982E-4</v>
      </c>
    </row>
    <row r="17" spans="2:5" s="46" customFormat="1" ht="15" customHeight="1" x14ac:dyDescent="0.2">
      <c r="B17" s="77"/>
      <c r="C17" s="42" t="s">
        <v>18</v>
      </c>
      <c r="D17" s="41">
        <v>5</v>
      </c>
      <c r="E17" s="40">
        <v>1.7217630853994491E-3</v>
      </c>
    </row>
    <row r="18" spans="2:5" s="46" customFormat="1" ht="15" customHeight="1" x14ac:dyDescent="0.2">
      <c r="B18" s="75" t="s">
        <v>21</v>
      </c>
      <c r="C18" s="45" t="s">
        <v>21</v>
      </c>
      <c r="D18" s="44">
        <v>1</v>
      </c>
      <c r="E18" s="43">
        <v>3.4435261707988982E-4</v>
      </c>
    </row>
    <row r="19" spans="2:5" s="46" customFormat="1" ht="15" customHeight="1" x14ac:dyDescent="0.2">
      <c r="B19" s="76"/>
      <c r="C19" s="45" t="s">
        <v>701</v>
      </c>
      <c r="D19" s="44">
        <v>1</v>
      </c>
      <c r="E19" s="43">
        <v>3.4435261707988982E-4</v>
      </c>
    </row>
    <row r="20" spans="2:5" ht="15" customHeight="1" x14ac:dyDescent="0.3">
      <c r="B20" s="76"/>
      <c r="C20" s="45" t="s">
        <v>700</v>
      </c>
      <c r="D20" s="44">
        <v>1</v>
      </c>
      <c r="E20" s="43">
        <v>3.4435261707988982E-4</v>
      </c>
    </row>
    <row r="21" spans="2:5" ht="15" customHeight="1" x14ac:dyDescent="0.3">
      <c r="B21" s="77"/>
      <c r="C21" s="42" t="s">
        <v>18</v>
      </c>
      <c r="D21" s="41">
        <v>3</v>
      </c>
      <c r="E21" s="40">
        <v>1.0330578512396695E-3</v>
      </c>
    </row>
    <row r="22" spans="2:5" ht="15" customHeight="1" x14ac:dyDescent="0.3">
      <c r="B22" s="75" t="s">
        <v>38</v>
      </c>
      <c r="C22" s="45" t="s">
        <v>699</v>
      </c>
      <c r="D22" s="44">
        <v>2</v>
      </c>
      <c r="E22" s="43">
        <v>6.8870523415977963E-4</v>
      </c>
    </row>
    <row r="23" spans="2:5" ht="15" customHeight="1" x14ac:dyDescent="0.3">
      <c r="B23" s="76"/>
      <c r="C23" s="45" t="s">
        <v>698</v>
      </c>
      <c r="D23" s="44">
        <v>1</v>
      </c>
      <c r="E23" s="43">
        <v>3.4435261707988982E-4</v>
      </c>
    </row>
    <row r="24" spans="2:5" ht="15" customHeight="1" x14ac:dyDescent="0.3">
      <c r="B24" s="76"/>
      <c r="C24" s="45" t="s">
        <v>697</v>
      </c>
      <c r="D24" s="44">
        <v>1</v>
      </c>
      <c r="E24" s="43">
        <v>3.4435261707988982E-4</v>
      </c>
    </row>
    <row r="25" spans="2:5" ht="15" customHeight="1" x14ac:dyDescent="0.3">
      <c r="B25" s="76"/>
      <c r="C25" s="45" t="s">
        <v>696</v>
      </c>
      <c r="D25" s="44">
        <v>2</v>
      </c>
      <c r="E25" s="43">
        <v>6.8870523415977963E-4</v>
      </c>
    </row>
    <row r="26" spans="2:5" ht="15" customHeight="1" x14ac:dyDescent="0.3">
      <c r="B26" s="76"/>
      <c r="C26" s="45" t="s">
        <v>695</v>
      </c>
      <c r="D26" s="44">
        <v>2</v>
      </c>
      <c r="E26" s="43">
        <v>6.8870523415977963E-4</v>
      </c>
    </row>
    <row r="27" spans="2:5" ht="15" customHeight="1" x14ac:dyDescent="0.3">
      <c r="B27" s="76"/>
      <c r="C27" s="45" t="s">
        <v>694</v>
      </c>
      <c r="D27" s="44">
        <v>2</v>
      </c>
      <c r="E27" s="43">
        <v>6.8870523415977963E-4</v>
      </c>
    </row>
    <row r="28" spans="2:5" ht="15" customHeight="1" x14ac:dyDescent="0.3">
      <c r="B28" s="76"/>
      <c r="C28" s="45" t="s">
        <v>693</v>
      </c>
      <c r="D28" s="44">
        <v>3</v>
      </c>
      <c r="E28" s="43">
        <v>1.0330578512396695E-3</v>
      </c>
    </row>
    <row r="29" spans="2:5" ht="15" customHeight="1" x14ac:dyDescent="0.3">
      <c r="B29" s="76"/>
      <c r="C29" s="45" t="s">
        <v>692</v>
      </c>
      <c r="D29" s="44">
        <v>3</v>
      </c>
      <c r="E29" s="43">
        <v>1.0330578512396695E-3</v>
      </c>
    </row>
    <row r="30" spans="2:5" ht="15" customHeight="1" x14ac:dyDescent="0.3">
      <c r="B30" s="76"/>
      <c r="C30" s="45" t="s">
        <v>691</v>
      </c>
      <c r="D30" s="44">
        <v>1</v>
      </c>
      <c r="E30" s="43">
        <v>3.4435261707988982E-4</v>
      </c>
    </row>
    <row r="31" spans="2:5" ht="15" customHeight="1" x14ac:dyDescent="0.3">
      <c r="B31" s="76"/>
      <c r="C31" s="45" t="s">
        <v>690</v>
      </c>
      <c r="D31" s="44">
        <v>1</v>
      </c>
      <c r="E31" s="43">
        <v>3.4435261707988982E-4</v>
      </c>
    </row>
    <row r="32" spans="2:5" ht="15" customHeight="1" x14ac:dyDescent="0.3">
      <c r="B32" s="76"/>
      <c r="C32" s="45" t="s">
        <v>689</v>
      </c>
      <c r="D32" s="44">
        <v>2</v>
      </c>
      <c r="E32" s="43">
        <v>6.8870523415977963E-4</v>
      </c>
    </row>
    <row r="33" spans="2:5" ht="15" customHeight="1" x14ac:dyDescent="0.3">
      <c r="B33" s="76"/>
      <c r="C33" s="45" t="s">
        <v>688</v>
      </c>
      <c r="D33" s="44">
        <v>1</v>
      </c>
      <c r="E33" s="43">
        <v>3.4435261707988982E-4</v>
      </c>
    </row>
    <row r="34" spans="2:5" ht="15" customHeight="1" x14ac:dyDescent="0.3">
      <c r="B34" s="76"/>
      <c r="C34" s="45" t="s">
        <v>687</v>
      </c>
      <c r="D34" s="44">
        <v>1</v>
      </c>
      <c r="E34" s="43">
        <v>3.4435261707988982E-4</v>
      </c>
    </row>
    <row r="35" spans="2:5" ht="15" customHeight="1" x14ac:dyDescent="0.3">
      <c r="B35" s="76"/>
      <c r="C35" s="45" t="s">
        <v>686</v>
      </c>
      <c r="D35" s="44">
        <v>3</v>
      </c>
      <c r="E35" s="43">
        <v>1.0330578512396695E-3</v>
      </c>
    </row>
    <row r="36" spans="2:5" ht="15" customHeight="1" x14ac:dyDescent="0.3">
      <c r="B36" s="76"/>
      <c r="C36" s="45" t="s">
        <v>685</v>
      </c>
      <c r="D36" s="44">
        <v>3</v>
      </c>
      <c r="E36" s="43">
        <v>1.0330578512396695E-3</v>
      </c>
    </row>
    <row r="37" spans="2:5" ht="15" customHeight="1" x14ac:dyDescent="0.3">
      <c r="B37" s="76"/>
      <c r="C37" s="45" t="s">
        <v>684</v>
      </c>
      <c r="D37" s="44">
        <v>1</v>
      </c>
      <c r="E37" s="43">
        <v>3.4435261707988982E-4</v>
      </c>
    </row>
    <row r="38" spans="2:5" ht="15" customHeight="1" x14ac:dyDescent="0.3">
      <c r="B38" s="76"/>
      <c r="C38" s="45" t="s">
        <v>683</v>
      </c>
      <c r="D38" s="44">
        <v>5</v>
      </c>
      <c r="E38" s="43">
        <v>1.7217630853994491E-3</v>
      </c>
    </row>
    <row r="39" spans="2:5" ht="15" customHeight="1" x14ac:dyDescent="0.3">
      <c r="B39" s="76"/>
      <c r="C39" s="45" t="s">
        <v>682</v>
      </c>
      <c r="D39" s="44">
        <v>3</v>
      </c>
      <c r="E39" s="43">
        <v>1.0330578512396695E-3</v>
      </c>
    </row>
    <row r="40" spans="2:5" ht="15" customHeight="1" x14ac:dyDescent="0.3">
      <c r="B40" s="76"/>
      <c r="C40" s="45" t="s">
        <v>681</v>
      </c>
      <c r="D40" s="44">
        <v>1</v>
      </c>
      <c r="E40" s="43">
        <v>3.4435261707988982E-4</v>
      </c>
    </row>
    <row r="41" spans="2:5" ht="15" customHeight="1" x14ac:dyDescent="0.3">
      <c r="B41" s="76"/>
      <c r="C41" s="45" t="s">
        <v>680</v>
      </c>
      <c r="D41" s="44">
        <v>9</v>
      </c>
      <c r="E41" s="43">
        <v>3.0991735537190084E-3</v>
      </c>
    </row>
    <row r="42" spans="2:5" ht="15" customHeight="1" x14ac:dyDescent="0.3">
      <c r="B42" s="76"/>
      <c r="C42" s="45" t="s">
        <v>679</v>
      </c>
      <c r="D42" s="44">
        <v>5</v>
      </c>
      <c r="E42" s="43">
        <v>1.7217630853994491E-3</v>
      </c>
    </row>
    <row r="43" spans="2:5" ht="15" customHeight="1" x14ac:dyDescent="0.3">
      <c r="B43" s="76"/>
      <c r="C43" s="45" t="s">
        <v>678</v>
      </c>
      <c r="D43" s="44">
        <v>1</v>
      </c>
      <c r="E43" s="43">
        <v>3.4435261707988982E-4</v>
      </c>
    </row>
    <row r="44" spans="2:5" ht="15" customHeight="1" x14ac:dyDescent="0.3">
      <c r="B44" s="76"/>
      <c r="C44" s="45" t="s">
        <v>677</v>
      </c>
      <c r="D44" s="44">
        <v>5</v>
      </c>
      <c r="E44" s="43">
        <v>1.7217630853994491E-3</v>
      </c>
    </row>
    <row r="45" spans="2:5" ht="15" customHeight="1" x14ac:dyDescent="0.3">
      <c r="B45" s="76"/>
      <c r="C45" s="45" t="s">
        <v>676</v>
      </c>
      <c r="D45" s="44">
        <v>2</v>
      </c>
      <c r="E45" s="43">
        <v>6.8870523415977963E-4</v>
      </c>
    </row>
    <row r="46" spans="2:5" ht="15" customHeight="1" x14ac:dyDescent="0.3">
      <c r="B46" s="76"/>
      <c r="C46" s="45" t="s">
        <v>675</v>
      </c>
      <c r="D46" s="44">
        <v>7</v>
      </c>
      <c r="E46" s="43">
        <v>2.4104683195592287E-3</v>
      </c>
    </row>
    <row r="47" spans="2:5" ht="15" customHeight="1" x14ac:dyDescent="0.3">
      <c r="B47" s="76"/>
      <c r="C47" s="45" t="s">
        <v>674</v>
      </c>
      <c r="D47" s="44">
        <v>1</v>
      </c>
      <c r="E47" s="43">
        <v>3.4435261707988982E-4</v>
      </c>
    </row>
    <row r="48" spans="2:5" ht="15" customHeight="1" x14ac:dyDescent="0.3">
      <c r="B48" s="76"/>
      <c r="C48" s="45" t="s">
        <v>673</v>
      </c>
      <c r="D48" s="44">
        <v>6</v>
      </c>
      <c r="E48" s="43">
        <v>2.0661157024793389E-3</v>
      </c>
    </row>
    <row r="49" spans="2:5" ht="15" customHeight="1" x14ac:dyDescent="0.3">
      <c r="B49" s="76"/>
      <c r="C49" s="45" t="s">
        <v>672</v>
      </c>
      <c r="D49" s="44">
        <v>2</v>
      </c>
      <c r="E49" s="43">
        <v>6.8870523415977963E-4</v>
      </c>
    </row>
    <row r="50" spans="2:5" ht="15" customHeight="1" x14ac:dyDescent="0.3">
      <c r="B50" s="76"/>
      <c r="C50" s="45" t="s">
        <v>671</v>
      </c>
      <c r="D50" s="44">
        <v>3</v>
      </c>
      <c r="E50" s="43">
        <v>1.0330578512396695E-3</v>
      </c>
    </row>
    <row r="51" spans="2:5" ht="15" customHeight="1" x14ac:dyDescent="0.3">
      <c r="B51" s="76"/>
      <c r="C51" s="45" t="s">
        <v>670</v>
      </c>
      <c r="D51" s="44">
        <v>1</v>
      </c>
      <c r="E51" s="43">
        <v>3.4435261707988982E-4</v>
      </c>
    </row>
    <row r="52" spans="2:5" ht="15" customHeight="1" x14ac:dyDescent="0.3">
      <c r="B52" s="76"/>
      <c r="C52" s="45" t="s">
        <v>669</v>
      </c>
      <c r="D52" s="44">
        <v>1</v>
      </c>
      <c r="E52" s="43">
        <v>3.4435261707988982E-4</v>
      </c>
    </row>
    <row r="53" spans="2:5" ht="15" customHeight="1" x14ac:dyDescent="0.3">
      <c r="B53" s="76"/>
      <c r="C53" s="45" t="s">
        <v>668</v>
      </c>
      <c r="D53" s="44">
        <v>1</v>
      </c>
      <c r="E53" s="43">
        <v>3.4435261707988982E-4</v>
      </c>
    </row>
    <row r="54" spans="2:5" ht="15" customHeight="1" x14ac:dyDescent="0.3">
      <c r="B54" s="76"/>
      <c r="C54" s="45" t="s">
        <v>667</v>
      </c>
      <c r="D54" s="44">
        <v>18</v>
      </c>
      <c r="E54" s="43">
        <v>6.1983471074380167E-3</v>
      </c>
    </row>
    <row r="55" spans="2:5" ht="15" customHeight="1" x14ac:dyDescent="0.3">
      <c r="B55" s="76"/>
      <c r="C55" s="45" t="s">
        <v>666</v>
      </c>
      <c r="D55" s="44">
        <v>1</v>
      </c>
      <c r="E55" s="43">
        <v>3.4435261707988982E-4</v>
      </c>
    </row>
    <row r="56" spans="2:5" ht="15" customHeight="1" x14ac:dyDescent="0.3">
      <c r="B56" s="76"/>
      <c r="C56" s="45" t="s">
        <v>665</v>
      </c>
      <c r="D56" s="44">
        <v>10</v>
      </c>
      <c r="E56" s="43">
        <v>3.4435261707988982E-3</v>
      </c>
    </row>
    <row r="57" spans="2:5" ht="15" customHeight="1" x14ac:dyDescent="0.3">
      <c r="B57" s="76"/>
      <c r="C57" s="45" t="s">
        <v>664</v>
      </c>
      <c r="D57" s="44">
        <v>2</v>
      </c>
      <c r="E57" s="43">
        <v>6.8870523415977963E-4</v>
      </c>
    </row>
    <row r="58" spans="2:5" ht="15" customHeight="1" x14ac:dyDescent="0.3">
      <c r="B58" s="76"/>
      <c r="C58" s="45" t="s">
        <v>663</v>
      </c>
      <c r="D58" s="44">
        <v>1</v>
      </c>
      <c r="E58" s="43">
        <v>3.4435261707988982E-4</v>
      </c>
    </row>
    <row r="59" spans="2:5" ht="15" customHeight="1" x14ac:dyDescent="0.3">
      <c r="B59" s="76"/>
      <c r="C59" s="45" t="s">
        <v>662</v>
      </c>
      <c r="D59" s="44">
        <v>5</v>
      </c>
      <c r="E59" s="43">
        <v>1.7217630853994491E-3</v>
      </c>
    </row>
    <row r="60" spans="2:5" ht="15" customHeight="1" x14ac:dyDescent="0.3">
      <c r="B60" s="76"/>
      <c r="C60" s="45" t="s">
        <v>661</v>
      </c>
      <c r="D60" s="44">
        <v>1</v>
      </c>
      <c r="E60" s="43">
        <v>3.4435261707988982E-4</v>
      </c>
    </row>
    <row r="61" spans="2:5" ht="15" customHeight="1" x14ac:dyDescent="0.3">
      <c r="B61" s="76"/>
      <c r="C61" s="45" t="s">
        <v>660</v>
      </c>
      <c r="D61" s="44">
        <v>1</v>
      </c>
      <c r="E61" s="43">
        <v>3.4435261707988982E-4</v>
      </c>
    </row>
    <row r="62" spans="2:5" ht="15" customHeight="1" x14ac:dyDescent="0.3">
      <c r="B62" s="76"/>
      <c r="C62" s="45" t="s">
        <v>659</v>
      </c>
      <c r="D62" s="44">
        <v>2</v>
      </c>
      <c r="E62" s="43">
        <v>6.8870523415977963E-4</v>
      </c>
    </row>
    <row r="63" spans="2:5" ht="15" customHeight="1" x14ac:dyDescent="0.3">
      <c r="B63" s="77"/>
      <c r="C63" s="42" t="s">
        <v>18</v>
      </c>
      <c r="D63" s="41">
        <v>123</v>
      </c>
      <c r="E63" s="40">
        <v>4.2355371900826444E-2</v>
      </c>
    </row>
    <row r="64" spans="2:5" ht="15" customHeight="1" x14ac:dyDescent="0.3">
      <c r="B64" s="75" t="s">
        <v>27</v>
      </c>
      <c r="C64" s="45" t="s">
        <v>658</v>
      </c>
      <c r="D64" s="44">
        <v>1</v>
      </c>
      <c r="E64" s="43">
        <v>3.4435261707988982E-4</v>
      </c>
    </row>
    <row r="65" spans="2:5" ht="15" customHeight="1" x14ac:dyDescent="0.3">
      <c r="B65" s="76"/>
      <c r="C65" s="45" t="s">
        <v>657</v>
      </c>
      <c r="D65" s="44">
        <v>1</v>
      </c>
      <c r="E65" s="43">
        <v>3.4435261707988982E-4</v>
      </c>
    </row>
    <row r="66" spans="2:5" ht="15" customHeight="1" x14ac:dyDescent="0.3">
      <c r="B66" s="76"/>
      <c r="C66" s="45" t="s">
        <v>656</v>
      </c>
      <c r="D66" s="44">
        <v>1</v>
      </c>
      <c r="E66" s="43">
        <v>3.4435261707988982E-4</v>
      </c>
    </row>
    <row r="67" spans="2:5" ht="15" customHeight="1" x14ac:dyDescent="0.3">
      <c r="B67" s="76"/>
      <c r="C67" s="45" t="s">
        <v>655</v>
      </c>
      <c r="D67" s="44">
        <v>4</v>
      </c>
      <c r="E67" s="43">
        <v>1.3774104683195593E-3</v>
      </c>
    </row>
    <row r="68" spans="2:5" ht="15" customHeight="1" x14ac:dyDescent="0.3">
      <c r="B68" s="77"/>
      <c r="C68" s="42" t="s">
        <v>18</v>
      </c>
      <c r="D68" s="41">
        <v>7</v>
      </c>
      <c r="E68" s="40">
        <v>2.4104683195592287E-3</v>
      </c>
    </row>
    <row r="69" spans="2:5" ht="15" customHeight="1" x14ac:dyDescent="0.3">
      <c r="B69" s="75" t="s">
        <v>23</v>
      </c>
      <c r="C69" s="45" t="s">
        <v>23</v>
      </c>
      <c r="D69" s="44">
        <v>2</v>
      </c>
      <c r="E69" s="43">
        <v>6.8870523415977963E-4</v>
      </c>
    </row>
    <row r="70" spans="2:5" ht="15" customHeight="1" x14ac:dyDescent="0.3">
      <c r="B70" s="76"/>
      <c r="C70" s="45" t="s">
        <v>654</v>
      </c>
      <c r="D70" s="44">
        <v>1</v>
      </c>
      <c r="E70" s="43">
        <v>3.4435261707988982E-4</v>
      </c>
    </row>
    <row r="71" spans="2:5" ht="15" customHeight="1" x14ac:dyDescent="0.3">
      <c r="B71" s="76"/>
      <c r="C71" s="45" t="s">
        <v>653</v>
      </c>
      <c r="D71" s="44">
        <v>1</v>
      </c>
      <c r="E71" s="43">
        <v>3.4435261707988982E-4</v>
      </c>
    </row>
    <row r="72" spans="2:5" ht="15" customHeight="1" x14ac:dyDescent="0.3">
      <c r="B72" s="76"/>
      <c r="C72" s="45" t="s">
        <v>652</v>
      </c>
      <c r="D72" s="44">
        <v>1</v>
      </c>
      <c r="E72" s="43">
        <v>3.4435261707988982E-4</v>
      </c>
    </row>
    <row r="73" spans="2:5" ht="15" customHeight="1" x14ac:dyDescent="0.3">
      <c r="B73" s="77"/>
      <c r="C73" s="42" t="s">
        <v>18</v>
      </c>
      <c r="D73" s="41">
        <v>5</v>
      </c>
      <c r="E73" s="40">
        <v>1.7217630853994491E-3</v>
      </c>
    </row>
    <row r="74" spans="2:5" ht="15" customHeight="1" x14ac:dyDescent="0.3">
      <c r="B74" s="75" t="s">
        <v>43</v>
      </c>
      <c r="C74" s="45" t="s">
        <v>651</v>
      </c>
      <c r="D74" s="44">
        <v>28</v>
      </c>
      <c r="E74" s="43">
        <v>9.6418732782369149E-3</v>
      </c>
    </row>
    <row r="75" spans="2:5" ht="15" customHeight="1" x14ac:dyDescent="0.3">
      <c r="B75" s="76"/>
      <c r="C75" s="45" t="s">
        <v>650</v>
      </c>
      <c r="D75" s="44">
        <v>20</v>
      </c>
      <c r="E75" s="43">
        <v>6.8870523415977963E-3</v>
      </c>
    </row>
    <row r="76" spans="2:5" ht="15" customHeight="1" x14ac:dyDescent="0.3">
      <c r="B76" s="76"/>
      <c r="C76" s="45" t="s">
        <v>174</v>
      </c>
      <c r="D76" s="44">
        <v>13</v>
      </c>
      <c r="E76" s="43">
        <v>4.4765840220385676E-3</v>
      </c>
    </row>
    <row r="77" spans="2:5" ht="15" customHeight="1" x14ac:dyDescent="0.3">
      <c r="B77" s="76"/>
      <c r="C77" s="45" t="s">
        <v>649</v>
      </c>
      <c r="D77" s="44">
        <v>10</v>
      </c>
      <c r="E77" s="43">
        <v>3.4435261707988982E-3</v>
      </c>
    </row>
    <row r="78" spans="2:5" ht="15" customHeight="1" x14ac:dyDescent="0.3">
      <c r="B78" s="76"/>
      <c r="C78" s="45" t="s">
        <v>648</v>
      </c>
      <c r="D78" s="44">
        <v>1</v>
      </c>
      <c r="E78" s="43">
        <v>3.4435261707988982E-4</v>
      </c>
    </row>
    <row r="79" spans="2:5" ht="15" customHeight="1" x14ac:dyDescent="0.3">
      <c r="B79" s="76"/>
      <c r="C79" s="45" t="s">
        <v>647</v>
      </c>
      <c r="D79" s="44">
        <v>16</v>
      </c>
      <c r="E79" s="43">
        <v>5.5096418732782371E-3</v>
      </c>
    </row>
    <row r="80" spans="2:5" ht="15" customHeight="1" x14ac:dyDescent="0.3">
      <c r="B80" s="76"/>
      <c r="C80" s="45" t="s">
        <v>646</v>
      </c>
      <c r="D80" s="44">
        <v>41</v>
      </c>
      <c r="E80" s="43">
        <v>1.4118457300275482E-2</v>
      </c>
    </row>
    <row r="81" spans="2:5" ht="15" customHeight="1" x14ac:dyDescent="0.3">
      <c r="B81" s="76"/>
      <c r="C81" s="45" t="s">
        <v>645</v>
      </c>
      <c r="D81" s="44">
        <v>25</v>
      </c>
      <c r="E81" s="43">
        <v>8.6088154269972454E-3</v>
      </c>
    </row>
    <row r="82" spans="2:5" ht="15" customHeight="1" x14ac:dyDescent="0.3">
      <c r="B82" s="76"/>
      <c r="C82" s="45" t="s">
        <v>644</v>
      </c>
      <c r="D82" s="44">
        <v>37</v>
      </c>
      <c r="E82" s="43">
        <v>1.2741046831955923E-2</v>
      </c>
    </row>
    <row r="83" spans="2:5" ht="15" customHeight="1" x14ac:dyDescent="0.3">
      <c r="B83" s="76"/>
      <c r="C83" s="45" t="s">
        <v>643</v>
      </c>
      <c r="D83" s="44">
        <v>1</v>
      </c>
      <c r="E83" s="43">
        <v>3.4435261707988982E-4</v>
      </c>
    </row>
    <row r="84" spans="2:5" ht="15" customHeight="1" x14ac:dyDescent="0.3">
      <c r="B84" s="76"/>
      <c r="C84" s="45" t="s">
        <v>642</v>
      </c>
      <c r="D84" s="44">
        <v>11</v>
      </c>
      <c r="E84" s="43">
        <v>3.787878787878788E-3</v>
      </c>
    </row>
    <row r="85" spans="2:5" ht="15" customHeight="1" x14ac:dyDescent="0.3">
      <c r="B85" s="76"/>
      <c r="C85" s="45" t="s">
        <v>641</v>
      </c>
      <c r="D85" s="44">
        <v>2</v>
      </c>
      <c r="E85" s="43">
        <v>6.8870523415977963E-4</v>
      </c>
    </row>
    <row r="86" spans="2:5" ht="15" customHeight="1" x14ac:dyDescent="0.3">
      <c r="B86" s="76"/>
      <c r="C86" s="45" t="s">
        <v>640</v>
      </c>
      <c r="D86" s="44">
        <v>3</v>
      </c>
      <c r="E86" s="43">
        <v>1.0330578512396695E-3</v>
      </c>
    </row>
    <row r="87" spans="2:5" ht="15" customHeight="1" x14ac:dyDescent="0.3">
      <c r="B87" s="76"/>
      <c r="C87" s="45" t="s">
        <v>639</v>
      </c>
      <c r="D87" s="44">
        <v>7</v>
      </c>
      <c r="E87" s="43">
        <v>2.4104683195592287E-3</v>
      </c>
    </row>
    <row r="88" spans="2:5" ht="15" customHeight="1" x14ac:dyDescent="0.3">
      <c r="B88" s="76"/>
      <c r="C88" s="45" t="s">
        <v>190</v>
      </c>
      <c r="D88" s="44">
        <v>8</v>
      </c>
      <c r="E88" s="43">
        <v>2.7548209366391185E-3</v>
      </c>
    </row>
    <row r="89" spans="2:5" ht="15" customHeight="1" x14ac:dyDescent="0.3">
      <c r="B89" s="76"/>
      <c r="C89" s="45" t="s">
        <v>638</v>
      </c>
      <c r="D89" s="44">
        <v>2</v>
      </c>
      <c r="E89" s="43">
        <v>6.8870523415977963E-4</v>
      </c>
    </row>
    <row r="90" spans="2:5" ht="15" customHeight="1" x14ac:dyDescent="0.3">
      <c r="B90" s="77"/>
      <c r="C90" s="42" t="s">
        <v>18</v>
      </c>
      <c r="D90" s="41">
        <v>225</v>
      </c>
      <c r="E90" s="40">
        <v>7.7479338842975212E-2</v>
      </c>
    </row>
    <row r="91" spans="2:5" ht="15" customHeight="1" x14ac:dyDescent="0.3">
      <c r="B91" s="75" t="s">
        <v>26</v>
      </c>
      <c r="C91" s="45" t="s">
        <v>637</v>
      </c>
      <c r="D91" s="44">
        <v>1</v>
      </c>
      <c r="E91" s="43">
        <v>3.4435261707988982E-4</v>
      </c>
    </row>
    <row r="92" spans="2:5" ht="15" customHeight="1" x14ac:dyDescent="0.3">
      <c r="B92" s="76"/>
      <c r="C92" s="45" t="s">
        <v>26</v>
      </c>
      <c r="D92" s="44">
        <v>1</v>
      </c>
      <c r="E92" s="43">
        <v>3.4435261707988982E-4</v>
      </c>
    </row>
    <row r="93" spans="2:5" ht="15" customHeight="1" x14ac:dyDescent="0.3">
      <c r="B93" s="76"/>
      <c r="C93" s="45" t="s">
        <v>771</v>
      </c>
      <c r="D93" s="44">
        <v>1</v>
      </c>
      <c r="E93" s="43">
        <v>3.4435261707988982E-4</v>
      </c>
    </row>
    <row r="94" spans="2:5" ht="15" customHeight="1" x14ac:dyDescent="0.3">
      <c r="B94" s="76"/>
      <c r="C94" s="45" t="s">
        <v>772</v>
      </c>
      <c r="D94" s="44">
        <v>1</v>
      </c>
      <c r="E94" s="43">
        <v>3.4435261707988982E-4</v>
      </c>
    </row>
    <row r="95" spans="2:5" ht="15" customHeight="1" x14ac:dyDescent="0.3">
      <c r="B95" s="76"/>
      <c r="C95" s="45" t="s">
        <v>374</v>
      </c>
      <c r="D95" s="44">
        <v>1</v>
      </c>
      <c r="E95" s="43">
        <v>3.4435261707988982E-4</v>
      </c>
    </row>
    <row r="96" spans="2:5" ht="15" customHeight="1" x14ac:dyDescent="0.3">
      <c r="B96" s="76"/>
      <c r="C96" s="45" t="s">
        <v>636</v>
      </c>
      <c r="D96" s="44">
        <v>1</v>
      </c>
      <c r="E96" s="43">
        <v>3.4435261707988982E-4</v>
      </c>
    </row>
    <row r="97" spans="2:5" ht="15" customHeight="1" x14ac:dyDescent="0.3">
      <c r="B97" s="77"/>
      <c r="C97" s="42" t="s">
        <v>18</v>
      </c>
      <c r="D97" s="41">
        <v>6</v>
      </c>
      <c r="E97" s="40">
        <v>2.0661157024793389E-3</v>
      </c>
    </row>
    <row r="98" spans="2:5" ht="15" customHeight="1" x14ac:dyDescent="0.3">
      <c r="B98" s="75" t="s">
        <v>39</v>
      </c>
      <c r="C98" s="45" t="s">
        <v>635</v>
      </c>
      <c r="D98" s="44">
        <v>1</v>
      </c>
      <c r="E98" s="43">
        <v>3.4435261707988982E-4</v>
      </c>
    </row>
    <row r="99" spans="2:5" ht="15" customHeight="1" x14ac:dyDescent="0.3">
      <c r="B99" s="76"/>
      <c r="C99" s="45" t="s">
        <v>634</v>
      </c>
      <c r="D99" s="44">
        <v>1</v>
      </c>
      <c r="E99" s="43">
        <v>3.4435261707988982E-4</v>
      </c>
    </row>
    <row r="100" spans="2:5" ht="15" customHeight="1" x14ac:dyDescent="0.3">
      <c r="B100" s="76"/>
      <c r="C100" s="45" t="s">
        <v>633</v>
      </c>
      <c r="D100" s="44">
        <v>1</v>
      </c>
      <c r="E100" s="43">
        <v>3.4435261707988982E-4</v>
      </c>
    </row>
    <row r="101" spans="2:5" ht="15" customHeight="1" x14ac:dyDescent="0.3">
      <c r="B101" s="76"/>
      <c r="C101" s="45" t="s">
        <v>632</v>
      </c>
      <c r="D101" s="44">
        <v>1</v>
      </c>
      <c r="E101" s="43">
        <v>3.4435261707988982E-4</v>
      </c>
    </row>
    <row r="102" spans="2:5" ht="15" customHeight="1" x14ac:dyDescent="0.3">
      <c r="B102" s="76"/>
      <c r="C102" s="45" t="s">
        <v>631</v>
      </c>
      <c r="D102" s="44">
        <v>1</v>
      </c>
      <c r="E102" s="43">
        <v>3.4435261707988982E-4</v>
      </c>
    </row>
    <row r="103" spans="2:5" ht="15" customHeight="1" x14ac:dyDescent="0.3">
      <c r="B103" s="76"/>
      <c r="C103" s="45" t="s">
        <v>630</v>
      </c>
      <c r="D103" s="44">
        <v>4</v>
      </c>
      <c r="E103" s="43">
        <v>1.3774104683195593E-3</v>
      </c>
    </row>
    <row r="104" spans="2:5" ht="15" customHeight="1" x14ac:dyDescent="0.3">
      <c r="B104" s="76"/>
      <c r="C104" s="45" t="s">
        <v>629</v>
      </c>
      <c r="D104" s="44">
        <v>1</v>
      </c>
      <c r="E104" s="43">
        <v>3.4435261707988982E-4</v>
      </c>
    </row>
    <row r="105" spans="2:5" ht="15" customHeight="1" x14ac:dyDescent="0.3">
      <c r="B105" s="76"/>
      <c r="C105" s="45" t="s">
        <v>628</v>
      </c>
      <c r="D105" s="44">
        <v>1</v>
      </c>
      <c r="E105" s="43">
        <v>3.4435261707988982E-4</v>
      </c>
    </row>
    <row r="106" spans="2:5" ht="15" customHeight="1" x14ac:dyDescent="0.3">
      <c r="B106" s="76"/>
      <c r="C106" s="45" t="s">
        <v>627</v>
      </c>
      <c r="D106" s="44">
        <v>1</v>
      </c>
      <c r="E106" s="43">
        <v>3.4435261707988982E-4</v>
      </c>
    </row>
    <row r="107" spans="2:5" ht="15" customHeight="1" x14ac:dyDescent="0.3">
      <c r="B107" s="76"/>
      <c r="C107" s="45" t="s">
        <v>626</v>
      </c>
      <c r="D107" s="44">
        <v>6</v>
      </c>
      <c r="E107" s="43">
        <v>2.0661157024793389E-3</v>
      </c>
    </row>
    <row r="108" spans="2:5" ht="15" customHeight="1" x14ac:dyDescent="0.3">
      <c r="B108" s="76"/>
      <c r="C108" s="45" t="s">
        <v>625</v>
      </c>
      <c r="D108" s="44">
        <v>1</v>
      </c>
      <c r="E108" s="43">
        <v>3.4435261707988982E-4</v>
      </c>
    </row>
    <row r="109" spans="2:5" ht="15" customHeight="1" x14ac:dyDescent="0.3">
      <c r="B109" s="76"/>
      <c r="C109" s="45" t="s">
        <v>624</v>
      </c>
      <c r="D109" s="44">
        <v>2</v>
      </c>
      <c r="E109" s="43">
        <v>6.8870523415977963E-4</v>
      </c>
    </row>
    <row r="110" spans="2:5" ht="15" customHeight="1" x14ac:dyDescent="0.3">
      <c r="B110" s="76"/>
      <c r="C110" s="45" t="s">
        <v>623</v>
      </c>
      <c r="D110" s="44">
        <v>10</v>
      </c>
      <c r="E110" s="43">
        <v>3.4435261707988982E-3</v>
      </c>
    </row>
    <row r="111" spans="2:5" ht="15" customHeight="1" x14ac:dyDescent="0.3">
      <c r="B111" s="76"/>
      <c r="C111" s="45" t="s">
        <v>622</v>
      </c>
      <c r="D111" s="44">
        <v>1</v>
      </c>
      <c r="E111" s="43">
        <v>3.4435261707988982E-4</v>
      </c>
    </row>
    <row r="112" spans="2:5" ht="15" customHeight="1" x14ac:dyDescent="0.3">
      <c r="B112" s="76"/>
      <c r="C112" s="45" t="s">
        <v>621</v>
      </c>
      <c r="D112" s="44">
        <v>1</v>
      </c>
      <c r="E112" s="43">
        <v>3.4435261707988982E-4</v>
      </c>
    </row>
    <row r="113" spans="2:5" ht="15" customHeight="1" x14ac:dyDescent="0.3">
      <c r="B113" s="76"/>
      <c r="C113" s="45" t="s">
        <v>620</v>
      </c>
      <c r="D113" s="44">
        <v>1</v>
      </c>
      <c r="E113" s="43">
        <v>3.4435261707988982E-4</v>
      </c>
    </row>
    <row r="114" spans="2:5" ht="15" customHeight="1" x14ac:dyDescent="0.3">
      <c r="B114" s="76"/>
      <c r="C114" s="45" t="s">
        <v>619</v>
      </c>
      <c r="D114" s="44">
        <v>1</v>
      </c>
      <c r="E114" s="43">
        <v>3.4435261707988982E-4</v>
      </c>
    </row>
    <row r="115" spans="2:5" ht="15" customHeight="1" x14ac:dyDescent="0.3">
      <c r="B115" s="76"/>
      <c r="C115" s="45" t="s">
        <v>618</v>
      </c>
      <c r="D115" s="44">
        <v>1</v>
      </c>
      <c r="E115" s="43">
        <v>3.4435261707988982E-4</v>
      </c>
    </row>
    <row r="116" spans="2:5" ht="15" customHeight="1" x14ac:dyDescent="0.3">
      <c r="B116" s="76"/>
      <c r="C116" s="45" t="s">
        <v>617</v>
      </c>
      <c r="D116" s="44">
        <v>2</v>
      </c>
      <c r="E116" s="43">
        <v>6.8870523415977963E-4</v>
      </c>
    </row>
    <row r="117" spans="2:5" ht="15" customHeight="1" x14ac:dyDescent="0.3">
      <c r="B117" s="76"/>
      <c r="C117" s="45" t="s">
        <v>616</v>
      </c>
      <c r="D117" s="44">
        <v>1</v>
      </c>
      <c r="E117" s="43">
        <v>3.4435261707988982E-4</v>
      </c>
    </row>
    <row r="118" spans="2:5" ht="15" customHeight="1" x14ac:dyDescent="0.3">
      <c r="B118" s="76"/>
      <c r="C118" s="45" t="s">
        <v>615</v>
      </c>
      <c r="D118" s="44">
        <v>4</v>
      </c>
      <c r="E118" s="43">
        <v>1.3774104683195593E-3</v>
      </c>
    </row>
    <row r="119" spans="2:5" ht="15" customHeight="1" x14ac:dyDescent="0.3">
      <c r="B119" s="76"/>
      <c r="C119" s="45" t="s">
        <v>37</v>
      </c>
      <c r="D119" s="44">
        <v>3</v>
      </c>
      <c r="E119" s="43">
        <v>1.0330578512396695E-3</v>
      </c>
    </row>
    <row r="120" spans="2:5" ht="15" customHeight="1" x14ac:dyDescent="0.3">
      <c r="B120" s="76"/>
      <c r="C120" s="45" t="s">
        <v>614</v>
      </c>
      <c r="D120" s="44">
        <v>5</v>
      </c>
      <c r="E120" s="43">
        <v>1.7217630853994491E-3</v>
      </c>
    </row>
    <row r="121" spans="2:5" ht="15" customHeight="1" x14ac:dyDescent="0.3">
      <c r="B121" s="76"/>
      <c r="C121" s="45" t="s">
        <v>613</v>
      </c>
      <c r="D121" s="44">
        <v>25</v>
      </c>
      <c r="E121" s="43">
        <v>8.6088154269972454E-3</v>
      </c>
    </row>
    <row r="122" spans="2:5" ht="15" customHeight="1" x14ac:dyDescent="0.3">
      <c r="B122" s="76"/>
      <c r="C122" s="45" t="s">
        <v>612</v>
      </c>
      <c r="D122" s="44">
        <v>1</v>
      </c>
      <c r="E122" s="43">
        <v>3.4435261707988982E-4</v>
      </c>
    </row>
    <row r="123" spans="2:5" ht="15" customHeight="1" x14ac:dyDescent="0.3">
      <c r="B123" s="76"/>
      <c r="C123" s="45" t="s">
        <v>611</v>
      </c>
      <c r="D123" s="44">
        <v>1</v>
      </c>
      <c r="E123" s="43">
        <v>3.4435261707988982E-4</v>
      </c>
    </row>
    <row r="124" spans="2:5" ht="15" customHeight="1" x14ac:dyDescent="0.3">
      <c r="B124" s="76"/>
      <c r="C124" s="45" t="s">
        <v>610</v>
      </c>
      <c r="D124" s="44">
        <v>4</v>
      </c>
      <c r="E124" s="43">
        <v>1.3774104683195593E-3</v>
      </c>
    </row>
    <row r="125" spans="2:5" ht="15" customHeight="1" x14ac:dyDescent="0.3">
      <c r="B125" s="76"/>
      <c r="C125" s="45" t="s">
        <v>609</v>
      </c>
      <c r="D125" s="44">
        <v>1</v>
      </c>
      <c r="E125" s="43">
        <v>3.4435261707988982E-4</v>
      </c>
    </row>
    <row r="126" spans="2:5" ht="15" customHeight="1" x14ac:dyDescent="0.3">
      <c r="B126" s="76"/>
      <c r="C126" s="45" t="s">
        <v>608</v>
      </c>
      <c r="D126" s="44">
        <v>1</v>
      </c>
      <c r="E126" s="43">
        <v>3.4435261707988982E-4</v>
      </c>
    </row>
    <row r="127" spans="2:5" ht="15" customHeight="1" x14ac:dyDescent="0.3">
      <c r="B127" s="76"/>
      <c r="C127" s="45" t="s">
        <v>607</v>
      </c>
      <c r="D127" s="44">
        <v>4</v>
      </c>
      <c r="E127" s="43">
        <v>1.3774104683195593E-3</v>
      </c>
    </row>
    <row r="128" spans="2:5" ht="15" customHeight="1" x14ac:dyDescent="0.3">
      <c r="B128" s="76"/>
      <c r="C128" s="45" t="s">
        <v>606</v>
      </c>
      <c r="D128" s="44">
        <v>1</v>
      </c>
      <c r="E128" s="43">
        <v>3.4435261707988982E-4</v>
      </c>
    </row>
    <row r="129" spans="2:5" ht="15" customHeight="1" x14ac:dyDescent="0.3">
      <c r="B129" s="76"/>
      <c r="C129" s="45" t="s">
        <v>605</v>
      </c>
      <c r="D129" s="44">
        <v>3</v>
      </c>
      <c r="E129" s="43">
        <v>1.0330578512396695E-3</v>
      </c>
    </row>
    <row r="130" spans="2:5" ht="15" customHeight="1" x14ac:dyDescent="0.3">
      <c r="B130" s="76"/>
      <c r="C130" s="45" t="s">
        <v>604</v>
      </c>
      <c r="D130" s="44">
        <v>4</v>
      </c>
      <c r="E130" s="43">
        <v>1.3774104683195593E-3</v>
      </c>
    </row>
    <row r="131" spans="2:5" ht="15" customHeight="1" x14ac:dyDescent="0.3">
      <c r="B131" s="76"/>
      <c r="C131" s="45" t="s">
        <v>124</v>
      </c>
      <c r="D131" s="44">
        <v>1</v>
      </c>
      <c r="E131" s="43">
        <v>3.4435261707988982E-4</v>
      </c>
    </row>
    <row r="132" spans="2:5" ht="15" customHeight="1" x14ac:dyDescent="0.3">
      <c r="B132" s="76"/>
      <c r="C132" s="45" t="s">
        <v>603</v>
      </c>
      <c r="D132" s="44">
        <v>1</v>
      </c>
      <c r="E132" s="43">
        <v>3.4435261707988982E-4</v>
      </c>
    </row>
    <row r="133" spans="2:5" ht="15" customHeight="1" x14ac:dyDescent="0.3">
      <c r="B133" s="76"/>
      <c r="C133" s="45" t="s">
        <v>602</v>
      </c>
      <c r="D133" s="44">
        <v>1</v>
      </c>
      <c r="E133" s="43">
        <v>3.4435261707988982E-4</v>
      </c>
    </row>
    <row r="134" spans="2:5" ht="15" customHeight="1" x14ac:dyDescent="0.3">
      <c r="B134" s="76"/>
      <c r="C134" s="45" t="s">
        <v>601</v>
      </c>
      <c r="D134" s="44">
        <v>2</v>
      </c>
      <c r="E134" s="43">
        <v>6.8870523415977963E-4</v>
      </c>
    </row>
    <row r="135" spans="2:5" ht="15" customHeight="1" x14ac:dyDescent="0.3">
      <c r="B135" s="76"/>
      <c r="C135" s="45" t="s">
        <v>600</v>
      </c>
      <c r="D135" s="44">
        <v>4</v>
      </c>
      <c r="E135" s="43">
        <v>1.3774104683195593E-3</v>
      </c>
    </row>
    <row r="136" spans="2:5" ht="15" customHeight="1" x14ac:dyDescent="0.3">
      <c r="B136" s="76"/>
      <c r="C136" s="45" t="s">
        <v>599</v>
      </c>
      <c r="D136" s="44">
        <v>9</v>
      </c>
      <c r="E136" s="43">
        <v>3.0991735537190084E-3</v>
      </c>
    </row>
    <row r="137" spans="2:5" ht="15" customHeight="1" x14ac:dyDescent="0.3">
      <c r="B137" s="76"/>
      <c r="C137" s="45" t="s">
        <v>598</v>
      </c>
      <c r="D137" s="44">
        <v>2</v>
      </c>
      <c r="E137" s="43">
        <v>6.8870523415977963E-4</v>
      </c>
    </row>
    <row r="138" spans="2:5" ht="15" customHeight="1" x14ac:dyDescent="0.3">
      <c r="B138" s="76"/>
      <c r="C138" s="45" t="s">
        <v>597</v>
      </c>
      <c r="D138" s="44">
        <v>5</v>
      </c>
      <c r="E138" s="43">
        <v>1.7217630853994491E-3</v>
      </c>
    </row>
    <row r="139" spans="2:5" ht="15" customHeight="1" x14ac:dyDescent="0.3">
      <c r="B139" s="76"/>
      <c r="C139" s="45" t="s">
        <v>596</v>
      </c>
      <c r="D139" s="44">
        <v>1</v>
      </c>
      <c r="E139" s="43">
        <v>3.4435261707988982E-4</v>
      </c>
    </row>
    <row r="140" spans="2:5" ht="15" customHeight="1" x14ac:dyDescent="0.3">
      <c r="B140" s="76"/>
      <c r="C140" s="45" t="s">
        <v>595</v>
      </c>
      <c r="D140" s="44">
        <v>1</v>
      </c>
      <c r="E140" s="43">
        <v>3.4435261707988982E-4</v>
      </c>
    </row>
    <row r="141" spans="2:5" ht="15" customHeight="1" x14ac:dyDescent="0.3">
      <c r="B141" s="76"/>
      <c r="C141" s="45" t="s">
        <v>594</v>
      </c>
      <c r="D141" s="44">
        <v>2</v>
      </c>
      <c r="E141" s="43">
        <v>6.8870523415977963E-4</v>
      </c>
    </row>
    <row r="142" spans="2:5" ht="15" customHeight="1" x14ac:dyDescent="0.3">
      <c r="B142" s="77"/>
      <c r="C142" s="42" t="s">
        <v>18</v>
      </c>
      <c r="D142" s="41">
        <v>125</v>
      </c>
      <c r="E142" s="40">
        <v>4.3044077134986224E-2</v>
      </c>
    </row>
    <row r="143" spans="2:5" ht="15" customHeight="1" x14ac:dyDescent="0.3">
      <c r="B143" s="75" t="s">
        <v>34</v>
      </c>
      <c r="C143" s="45" t="s">
        <v>593</v>
      </c>
      <c r="D143" s="44">
        <v>1</v>
      </c>
      <c r="E143" s="43">
        <v>3.4435261707988982E-4</v>
      </c>
    </row>
    <row r="144" spans="2:5" ht="15" customHeight="1" x14ac:dyDescent="0.3">
      <c r="B144" s="76"/>
      <c r="C144" s="45" t="s">
        <v>592</v>
      </c>
      <c r="D144" s="44">
        <v>2</v>
      </c>
      <c r="E144" s="43">
        <v>6.8870523415977963E-4</v>
      </c>
    </row>
    <row r="145" spans="2:5" ht="15" customHeight="1" x14ac:dyDescent="0.3">
      <c r="B145" s="76"/>
      <c r="C145" s="45" t="s">
        <v>591</v>
      </c>
      <c r="D145" s="44">
        <v>1</v>
      </c>
      <c r="E145" s="43">
        <v>3.4435261707988982E-4</v>
      </c>
    </row>
    <row r="146" spans="2:5" ht="15" customHeight="1" x14ac:dyDescent="0.3">
      <c r="B146" s="76"/>
      <c r="C146" s="45" t="s">
        <v>590</v>
      </c>
      <c r="D146" s="44">
        <v>1</v>
      </c>
      <c r="E146" s="43">
        <v>3.4435261707988982E-4</v>
      </c>
    </row>
    <row r="147" spans="2:5" ht="15" customHeight="1" x14ac:dyDescent="0.3">
      <c r="B147" s="76"/>
      <c r="C147" s="45" t="s">
        <v>589</v>
      </c>
      <c r="D147" s="44">
        <v>1</v>
      </c>
      <c r="E147" s="43">
        <v>3.4435261707988982E-4</v>
      </c>
    </row>
    <row r="148" spans="2:5" ht="15" customHeight="1" x14ac:dyDescent="0.3">
      <c r="B148" s="76"/>
      <c r="C148" s="45" t="s">
        <v>588</v>
      </c>
      <c r="D148" s="44">
        <v>1</v>
      </c>
      <c r="E148" s="43">
        <v>3.4435261707988982E-4</v>
      </c>
    </row>
    <row r="149" spans="2:5" ht="15" customHeight="1" x14ac:dyDescent="0.3">
      <c r="B149" s="76"/>
      <c r="C149" s="45" t="s">
        <v>587</v>
      </c>
      <c r="D149" s="44">
        <v>1</v>
      </c>
      <c r="E149" s="43">
        <v>3.4435261707988982E-4</v>
      </c>
    </row>
    <row r="150" spans="2:5" ht="15" customHeight="1" x14ac:dyDescent="0.3">
      <c r="B150" s="76"/>
      <c r="C150" s="45" t="s">
        <v>586</v>
      </c>
      <c r="D150" s="44">
        <v>4</v>
      </c>
      <c r="E150" s="43">
        <v>1.3774104683195593E-3</v>
      </c>
    </row>
    <row r="151" spans="2:5" ht="15" customHeight="1" x14ac:dyDescent="0.3">
      <c r="B151" s="76"/>
      <c r="C151" s="45" t="s">
        <v>585</v>
      </c>
      <c r="D151" s="44">
        <v>4</v>
      </c>
      <c r="E151" s="43">
        <v>1.3774104683195593E-3</v>
      </c>
    </row>
    <row r="152" spans="2:5" ht="15" customHeight="1" x14ac:dyDescent="0.3">
      <c r="B152" s="76"/>
      <c r="C152" s="45" t="s">
        <v>584</v>
      </c>
      <c r="D152" s="44">
        <v>8</v>
      </c>
      <c r="E152" s="43">
        <v>2.7548209366391185E-3</v>
      </c>
    </row>
    <row r="153" spans="2:5" ht="15" customHeight="1" x14ac:dyDescent="0.3">
      <c r="B153" s="76"/>
      <c r="C153" s="45" t="s">
        <v>583</v>
      </c>
      <c r="D153" s="44">
        <v>3</v>
      </c>
      <c r="E153" s="43">
        <v>1.0330578512396695E-3</v>
      </c>
    </row>
    <row r="154" spans="2:5" ht="15" customHeight="1" x14ac:dyDescent="0.3">
      <c r="B154" s="76"/>
      <c r="C154" s="45" t="s">
        <v>582</v>
      </c>
      <c r="D154" s="44">
        <v>1</v>
      </c>
      <c r="E154" s="43">
        <v>3.4435261707988982E-4</v>
      </c>
    </row>
    <row r="155" spans="2:5" ht="15" customHeight="1" x14ac:dyDescent="0.3">
      <c r="B155" s="76"/>
      <c r="C155" s="45" t="s">
        <v>581</v>
      </c>
      <c r="D155" s="44">
        <v>2</v>
      </c>
      <c r="E155" s="43">
        <v>6.8870523415977963E-4</v>
      </c>
    </row>
    <row r="156" spans="2:5" ht="15" customHeight="1" x14ac:dyDescent="0.3">
      <c r="B156" s="76"/>
      <c r="C156" s="45" t="s">
        <v>580</v>
      </c>
      <c r="D156" s="44">
        <v>1</v>
      </c>
      <c r="E156" s="43">
        <v>3.4435261707988982E-4</v>
      </c>
    </row>
    <row r="157" spans="2:5" ht="15" customHeight="1" x14ac:dyDescent="0.3">
      <c r="B157" s="76"/>
      <c r="C157" s="45" t="s">
        <v>579</v>
      </c>
      <c r="D157" s="44">
        <v>1</v>
      </c>
      <c r="E157" s="43">
        <v>3.4435261707988982E-4</v>
      </c>
    </row>
    <row r="158" spans="2:5" ht="15" customHeight="1" x14ac:dyDescent="0.3">
      <c r="B158" s="76"/>
      <c r="C158" s="45" t="s">
        <v>578</v>
      </c>
      <c r="D158" s="44">
        <v>2</v>
      </c>
      <c r="E158" s="43">
        <v>6.8870523415977963E-4</v>
      </c>
    </row>
    <row r="159" spans="2:5" ht="15" customHeight="1" x14ac:dyDescent="0.3">
      <c r="B159" s="76"/>
      <c r="C159" s="45" t="s">
        <v>577</v>
      </c>
      <c r="D159" s="44">
        <v>1</v>
      </c>
      <c r="E159" s="43">
        <v>3.4435261707988982E-4</v>
      </c>
    </row>
    <row r="160" spans="2:5" ht="15" customHeight="1" x14ac:dyDescent="0.3">
      <c r="B160" s="76"/>
      <c r="C160" s="45" t="s">
        <v>576</v>
      </c>
      <c r="D160" s="44">
        <v>2</v>
      </c>
      <c r="E160" s="43">
        <v>6.8870523415977963E-4</v>
      </c>
    </row>
    <row r="161" spans="2:5" ht="15" customHeight="1" x14ac:dyDescent="0.3">
      <c r="B161" s="76"/>
      <c r="C161" s="45" t="s">
        <v>575</v>
      </c>
      <c r="D161" s="44">
        <v>1</v>
      </c>
      <c r="E161" s="43">
        <v>3.4435261707988982E-4</v>
      </c>
    </row>
    <row r="162" spans="2:5" ht="15" customHeight="1" x14ac:dyDescent="0.3">
      <c r="B162" s="76"/>
      <c r="C162" s="45" t="s">
        <v>64</v>
      </c>
      <c r="D162" s="44">
        <v>7</v>
      </c>
      <c r="E162" s="43">
        <v>2.4104683195592287E-3</v>
      </c>
    </row>
    <row r="163" spans="2:5" ht="15" customHeight="1" x14ac:dyDescent="0.3">
      <c r="B163" s="76"/>
      <c r="C163" s="45" t="s">
        <v>574</v>
      </c>
      <c r="D163" s="44">
        <v>1</v>
      </c>
      <c r="E163" s="43">
        <v>3.4435261707988982E-4</v>
      </c>
    </row>
    <row r="164" spans="2:5" ht="15" customHeight="1" x14ac:dyDescent="0.3">
      <c r="B164" s="76"/>
      <c r="C164" s="45" t="s">
        <v>573</v>
      </c>
      <c r="D164" s="44">
        <v>1</v>
      </c>
      <c r="E164" s="43">
        <v>3.4435261707988982E-4</v>
      </c>
    </row>
    <row r="165" spans="2:5" ht="15" customHeight="1" x14ac:dyDescent="0.3">
      <c r="B165" s="76"/>
      <c r="C165" s="45" t="s">
        <v>572</v>
      </c>
      <c r="D165" s="44">
        <v>10</v>
      </c>
      <c r="E165" s="43">
        <v>3.4435261707988982E-3</v>
      </c>
    </row>
    <row r="166" spans="2:5" ht="15" customHeight="1" x14ac:dyDescent="0.3">
      <c r="B166" s="77"/>
      <c r="C166" s="42" t="s">
        <v>18</v>
      </c>
      <c r="D166" s="41">
        <v>57</v>
      </c>
      <c r="E166" s="40">
        <v>1.962809917355372E-2</v>
      </c>
    </row>
    <row r="167" spans="2:5" ht="15" customHeight="1" x14ac:dyDescent="0.3">
      <c r="B167" s="75" t="s">
        <v>42</v>
      </c>
      <c r="C167" s="45" t="s">
        <v>571</v>
      </c>
      <c r="D167" s="44">
        <v>10</v>
      </c>
      <c r="E167" s="43">
        <v>3.4435261707988982E-3</v>
      </c>
    </row>
    <row r="168" spans="2:5" ht="15" customHeight="1" x14ac:dyDescent="0.3">
      <c r="B168" s="76"/>
      <c r="C168" s="45" t="s">
        <v>570</v>
      </c>
      <c r="D168" s="44">
        <v>2</v>
      </c>
      <c r="E168" s="43">
        <v>6.8870523415977963E-4</v>
      </c>
    </row>
    <row r="169" spans="2:5" ht="15" customHeight="1" x14ac:dyDescent="0.3">
      <c r="B169" s="76"/>
      <c r="C169" s="45" t="s">
        <v>569</v>
      </c>
      <c r="D169" s="44">
        <v>34</v>
      </c>
      <c r="E169" s="43">
        <v>1.1707988980716254E-2</v>
      </c>
    </row>
    <row r="170" spans="2:5" ht="15" customHeight="1" x14ac:dyDescent="0.3">
      <c r="B170" s="76"/>
      <c r="C170" s="45" t="s">
        <v>568</v>
      </c>
      <c r="D170" s="44">
        <v>2</v>
      </c>
      <c r="E170" s="43">
        <v>6.8870523415977963E-4</v>
      </c>
    </row>
    <row r="171" spans="2:5" ht="15" customHeight="1" x14ac:dyDescent="0.3">
      <c r="B171" s="76"/>
      <c r="C171" s="45" t="s">
        <v>567</v>
      </c>
      <c r="D171" s="44">
        <v>6</v>
      </c>
      <c r="E171" s="43">
        <v>2.0661157024793389E-3</v>
      </c>
    </row>
    <row r="172" spans="2:5" ht="15" customHeight="1" x14ac:dyDescent="0.3">
      <c r="B172" s="76"/>
      <c r="C172" s="45" t="s">
        <v>566</v>
      </c>
      <c r="D172" s="44">
        <v>5</v>
      </c>
      <c r="E172" s="43">
        <v>1.7217630853994491E-3</v>
      </c>
    </row>
    <row r="173" spans="2:5" ht="15" customHeight="1" x14ac:dyDescent="0.3">
      <c r="B173" s="76"/>
      <c r="C173" s="45" t="s">
        <v>565</v>
      </c>
      <c r="D173" s="44">
        <v>1</v>
      </c>
      <c r="E173" s="43">
        <v>3.4435261707988982E-4</v>
      </c>
    </row>
    <row r="174" spans="2:5" ht="15" customHeight="1" x14ac:dyDescent="0.3">
      <c r="B174" s="76"/>
      <c r="C174" s="45" t="s">
        <v>564</v>
      </c>
      <c r="D174" s="44">
        <v>3</v>
      </c>
      <c r="E174" s="43">
        <v>1.0330578512396695E-3</v>
      </c>
    </row>
    <row r="175" spans="2:5" ht="15" customHeight="1" x14ac:dyDescent="0.3">
      <c r="B175" s="76"/>
      <c r="C175" s="45" t="s">
        <v>563</v>
      </c>
      <c r="D175" s="44">
        <v>2</v>
      </c>
      <c r="E175" s="43">
        <v>6.8870523415977963E-4</v>
      </c>
    </row>
    <row r="176" spans="2:5" ht="15" customHeight="1" x14ac:dyDescent="0.3">
      <c r="B176" s="76"/>
      <c r="C176" s="45" t="s">
        <v>562</v>
      </c>
      <c r="D176" s="44">
        <v>3</v>
      </c>
      <c r="E176" s="43">
        <v>1.0330578512396695E-3</v>
      </c>
    </row>
    <row r="177" spans="2:5" ht="15" customHeight="1" x14ac:dyDescent="0.3">
      <c r="B177" s="76"/>
      <c r="C177" s="45" t="s">
        <v>561</v>
      </c>
      <c r="D177" s="44">
        <v>3</v>
      </c>
      <c r="E177" s="43">
        <v>1.0330578512396695E-3</v>
      </c>
    </row>
    <row r="178" spans="2:5" ht="15" customHeight="1" x14ac:dyDescent="0.3">
      <c r="B178" s="76"/>
      <c r="C178" s="45" t="s">
        <v>560</v>
      </c>
      <c r="D178" s="44">
        <v>4</v>
      </c>
      <c r="E178" s="43">
        <v>1.3774104683195593E-3</v>
      </c>
    </row>
    <row r="179" spans="2:5" ht="15" customHeight="1" x14ac:dyDescent="0.3">
      <c r="B179" s="76"/>
      <c r="C179" s="45" t="s">
        <v>559</v>
      </c>
      <c r="D179" s="44">
        <v>1</v>
      </c>
      <c r="E179" s="43">
        <v>3.4435261707988982E-4</v>
      </c>
    </row>
    <row r="180" spans="2:5" ht="15" customHeight="1" x14ac:dyDescent="0.3">
      <c r="B180" s="76"/>
      <c r="C180" s="45" t="s">
        <v>558</v>
      </c>
      <c r="D180" s="44">
        <v>1</v>
      </c>
      <c r="E180" s="43">
        <v>3.4435261707988982E-4</v>
      </c>
    </row>
    <row r="181" spans="2:5" ht="15" customHeight="1" x14ac:dyDescent="0.3">
      <c r="B181" s="76"/>
      <c r="C181" s="45" t="s">
        <v>557</v>
      </c>
      <c r="D181" s="44">
        <v>1</v>
      </c>
      <c r="E181" s="43">
        <v>3.4435261707988982E-4</v>
      </c>
    </row>
    <row r="182" spans="2:5" ht="15" customHeight="1" x14ac:dyDescent="0.3">
      <c r="B182" s="76"/>
      <c r="C182" s="45" t="s">
        <v>556</v>
      </c>
      <c r="D182" s="44">
        <v>1</v>
      </c>
      <c r="E182" s="43">
        <v>3.4435261707988982E-4</v>
      </c>
    </row>
    <row r="183" spans="2:5" ht="15" customHeight="1" x14ac:dyDescent="0.3">
      <c r="B183" s="76"/>
      <c r="C183" s="45" t="s">
        <v>555</v>
      </c>
      <c r="D183" s="44">
        <v>1</v>
      </c>
      <c r="E183" s="43">
        <v>3.4435261707988982E-4</v>
      </c>
    </row>
    <row r="184" spans="2:5" ht="15" customHeight="1" x14ac:dyDescent="0.3">
      <c r="B184" s="76"/>
      <c r="C184" s="45" t="s">
        <v>554</v>
      </c>
      <c r="D184" s="44">
        <v>2</v>
      </c>
      <c r="E184" s="43">
        <v>6.8870523415977963E-4</v>
      </c>
    </row>
    <row r="185" spans="2:5" ht="15" customHeight="1" x14ac:dyDescent="0.3">
      <c r="B185" s="76"/>
      <c r="C185" s="45" t="s">
        <v>553</v>
      </c>
      <c r="D185" s="44">
        <v>2</v>
      </c>
      <c r="E185" s="43">
        <v>6.8870523415977963E-4</v>
      </c>
    </row>
    <row r="186" spans="2:5" ht="15" customHeight="1" x14ac:dyDescent="0.3">
      <c r="B186" s="76"/>
      <c r="C186" s="45" t="s">
        <v>552</v>
      </c>
      <c r="D186" s="44">
        <v>15</v>
      </c>
      <c r="E186" s="43">
        <v>5.1652892561983473E-3</v>
      </c>
    </row>
    <row r="187" spans="2:5" ht="15" customHeight="1" x14ac:dyDescent="0.3">
      <c r="B187" s="76"/>
      <c r="C187" s="45" t="s">
        <v>551</v>
      </c>
      <c r="D187" s="44">
        <v>3</v>
      </c>
      <c r="E187" s="43">
        <v>1.0330578512396695E-3</v>
      </c>
    </row>
    <row r="188" spans="2:5" ht="15" customHeight="1" x14ac:dyDescent="0.3">
      <c r="B188" s="76"/>
      <c r="C188" s="45" t="s">
        <v>550</v>
      </c>
      <c r="D188" s="44">
        <v>1</v>
      </c>
      <c r="E188" s="43">
        <v>3.4435261707988982E-4</v>
      </c>
    </row>
    <row r="189" spans="2:5" ht="15" customHeight="1" x14ac:dyDescent="0.3">
      <c r="B189" s="76"/>
      <c r="C189" s="45" t="s">
        <v>549</v>
      </c>
      <c r="D189" s="44">
        <v>4</v>
      </c>
      <c r="E189" s="43">
        <v>1.3774104683195593E-3</v>
      </c>
    </row>
    <row r="190" spans="2:5" ht="15" customHeight="1" x14ac:dyDescent="0.3">
      <c r="B190" s="76"/>
      <c r="C190" s="45" t="s">
        <v>548</v>
      </c>
      <c r="D190" s="44">
        <v>2</v>
      </c>
      <c r="E190" s="43">
        <v>6.8870523415977963E-4</v>
      </c>
    </row>
    <row r="191" spans="2:5" ht="15" customHeight="1" x14ac:dyDescent="0.3">
      <c r="B191" s="76"/>
      <c r="C191" s="45" t="s">
        <v>547</v>
      </c>
      <c r="D191" s="44">
        <v>5</v>
      </c>
      <c r="E191" s="43">
        <v>1.7217630853994491E-3</v>
      </c>
    </row>
    <row r="192" spans="2:5" ht="15" customHeight="1" x14ac:dyDescent="0.3">
      <c r="B192" s="76"/>
      <c r="C192" s="45" t="s">
        <v>546</v>
      </c>
      <c r="D192" s="44">
        <v>2</v>
      </c>
      <c r="E192" s="43">
        <v>6.8870523415977963E-4</v>
      </c>
    </row>
    <row r="193" spans="2:5" ht="15" customHeight="1" x14ac:dyDescent="0.3">
      <c r="B193" s="76"/>
      <c r="C193" s="45" t="s">
        <v>545</v>
      </c>
      <c r="D193" s="44">
        <v>2</v>
      </c>
      <c r="E193" s="43">
        <v>6.8870523415977963E-4</v>
      </c>
    </row>
    <row r="194" spans="2:5" ht="15" customHeight="1" x14ac:dyDescent="0.3">
      <c r="B194" s="76"/>
      <c r="C194" s="45" t="s">
        <v>544</v>
      </c>
      <c r="D194" s="44">
        <v>3</v>
      </c>
      <c r="E194" s="43">
        <v>1.0330578512396695E-3</v>
      </c>
    </row>
    <row r="195" spans="2:5" ht="15" customHeight="1" x14ac:dyDescent="0.3">
      <c r="B195" s="76"/>
      <c r="C195" s="45" t="s">
        <v>543</v>
      </c>
      <c r="D195" s="44">
        <v>2</v>
      </c>
      <c r="E195" s="43">
        <v>6.8870523415977963E-4</v>
      </c>
    </row>
    <row r="196" spans="2:5" ht="15" customHeight="1" x14ac:dyDescent="0.3">
      <c r="B196" s="76"/>
      <c r="C196" s="45" t="s">
        <v>542</v>
      </c>
      <c r="D196" s="44">
        <v>5</v>
      </c>
      <c r="E196" s="43">
        <v>1.7217630853994491E-3</v>
      </c>
    </row>
    <row r="197" spans="2:5" ht="15" customHeight="1" x14ac:dyDescent="0.3">
      <c r="B197" s="76"/>
      <c r="C197" s="45" t="s">
        <v>541</v>
      </c>
      <c r="D197" s="44">
        <v>9</v>
      </c>
      <c r="E197" s="43">
        <v>3.0991735537190084E-3</v>
      </c>
    </row>
    <row r="198" spans="2:5" ht="15" customHeight="1" x14ac:dyDescent="0.3">
      <c r="B198" s="76"/>
      <c r="C198" s="45" t="s">
        <v>540</v>
      </c>
      <c r="D198" s="44">
        <v>2</v>
      </c>
      <c r="E198" s="43">
        <v>6.8870523415977963E-4</v>
      </c>
    </row>
    <row r="199" spans="2:5" ht="15" customHeight="1" x14ac:dyDescent="0.3">
      <c r="B199" s="76"/>
      <c r="C199" s="45" t="s">
        <v>539</v>
      </c>
      <c r="D199" s="44">
        <v>2</v>
      </c>
      <c r="E199" s="43">
        <v>6.8870523415977963E-4</v>
      </c>
    </row>
    <row r="200" spans="2:5" ht="15" customHeight="1" x14ac:dyDescent="0.3">
      <c r="B200" s="76"/>
      <c r="C200" s="45" t="s">
        <v>538</v>
      </c>
      <c r="D200" s="44">
        <v>4</v>
      </c>
      <c r="E200" s="43">
        <v>1.3774104683195593E-3</v>
      </c>
    </row>
    <row r="201" spans="2:5" ht="15" customHeight="1" x14ac:dyDescent="0.3">
      <c r="B201" s="76"/>
      <c r="C201" s="45" t="s">
        <v>537</v>
      </c>
      <c r="D201" s="44">
        <v>3</v>
      </c>
      <c r="E201" s="43">
        <v>1.0330578512396695E-3</v>
      </c>
    </row>
    <row r="202" spans="2:5" ht="15" customHeight="1" x14ac:dyDescent="0.3">
      <c r="B202" s="76"/>
      <c r="C202" s="45" t="s">
        <v>536</v>
      </c>
      <c r="D202" s="44">
        <v>5</v>
      </c>
      <c r="E202" s="43">
        <v>1.7217630853994491E-3</v>
      </c>
    </row>
    <row r="203" spans="2:5" ht="15" customHeight="1" x14ac:dyDescent="0.3">
      <c r="B203" s="76"/>
      <c r="C203" s="45" t="s">
        <v>535</v>
      </c>
      <c r="D203" s="44">
        <v>2</v>
      </c>
      <c r="E203" s="43">
        <v>6.8870523415977963E-4</v>
      </c>
    </row>
    <row r="204" spans="2:5" ht="15" customHeight="1" x14ac:dyDescent="0.3">
      <c r="B204" s="76"/>
      <c r="C204" s="45" t="s">
        <v>534</v>
      </c>
      <c r="D204" s="44">
        <v>1</v>
      </c>
      <c r="E204" s="43">
        <v>3.4435261707988982E-4</v>
      </c>
    </row>
    <row r="205" spans="2:5" ht="15" customHeight="1" x14ac:dyDescent="0.3">
      <c r="B205" s="76"/>
      <c r="C205" s="45" t="s">
        <v>533</v>
      </c>
      <c r="D205" s="44">
        <v>1</v>
      </c>
      <c r="E205" s="43">
        <v>3.4435261707988982E-4</v>
      </c>
    </row>
    <row r="206" spans="2:5" ht="15" customHeight="1" x14ac:dyDescent="0.3">
      <c r="B206" s="76"/>
      <c r="C206" s="45" t="s">
        <v>532</v>
      </c>
      <c r="D206" s="44">
        <v>1</v>
      </c>
      <c r="E206" s="43">
        <v>3.4435261707988982E-4</v>
      </c>
    </row>
    <row r="207" spans="2:5" ht="15" customHeight="1" x14ac:dyDescent="0.3">
      <c r="B207" s="76"/>
      <c r="C207" s="45" t="s">
        <v>531</v>
      </c>
      <c r="D207" s="44">
        <v>1</v>
      </c>
      <c r="E207" s="43">
        <v>3.4435261707988982E-4</v>
      </c>
    </row>
    <row r="208" spans="2:5" ht="15" customHeight="1" x14ac:dyDescent="0.3">
      <c r="B208" s="76"/>
      <c r="C208" s="45" t="s">
        <v>530</v>
      </c>
      <c r="D208" s="44">
        <v>1</v>
      </c>
      <c r="E208" s="43">
        <v>3.4435261707988982E-4</v>
      </c>
    </row>
    <row r="209" spans="2:5" ht="15" customHeight="1" x14ac:dyDescent="0.3">
      <c r="B209" s="76"/>
      <c r="C209" s="45" t="s">
        <v>529</v>
      </c>
      <c r="D209" s="44">
        <v>3</v>
      </c>
      <c r="E209" s="43">
        <v>1.0330578512396695E-3</v>
      </c>
    </row>
    <row r="210" spans="2:5" ht="15" customHeight="1" x14ac:dyDescent="0.3">
      <c r="B210" s="76"/>
      <c r="C210" s="45" t="s">
        <v>528</v>
      </c>
      <c r="D210" s="44">
        <v>15</v>
      </c>
      <c r="E210" s="43">
        <v>5.1652892561983473E-3</v>
      </c>
    </row>
    <row r="211" spans="2:5" ht="15" customHeight="1" x14ac:dyDescent="0.3">
      <c r="B211" s="76"/>
      <c r="C211" s="45" t="s">
        <v>527</v>
      </c>
      <c r="D211" s="44">
        <v>5</v>
      </c>
      <c r="E211" s="43">
        <v>1.7217630853994491E-3</v>
      </c>
    </row>
    <row r="212" spans="2:5" ht="15" customHeight="1" x14ac:dyDescent="0.3">
      <c r="B212" s="76"/>
      <c r="C212" s="45" t="s">
        <v>526</v>
      </c>
      <c r="D212" s="44">
        <v>10</v>
      </c>
      <c r="E212" s="43">
        <v>3.4435261707988982E-3</v>
      </c>
    </row>
    <row r="213" spans="2:5" ht="15" customHeight="1" x14ac:dyDescent="0.3">
      <c r="B213" s="76"/>
      <c r="C213" s="45" t="s">
        <v>525</v>
      </c>
      <c r="D213" s="44">
        <v>1</v>
      </c>
      <c r="E213" s="43">
        <v>3.4435261707988982E-4</v>
      </c>
    </row>
    <row r="214" spans="2:5" ht="15" customHeight="1" x14ac:dyDescent="0.3">
      <c r="B214" s="76"/>
      <c r="C214" s="45" t="s">
        <v>524</v>
      </c>
      <c r="D214" s="44">
        <v>2</v>
      </c>
      <c r="E214" s="43">
        <v>6.8870523415977963E-4</v>
      </c>
    </row>
    <row r="215" spans="2:5" ht="15" customHeight="1" x14ac:dyDescent="0.3">
      <c r="B215" s="77"/>
      <c r="C215" s="42" t="s">
        <v>18</v>
      </c>
      <c r="D215" s="41">
        <v>196</v>
      </c>
      <c r="E215" s="40">
        <v>6.7493112947658404E-2</v>
      </c>
    </row>
    <row r="216" spans="2:5" ht="15" customHeight="1" x14ac:dyDescent="0.3">
      <c r="B216" s="75" t="s">
        <v>36</v>
      </c>
      <c r="C216" s="45" t="s">
        <v>306</v>
      </c>
      <c r="D216" s="44">
        <v>1</v>
      </c>
      <c r="E216" s="43">
        <v>3.4435261707988982E-4</v>
      </c>
    </row>
    <row r="217" spans="2:5" ht="15" customHeight="1" x14ac:dyDescent="0.3">
      <c r="B217" s="76"/>
      <c r="C217" s="45" t="s">
        <v>523</v>
      </c>
      <c r="D217" s="44">
        <v>1</v>
      </c>
      <c r="E217" s="43">
        <v>3.4435261707988982E-4</v>
      </c>
    </row>
    <row r="218" spans="2:5" ht="15" customHeight="1" x14ac:dyDescent="0.3">
      <c r="B218" s="76"/>
      <c r="C218" s="45" t="s">
        <v>112</v>
      </c>
      <c r="D218" s="44">
        <v>4</v>
      </c>
      <c r="E218" s="43">
        <v>1.3774104683195593E-3</v>
      </c>
    </row>
    <row r="219" spans="2:5" ht="15" customHeight="1" x14ac:dyDescent="0.3">
      <c r="B219" s="76"/>
      <c r="C219" s="45" t="s">
        <v>522</v>
      </c>
      <c r="D219" s="44">
        <v>3</v>
      </c>
      <c r="E219" s="43">
        <v>1.0330578512396695E-3</v>
      </c>
    </row>
    <row r="220" spans="2:5" ht="15" customHeight="1" x14ac:dyDescent="0.3">
      <c r="B220" s="76"/>
      <c r="C220" s="45" t="s">
        <v>521</v>
      </c>
      <c r="D220" s="44">
        <v>2</v>
      </c>
      <c r="E220" s="43">
        <v>6.8870523415977963E-4</v>
      </c>
    </row>
    <row r="221" spans="2:5" ht="15" customHeight="1" x14ac:dyDescent="0.3">
      <c r="B221" s="76"/>
      <c r="C221" s="45" t="s">
        <v>520</v>
      </c>
      <c r="D221" s="44">
        <v>1</v>
      </c>
      <c r="E221" s="43">
        <v>3.4435261707988982E-4</v>
      </c>
    </row>
    <row r="222" spans="2:5" ht="15" customHeight="1" x14ac:dyDescent="0.3">
      <c r="B222" s="76"/>
      <c r="C222" s="45" t="s">
        <v>519</v>
      </c>
      <c r="D222" s="44">
        <v>1</v>
      </c>
      <c r="E222" s="43">
        <v>3.4435261707988982E-4</v>
      </c>
    </row>
    <row r="223" spans="2:5" ht="15" customHeight="1" x14ac:dyDescent="0.3">
      <c r="B223" s="76"/>
      <c r="C223" s="45" t="s">
        <v>518</v>
      </c>
      <c r="D223" s="44">
        <v>1</v>
      </c>
      <c r="E223" s="43">
        <v>3.4435261707988982E-4</v>
      </c>
    </row>
    <row r="224" spans="2:5" ht="15" customHeight="1" x14ac:dyDescent="0.3">
      <c r="B224" s="76"/>
      <c r="C224" s="45" t="s">
        <v>517</v>
      </c>
      <c r="D224" s="44">
        <v>1</v>
      </c>
      <c r="E224" s="43">
        <v>3.4435261707988982E-4</v>
      </c>
    </row>
    <row r="225" spans="2:5" ht="15" customHeight="1" x14ac:dyDescent="0.3">
      <c r="B225" s="76"/>
      <c r="C225" s="45" t="s">
        <v>516</v>
      </c>
      <c r="D225" s="44">
        <v>2</v>
      </c>
      <c r="E225" s="43">
        <v>6.8870523415977963E-4</v>
      </c>
    </row>
    <row r="226" spans="2:5" ht="15" customHeight="1" x14ac:dyDescent="0.3">
      <c r="B226" s="76"/>
      <c r="C226" s="45" t="s">
        <v>515</v>
      </c>
      <c r="D226" s="44">
        <v>1</v>
      </c>
      <c r="E226" s="43">
        <v>3.4435261707988982E-4</v>
      </c>
    </row>
    <row r="227" spans="2:5" ht="15" customHeight="1" x14ac:dyDescent="0.3">
      <c r="B227" s="76"/>
      <c r="C227" s="45" t="s">
        <v>514</v>
      </c>
      <c r="D227" s="44">
        <v>2</v>
      </c>
      <c r="E227" s="43">
        <v>6.8870523415977963E-4</v>
      </c>
    </row>
    <row r="228" spans="2:5" ht="15" customHeight="1" x14ac:dyDescent="0.3">
      <c r="B228" s="76"/>
      <c r="C228" s="45" t="s">
        <v>513</v>
      </c>
      <c r="D228" s="44">
        <v>5</v>
      </c>
      <c r="E228" s="43">
        <v>1.7217630853994491E-3</v>
      </c>
    </row>
    <row r="229" spans="2:5" ht="15" customHeight="1" x14ac:dyDescent="0.3">
      <c r="B229" s="76"/>
      <c r="C229" s="45" t="s">
        <v>512</v>
      </c>
      <c r="D229" s="44">
        <v>1</v>
      </c>
      <c r="E229" s="43">
        <v>3.4435261707988982E-4</v>
      </c>
    </row>
    <row r="230" spans="2:5" ht="15" customHeight="1" x14ac:dyDescent="0.3">
      <c r="B230" s="76"/>
      <c r="C230" s="45" t="s">
        <v>511</v>
      </c>
      <c r="D230" s="44">
        <v>1</v>
      </c>
      <c r="E230" s="43">
        <v>3.4435261707988982E-4</v>
      </c>
    </row>
    <row r="231" spans="2:5" ht="15" customHeight="1" x14ac:dyDescent="0.3">
      <c r="B231" s="76"/>
      <c r="C231" s="45" t="s">
        <v>510</v>
      </c>
      <c r="D231" s="44">
        <v>1</v>
      </c>
      <c r="E231" s="43">
        <v>3.4435261707988982E-4</v>
      </c>
    </row>
    <row r="232" spans="2:5" ht="15" customHeight="1" x14ac:dyDescent="0.3">
      <c r="B232" s="76"/>
      <c r="C232" s="45" t="s">
        <v>509</v>
      </c>
      <c r="D232" s="44">
        <v>2</v>
      </c>
      <c r="E232" s="43">
        <v>6.8870523415977963E-4</v>
      </c>
    </row>
    <row r="233" spans="2:5" ht="15" customHeight="1" x14ac:dyDescent="0.3">
      <c r="B233" s="76"/>
      <c r="C233" s="45" t="s">
        <v>508</v>
      </c>
      <c r="D233" s="44">
        <v>1</v>
      </c>
      <c r="E233" s="43">
        <v>3.4435261707988982E-4</v>
      </c>
    </row>
    <row r="234" spans="2:5" ht="15" customHeight="1" x14ac:dyDescent="0.3">
      <c r="B234" s="76"/>
      <c r="C234" s="45" t="s">
        <v>507</v>
      </c>
      <c r="D234" s="44">
        <v>2</v>
      </c>
      <c r="E234" s="43">
        <v>6.8870523415977963E-4</v>
      </c>
    </row>
    <row r="235" spans="2:5" ht="15" customHeight="1" x14ac:dyDescent="0.3">
      <c r="B235" s="76"/>
      <c r="C235" s="45" t="s">
        <v>506</v>
      </c>
      <c r="D235" s="44">
        <v>1</v>
      </c>
      <c r="E235" s="43">
        <v>3.4435261707988982E-4</v>
      </c>
    </row>
    <row r="236" spans="2:5" ht="15" customHeight="1" x14ac:dyDescent="0.3">
      <c r="B236" s="76"/>
      <c r="C236" s="45" t="s">
        <v>505</v>
      </c>
      <c r="D236" s="44">
        <v>1</v>
      </c>
      <c r="E236" s="43">
        <v>3.4435261707988982E-4</v>
      </c>
    </row>
    <row r="237" spans="2:5" ht="15" customHeight="1" x14ac:dyDescent="0.3">
      <c r="B237" s="76"/>
      <c r="C237" s="45" t="s">
        <v>504</v>
      </c>
      <c r="D237" s="44">
        <v>6</v>
      </c>
      <c r="E237" s="43">
        <v>2.0661157024793389E-3</v>
      </c>
    </row>
    <row r="238" spans="2:5" ht="15" customHeight="1" x14ac:dyDescent="0.3">
      <c r="B238" s="76"/>
      <c r="C238" s="45" t="s">
        <v>503</v>
      </c>
      <c r="D238" s="44">
        <v>1</v>
      </c>
      <c r="E238" s="43">
        <v>3.4435261707988982E-4</v>
      </c>
    </row>
    <row r="239" spans="2:5" ht="15" customHeight="1" x14ac:dyDescent="0.3">
      <c r="B239" s="76"/>
      <c r="C239" s="45" t="s">
        <v>502</v>
      </c>
      <c r="D239" s="44">
        <v>1</v>
      </c>
      <c r="E239" s="43">
        <v>3.4435261707988982E-4</v>
      </c>
    </row>
    <row r="240" spans="2:5" ht="15" customHeight="1" x14ac:dyDescent="0.3">
      <c r="B240" s="76"/>
      <c r="C240" s="45" t="s">
        <v>501</v>
      </c>
      <c r="D240" s="44">
        <v>1</v>
      </c>
      <c r="E240" s="43">
        <v>3.4435261707988982E-4</v>
      </c>
    </row>
    <row r="241" spans="2:5" ht="15" customHeight="1" x14ac:dyDescent="0.3">
      <c r="B241" s="76"/>
      <c r="C241" s="45" t="s">
        <v>500</v>
      </c>
      <c r="D241" s="44">
        <v>1</v>
      </c>
      <c r="E241" s="43">
        <v>3.4435261707988982E-4</v>
      </c>
    </row>
    <row r="242" spans="2:5" ht="15" customHeight="1" x14ac:dyDescent="0.3">
      <c r="B242" s="76"/>
      <c r="C242" s="45" t="s">
        <v>499</v>
      </c>
      <c r="D242" s="44">
        <v>1</v>
      </c>
      <c r="E242" s="43">
        <v>3.4435261707988982E-4</v>
      </c>
    </row>
    <row r="243" spans="2:5" ht="15" customHeight="1" x14ac:dyDescent="0.3">
      <c r="B243" s="76"/>
      <c r="C243" s="45" t="s">
        <v>498</v>
      </c>
      <c r="D243" s="44">
        <v>1</v>
      </c>
      <c r="E243" s="43">
        <v>3.4435261707988982E-4</v>
      </c>
    </row>
    <row r="244" spans="2:5" ht="15" customHeight="1" x14ac:dyDescent="0.3">
      <c r="B244" s="76"/>
      <c r="C244" s="45" t="s">
        <v>497</v>
      </c>
      <c r="D244" s="44">
        <v>1</v>
      </c>
      <c r="E244" s="43">
        <v>3.4435261707988982E-4</v>
      </c>
    </row>
    <row r="245" spans="2:5" ht="15" customHeight="1" x14ac:dyDescent="0.3">
      <c r="B245" s="76"/>
      <c r="C245" s="45" t="s">
        <v>496</v>
      </c>
      <c r="D245" s="44">
        <v>1</v>
      </c>
      <c r="E245" s="43">
        <v>3.4435261707988982E-4</v>
      </c>
    </row>
    <row r="246" spans="2:5" ht="15" customHeight="1" x14ac:dyDescent="0.3">
      <c r="B246" s="76"/>
      <c r="C246" s="45" t="s">
        <v>495</v>
      </c>
      <c r="D246" s="44">
        <v>1</v>
      </c>
      <c r="E246" s="43">
        <v>3.4435261707988982E-4</v>
      </c>
    </row>
    <row r="247" spans="2:5" ht="15" customHeight="1" x14ac:dyDescent="0.3">
      <c r="B247" s="76"/>
      <c r="C247" s="45" t="s">
        <v>494</v>
      </c>
      <c r="D247" s="44">
        <v>1</v>
      </c>
      <c r="E247" s="43">
        <v>3.4435261707988982E-4</v>
      </c>
    </row>
    <row r="248" spans="2:5" ht="15" customHeight="1" x14ac:dyDescent="0.3">
      <c r="B248" s="76"/>
      <c r="C248" s="45" t="s">
        <v>493</v>
      </c>
      <c r="D248" s="44">
        <v>3</v>
      </c>
      <c r="E248" s="43">
        <v>1.0330578512396695E-3</v>
      </c>
    </row>
    <row r="249" spans="2:5" ht="15" customHeight="1" x14ac:dyDescent="0.3">
      <c r="B249" s="76"/>
      <c r="C249" s="45" t="s">
        <v>492</v>
      </c>
      <c r="D249" s="44">
        <v>4</v>
      </c>
      <c r="E249" s="43">
        <v>1.3774104683195593E-3</v>
      </c>
    </row>
    <row r="250" spans="2:5" ht="15" customHeight="1" x14ac:dyDescent="0.3">
      <c r="B250" s="76"/>
      <c r="C250" s="45" t="s">
        <v>491</v>
      </c>
      <c r="D250" s="44">
        <v>1</v>
      </c>
      <c r="E250" s="43">
        <v>3.4435261707988982E-4</v>
      </c>
    </row>
    <row r="251" spans="2:5" ht="15" customHeight="1" x14ac:dyDescent="0.3">
      <c r="B251" s="76"/>
      <c r="C251" s="45" t="s">
        <v>490</v>
      </c>
      <c r="D251" s="44">
        <v>1</v>
      </c>
      <c r="E251" s="43">
        <v>3.4435261707988982E-4</v>
      </c>
    </row>
    <row r="252" spans="2:5" ht="15" customHeight="1" x14ac:dyDescent="0.3">
      <c r="B252" s="76"/>
      <c r="C252" s="45" t="s">
        <v>489</v>
      </c>
      <c r="D252" s="44">
        <v>1</v>
      </c>
      <c r="E252" s="43">
        <v>3.4435261707988982E-4</v>
      </c>
    </row>
    <row r="253" spans="2:5" ht="15" customHeight="1" x14ac:dyDescent="0.3">
      <c r="B253" s="77"/>
      <c r="C253" s="42" t="s">
        <v>18</v>
      </c>
      <c r="D253" s="41">
        <v>61</v>
      </c>
      <c r="E253" s="40">
        <v>2.1005509641873279E-2</v>
      </c>
    </row>
    <row r="254" spans="2:5" ht="15" customHeight="1" x14ac:dyDescent="0.3">
      <c r="B254" s="75" t="s">
        <v>35</v>
      </c>
      <c r="C254" s="45" t="s">
        <v>488</v>
      </c>
      <c r="D254" s="44">
        <v>1</v>
      </c>
      <c r="E254" s="43">
        <v>3.4435261707988982E-4</v>
      </c>
    </row>
    <row r="255" spans="2:5" ht="15" customHeight="1" x14ac:dyDescent="0.3">
      <c r="B255" s="76"/>
      <c r="C255" s="45" t="s">
        <v>487</v>
      </c>
      <c r="D255" s="44">
        <v>2</v>
      </c>
      <c r="E255" s="43">
        <v>6.8870523415977963E-4</v>
      </c>
    </row>
    <row r="256" spans="2:5" ht="15" customHeight="1" x14ac:dyDescent="0.3">
      <c r="B256" s="76"/>
      <c r="C256" s="45" t="s">
        <v>486</v>
      </c>
      <c r="D256" s="44">
        <v>1</v>
      </c>
      <c r="E256" s="43">
        <v>3.4435261707988982E-4</v>
      </c>
    </row>
    <row r="257" spans="2:5" ht="15" customHeight="1" x14ac:dyDescent="0.3">
      <c r="B257" s="76"/>
      <c r="C257" s="45" t="s">
        <v>485</v>
      </c>
      <c r="D257" s="44">
        <v>1</v>
      </c>
      <c r="E257" s="43">
        <v>3.4435261707988982E-4</v>
      </c>
    </row>
    <row r="258" spans="2:5" ht="15" customHeight="1" x14ac:dyDescent="0.3">
      <c r="B258" s="76"/>
      <c r="C258" s="45" t="s">
        <v>484</v>
      </c>
      <c r="D258" s="44">
        <v>1</v>
      </c>
      <c r="E258" s="43">
        <v>3.4435261707988982E-4</v>
      </c>
    </row>
    <row r="259" spans="2:5" ht="15" customHeight="1" x14ac:dyDescent="0.3">
      <c r="B259" s="76"/>
      <c r="C259" s="45" t="s">
        <v>483</v>
      </c>
      <c r="D259" s="44">
        <v>1</v>
      </c>
      <c r="E259" s="43">
        <v>3.4435261707988982E-4</v>
      </c>
    </row>
    <row r="260" spans="2:5" ht="15" customHeight="1" x14ac:dyDescent="0.3">
      <c r="B260" s="76"/>
      <c r="C260" s="45" t="s">
        <v>482</v>
      </c>
      <c r="D260" s="44">
        <v>2</v>
      </c>
      <c r="E260" s="43">
        <v>6.8870523415977963E-4</v>
      </c>
    </row>
    <row r="261" spans="2:5" ht="15" customHeight="1" x14ac:dyDescent="0.3">
      <c r="B261" s="76"/>
      <c r="C261" s="45" t="s">
        <v>481</v>
      </c>
      <c r="D261" s="44">
        <v>1</v>
      </c>
      <c r="E261" s="43">
        <v>3.4435261707988982E-4</v>
      </c>
    </row>
    <row r="262" spans="2:5" ht="15" customHeight="1" x14ac:dyDescent="0.3">
      <c r="B262" s="76"/>
      <c r="C262" s="45" t="s">
        <v>480</v>
      </c>
      <c r="D262" s="44">
        <v>12</v>
      </c>
      <c r="E262" s="43">
        <v>4.1322314049586778E-3</v>
      </c>
    </row>
    <row r="263" spans="2:5" ht="15" customHeight="1" x14ac:dyDescent="0.3">
      <c r="B263" s="76"/>
      <c r="C263" s="45" t="s">
        <v>479</v>
      </c>
      <c r="D263" s="44">
        <v>1</v>
      </c>
      <c r="E263" s="43">
        <v>3.4435261707988982E-4</v>
      </c>
    </row>
    <row r="264" spans="2:5" ht="15" customHeight="1" x14ac:dyDescent="0.3">
      <c r="B264" s="76"/>
      <c r="C264" s="45" t="s">
        <v>478</v>
      </c>
      <c r="D264" s="44">
        <v>1</v>
      </c>
      <c r="E264" s="43">
        <v>3.4435261707988982E-4</v>
      </c>
    </row>
    <row r="265" spans="2:5" ht="15" customHeight="1" x14ac:dyDescent="0.3">
      <c r="B265" s="76"/>
      <c r="C265" s="45" t="s">
        <v>477</v>
      </c>
      <c r="D265" s="44">
        <v>1</v>
      </c>
      <c r="E265" s="43">
        <v>3.4435261707988982E-4</v>
      </c>
    </row>
    <row r="266" spans="2:5" ht="15" customHeight="1" x14ac:dyDescent="0.3">
      <c r="B266" s="76"/>
      <c r="C266" s="45" t="s">
        <v>476</v>
      </c>
      <c r="D266" s="44">
        <v>1</v>
      </c>
      <c r="E266" s="43">
        <v>3.4435261707988982E-4</v>
      </c>
    </row>
    <row r="267" spans="2:5" ht="15" customHeight="1" x14ac:dyDescent="0.3">
      <c r="B267" s="76"/>
      <c r="C267" s="45" t="s">
        <v>475</v>
      </c>
      <c r="D267" s="44">
        <v>16</v>
      </c>
      <c r="E267" s="43">
        <v>5.5096418732782371E-3</v>
      </c>
    </row>
    <row r="268" spans="2:5" ht="15" customHeight="1" x14ac:dyDescent="0.3">
      <c r="B268" s="76"/>
      <c r="C268" s="45" t="s">
        <v>474</v>
      </c>
      <c r="D268" s="44">
        <v>1</v>
      </c>
      <c r="E268" s="43">
        <v>3.4435261707988982E-4</v>
      </c>
    </row>
    <row r="269" spans="2:5" ht="15" customHeight="1" x14ac:dyDescent="0.3">
      <c r="B269" s="76"/>
      <c r="C269" s="45" t="s">
        <v>473</v>
      </c>
      <c r="D269" s="44">
        <v>3</v>
      </c>
      <c r="E269" s="43">
        <v>1.0330578512396695E-3</v>
      </c>
    </row>
    <row r="270" spans="2:5" ht="15" customHeight="1" x14ac:dyDescent="0.3">
      <c r="B270" s="76"/>
      <c r="C270" s="45" t="s">
        <v>472</v>
      </c>
      <c r="D270" s="44">
        <v>2</v>
      </c>
      <c r="E270" s="43">
        <v>6.8870523415977963E-4</v>
      </c>
    </row>
    <row r="271" spans="2:5" ht="15" customHeight="1" x14ac:dyDescent="0.3">
      <c r="B271" s="76"/>
      <c r="C271" s="45" t="s">
        <v>471</v>
      </c>
      <c r="D271" s="44">
        <v>1</v>
      </c>
      <c r="E271" s="43">
        <v>3.4435261707988982E-4</v>
      </c>
    </row>
    <row r="272" spans="2:5" ht="15" customHeight="1" x14ac:dyDescent="0.3">
      <c r="B272" s="76"/>
      <c r="C272" s="45" t="s">
        <v>470</v>
      </c>
      <c r="D272" s="44">
        <v>1</v>
      </c>
      <c r="E272" s="43">
        <v>3.4435261707988982E-4</v>
      </c>
    </row>
    <row r="273" spans="2:5" ht="15" customHeight="1" x14ac:dyDescent="0.3">
      <c r="B273" s="76"/>
      <c r="C273" s="45" t="s">
        <v>469</v>
      </c>
      <c r="D273" s="44">
        <v>1</v>
      </c>
      <c r="E273" s="43">
        <v>3.4435261707988982E-4</v>
      </c>
    </row>
    <row r="274" spans="2:5" ht="15" customHeight="1" x14ac:dyDescent="0.3">
      <c r="B274" s="76"/>
      <c r="C274" s="45" t="s">
        <v>468</v>
      </c>
      <c r="D274" s="44">
        <v>1</v>
      </c>
      <c r="E274" s="43">
        <v>3.4435261707988982E-4</v>
      </c>
    </row>
    <row r="275" spans="2:5" ht="15" customHeight="1" x14ac:dyDescent="0.3">
      <c r="B275" s="76"/>
      <c r="C275" s="45" t="s">
        <v>467</v>
      </c>
      <c r="D275" s="44">
        <v>1</v>
      </c>
      <c r="E275" s="43">
        <v>3.4435261707988982E-4</v>
      </c>
    </row>
    <row r="276" spans="2:5" ht="15" customHeight="1" x14ac:dyDescent="0.3">
      <c r="B276" s="76"/>
      <c r="C276" s="45" t="s">
        <v>466</v>
      </c>
      <c r="D276" s="44">
        <v>1</v>
      </c>
      <c r="E276" s="43">
        <v>3.4435261707988982E-4</v>
      </c>
    </row>
    <row r="277" spans="2:5" ht="15" customHeight="1" x14ac:dyDescent="0.3">
      <c r="B277" s="76"/>
      <c r="C277" s="45" t="s">
        <v>465</v>
      </c>
      <c r="D277" s="44">
        <v>2</v>
      </c>
      <c r="E277" s="43">
        <v>6.8870523415977963E-4</v>
      </c>
    </row>
    <row r="278" spans="2:5" ht="15" customHeight="1" x14ac:dyDescent="0.3">
      <c r="B278" s="76"/>
      <c r="C278" s="45" t="s">
        <v>464</v>
      </c>
      <c r="D278" s="44">
        <v>2</v>
      </c>
      <c r="E278" s="43">
        <v>6.8870523415977963E-4</v>
      </c>
    </row>
    <row r="279" spans="2:5" ht="15" customHeight="1" x14ac:dyDescent="0.3">
      <c r="B279" s="76"/>
      <c r="C279" s="45" t="s">
        <v>463</v>
      </c>
      <c r="D279" s="44">
        <v>1</v>
      </c>
      <c r="E279" s="43">
        <v>3.4435261707988982E-4</v>
      </c>
    </row>
    <row r="280" spans="2:5" ht="15" customHeight="1" x14ac:dyDescent="0.3">
      <c r="B280" s="77"/>
      <c r="C280" s="42" t="s">
        <v>18</v>
      </c>
      <c r="D280" s="41">
        <v>59</v>
      </c>
      <c r="E280" s="40">
        <v>2.0316804407713499E-2</v>
      </c>
    </row>
    <row r="281" spans="2:5" ht="15" customHeight="1" x14ac:dyDescent="0.3">
      <c r="B281" s="75" t="s">
        <v>41</v>
      </c>
      <c r="C281" s="45" t="s">
        <v>462</v>
      </c>
      <c r="D281" s="44">
        <v>1</v>
      </c>
      <c r="E281" s="43">
        <v>3.4435261707988982E-4</v>
      </c>
    </row>
    <row r="282" spans="2:5" ht="15" customHeight="1" x14ac:dyDescent="0.3">
      <c r="B282" s="76"/>
      <c r="C282" s="45" t="s">
        <v>461</v>
      </c>
      <c r="D282" s="44">
        <v>2</v>
      </c>
      <c r="E282" s="43">
        <v>6.8870523415977963E-4</v>
      </c>
    </row>
    <row r="283" spans="2:5" ht="15" customHeight="1" x14ac:dyDescent="0.3">
      <c r="B283" s="76"/>
      <c r="C283" s="45" t="s">
        <v>460</v>
      </c>
      <c r="D283" s="44">
        <v>1</v>
      </c>
      <c r="E283" s="43">
        <v>3.4435261707988982E-4</v>
      </c>
    </row>
    <row r="284" spans="2:5" ht="15" customHeight="1" x14ac:dyDescent="0.3">
      <c r="B284" s="76"/>
      <c r="C284" s="45" t="s">
        <v>459</v>
      </c>
      <c r="D284" s="44">
        <v>3</v>
      </c>
      <c r="E284" s="43">
        <v>1.0330578512396695E-3</v>
      </c>
    </row>
    <row r="285" spans="2:5" ht="15" customHeight="1" x14ac:dyDescent="0.3">
      <c r="B285" s="76"/>
      <c r="C285" s="45" t="s">
        <v>458</v>
      </c>
      <c r="D285" s="44">
        <v>1</v>
      </c>
      <c r="E285" s="43">
        <v>3.4435261707988982E-4</v>
      </c>
    </row>
    <row r="286" spans="2:5" ht="15" customHeight="1" x14ac:dyDescent="0.3">
      <c r="B286" s="76"/>
      <c r="C286" s="45" t="s">
        <v>457</v>
      </c>
      <c r="D286" s="44">
        <v>1</v>
      </c>
      <c r="E286" s="43">
        <v>3.4435261707988982E-4</v>
      </c>
    </row>
    <row r="287" spans="2:5" ht="15" customHeight="1" x14ac:dyDescent="0.3">
      <c r="B287" s="76"/>
      <c r="C287" s="45" t="s">
        <v>456</v>
      </c>
      <c r="D287" s="44">
        <v>3</v>
      </c>
      <c r="E287" s="43">
        <v>1.0330578512396695E-3</v>
      </c>
    </row>
    <row r="288" spans="2:5" ht="15" customHeight="1" x14ac:dyDescent="0.3">
      <c r="B288" s="76"/>
      <c r="C288" s="45" t="s">
        <v>455</v>
      </c>
      <c r="D288" s="44">
        <v>10</v>
      </c>
      <c r="E288" s="43">
        <v>3.4435261707988982E-3</v>
      </c>
    </row>
    <row r="289" spans="2:5" ht="15" customHeight="1" x14ac:dyDescent="0.3">
      <c r="B289" s="76"/>
      <c r="C289" s="45" t="s">
        <v>36</v>
      </c>
      <c r="D289" s="44">
        <v>1</v>
      </c>
      <c r="E289" s="43">
        <v>3.4435261707988982E-4</v>
      </c>
    </row>
    <row r="290" spans="2:5" ht="15" customHeight="1" x14ac:dyDescent="0.3">
      <c r="B290" s="76"/>
      <c r="C290" s="45" t="s">
        <v>454</v>
      </c>
      <c r="D290" s="44">
        <v>2</v>
      </c>
      <c r="E290" s="43">
        <v>6.8870523415977963E-4</v>
      </c>
    </row>
    <row r="291" spans="2:5" ht="15" customHeight="1" x14ac:dyDescent="0.3">
      <c r="B291" s="76"/>
      <c r="C291" s="45" t="s">
        <v>453</v>
      </c>
      <c r="D291" s="44">
        <v>44</v>
      </c>
      <c r="E291" s="43">
        <v>1.5151515151515152E-2</v>
      </c>
    </row>
    <row r="292" spans="2:5" ht="15" customHeight="1" x14ac:dyDescent="0.3">
      <c r="B292" s="76"/>
      <c r="C292" s="45" t="s">
        <v>452</v>
      </c>
      <c r="D292" s="44">
        <v>1</v>
      </c>
      <c r="E292" s="43">
        <v>3.4435261707988982E-4</v>
      </c>
    </row>
    <row r="293" spans="2:5" ht="15" customHeight="1" x14ac:dyDescent="0.3">
      <c r="B293" s="76"/>
      <c r="C293" s="45" t="s">
        <v>451</v>
      </c>
      <c r="D293" s="44">
        <v>1</v>
      </c>
      <c r="E293" s="43">
        <v>3.4435261707988982E-4</v>
      </c>
    </row>
    <row r="294" spans="2:5" ht="15" customHeight="1" x14ac:dyDescent="0.3">
      <c r="B294" s="76"/>
      <c r="C294" s="45" t="s">
        <v>450</v>
      </c>
      <c r="D294" s="44">
        <v>7</v>
      </c>
      <c r="E294" s="43">
        <v>2.4104683195592287E-3</v>
      </c>
    </row>
    <row r="295" spans="2:5" ht="15" customHeight="1" x14ac:dyDescent="0.3">
      <c r="B295" s="76"/>
      <c r="C295" s="45" t="s">
        <v>136</v>
      </c>
      <c r="D295" s="44">
        <v>4</v>
      </c>
      <c r="E295" s="43">
        <v>1.3774104683195593E-3</v>
      </c>
    </row>
    <row r="296" spans="2:5" ht="15" customHeight="1" x14ac:dyDescent="0.3">
      <c r="B296" s="76"/>
      <c r="C296" s="45" t="s">
        <v>449</v>
      </c>
      <c r="D296" s="44">
        <v>10</v>
      </c>
      <c r="E296" s="43">
        <v>3.4435261707988982E-3</v>
      </c>
    </row>
    <row r="297" spans="2:5" ht="15" customHeight="1" x14ac:dyDescent="0.3">
      <c r="B297" s="76"/>
      <c r="C297" s="45" t="s">
        <v>448</v>
      </c>
      <c r="D297" s="44">
        <v>1</v>
      </c>
      <c r="E297" s="43">
        <v>3.4435261707988982E-4</v>
      </c>
    </row>
    <row r="298" spans="2:5" ht="15" customHeight="1" x14ac:dyDescent="0.3">
      <c r="B298" s="76"/>
      <c r="C298" s="45" t="s">
        <v>447</v>
      </c>
      <c r="D298" s="44">
        <v>7</v>
      </c>
      <c r="E298" s="43">
        <v>2.4104683195592287E-3</v>
      </c>
    </row>
    <row r="299" spans="2:5" ht="15" customHeight="1" x14ac:dyDescent="0.3">
      <c r="B299" s="76"/>
      <c r="C299" s="45" t="s">
        <v>446</v>
      </c>
      <c r="D299" s="44">
        <v>13</v>
      </c>
      <c r="E299" s="43">
        <v>4.4765840220385676E-3</v>
      </c>
    </row>
    <row r="300" spans="2:5" ht="15" customHeight="1" x14ac:dyDescent="0.3">
      <c r="B300" s="76"/>
      <c r="C300" s="45" t="s">
        <v>445</v>
      </c>
      <c r="D300" s="44">
        <v>1</v>
      </c>
      <c r="E300" s="43">
        <v>3.4435261707988982E-4</v>
      </c>
    </row>
    <row r="301" spans="2:5" ht="15" customHeight="1" x14ac:dyDescent="0.3">
      <c r="B301" s="76"/>
      <c r="C301" s="45" t="s">
        <v>444</v>
      </c>
      <c r="D301" s="44">
        <v>1</v>
      </c>
      <c r="E301" s="43">
        <v>3.4435261707988982E-4</v>
      </c>
    </row>
    <row r="302" spans="2:5" ht="15" customHeight="1" x14ac:dyDescent="0.3">
      <c r="B302" s="76"/>
      <c r="C302" s="45" t="s">
        <v>443</v>
      </c>
      <c r="D302" s="44">
        <v>2</v>
      </c>
      <c r="E302" s="43">
        <v>6.8870523415977963E-4</v>
      </c>
    </row>
    <row r="303" spans="2:5" ht="15" customHeight="1" x14ac:dyDescent="0.3">
      <c r="B303" s="76"/>
      <c r="C303" s="45" t="s">
        <v>442</v>
      </c>
      <c r="D303" s="44">
        <v>3</v>
      </c>
      <c r="E303" s="43">
        <v>1.0330578512396695E-3</v>
      </c>
    </row>
    <row r="304" spans="2:5" ht="15" customHeight="1" x14ac:dyDescent="0.3">
      <c r="B304" s="76"/>
      <c r="C304" s="45" t="s">
        <v>441</v>
      </c>
      <c r="D304" s="44">
        <v>2</v>
      </c>
      <c r="E304" s="43">
        <v>6.8870523415977963E-4</v>
      </c>
    </row>
    <row r="305" spans="2:5" ht="15" customHeight="1" x14ac:dyDescent="0.3">
      <c r="B305" s="76"/>
      <c r="C305" s="45" t="s">
        <v>440</v>
      </c>
      <c r="D305" s="44">
        <v>10</v>
      </c>
      <c r="E305" s="43">
        <v>3.4435261707988982E-3</v>
      </c>
    </row>
    <row r="306" spans="2:5" ht="15" customHeight="1" x14ac:dyDescent="0.3">
      <c r="B306" s="76"/>
      <c r="C306" s="45" t="s">
        <v>439</v>
      </c>
      <c r="D306" s="44">
        <v>2</v>
      </c>
      <c r="E306" s="43">
        <v>6.8870523415977963E-4</v>
      </c>
    </row>
    <row r="307" spans="2:5" ht="15" customHeight="1" x14ac:dyDescent="0.3">
      <c r="B307" s="76"/>
      <c r="C307" s="45" t="s">
        <v>438</v>
      </c>
      <c r="D307" s="44">
        <v>2</v>
      </c>
      <c r="E307" s="43">
        <v>6.8870523415977963E-4</v>
      </c>
    </row>
    <row r="308" spans="2:5" ht="15" customHeight="1" x14ac:dyDescent="0.3">
      <c r="B308" s="76"/>
      <c r="C308" s="45" t="s">
        <v>437</v>
      </c>
      <c r="D308" s="44">
        <v>2</v>
      </c>
      <c r="E308" s="43">
        <v>6.8870523415977963E-4</v>
      </c>
    </row>
    <row r="309" spans="2:5" ht="15" customHeight="1" x14ac:dyDescent="0.3">
      <c r="B309" s="76"/>
      <c r="C309" s="45" t="s">
        <v>436</v>
      </c>
      <c r="D309" s="44">
        <v>1</v>
      </c>
      <c r="E309" s="43">
        <v>3.4435261707988982E-4</v>
      </c>
    </row>
    <row r="310" spans="2:5" ht="15" customHeight="1" x14ac:dyDescent="0.3">
      <c r="B310" s="76"/>
      <c r="C310" s="45" t="s">
        <v>435</v>
      </c>
      <c r="D310" s="44">
        <v>1</v>
      </c>
      <c r="E310" s="43">
        <v>3.4435261707988982E-4</v>
      </c>
    </row>
    <row r="311" spans="2:5" ht="15" customHeight="1" x14ac:dyDescent="0.3">
      <c r="B311" s="76"/>
      <c r="C311" s="45" t="s">
        <v>434</v>
      </c>
      <c r="D311" s="44">
        <v>1</v>
      </c>
      <c r="E311" s="43">
        <v>3.4435261707988982E-4</v>
      </c>
    </row>
    <row r="312" spans="2:5" ht="15" customHeight="1" x14ac:dyDescent="0.3">
      <c r="B312" s="76"/>
      <c r="C312" s="45" t="s">
        <v>433</v>
      </c>
      <c r="D312" s="44">
        <v>2</v>
      </c>
      <c r="E312" s="43">
        <v>6.8870523415977963E-4</v>
      </c>
    </row>
    <row r="313" spans="2:5" ht="15" customHeight="1" x14ac:dyDescent="0.3">
      <c r="B313" s="76"/>
      <c r="C313" s="45" t="s">
        <v>432</v>
      </c>
      <c r="D313" s="44">
        <v>4</v>
      </c>
      <c r="E313" s="43">
        <v>1.3774104683195593E-3</v>
      </c>
    </row>
    <row r="314" spans="2:5" ht="15" customHeight="1" x14ac:dyDescent="0.3">
      <c r="B314" s="76"/>
      <c r="C314" s="45" t="s">
        <v>431</v>
      </c>
      <c r="D314" s="44">
        <v>1</v>
      </c>
      <c r="E314" s="43">
        <v>3.4435261707988982E-4</v>
      </c>
    </row>
    <row r="315" spans="2:5" ht="15" customHeight="1" x14ac:dyDescent="0.3">
      <c r="B315" s="76"/>
      <c r="C315" s="45" t="s">
        <v>430</v>
      </c>
      <c r="D315" s="44">
        <v>2</v>
      </c>
      <c r="E315" s="43">
        <v>6.8870523415977963E-4</v>
      </c>
    </row>
    <row r="316" spans="2:5" ht="15" customHeight="1" x14ac:dyDescent="0.3">
      <c r="B316" s="77"/>
      <c r="C316" s="42" t="s">
        <v>18</v>
      </c>
      <c r="D316" s="41">
        <v>150</v>
      </c>
      <c r="E316" s="40">
        <v>5.1652892561983473E-2</v>
      </c>
    </row>
    <row r="317" spans="2:5" ht="15" customHeight="1" x14ac:dyDescent="0.3">
      <c r="B317" s="75" t="s">
        <v>37</v>
      </c>
      <c r="C317" s="45" t="s">
        <v>429</v>
      </c>
      <c r="D317" s="44">
        <v>2</v>
      </c>
      <c r="E317" s="43">
        <v>6.8870523415977963E-4</v>
      </c>
    </row>
    <row r="318" spans="2:5" ht="15" customHeight="1" x14ac:dyDescent="0.3">
      <c r="B318" s="76"/>
      <c r="C318" s="45" t="s">
        <v>428</v>
      </c>
      <c r="D318" s="44">
        <v>7</v>
      </c>
      <c r="E318" s="43">
        <v>2.4104683195592287E-3</v>
      </c>
    </row>
    <row r="319" spans="2:5" ht="15" customHeight="1" x14ac:dyDescent="0.3">
      <c r="B319" s="76"/>
      <c r="C319" s="45" t="s">
        <v>427</v>
      </c>
      <c r="D319" s="44">
        <v>28</v>
      </c>
      <c r="E319" s="43">
        <v>9.6418732782369149E-3</v>
      </c>
    </row>
    <row r="320" spans="2:5" ht="15" customHeight="1" x14ac:dyDescent="0.3">
      <c r="B320" s="76"/>
      <c r="C320" s="45" t="s">
        <v>426</v>
      </c>
      <c r="D320" s="44">
        <v>16</v>
      </c>
      <c r="E320" s="43">
        <v>5.5096418732782371E-3</v>
      </c>
    </row>
    <row r="321" spans="2:5" ht="15" customHeight="1" x14ac:dyDescent="0.3">
      <c r="B321" s="76"/>
      <c r="C321" s="45" t="s">
        <v>425</v>
      </c>
      <c r="D321" s="44">
        <v>1</v>
      </c>
      <c r="E321" s="43">
        <v>3.4435261707988982E-4</v>
      </c>
    </row>
    <row r="322" spans="2:5" ht="15" customHeight="1" x14ac:dyDescent="0.3">
      <c r="B322" s="76"/>
      <c r="C322" s="45" t="s">
        <v>424</v>
      </c>
      <c r="D322" s="44">
        <v>2</v>
      </c>
      <c r="E322" s="43">
        <v>6.8870523415977963E-4</v>
      </c>
    </row>
    <row r="323" spans="2:5" ht="15" customHeight="1" x14ac:dyDescent="0.3">
      <c r="B323" s="76"/>
      <c r="C323" s="45" t="s">
        <v>423</v>
      </c>
      <c r="D323" s="44">
        <v>2</v>
      </c>
      <c r="E323" s="43">
        <v>6.8870523415977963E-4</v>
      </c>
    </row>
    <row r="324" spans="2:5" ht="15" customHeight="1" x14ac:dyDescent="0.3">
      <c r="B324" s="76"/>
      <c r="C324" s="45" t="s">
        <v>422</v>
      </c>
      <c r="D324" s="44">
        <v>1</v>
      </c>
      <c r="E324" s="43">
        <v>3.4435261707988982E-4</v>
      </c>
    </row>
    <row r="325" spans="2:5" ht="15" customHeight="1" x14ac:dyDescent="0.3">
      <c r="B325" s="76"/>
      <c r="C325" s="45" t="s">
        <v>421</v>
      </c>
      <c r="D325" s="44">
        <v>1</v>
      </c>
      <c r="E325" s="43">
        <v>3.4435261707988982E-4</v>
      </c>
    </row>
    <row r="326" spans="2:5" ht="15" customHeight="1" x14ac:dyDescent="0.3">
      <c r="B326" s="76"/>
      <c r="C326" s="45" t="s">
        <v>420</v>
      </c>
      <c r="D326" s="44">
        <v>2</v>
      </c>
      <c r="E326" s="43">
        <v>6.8870523415977963E-4</v>
      </c>
    </row>
    <row r="327" spans="2:5" ht="15" customHeight="1" x14ac:dyDescent="0.3">
      <c r="B327" s="76"/>
      <c r="C327" s="45" t="s">
        <v>419</v>
      </c>
      <c r="D327" s="44">
        <v>3</v>
      </c>
      <c r="E327" s="43">
        <v>1.0330578512396695E-3</v>
      </c>
    </row>
    <row r="328" spans="2:5" ht="15" customHeight="1" x14ac:dyDescent="0.3">
      <c r="B328" s="76"/>
      <c r="C328" s="45" t="s">
        <v>418</v>
      </c>
      <c r="D328" s="44">
        <v>4</v>
      </c>
      <c r="E328" s="43">
        <v>1.3774104683195593E-3</v>
      </c>
    </row>
    <row r="329" spans="2:5" ht="15" customHeight="1" x14ac:dyDescent="0.3">
      <c r="B329" s="76"/>
      <c r="C329" s="45" t="s">
        <v>417</v>
      </c>
      <c r="D329" s="44">
        <v>2</v>
      </c>
      <c r="E329" s="43">
        <v>6.8870523415977963E-4</v>
      </c>
    </row>
    <row r="330" spans="2:5" ht="15" customHeight="1" x14ac:dyDescent="0.3">
      <c r="B330" s="76"/>
      <c r="C330" s="45" t="s">
        <v>416</v>
      </c>
      <c r="D330" s="44">
        <v>1</v>
      </c>
      <c r="E330" s="43">
        <v>3.4435261707988982E-4</v>
      </c>
    </row>
    <row r="331" spans="2:5" ht="15" customHeight="1" x14ac:dyDescent="0.3">
      <c r="B331" s="76"/>
      <c r="C331" s="45" t="s">
        <v>415</v>
      </c>
      <c r="D331" s="44">
        <v>6</v>
      </c>
      <c r="E331" s="43">
        <v>2.0661157024793389E-3</v>
      </c>
    </row>
    <row r="332" spans="2:5" ht="15" customHeight="1" x14ac:dyDescent="0.3">
      <c r="B332" s="76"/>
      <c r="C332" s="45" t="s">
        <v>414</v>
      </c>
      <c r="D332" s="44">
        <v>3</v>
      </c>
      <c r="E332" s="43">
        <v>1.0330578512396695E-3</v>
      </c>
    </row>
    <row r="333" spans="2:5" ht="15" customHeight="1" x14ac:dyDescent="0.3">
      <c r="B333" s="76"/>
      <c r="C333" s="45" t="s">
        <v>413</v>
      </c>
      <c r="D333" s="44">
        <v>1</v>
      </c>
      <c r="E333" s="43">
        <v>3.4435261707988982E-4</v>
      </c>
    </row>
    <row r="334" spans="2:5" ht="15" customHeight="1" x14ac:dyDescent="0.3">
      <c r="B334" s="76"/>
      <c r="C334" s="45" t="s">
        <v>412</v>
      </c>
      <c r="D334" s="44">
        <v>5</v>
      </c>
      <c r="E334" s="43">
        <v>1.7217630853994491E-3</v>
      </c>
    </row>
    <row r="335" spans="2:5" ht="15" customHeight="1" x14ac:dyDescent="0.3">
      <c r="B335" s="76"/>
      <c r="C335" s="45" t="s">
        <v>411</v>
      </c>
      <c r="D335" s="44">
        <v>1</v>
      </c>
      <c r="E335" s="43">
        <v>3.4435261707988982E-4</v>
      </c>
    </row>
    <row r="336" spans="2:5" ht="15" customHeight="1" x14ac:dyDescent="0.3">
      <c r="B336" s="76"/>
      <c r="C336" s="45" t="s">
        <v>410</v>
      </c>
      <c r="D336" s="44">
        <v>3</v>
      </c>
      <c r="E336" s="43">
        <v>1.0330578512396695E-3</v>
      </c>
    </row>
    <row r="337" spans="2:5" ht="15" customHeight="1" x14ac:dyDescent="0.3">
      <c r="B337" s="77"/>
      <c r="C337" s="42" t="s">
        <v>18</v>
      </c>
      <c r="D337" s="41">
        <v>91</v>
      </c>
      <c r="E337" s="40">
        <v>3.133608815426997E-2</v>
      </c>
    </row>
    <row r="338" spans="2:5" ht="15" customHeight="1" x14ac:dyDescent="0.3">
      <c r="B338" s="75" t="s">
        <v>22</v>
      </c>
      <c r="C338" s="45" t="s">
        <v>269</v>
      </c>
      <c r="D338" s="44">
        <v>1</v>
      </c>
      <c r="E338" s="43">
        <v>3.4435261707988982E-4</v>
      </c>
    </row>
    <row r="339" spans="2:5" ht="15" customHeight="1" x14ac:dyDescent="0.3">
      <c r="B339" s="76"/>
      <c r="C339" s="45" t="s">
        <v>409</v>
      </c>
      <c r="D339" s="44">
        <v>1</v>
      </c>
      <c r="E339" s="43">
        <v>3.4435261707988982E-4</v>
      </c>
    </row>
    <row r="340" spans="2:5" ht="15" customHeight="1" x14ac:dyDescent="0.3">
      <c r="B340" s="76"/>
      <c r="C340" s="45" t="s">
        <v>408</v>
      </c>
      <c r="D340" s="44">
        <v>1</v>
      </c>
      <c r="E340" s="43">
        <v>3.4435261707988982E-4</v>
      </c>
    </row>
    <row r="341" spans="2:5" ht="15" customHeight="1" x14ac:dyDescent="0.3">
      <c r="B341" s="76"/>
      <c r="C341" s="45" t="s">
        <v>407</v>
      </c>
      <c r="D341" s="44">
        <v>2</v>
      </c>
      <c r="E341" s="43">
        <v>6.8870523415977963E-4</v>
      </c>
    </row>
    <row r="342" spans="2:5" ht="15" customHeight="1" x14ac:dyDescent="0.3">
      <c r="B342" s="77"/>
      <c r="C342" s="42" t="s">
        <v>18</v>
      </c>
      <c r="D342" s="41">
        <v>5</v>
      </c>
      <c r="E342" s="40">
        <v>1.7217630853994491E-3</v>
      </c>
    </row>
    <row r="343" spans="2:5" ht="15" customHeight="1" x14ac:dyDescent="0.3">
      <c r="B343" s="75" t="s">
        <v>44</v>
      </c>
      <c r="C343" s="45" t="s">
        <v>406</v>
      </c>
      <c r="D343" s="44">
        <v>5</v>
      </c>
      <c r="E343" s="43">
        <v>1.7217630853994491E-3</v>
      </c>
    </row>
    <row r="344" spans="2:5" ht="15" customHeight="1" x14ac:dyDescent="0.3">
      <c r="B344" s="76"/>
      <c r="C344" s="45" t="s">
        <v>405</v>
      </c>
      <c r="D344" s="44">
        <v>2</v>
      </c>
      <c r="E344" s="43">
        <v>6.8870523415977963E-4</v>
      </c>
    </row>
    <row r="345" spans="2:5" ht="15" customHeight="1" x14ac:dyDescent="0.3">
      <c r="B345" s="76"/>
      <c r="C345" s="45" t="s">
        <v>404</v>
      </c>
      <c r="D345" s="44">
        <v>2</v>
      </c>
      <c r="E345" s="43">
        <v>6.8870523415977963E-4</v>
      </c>
    </row>
    <row r="346" spans="2:5" ht="15" customHeight="1" x14ac:dyDescent="0.3">
      <c r="B346" s="76"/>
      <c r="C346" s="45" t="s">
        <v>403</v>
      </c>
      <c r="D346" s="44">
        <v>1</v>
      </c>
      <c r="E346" s="43">
        <v>3.4435261707988982E-4</v>
      </c>
    </row>
    <row r="347" spans="2:5" ht="15" customHeight="1" x14ac:dyDescent="0.3">
      <c r="B347" s="76"/>
      <c r="C347" s="45" t="s">
        <v>402</v>
      </c>
      <c r="D347" s="44">
        <v>2</v>
      </c>
      <c r="E347" s="43">
        <v>6.8870523415977963E-4</v>
      </c>
    </row>
    <row r="348" spans="2:5" ht="15" customHeight="1" x14ac:dyDescent="0.3">
      <c r="B348" s="76"/>
      <c r="C348" s="45" t="s">
        <v>401</v>
      </c>
      <c r="D348" s="44">
        <v>2</v>
      </c>
      <c r="E348" s="43">
        <v>6.8870523415977963E-4</v>
      </c>
    </row>
    <row r="349" spans="2:5" ht="15" customHeight="1" x14ac:dyDescent="0.3">
      <c r="B349" s="76"/>
      <c r="C349" s="45" t="s">
        <v>400</v>
      </c>
      <c r="D349" s="44">
        <v>1</v>
      </c>
      <c r="E349" s="43">
        <v>3.4435261707988982E-4</v>
      </c>
    </row>
    <row r="350" spans="2:5" ht="15" customHeight="1" x14ac:dyDescent="0.3">
      <c r="B350" s="76"/>
      <c r="C350" s="45" t="s">
        <v>399</v>
      </c>
      <c r="D350" s="44">
        <v>5</v>
      </c>
      <c r="E350" s="43">
        <v>1.7217630853994491E-3</v>
      </c>
    </row>
    <row r="351" spans="2:5" ht="15" customHeight="1" x14ac:dyDescent="0.3">
      <c r="B351" s="76"/>
      <c r="C351" s="45" t="s">
        <v>398</v>
      </c>
      <c r="D351" s="44">
        <v>2</v>
      </c>
      <c r="E351" s="43">
        <v>6.8870523415977963E-4</v>
      </c>
    </row>
    <row r="352" spans="2:5" ht="15" customHeight="1" x14ac:dyDescent="0.3">
      <c r="B352" s="76"/>
      <c r="C352" s="45" t="s">
        <v>397</v>
      </c>
      <c r="D352" s="44">
        <v>2</v>
      </c>
      <c r="E352" s="43">
        <v>6.8870523415977963E-4</v>
      </c>
    </row>
    <row r="353" spans="2:5" ht="15" customHeight="1" x14ac:dyDescent="0.3">
      <c r="B353" s="76"/>
      <c r="C353" s="45" t="s">
        <v>396</v>
      </c>
      <c r="D353" s="44">
        <v>1</v>
      </c>
      <c r="E353" s="43">
        <v>3.4435261707988982E-4</v>
      </c>
    </row>
    <row r="354" spans="2:5" ht="15" customHeight="1" x14ac:dyDescent="0.3">
      <c r="B354" s="76"/>
      <c r="C354" s="45" t="s">
        <v>395</v>
      </c>
      <c r="D354" s="44">
        <v>3</v>
      </c>
      <c r="E354" s="43">
        <v>1.0330578512396695E-3</v>
      </c>
    </row>
    <row r="355" spans="2:5" ht="15" customHeight="1" x14ac:dyDescent="0.3">
      <c r="B355" s="76"/>
      <c r="C355" s="45" t="s">
        <v>394</v>
      </c>
      <c r="D355" s="44">
        <v>1</v>
      </c>
      <c r="E355" s="43">
        <v>3.4435261707988982E-4</v>
      </c>
    </row>
    <row r="356" spans="2:5" ht="15" customHeight="1" x14ac:dyDescent="0.3">
      <c r="B356" s="76"/>
      <c r="C356" s="45" t="s">
        <v>393</v>
      </c>
      <c r="D356" s="44">
        <v>3</v>
      </c>
      <c r="E356" s="43">
        <v>1.0330578512396695E-3</v>
      </c>
    </row>
    <row r="357" spans="2:5" ht="15" customHeight="1" x14ac:dyDescent="0.3">
      <c r="B357" s="76"/>
      <c r="C357" s="45" t="s">
        <v>392</v>
      </c>
      <c r="D357" s="44">
        <v>1</v>
      </c>
      <c r="E357" s="43">
        <v>3.4435261707988982E-4</v>
      </c>
    </row>
    <row r="358" spans="2:5" ht="15" customHeight="1" x14ac:dyDescent="0.3">
      <c r="B358" s="76"/>
      <c r="C358" s="45" t="s">
        <v>391</v>
      </c>
      <c r="D358" s="44">
        <v>24</v>
      </c>
      <c r="E358" s="43">
        <v>8.2644628099173556E-3</v>
      </c>
    </row>
    <row r="359" spans="2:5" ht="15" customHeight="1" x14ac:dyDescent="0.3">
      <c r="B359" s="76"/>
      <c r="C359" s="45" t="s">
        <v>390</v>
      </c>
      <c r="D359" s="44">
        <v>5</v>
      </c>
      <c r="E359" s="43">
        <v>1.7217630853994491E-3</v>
      </c>
    </row>
    <row r="360" spans="2:5" ht="15" customHeight="1" x14ac:dyDescent="0.3">
      <c r="B360" s="76"/>
      <c r="C360" s="45" t="s">
        <v>389</v>
      </c>
      <c r="D360" s="44">
        <v>2</v>
      </c>
      <c r="E360" s="43">
        <v>6.8870523415977963E-4</v>
      </c>
    </row>
    <row r="361" spans="2:5" ht="15" customHeight="1" x14ac:dyDescent="0.3">
      <c r="B361" s="76"/>
      <c r="C361" s="45" t="s">
        <v>388</v>
      </c>
      <c r="D361" s="44">
        <v>1</v>
      </c>
      <c r="E361" s="43">
        <v>3.4435261707988982E-4</v>
      </c>
    </row>
    <row r="362" spans="2:5" ht="15" customHeight="1" x14ac:dyDescent="0.3">
      <c r="B362" s="76"/>
      <c r="C362" s="45" t="s">
        <v>387</v>
      </c>
      <c r="D362" s="44">
        <v>5</v>
      </c>
      <c r="E362" s="43">
        <v>1.7217630853994491E-3</v>
      </c>
    </row>
    <row r="363" spans="2:5" ht="15" customHeight="1" x14ac:dyDescent="0.3">
      <c r="B363" s="76"/>
      <c r="C363" s="45" t="s">
        <v>386</v>
      </c>
      <c r="D363" s="44">
        <v>20</v>
      </c>
      <c r="E363" s="43">
        <v>6.8870523415977963E-3</v>
      </c>
    </row>
    <row r="364" spans="2:5" ht="15" customHeight="1" x14ac:dyDescent="0.3">
      <c r="B364" s="76"/>
      <c r="C364" s="45" t="s">
        <v>385</v>
      </c>
      <c r="D364" s="44">
        <v>1</v>
      </c>
      <c r="E364" s="43">
        <v>3.4435261707988982E-4</v>
      </c>
    </row>
    <row r="365" spans="2:5" ht="15" customHeight="1" x14ac:dyDescent="0.3">
      <c r="B365" s="76"/>
      <c r="C365" s="45" t="s">
        <v>384</v>
      </c>
      <c r="D365" s="44">
        <v>1</v>
      </c>
      <c r="E365" s="43">
        <v>3.4435261707988982E-4</v>
      </c>
    </row>
    <row r="366" spans="2:5" ht="15" customHeight="1" x14ac:dyDescent="0.3">
      <c r="B366" s="76"/>
      <c r="C366" s="45" t="s">
        <v>383</v>
      </c>
      <c r="D366" s="44">
        <v>1</v>
      </c>
      <c r="E366" s="43">
        <v>3.4435261707988982E-4</v>
      </c>
    </row>
    <row r="367" spans="2:5" ht="15" customHeight="1" x14ac:dyDescent="0.3">
      <c r="B367" s="76"/>
      <c r="C367" s="45" t="s">
        <v>382</v>
      </c>
      <c r="D367" s="44">
        <v>1</v>
      </c>
      <c r="E367" s="43">
        <v>3.4435261707988982E-4</v>
      </c>
    </row>
    <row r="368" spans="2:5" ht="15" customHeight="1" x14ac:dyDescent="0.3">
      <c r="B368" s="76"/>
      <c r="C368" s="45" t="s">
        <v>381</v>
      </c>
      <c r="D368" s="44">
        <v>2</v>
      </c>
      <c r="E368" s="43">
        <v>6.8870523415977963E-4</v>
      </c>
    </row>
    <row r="369" spans="2:5" ht="15" customHeight="1" x14ac:dyDescent="0.3">
      <c r="B369" s="76"/>
      <c r="C369" s="45" t="s">
        <v>380</v>
      </c>
      <c r="D369" s="44">
        <v>1</v>
      </c>
      <c r="E369" s="43">
        <v>3.4435261707988982E-4</v>
      </c>
    </row>
    <row r="370" spans="2:5" ht="15" customHeight="1" x14ac:dyDescent="0.3">
      <c r="B370" s="76"/>
      <c r="C370" s="45" t="s">
        <v>379</v>
      </c>
      <c r="D370" s="44">
        <v>2</v>
      </c>
      <c r="E370" s="43">
        <v>6.8870523415977963E-4</v>
      </c>
    </row>
    <row r="371" spans="2:5" ht="15" customHeight="1" x14ac:dyDescent="0.3">
      <c r="B371" s="76"/>
      <c r="C371" s="45" t="s">
        <v>378</v>
      </c>
      <c r="D371" s="44">
        <v>1</v>
      </c>
      <c r="E371" s="43">
        <v>3.4435261707988982E-4</v>
      </c>
    </row>
    <row r="372" spans="2:5" ht="15" customHeight="1" x14ac:dyDescent="0.3">
      <c r="B372" s="76"/>
      <c r="C372" s="45" t="s">
        <v>377</v>
      </c>
      <c r="D372" s="44">
        <v>1</v>
      </c>
      <c r="E372" s="43">
        <v>3.4435261707988982E-4</v>
      </c>
    </row>
    <row r="373" spans="2:5" ht="15" customHeight="1" x14ac:dyDescent="0.3">
      <c r="B373" s="76"/>
      <c r="C373" s="45" t="s">
        <v>376</v>
      </c>
      <c r="D373" s="44">
        <v>1</v>
      </c>
      <c r="E373" s="43">
        <v>3.4435261707988982E-4</v>
      </c>
    </row>
    <row r="374" spans="2:5" ht="15" customHeight="1" x14ac:dyDescent="0.3">
      <c r="B374" s="76"/>
      <c r="C374" s="45" t="s">
        <v>375</v>
      </c>
      <c r="D374" s="44">
        <v>1</v>
      </c>
      <c r="E374" s="43">
        <v>3.4435261707988982E-4</v>
      </c>
    </row>
    <row r="375" spans="2:5" ht="15" customHeight="1" x14ac:dyDescent="0.3">
      <c r="B375" s="76"/>
      <c r="C375" s="45" t="s">
        <v>374</v>
      </c>
      <c r="D375" s="44">
        <v>1</v>
      </c>
      <c r="E375" s="43">
        <v>3.4435261707988982E-4</v>
      </c>
    </row>
    <row r="376" spans="2:5" ht="15" customHeight="1" x14ac:dyDescent="0.3">
      <c r="B376" s="76"/>
      <c r="C376" s="45" t="s">
        <v>373</v>
      </c>
      <c r="D376" s="44">
        <v>1</v>
      </c>
      <c r="E376" s="43">
        <v>3.4435261707988982E-4</v>
      </c>
    </row>
    <row r="377" spans="2:5" ht="15" customHeight="1" x14ac:dyDescent="0.3">
      <c r="B377" s="76"/>
      <c r="C377" s="45" t="s">
        <v>372</v>
      </c>
      <c r="D377" s="44">
        <v>1</v>
      </c>
      <c r="E377" s="43">
        <v>3.4435261707988982E-4</v>
      </c>
    </row>
    <row r="378" spans="2:5" ht="15" customHeight="1" x14ac:dyDescent="0.3">
      <c r="B378" s="76"/>
      <c r="C378" s="45" t="s">
        <v>371</v>
      </c>
      <c r="D378" s="44">
        <v>1</v>
      </c>
      <c r="E378" s="43">
        <v>3.4435261707988982E-4</v>
      </c>
    </row>
    <row r="379" spans="2:5" ht="15" customHeight="1" x14ac:dyDescent="0.3">
      <c r="B379" s="76"/>
      <c r="C379" s="45" t="s">
        <v>370</v>
      </c>
      <c r="D379" s="44">
        <v>1</v>
      </c>
      <c r="E379" s="43">
        <v>3.4435261707988982E-4</v>
      </c>
    </row>
    <row r="380" spans="2:5" ht="15" customHeight="1" x14ac:dyDescent="0.3">
      <c r="B380" s="76"/>
      <c r="C380" s="45" t="s">
        <v>369</v>
      </c>
      <c r="D380" s="44">
        <v>1</v>
      </c>
      <c r="E380" s="43">
        <v>3.4435261707988982E-4</v>
      </c>
    </row>
    <row r="381" spans="2:5" ht="15" customHeight="1" x14ac:dyDescent="0.3">
      <c r="B381" s="76"/>
      <c r="C381" s="45" t="s">
        <v>368</v>
      </c>
      <c r="D381" s="44">
        <v>2</v>
      </c>
      <c r="E381" s="43">
        <v>6.8870523415977963E-4</v>
      </c>
    </row>
    <row r="382" spans="2:5" ht="15" customHeight="1" x14ac:dyDescent="0.3">
      <c r="B382" s="76"/>
      <c r="C382" s="45" t="s">
        <v>367</v>
      </c>
      <c r="D382" s="44">
        <v>3</v>
      </c>
      <c r="E382" s="43">
        <v>1.0330578512396695E-3</v>
      </c>
    </row>
    <row r="383" spans="2:5" ht="15" customHeight="1" x14ac:dyDescent="0.3">
      <c r="B383" s="76"/>
      <c r="C383" s="45" t="s">
        <v>366</v>
      </c>
      <c r="D383" s="44">
        <v>1</v>
      </c>
      <c r="E383" s="43">
        <v>3.4435261707988982E-4</v>
      </c>
    </row>
    <row r="384" spans="2:5" ht="15" customHeight="1" x14ac:dyDescent="0.3">
      <c r="B384" s="76"/>
      <c r="C384" s="45" t="s">
        <v>365</v>
      </c>
      <c r="D384" s="44">
        <v>1</v>
      </c>
      <c r="E384" s="43">
        <v>3.4435261707988982E-4</v>
      </c>
    </row>
    <row r="385" spans="2:5" ht="15" customHeight="1" x14ac:dyDescent="0.3">
      <c r="B385" s="76"/>
      <c r="C385" s="45" t="s">
        <v>364</v>
      </c>
      <c r="D385" s="44">
        <v>1</v>
      </c>
      <c r="E385" s="43">
        <v>3.4435261707988982E-4</v>
      </c>
    </row>
    <row r="386" spans="2:5" ht="15" customHeight="1" x14ac:dyDescent="0.3">
      <c r="B386" s="76"/>
      <c r="C386" s="45" t="s">
        <v>363</v>
      </c>
      <c r="D386" s="44">
        <v>1</v>
      </c>
      <c r="E386" s="43">
        <v>3.4435261707988982E-4</v>
      </c>
    </row>
    <row r="387" spans="2:5" ht="15" customHeight="1" x14ac:dyDescent="0.3">
      <c r="B387" s="76"/>
      <c r="C387" s="45" t="s">
        <v>362</v>
      </c>
      <c r="D387" s="44">
        <v>1</v>
      </c>
      <c r="E387" s="43">
        <v>3.4435261707988982E-4</v>
      </c>
    </row>
    <row r="388" spans="2:5" ht="15" customHeight="1" x14ac:dyDescent="0.3">
      <c r="B388" s="76"/>
      <c r="C388" s="45" t="s">
        <v>361</v>
      </c>
      <c r="D388" s="44">
        <v>1</v>
      </c>
      <c r="E388" s="43">
        <v>3.4435261707988982E-4</v>
      </c>
    </row>
    <row r="389" spans="2:5" ht="15" customHeight="1" x14ac:dyDescent="0.3">
      <c r="B389" s="76"/>
      <c r="C389" s="45" t="s">
        <v>360</v>
      </c>
      <c r="D389" s="44">
        <v>1</v>
      </c>
      <c r="E389" s="43">
        <v>3.4435261707988982E-4</v>
      </c>
    </row>
    <row r="390" spans="2:5" ht="15" customHeight="1" x14ac:dyDescent="0.3">
      <c r="B390" s="76"/>
      <c r="C390" s="45" t="s">
        <v>359</v>
      </c>
      <c r="D390" s="44">
        <v>1</v>
      </c>
      <c r="E390" s="43">
        <v>3.4435261707988982E-4</v>
      </c>
    </row>
    <row r="391" spans="2:5" ht="15" customHeight="1" x14ac:dyDescent="0.3">
      <c r="B391" s="76"/>
      <c r="C391" s="45" t="s">
        <v>358</v>
      </c>
      <c r="D391" s="44">
        <v>1</v>
      </c>
      <c r="E391" s="43">
        <v>3.4435261707988982E-4</v>
      </c>
    </row>
    <row r="392" spans="2:5" ht="15" customHeight="1" x14ac:dyDescent="0.3">
      <c r="B392" s="76"/>
      <c r="C392" s="45" t="s">
        <v>357</v>
      </c>
      <c r="D392" s="44">
        <v>5</v>
      </c>
      <c r="E392" s="43">
        <v>1.7217630853994491E-3</v>
      </c>
    </row>
    <row r="393" spans="2:5" ht="15" customHeight="1" x14ac:dyDescent="0.3">
      <c r="B393" s="76"/>
      <c r="C393" s="45" t="s">
        <v>356</v>
      </c>
      <c r="D393" s="44">
        <v>1</v>
      </c>
      <c r="E393" s="43">
        <v>3.4435261707988982E-4</v>
      </c>
    </row>
    <row r="394" spans="2:5" ht="15" customHeight="1" x14ac:dyDescent="0.3">
      <c r="B394" s="76"/>
      <c r="C394" s="45" t="s">
        <v>355</v>
      </c>
      <c r="D394" s="44">
        <v>1</v>
      </c>
      <c r="E394" s="43">
        <v>3.4435261707988982E-4</v>
      </c>
    </row>
    <row r="395" spans="2:5" ht="15" customHeight="1" x14ac:dyDescent="0.3">
      <c r="B395" s="76"/>
      <c r="C395" s="45" t="s">
        <v>354</v>
      </c>
      <c r="D395" s="44">
        <v>2</v>
      </c>
      <c r="E395" s="43">
        <v>6.8870523415977963E-4</v>
      </c>
    </row>
    <row r="396" spans="2:5" ht="15" customHeight="1" x14ac:dyDescent="0.3">
      <c r="B396" s="76"/>
      <c r="C396" s="45" t="s">
        <v>353</v>
      </c>
      <c r="D396" s="44">
        <v>1</v>
      </c>
      <c r="E396" s="43">
        <v>3.4435261707988982E-4</v>
      </c>
    </row>
    <row r="397" spans="2:5" ht="15" customHeight="1" x14ac:dyDescent="0.3">
      <c r="B397" s="76"/>
      <c r="C397" s="45" t="s">
        <v>352</v>
      </c>
      <c r="D397" s="44">
        <v>3</v>
      </c>
      <c r="E397" s="43">
        <v>1.0330578512396695E-3</v>
      </c>
    </row>
    <row r="398" spans="2:5" ht="15" customHeight="1" x14ac:dyDescent="0.3">
      <c r="B398" s="76"/>
      <c r="C398" s="45" t="s">
        <v>351</v>
      </c>
      <c r="D398" s="44">
        <v>1</v>
      </c>
      <c r="E398" s="43">
        <v>3.4435261707988982E-4</v>
      </c>
    </row>
    <row r="399" spans="2:5" ht="15" customHeight="1" x14ac:dyDescent="0.3">
      <c r="B399" s="76"/>
      <c r="C399" s="45" t="s">
        <v>350</v>
      </c>
      <c r="D399" s="44">
        <v>1</v>
      </c>
      <c r="E399" s="43">
        <v>3.4435261707988982E-4</v>
      </c>
    </row>
    <row r="400" spans="2:5" ht="15" customHeight="1" x14ac:dyDescent="0.3">
      <c r="B400" s="76"/>
      <c r="C400" s="45" t="s">
        <v>349</v>
      </c>
      <c r="D400" s="44">
        <v>5</v>
      </c>
      <c r="E400" s="43">
        <v>1.7217630853994491E-3</v>
      </c>
    </row>
    <row r="401" spans="2:5" ht="15" customHeight="1" x14ac:dyDescent="0.3">
      <c r="B401" s="76"/>
      <c r="C401" s="45" t="s">
        <v>348</v>
      </c>
      <c r="D401" s="44">
        <v>1</v>
      </c>
      <c r="E401" s="43">
        <v>3.4435261707988982E-4</v>
      </c>
    </row>
    <row r="402" spans="2:5" ht="15" customHeight="1" x14ac:dyDescent="0.3">
      <c r="B402" s="76"/>
      <c r="C402" s="45" t="s">
        <v>347</v>
      </c>
      <c r="D402" s="44">
        <v>1</v>
      </c>
      <c r="E402" s="43">
        <v>3.4435261707988982E-4</v>
      </c>
    </row>
    <row r="403" spans="2:5" ht="15" customHeight="1" x14ac:dyDescent="0.3">
      <c r="B403" s="76"/>
      <c r="C403" s="45" t="s">
        <v>346</v>
      </c>
      <c r="D403" s="44">
        <v>1</v>
      </c>
      <c r="E403" s="43">
        <v>3.4435261707988982E-4</v>
      </c>
    </row>
    <row r="404" spans="2:5" ht="15" customHeight="1" x14ac:dyDescent="0.3">
      <c r="B404" s="76"/>
      <c r="C404" s="45" t="s">
        <v>345</v>
      </c>
      <c r="D404" s="44">
        <v>1</v>
      </c>
      <c r="E404" s="43">
        <v>3.4435261707988982E-4</v>
      </c>
    </row>
    <row r="405" spans="2:5" ht="15" customHeight="1" x14ac:dyDescent="0.3">
      <c r="B405" s="76"/>
      <c r="C405" s="45" t="s">
        <v>344</v>
      </c>
      <c r="D405" s="44">
        <v>1</v>
      </c>
      <c r="E405" s="43">
        <v>3.4435261707988982E-4</v>
      </c>
    </row>
    <row r="406" spans="2:5" ht="15" customHeight="1" x14ac:dyDescent="0.3">
      <c r="B406" s="76"/>
      <c r="C406" s="45" t="s">
        <v>343</v>
      </c>
      <c r="D406" s="44">
        <v>1</v>
      </c>
      <c r="E406" s="43">
        <v>3.4435261707988982E-4</v>
      </c>
    </row>
    <row r="407" spans="2:5" ht="15" customHeight="1" x14ac:dyDescent="0.3">
      <c r="B407" s="76"/>
      <c r="C407" s="45" t="s">
        <v>342</v>
      </c>
      <c r="D407" s="44">
        <v>1</v>
      </c>
      <c r="E407" s="43">
        <v>3.4435261707988982E-4</v>
      </c>
    </row>
    <row r="408" spans="2:5" ht="15" customHeight="1" x14ac:dyDescent="0.3">
      <c r="B408" s="76"/>
      <c r="C408" s="45" t="s">
        <v>341</v>
      </c>
      <c r="D408" s="44">
        <v>1</v>
      </c>
      <c r="E408" s="43">
        <v>3.4435261707988982E-4</v>
      </c>
    </row>
    <row r="409" spans="2:5" ht="15" customHeight="1" x14ac:dyDescent="0.3">
      <c r="B409" s="76"/>
      <c r="C409" s="45" t="s">
        <v>340</v>
      </c>
      <c r="D409" s="44">
        <v>1</v>
      </c>
      <c r="E409" s="43">
        <v>3.4435261707988982E-4</v>
      </c>
    </row>
    <row r="410" spans="2:5" ht="15" customHeight="1" x14ac:dyDescent="0.3">
      <c r="B410" s="76"/>
      <c r="C410" s="45" t="s">
        <v>339</v>
      </c>
      <c r="D410" s="44">
        <v>1</v>
      </c>
      <c r="E410" s="43">
        <v>3.4435261707988982E-4</v>
      </c>
    </row>
    <row r="411" spans="2:5" ht="15" customHeight="1" x14ac:dyDescent="0.3">
      <c r="B411" s="76"/>
      <c r="C411" s="45" t="s">
        <v>338</v>
      </c>
      <c r="D411" s="44">
        <v>1</v>
      </c>
      <c r="E411" s="43">
        <v>3.4435261707988982E-4</v>
      </c>
    </row>
    <row r="412" spans="2:5" ht="15" customHeight="1" x14ac:dyDescent="0.3">
      <c r="B412" s="76"/>
      <c r="C412" s="45" t="s">
        <v>337</v>
      </c>
      <c r="D412" s="44">
        <v>1</v>
      </c>
      <c r="E412" s="43">
        <v>3.4435261707988982E-4</v>
      </c>
    </row>
    <row r="413" spans="2:5" ht="15" customHeight="1" x14ac:dyDescent="0.3">
      <c r="B413" s="76"/>
      <c r="C413" s="45" t="s">
        <v>336</v>
      </c>
      <c r="D413" s="44">
        <v>1</v>
      </c>
      <c r="E413" s="43">
        <v>3.4435261707988982E-4</v>
      </c>
    </row>
    <row r="414" spans="2:5" ht="15" customHeight="1" x14ac:dyDescent="0.3">
      <c r="B414" s="76"/>
      <c r="C414" s="45" t="s">
        <v>335</v>
      </c>
      <c r="D414" s="44">
        <v>3</v>
      </c>
      <c r="E414" s="43">
        <v>1.0330578512396695E-3</v>
      </c>
    </row>
    <row r="415" spans="2:5" ht="15" customHeight="1" x14ac:dyDescent="0.3">
      <c r="B415" s="76"/>
      <c r="C415" s="45" t="s">
        <v>334</v>
      </c>
      <c r="D415" s="44">
        <v>2</v>
      </c>
      <c r="E415" s="43">
        <v>6.8870523415977963E-4</v>
      </c>
    </row>
    <row r="416" spans="2:5" ht="15" customHeight="1" x14ac:dyDescent="0.3">
      <c r="B416" s="76"/>
      <c r="C416" s="45" t="s">
        <v>333</v>
      </c>
      <c r="D416" s="44">
        <v>1</v>
      </c>
      <c r="E416" s="43">
        <v>3.4435261707988982E-4</v>
      </c>
    </row>
    <row r="417" spans="2:5" ht="15" customHeight="1" x14ac:dyDescent="0.3">
      <c r="B417" s="76"/>
      <c r="C417" s="45" t="s">
        <v>332</v>
      </c>
      <c r="D417" s="44">
        <v>5</v>
      </c>
      <c r="E417" s="43">
        <v>1.7217630853994491E-3</v>
      </c>
    </row>
    <row r="418" spans="2:5" ht="15" customHeight="1" x14ac:dyDescent="0.3">
      <c r="B418" s="76"/>
      <c r="C418" s="45" t="s">
        <v>331</v>
      </c>
      <c r="D418" s="44">
        <v>1</v>
      </c>
      <c r="E418" s="43">
        <v>3.4435261707988982E-4</v>
      </c>
    </row>
    <row r="419" spans="2:5" ht="15" customHeight="1" x14ac:dyDescent="0.3">
      <c r="B419" s="76"/>
      <c r="C419" s="45" t="s">
        <v>330</v>
      </c>
      <c r="D419" s="44">
        <v>7</v>
      </c>
      <c r="E419" s="43">
        <v>2.4104683195592287E-3</v>
      </c>
    </row>
    <row r="420" spans="2:5" ht="15" customHeight="1" x14ac:dyDescent="0.3">
      <c r="B420" s="76"/>
      <c r="C420" s="45" t="s">
        <v>329</v>
      </c>
      <c r="D420" s="44">
        <v>1</v>
      </c>
      <c r="E420" s="43">
        <v>3.4435261707988982E-4</v>
      </c>
    </row>
    <row r="421" spans="2:5" ht="15" customHeight="1" x14ac:dyDescent="0.3">
      <c r="B421" s="76"/>
      <c r="C421" s="45" t="s">
        <v>328</v>
      </c>
      <c r="D421" s="44">
        <v>3</v>
      </c>
      <c r="E421" s="43">
        <v>1.0330578512396695E-3</v>
      </c>
    </row>
    <row r="422" spans="2:5" ht="15" customHeight="1" x14ac:dyDescent="0.3">
      <c r="B422" s="76"/>
      <c r="C422" s="45" t="s">
        <v>327</v>
      </c>
      <c r="D422" s="44">
        <v>1</v>
      </c>
      <c r="E422" s="43">
        <v>3.4435261707988982E-4</v>
      </c>
    </row>
    <row r="423" spans="2:5" ht="15" customHeight="1" x14ac:dyDescent="0.3">
      <c r="B423" s="76"/>
      <c r="C423" s="45" t="s">
        <v>326</v>
      </c>
      <c r="D423" s="44">
        <v>1</v>
      </c>
      <c r="E423" s="43">
        <v>3.4435261707988982E-4</v>
      </c>
    </row>
    <row r="424" spans="2:5" ht="15" customHeight="1" x14ac:dyDescent="0.3">
      <c r="B424" s="76"/>
      <c r="C424" s="45" t="s">
        <v>325</v>
      </c>
      <c r="D424" s="44">
        <v>1</v>
      </c>
      <c r="E424" s="43">
        <v>3.4435261707988982E-4</v>
      </c>
    </row>
    <row r="425" spans="2:5" ht="15" customHeight="1" x14ac:dyDescent="0.3">
      <c r="B425" s="76"/>
      <c r="C425" s="45" t="s">
        <v>324</v>
      </c>
      <c r="D425" s="44">
        <v>1</v>
      </c>
      <c r="E425" s="43">
        <v>3.4435261707988982E-4</v>
      </c>
    </row>
    <row r="426" spans="2:5" ht="15" customHeight="1" x14ac:dyDescent="0.3">
      <c r="B426" s="76"/>
      <c r="C426" s="45" t="s">
        <v>323</v>
      </c>
      <c r="D426" s="44">
        <v>1</v>
      </c>
      <c r="E426" s="43">
        <v>3.4435261707988982E-4</v>
      </c>
    </row>
    <row r="427" spans="2:5" ht="15" customHeight="1" x14ac:dyDescent="0.3">
      <c r="B427" s="76"/>
      <c r="C427" s="45" t="s">
        <v>322</v>
      </c>
      <c r="D427" s="44">
        <v>2</v>
      </c>
      <c r="E427" s="43">
        <v>6.8870523415977963E-4</v>
      </c>
    </row>
    <row r="428" spans="2:5" ht="15" customHeight="1" x14ac:dyDescent="0.3">
      <c r="B428" s="76"/>
      <c r="C428" s="45" t="s">
        <v>321</v>
      </c>
      <c r="D428" s="44">
        <v>1</v>
      </c>
      <c r="E428" s="43">
        <v>3.4435261707988982E-4</v>
      </c>
    </row>
    <row r="429" spans="2:5" ht="15" customHeight="1" x14ac:dyDescent="0.3">
      <c r="B429" s="76"/>
      <c r="C429" s="45" t="s">
        <v>320</v>
      </c>
      <c r="D429" s="44">
        <v>1</v>
      </c>
      <c r="E429" s="43">
        <v>3.4435261707988982E-4</v>
      </c>
    </row>
    <row r="430" spans="2:5" ht="15" customHeight="1" x14ac:dyDescent="0.3">
      <c r="B430" s="76"/>
      <c r="C430" s="45" t="s">
        <v>319</v>
      </c>
      <c r="D430" s="44">
        <v>2</v>
      </c>
      <c r="E430" s="43">
        <v>6.8870523415977963E-4</v>
      </c>
    </row>
    <row r="431" spans="2:5" ht="15" customHeight="1" x14ac:dyDescent="0.3">
      <c r="B431" s="76"/>
      <c r="C431" s="45" t="s">
        <v>318</v>
      </c>
      <c r="D431" s="44">
        <v>2</v>
      </c>
      <c r="E431" s="43">
        <v>6.8870523415977963E-4</v>
      </c>
    </row>
    <row r="432" spans="2:5" ht="15" customHeight="1" x14ac:dyDescent="0.3">
      <c r="B432" s="76"/>
      <c r="C432" s="45" t="s">
        <v>317</v>
      </c>
      <c r="D432" s="44">
        <v>6</v>
      </c>
      <c r="E432" s="43">
        <v>2.0661157024793389E-3</v>
      </c>
    </row>
    <row r="433" spans="2:5" ht="15" customHeight="1" x14ac:dyDescent="0.3">
      <c r="B433" s="76"/>
      <c r="C433" s="45" t="s">
        <v>316</v>
      </c>
      <c r="D433" s="44">
        <v>3</v>
      </c>
      <c r="E433" s="43">
        <v>1.0330578512396695E-3</v>
      </c>
    </row>
    <row r="434" spans="2:5" ht="15" customHeight="1" x14ac:dyDescent="0.3">
      <c r="B434" s="76"/>
      <c r="C434" s="45" t="s">
        <v>315</v>
      </c>
      <c r="D434" s="44">
        <v>1</v>
      </c>
      <c r="E434" s="43">
        <v>3.4435261707988982E-4</v>
      </c>
    </row>
    <row r="435" spans="2:5" ht="15" customHeight="1" x14ac:dyDescent="0.3">
      <c r="B435" s="76"/>
      <c r="C435" s="45" t="s">
        <v>314</v>
      </c>
      <c r="D435" s="44">
        <v>1</v>
      </c>
      <c r="E435" s="43">
        <v>3.4435261707988982E-4</v>
      </c>
    </row>
    <row r="436" spans="2:5" ht="15" customHeight="1" x14ac:dyDescent="0.3">
      <c r="B436" s="76"/>
      <c r="C436" s="45" t="s">
        <v>313</v>
      </c>
      <c r="D436" s="44">
        <v>1</v>
      </c>
      <c r="E436" s="43">
        <v>3.4435261707988982E-4</v>
      </c>
    </row>
    <row r="437" spans="2:5" ht="15" customHeight="1" x14ac:dyDescent="0.3">
      <c r="B437" s="76"/>
      <c r="C437" s="45" t="s">
        <v>312</v>
      </c>
      <c r="D437" s="44">
        <v>44</v>
      </c>
      <c r="E437" s="43">
        <v>1.5151515151515152E-2</v>
      </c>
    </row>
    <row r="438" spans="2:5" ht="15" customHeight="1" x14ac:dyDescent="0.3">
      <c r="B438" s="76"/>
      <c r="C438" s="45" t="s">
        <v>311</v>
      </c>
      <c r="D438" s="44">
        <v>1</v>
      </c>
      <c r="E438" s="43">
        <v>3.4435261707988982E-4</v>
      </c>
    </row>
    <row r="439" spans="2:5" ht="15" customHeight="1" x14ac:dyDescent="0.3">
      <c r="B439" s="76"/>
      <c r="C439" s="45" t="s">
        <v>310</v>
      </c>
      <c r="D439" s="44">
        <v>1</v>
      </c>
      <c r="E439" s="43">
        <v>3.4435261707988982E-4</v>
      </c>
    </row>
    <row r="440" spans="2:5" ht="15" customHeight="1" x14ac:dyDescent="0.3">
      <c r="B440" s="76"/>
      <c r="C440" s="45" t="s">
        <v>309</v>
      </c>
      <c r="D440" s="44">
        <v>3</v>
      </c>
      <c r="E440" s="43">
        <v>1.0330578512396695E-3</v>
      </c>
    </row>
    <row r="441" spans="2:5" ht="15" customHeight="1" x14ac:dyDescent="0.3">
      <c r="B441" s="76"/>
      <c r="C441" s="45" t="s">
        <v>308</v>
      </c>
      <c r="D441" s="44">
        <v>2</v>
      </c>
      <c r="E441" s="43">
        <v>6.8870523415977963E-4</v>
      </c>
    </row>
    <row r="442" spans="2:5" ht="15" customHeight="1" x14ac:dyDescent="0.3">
      <c r="B442" s="77"/>
      <c r="C442" s="42" t="s">
        <v>18</v>
      </c>
      <c r="D442" s="41">
        <v>255</v>
      </c>
      <c r="E442" s="40">
        <v>8.78099173553719E-2</v>
      </c>
    </row>
    <row r="443" spans="2:5" ht="15" customHeight="1" x14ac:dyDescent="0.3">
      <c r="B443" s="75" t="s">
        <v>46</v>
      </c>
      <c r="C443" s="45" t="s">
        <v>307</v>
      </c>
      <c r="D443" s="44">
        <v>5</v>
      </c>
      <c r="E443" s="43">
        <v>1.7217630853994491E-3</v>
      </c>
    </row>
    <row r="444" spans="2:5" ht="15" customHeight="1" x14ac:dyDescent="0.3">
      <c r="B444" s="76"/>
      <c r="C444" s="45" t="s">
        <v>306</v>
      </c>
      <c r="D444" s="44">
        <v>20</v>
      </c>
      <c r="E444" s="43">
        <v>6.8870523415977963E-3</v>
      </c>
    </row>
    <row r="445" spans="2:5" ht="15" customHeight="1" x14ac:dyDescent="0.3">
      <c r="B445" s="76"/>
      <c r="C445" s="45" t="s">
        <v>305</v>
      </c>
      <c r="D445" s="44">
        <v>3</v>
      </c>
      <c r="E445" s="43">
        <v>1.0330578512396695E-3</v>
      </c>
    </row>
    <row r="446" spans="2:5" ht="15" customHeight="1" x14ac:dyDescent="0.3">
      <c r="B446" s="76"/>
      <c r="C446" s="45" t="s">
        <v>304</v>
      </c>
      <c r="D446" s="44">
        <v>1</v>
      </c>
      <c r="E446" s="43">
        <v>3.4435261707988982E-4</v>
      </c>
    </row>
    <row r="447" spans="2:5" ht="15" customHeight="1" x14ac:dyDescent="0.3">
      <c r="B447" s="76"/>
      <c r="C447" s="45" t="s">
        <v>303</v>
      </c>
      <c r="D447" s="44">
        <v>2</v>
      </c>
      <c r="E447" s="43">
        <v>6.8870523415977963E-4</v>
      </c>
    </row>
    <row r="448" spans="2:5" ht="15" customHeight="1" x14ac:dyDescent="0.3">
      <c r="B448" s="76"/>
      <c r="C448" s="45" t="s">
        <v>302</v>
      </c>
      <c r="D448" s="44">
        <v>2</v>
      </c>
      <c r="E448" s="43">
        <v>6.8870523415977963E-4</v>
      </c>
    </row>
    <row r="449" spans="2:5" ht="15" customHeight="1" x14ac:dyDescent="0.3">
      <c r="B449" s="76"/>
      <c r="C449" s="45" t="s">
        <v>301</v>
      </c>
      <c r="D449" s="44">
        <v>5</v>
      </c>
      <c r="E449" s="43">
        <v>1.7217630853994491E-3</v>
      </c>
    </row>
    <row r="450" spans="2:5" ht="15" customHeight="1" x14ac:dyDescent="0.3">
      <c r="B450" s="76"/>
      <c r="C450" s="45" t="s">
        <v>300</v>
      </c>
      <c r="D450" s="44">
        <v>2</v>
      </c>
      <c r="E450" s="43">
        <v>6.8870523415977963E-4</v>
      </c>
    </row>
    <row r="451" spans="2:5" ht="15" customHeight="1" x14ac:dyDescent="0.3">
      <c r="B451" s="76"/>
      <c r="C451" s="45" t="s">
        <v>299</v>
      </c>
      <c r="D451" s="44">
        <v>1</v>
      </c>
      <c r="E451" s="43">
        <v>3.4435261707988982E-4</v>
      </c>
    </row>
    <row r="452" spans="2:5" ht="15" customHeight="1" x14ac:dyDescent="0.3">
      <c r="B452" s="76"/>
      <c r="C452" s="45" t="s">
        <v>298</v>
      </c>
      <c r="D452" s="44">
        <v>86</v>
      </c>
      <c r="E452" s="43">
        <v>2.9614325068870524E-2</v>
      </c>
    </row>
    <row r="453" spans="2:5" ht="15" customHeight="1" x14ac:dyDescent="0.3">
      <c r="B453" s="76"/>
      <c r="C453" s="45" t="s">
        <v>297</v>
      </c>
      <c r="D453" s="44">
        <v>1</v>
      </c>
      <c r="E453" s="43">
        <v>3.4435261707988982E-4</v>
      </c>
    </row>
    <row r="454" spans="2:5" ht="15" customHeight="1" x14ac:dyDescent="0.3">
      <c r="B454" s="76"/>
      <c r="C454" s="45" t="s">
        <v>296</v>
      </c>
      <c r="D454" s="44">
        <v>3</v>
      </c>
      <c r="E454" s="43">
        <v>1.0330578512396695E-3</v>
      </c>
    </row>
    <row r="455" spans="2:5" ht="15" customHeight="1" x14ac:dyDescent="0.3">
      <c r="B455" s="76"/>
      <c r="C455" s="45" t="s">
        <v>295</v>
      </c>
      <c r="D455" s="44">
        <v>4</v>
      </c>
      <c r="E455" s="43">
        <v>1.3774104683195593E-3</v>
      </c>
    </row>
    <row r="456" spans="2:5" ht="15" customHeight="1" x14ac:dyDescent="0.3">
      <c r="B456" s="76"/>
      <c r="C456" s="45" t="s">
        <v>294</v>
      </c>
      <c r="D456" s="44">
        <v>4</v>
      </c>
      <c r="E456" s="43">
        <v>1.3774104683195593E-3</v>
      </c>
    </row>
    <row r="457" spans="2:5" ht="15" customHeight="1" x14ac:dyDescent="0.3">
      <c r="B457" s="76"/>
      <c r="C457" s="45" t="s">
        <v>293</v>
      </c>
      <c r="D457" s="44">
        <v>2</v>
      </c>
      <c r="E457" s="43">
        <v>6.8870523415977963E-4</v>
      </c>
    </row>
    <row r="458" spans="2:5" ht="15" customHeight="1" x14ac:dyDescent="0.3">
      <c r="B458" s="76"/>
      <c r="C458" s="45" t="s">
        <v>292</v>
      </c>
      <c r="D458" s="44">
        <v>1</v>
      </c>
      <c r="E458" s="43">
        <v>3.4435261707988982E-4</v>
      </c>
    </row>
    <row r="459" spans="2:5" ht="15" customHeight="1" x14ac:dyDescent="0.3">
      <c r="B459" s="76"/>
      <c r="C459" s="45" t="s">
        <v>291</v>
      </c>
      <c r="D459" s="44">
        <v>1</v>
      </c>
      <c r="E459" s="43">
        <v>3.4435261707988982E-4</v>
      </c>
    </row>
    <row r="460" spans="2:5" ht="15" customHeight="1" x14ac:dyDescent="0.3">
      <c r="B460" s="76"/>
      <c r="C460" s="45" t="s">
        <v>290</v>
      </c>
      <c r="D460" s="44">
        <v>6</v>
      </c>
      <c r="E460" s="43">
        <v>2.0661157024793389E-3</v>
      </c>
    </row>
    <row r="461" spans="2:5" ht="15" customHeight="1" x14ac:dyDescent="0.3">
      <c r="B461" s="76"/>
      <c r="C461" s="45" t="s">
        <v>289</v>
      </c>
      <c r="D461" s="44">
        <v>12</v>
      </c>
      <c r="E461" s="43">
        <v>4.1322314049586778E-3</v>
      </c>
    </row>
    <row r="462" spans="2:5" ht="15" customHeight="1" x14ac:dyDescent="0.3">
      <c r="B462" s="76"/>
      <c r="C462" s="45" t="s">
        <v>288</v>
      </c>
      <c r="D462" s="44">
        <v>1</v>
      </c>
      <c r="E462" s="43">
        <v>3.4435261707988982E-4</v>
      </c>
    </row>
    <row r="463" spans="2:5" ht="15" customHeight="1" x14ac:dyDescent="0.3">
      <c r="B463" s="76"/>
      <c r="C463" s="45" t="s">
        <v>287</v>
      </c>
      <c r="D463" s="44">
        <v>12</v>
      </c>
      <c r="E463" s="43">
        <v>4.1322314049586778E-3</v>
      </c>
    </row>
    <row r="464" spans="2:5" ht="15" customHeight="1" x14ac:dyDescent="0.3">
      <c r="B464" s="76"/>
      <c r="C464" s="45" t="s">
        <v>286</v>
      </c>
      <c r="D464" s="44">
        <v>3</v>
      </c>
      <c r="E464" s="43">
        <v>1.0330578512396695E-3</v>
      </c>
    </row>
    <row r="465" spans="2:5" ht="15" customHeight="1" x14ac:dyDescent="0.3">
      <c r="B465" s="76"/>
      <c r="C465" s="45" t="s">
        <v>285</v>
      </c>
      <c r="D465" s="44">
        <v>2</v>
      </c>
      <c r="E465" s="43">
        <v>6.8870523415977963E-4</v>
      </c>
    </row>
    <row r="466" spans="2:5" ht="15" customHeight="1" x14ac:dyDescent="0.3">
      <c r="B466" s="76"/>
      <c r="C466" s="45" t="s">
        <v>284</v>
      </c>
      <c r="D466" s="44">
        <v>4</v>
      </c>
      <c r="E466" s="43">
        <v>1.3774104683195593E-3</v>
      </c>
    </row>
    <row r="467" spans="2:5" ht="15" customHeight="1" x14ac:dyDescent="0.3">
      <c r="B467" s="76"/>
      <c r="C467" s="45" t="s">
        <v>283</v>
      </c>
      <c r="D467" s="44">
        <v>2</v>
      </c>
      <c r="E467" s="43">
        <v>6.8870523415977963E-4</v>
      </c>
    </row>
    <row r="468" spans="2:5" ht="15" customHeight="1" x14ac:dyDescent="0.3">
      <c r="B468" s="76"/>
      <c r="C468" s="45" t="s">
        <v>282</v>
      </c>
      <c r="D468" s="44">
        <v>2</v>
      </c>
      <c r="E468" s="43">
        <v>6.8870523415977963E-4</v>
      </c>
    </row>
    <row r="469" spans="2:5" ht="15" customHeight="1" x14ac:dyDescent="0.3">
      <c r="B469" s="76"/>
      <c r="C469" s="45" t="s">
        <v>281</v>
      </c>
      <c r="D469" s="44">
        <v>7</v>
      </c>
      <c r="E469" s="43">
        <v>2.4104683195592287E-3</v>
      </c>
    </row>
    <row r="470" spans="2:5" ht="15" customHeight="1" x14ac:dyDescent="0.3">
      <c r="B470" s="76"/>
      <c r="C470" s="45" t="s">
        <v>280</v>
      </c>
      <c r="D470" s="44">
        <v>2</v>
      </c>
      <c r="E470" s="43">
        <v>6.8870523415977963E-4</v>
      </c>
    </row>
    <row r="471" spans="2:5" ht="15" customHeight="1" x14ac:dyDescent="0.3">
      <c r="B471" s="76"/>
      <c r="C471" s="45" t="s">
        <v>279</v>
      </c>
      <c r="D471" s="44">
        <v>2</v>
      </c>
      <c r="E471" s="43">
        <v>6.8870523415977963E-4</v>
      </c>
    </row>
    <row r="472" spans="2:5" ht="15" customHeight="1" x14ac:dyDescent="0.3">
      <c r="B472" s="76"/>
      <c r="C472" s="45" t="s">
        <v>278</v>
      </c>
      <c r="D472" s="44">
        <v>1</v>
      </c>
      <c r="E472" s="43">
        <v>3.4435261707988982E-4</v>
      </c>
    </row>
    <row r="473" spans="2:5" ht="15" customHeight="1" x14ac:dyDescent="0.3">
      <c r="B473" s="76"/>
      <c r="C473" s="45" t="s">
        <v>277</v>
      </c>
      <c r="D473" s="44">
        <v>4</v>
      </c>
      <c r="E473" s="43">
        <v>1.3774104683195593E-3</v>
      </c>
    </row>
    <row r="474" spans="2:5" ht="15" customHeight="1" x14ac:dyDescent="0.3">
      <c r="B474" s="76"/>
      <c r="C474" s="45" t="s">
        <v>276</v>
      </c>
      <c r="D474" s="44">
        <v>1</v>
      </c>
      <c r="E474" s="43">
        <v>3.4435261707988982E-4</v>
      </c>
    </row>
    <row r="475" spans="2:5" ht="15" customHeight="1" x14ac:dyDescent="0.3">
      <c r="B475" s="76"/>
      <c r="C475" s="45" t="s">
        <v>275</v>
      </c>
      <c r="D475" s="44">
        <v>1</v>
      </c>
      <c r="E475" s="43">
        <v>3.4435261707988982E-4</v>
      </c>
    </row>
    <row r="476" spans="2:5" ht="15" customHeight="1" x14ac:dyDescent="0.3">
      <c r="B476" s="76"/>
      <c r="C476" s="45" t="s">
        <v>274</v>
      </c>
      <c r="D476" s="44">
        <v>2</v>
      </c>
      <c r="E476" s="43">
        <v>6.8870523415977963E-4</v>
      </c>
    </row>
    <row r="477" spans="2:5" ht="15" customHeight="1" x14ac:dyDescent="0.3">
      <c r="B477" s="76"/>
      <c r="C477" s="45" t="s">
        <v>273</v>
      </c>
      <c r="D477" s="44">
        <v>3</v>
      </c>
      <c r="E477" s="43">
        <v>1.0330578512396695E-3</v>
      </c>
    </row>
    <row r="478" spans="2:5" ht="15" customHeight="1" x14ac:dyDescent="0.3">
      <c r="B478" s="76"/>
      <c r="C478" s="45" t="s">
        <v>272</v>
      </c>
      <c r="D478" s="44">
        <v>8</v>
      </c>
      <c r="E478" s="43">
        <v>2.7548209366391185E-3</v>
      </c>
    </row>
    <row r="479" spans="2:5" ht="15" customHeight="1" x14ac:dyDescent="0.3">
      <c r="B479" s="76"/>
      <c r="C479" s="45" t="s">
        <v>271</v>
      </c>
      <c r="D479" s="44">
        <v>1</v>
      </c>
      <c r="E479" s="43">
        <v>3.4435261707988982E-4</v>
      </c>
    </row>
    <row r="480" spans="2:5" ht="15" customHeight="1" x14ac:dyDescent="0.3">
      <c r="B480" s="76"/>
      <c r="C480" s="45" t="s">
        <v>270</v>
      </c>
      <c r="D480" s="44">
        <v>1</v>
      </c>
      <c r="E480" s="43">
        <v>3.4435261707988982E-4</v>
      </c>
    </row>
    <row r="481" spans="1:5" ht="15" customHeight="1" x14ac:dyDescent="0.3">
      <c r="B481" s="76"/>
      <c r="C481" s="45" t="s">
        <v>269</v>
      </c>
      <c r="D481" s="44">
        <v>3</v>
      </c>
      <c r="E481" s="43">
        <v>1.0330578512396695E-3</v>
      </c>
    </row>
    <row r="482" spans="1:5" ht="15" customHeight="1" x14ac:dyDescent="0.3">
      <c r="B482" s="76"/>
      <c r="C482" s="45" t="s">
        <v>268</v>
      </c>
      <c r="D482" s="44">
        <v>2</v>
      </c>
      <c r="E482" s="43">
        <v>6.8870523415977963E-4</v>
      </c>
    </row>
    <row r="483" spans="1:5" ht="15" customHeight="1" x14ac:dyDescent="0.3">
      <c r="B483" s="76"/>
      <c r="C483" s="45" t="s">
        <v>267</v>
      </c>
      <c r="D483" s="44">
        <v>1</v>
      </c>
      <c r="E483" s="43">
        <v>3.4435261707988982E-4</v>
      </c>
    </row>
    <row r="484" spans="1:5" ht="15" customHeight="1" x14ac:dyDescent="0.3">
      <c r="B484" s="76"/>
      <c r="C484" s="45" t="s">
        <v>266</v>
      </c>
      <c r="D484" s="44">
        <v>2</v>
      </c>
      <c r="E484" s="43">
        <v>6.8870523415977963E-4</v>
      </c>
    </row>
    <row r="485" spans="1:5" s="37" customFormat="1" ht="15" customHeight="1" x14ac:dyDescent="0.3">
      <c r="A485" s="36"/>
      <c r="B485" s="76"/>
      <c r="C485" s="45" t="s">
        <v>265</v>
      </c>
      <c r="D485" s="44">
        <v>31</v>
      </c>
      <c r="E485" s="43">
        <v>1.0674931129476584E-2</v>
      </c>
    </row>
    <row r="486" spans="1:5" s="37" customFormat="1" ht="15" customHeight="1" x14ac:dyDescent="0.3">
      <c r="A486" s="36"/>
      <c r="B486" s="76"/>
      <c r="C486" s="45" t="s">
        <v>264</v>
      </c>
      <c r="D486" s="44">
        <v>1</v>
      </c>
      <c r="E486" s="43">
        <v>3.4435261707988982E-4</v>
      </c>
    </row>
    <row r="487" spans="1:5" s="37" customFormat="1" ht="15" customHeight="1" x14ac:dyDescent="0.3">
      <c r="A487" s="36"/>
      <c r="B487" s="76"/>
      <c r="C487" s="45" t="s">
        <v>263</v>
      </c>
      <c r="D487" s="44">
        <v>3</v>
      </c>
      <c r="E487" s="43">
        <v>1.0330578512396695E-3</v>
      </c>
    </row>
    <row r="488" spans="1:5" s="37" customFormat="1" ht="15" customHeight="1" x14ac:dyDescent="0.3">
      <c r="A488" s="36"/>
      <c r="B488" s="76"/>
      <c r="C488" s="45" t="s">
        <v>262</v>
      </c>
      <c r="D488" s="44">
        <v>1</v>
      </c>
      <c r="E488" s="43">
        <v>3.4435261707988982E-4</v>
      </c>
    </row>
    <row r="489" spans="1:5" s="37" customFormat="1" ht="15" customHeight="1" x14ac:dyDescent="0.3">
      <c r="A489" s="36"/>
      <c r="B489" s="76"/>
      <c r="C489" s="45" t="s">
        <v>261</v>
      </c>
      <c r="D489" s="44">
        <v>11</v>
      </c>
      <c r="E489" s="43">
        <v>3.787878787878788E-3</v>
      </c>
    </row>
    <row r="490" spans="1:5" ht="15" customHeight="1" x14ac:dyDescent="0.3">
      <c r="B490" s="76"/>
      <c r="C490" s="45" t="s">
        <v>260</v>
      </c>
      <c r="D490" s="44">
        <v>9</v>
      </c>
      <c r="E490" s="43">
        <v>3.0991735537190084E-3</v>
      </c>
    </row>
    <row r="491" spans="1:5" ht="15" customHeight="1" x14ac:dyDescent="0.3">
      <c r="B491" s="76"/>
      <c r="C491" s="45" t="s">
        <v>259</v>
      </c>
      <c r="D491" s="44">
        <v>1</v>
      </c>
      <c r="E491" s="43">
        <v>3.4435261707988982E-4</v>
      </c>
    </row>
    <row r="492" spans="1:5" ht="15" customHeight="1" x14ac:dyDescent="0.3">
      <c r="B492" s="76"/>
      <c r="C492" s="45" t="s">
        <v>258</v>
      </c>
      <c r="D492" s="44">
        <v>1</v>
      </c>
      <c r="E492" s="43">
        <v>3.4435261707988982E-4</v>
      </c>
    </row>
    <row r="493" spans="1:5" ht="15" customHeight="1" x14ac:dyDescent="0.3">
      <c r="B493" s="76"/>
      <c r="C493" s="45" t="s">
        <v>257</v>
      </c>
      <c r="D493" s="44">
        <v>2</v>
      </c>
      <c r="E493" s="43">
        <v>6.8870523415977963E-4</v>
      </c>
    </row>
    <row r="494" spans="1:5" ht="15" customHeight="1" x14ac:dyDescent="0.3">
      <c r="B494" s="76"/>
      <c r="C494" s="45" t="s">
        <v>256</v>
      </c>
      <c r="D494" s="44">
        <v>4</v>
      </c>
      <c r="E494" s="43">
        <v>1.3774104683195593E-3</v>
      </c>
    </row>
    <row r="495" spans="1:5" ht="15" customHeight="1" x14ac:dyDescent="0.3">
      <c r="B495" s="76"/>
      <c r="C495" s="45" t="s">
        <v>255</v>
      </c>
      <c r="D495" s="44">
        <v>39</v>
      </c>
      <c r="E495" s="43">
        <v>1.3429752066115703E-2</v>
      </c>
    </row>
    <row r="496" spans="1:5" ht="15" customHeight="1" x14ac:dyDescent="0.3">
      <c r="B496" s="76"/>
      <c r="C496" s="45" t="s">
        <v>254</v>
      </c>
      <c r="D496" s="44">
        <v>9</v>
      </c>
      <c r="E496" s="43">
        <v>3.0991735537190084E-3</v>
      </c>
    </row>
    <row r="497" spans="2:5" ht="15" customHeight="1" x14ac:dyDescent="0.3">
      <c r="B497" s="76"/>
      <c r="C497" s="45" t="s">
        <v>253</v>
      </c>
      <c r="D497" s="44">
        <v>2</v>
      </c>
      <c r="E497" s="43">
        <v>6.8870523415977963E-4</v>
      </c>
    </row>
    <row r="498" spans="2:5" ht="15" customHeight="1" x14ac:dyDescent="0.3">
      <c r="B498" s="76"/>
      <c r="C498" s="45" t="s">
        <v>252</v>
      </c>
      <c r="D498" s="44">
        <v>3</v>
      </c>
      <c r="E498" s="43">
        <v>1.0330578512396695E-3</v>
      </c>
    </row>
    <row r="499" spans="2:5" ht="15" customHeight="1" x14ac:dyDescent="0.3">
      <c r="B499" s="76"/>
      <c r="C499" s="45" t="s">
        <v>251</v>
      </c>
      <c r="D499" s="44">
        <v>1</v>
      </c>
      <c r="E499" s="43">
        <v>3.4435261707988982E-4</v>
      </c>
    </row>
    <row r="500" spans="2:5" ht="15" customHeight="1" x14ac:dyDescent="0.3">
      <c r="B500" s="76"/>
      <c r="C500" s="45" t="s">
        <v>250</v>
      </c>
      <c r="D500" s="44">
        <v>3</v>
      </c>
      <c r="E500" s="43">
        <v>1.0330578512396695E-3</v>
      </c>
    </row>
    <row r="501" spans="2:5" ht="15" customHeight="1" x14ac:dyDescent="0.3">
      <c r="B501" s="76"/>
      <c r="C501" s="45" t="s">
        <v>249</v>
      </c>
      <c r="D501" s="44">
        <v>4</v>
      </c>
      <c r="E501" s="43">
        <v>1.3774104683195593E-3</v>
      </c>
    </row>
    <row r="502" spans="2:5" ht="15" customHeight="1" x14ac:dyDescent="0.3">
      <c r="B502" s="76"/>
      <c r="C502" s="45" t="s">
        <v>248</v>
      </c>
      <c r="D502" s="44">
        <v>4</v>
      </c>
      <c r="E502" s="43">
        <v>1.3774104683195593E-3</v>
      </c>
    </row>
    <row r="503" spans="2:5" ht="15" customHeight="1" x14ac:dyDescent="0.3">
      <c r="B503" s="76"/>
      <c r="C503" s="45" t="s">
        <v>247</v>
      </c>
      <c r="D503" s="44">
        <v>2</v>
      </c>
      <c r="E503" s="43">
        <v>6.8870523415977963E-4</v>
      </c>
    </row>
    <row r="504" spans="2:5" ht="15" customHeight="1" x14ac:dyDescent="0.3">
      <c r="B504" s="76"/>
      <c r="C504" s="45" t="s">
        <v>246</v>
      </c>
      <c r="D504" s="44">
        <v>1</v>
      </c>
      <c r="E504" s="43">
        <v>3.4435261707988982E-4</v>
      </c>
    </row>
    <row r="505" spans="2:5" ht="15" customHeight="1" x14ac:dyDescent="0.3">
      <c r="B505" s="76"/>
      <c r="C505" s="45" t="s">
        <v>245</v>
      </c>
      <c r="D505" s="44">
        <v>34</v>
      </c>
      <c r="E505" s="43">
        <v>1.1707988980716254E-2</v>
      </c>
    </row>
    <row r="506" spans="2:5" ht="15" customHeight="1" x14ac:dyDescent="0.3">
      <c r="B506" s="76"/>
      <c r="C506" s="45" t="s">
        <v>244</v>
      </c>
      <c r="D506" s="44">
        <v>3</v>
      </c>
      <c r="E506" s="43">
        <v>1.0330578512396695E-3</v>
      </c>
    </row>
    <row r="507" spans="2:5" ht="15" customHeight="1" x14ac:dyDescent="0.3">
      <c r="B507" s="76"/>
      <c r="C507" s="45" t="s">
        <v>243</v>
      </c>
      <c r="D507" s="44">
        <v>2</v>
      </c>
      <c r="E507" s="43">
        <v>6.8870523415977963E-4</v>
      </c>
    </row>
    <row r="508" spans="2:5" ht="15" customHeight="1" x14ac:dyDescent="0.3">
      <c r="B508" s="76"/>
      <c r="C508" s="45" t="s">
        <v>242</v>
      </c>
      <c r="D508" s="44">
        <v>5</v>
      </c>
      <c r="E508" s="43">
        <v>1.7217630853994491E-3</v>
      </c>
    </row>
    <row r="509" spans="2:5" ht="15" customHeight="1" x14ac:dyDescent="0.3">
      <c r="B509" s="76"/>
      <c r="C509" s="45" t="s">
        <v>241</v>
      </c>
      <c r="D509" s="44">
        <v>11</v>
      </c>
      <c r="E509" s="43">
        <v>3.787878787878788E-3</v>
      </c>
    </row>
    <row r="510" spans="2:5" ht="15" customHeight="1" x14ac:dyDescent="0.3">
      <c r="B510" s="76"/>
      <c r="C510" s="45" t="s">
        <v>46</v>
      </c>
      <c r="D510" s="44">
        <v>111</v>
      </c>
      <c r="E510" s="43">
        <v>3.8223140495867766E-2</v>
      </c>
    </row>
    <row r="511" spans="2:5" ht="15" customHeight="1" x14ac:dyDescent="0.3">
      <c r="B511" s="76"/>
      <c r="C511" s="45" t="s">
        <v>240</v>
      </c>
      <c r="D511" s="44">
        <v>2</v>
      </c>
      <c r="E511" s="43">
        <v>6.8870523415977963E-4</v>
      </c>
    </row>
    <row r="512" spans="2:5" ht="15" customHeight="1" x14ac:dyDescent="0.3">
      <c r="B512" s="76"/>
      <c r="C512" s="45" t="s">
        <v>239</v>
      </c>
      <c r="D512" s="44">
        <v>1</v>
      </c>
      <c r="E512" s="43">
        <v>3.4435261707988982E-4</v>
      </c>
    </row>
    <row r="513" spans="2:5" ht="15" customHeight="1" x14ac:dyDescent="0.3">
      <c r="B513" s="76"/>
      <c r="C513" s="45" t="s">
        <v>238</v>
      </c>
      <c r="D513" s="44">
        <v>31</v>
      </c>
      <c r="E513" s="43">
        <v>1.0674931129476584E-2</v>
      </c>
    </row>
    <row r="514" spans="2:5" ht="15" customHeight="1" x14ac:dyDescent="0.3">
      <c r="B514" s="76"/>
      <c r="C514" s="45" t="s">
        <v>237</v>
      </c>
      <c r="D514" s="44">
        <v>28</v>
      </c>
      <c r="E514" s="43">
        <v>9.6418732782369149E-3</v>
      </c>
    </row>
    <row r="515" spans="2:5" ht="15" customHeight="1" x14ac:dyDescent="0.3">
      <c r="B515" s="76"/>
      <c r="C515" s="45" t="s">
        <v>236</v>
      </c>
      <c r="D515" s="44">
        <v>3</v>
      </c>
      <c r="E515" s="43">
        <v>1.0330578512396695E-3</v>
      </c>
    </row>
    <row r="516" spans="2:5" ht="15" customHeight="1" x14ac:dyDescent="0.3">
      <c r="B516" s="76"/>
      <c r="C516" s="45" t="s">
        <v>235</v>
      </c>
      <c r="D516" s="44">
        <v>9</v>
      </c>
      <c r="E516" s="43">
        <v>3.0991735537190084E-3</v>
      </c>
    </row>
    <row r="517" spans="2:5" ht="15" customHeight="1" x14ac:dyDescent="0.3">
      <c r="B517" s="76"/>
      <c r="C517" s="45" t="s">
        <v>234</v>
      </c>
      <c r="D517" s="44">
        <v>3</v>
      </c>
      <c r="E517" s="43">
        <v>1.0330578512396695E-3</v>
      </c>
    </row>
    <row r="518" spans="2:5" ht="15" customHeight="1" x14ac:dyDescent="0.3">
      <c r="B518" s="76"/>
      <c r="C518" s="45" t="s">
        <v>233</v>
      </c>
      <c r="D518" s="44">
        <v>2</v>
      </c>
      <c r="E518" s="43">
        <v>6.8870523415977963E-4</v>
      </c>
    </row>
    <row r="519" spans="2:5" ht="15" customHeight="1" x14ac:dyDescent="0.3">
      <c r="B519" s="76"/>
      <c r="C519" s="45" t="s">
        <v>232</v>
      </c>
      <c r="D519" s="44">
        <v>1</v>
      </c>
      <c r="E519" s="43">
        <v>3.4435261707988982E-4</v>
      </c>
    </row>
    <row r="520" spans="2:5" ht="15" customHeight="1" x14ac:dyDescent="0.3">
      <c r="B520" s="76"/>
      <c r="C520" s="45" t="s">
        <v>231</v>
      </c>
      <c r="D520" s="44">
        <v>1</v>
      </c>
      <c r="E520" s="43">
        <v>3.4435261707988982E-4</v>
      </c>
    </row>
    <row r="521" spans="2:5" ht="15" customHeight="1" x14ac:dyDescent="0.3">
      <c r="B521" s="76"/>
      <c r="C521" s="45" t="s">
        <v>230</v>
      </c>
      <c r="D521" s="44">
        <v>21</v>
      </c>
      <c r="E521" s="43">
        <v>7.2314049586776862E-3</v>
      </c>
    </row>
    <row r="522" spans="2:5" ht="15" customHeight="1" x14ac:dyDescent="0.3">
      <c r="B522" s="76"/>
      <c r="C522" s="45" t="s">
        <v>229</v>
      </c>
      <c r="D522" s="44">
        <v>2</v>
      </c>
      <c r="E522" s="43">
        <v>6.8870523415977963E-4</v>
      </c>
    </row>
    <row r="523" spans="2:5" ht="15" customHeight="1" x14ac:dyDescent="0.3">
      <c r="B523" s="76"/>
      <c r="C523" s="45" t="s">
        <v>228</v>
      </c>
      <c r="D523" s="44">
        <v>3</v>
      </c>
      <c r="E523" s="43">
        <v>1.0330578512396695E-3</v>
      </c>
    </row>
    <row r="524" spans="2:5" ht="15" customHeight="1" x14ac:dyDescent="0.3">
      <c r="B524" s="76"/>
      <c r="C524" s="45" t="s">
        <v>227</v>
      </c>
      <c r="D524" s="44">
        <v>1</v>
      </c>
      <c r="E524" s="43">
        <v>3.4435261707988982E-4</v>
      </c>
    </row>
    <row r="525" spans="2:5" ht="15" customHeight="1" x14ac:dyDescent="0.3">
      <c r="B525" s="76"/>
      <c r="C525" s="45" t="s">
        <v>226</v>
      </c>
      <c r="D525" s="44">
        <v>1</v>
      </c>
      <c r="E525" s="43">
        <v>3.4435261707988982E-4</v>
      </c>
    </row>
    <row r="526" spans="2:5" ht="15" customHeight="1" x14ac:dyDescent="0.3">
      <c r="B526" s="76"/>
      <c r="C526" s="45" t="s">
        <v>225</v>
      </c>
      <c r="D526" s="44">
        <v>28</v>
      </c>
      <c r="E526" s="43">
        <v>9.6418732782369149E-3</v>
      </c>
    </row>
    <row r="527" spans="2:5" ht="15" customHeight="1" x14ac:dyDescent="0.3">
      <c r="B527" s="76"/>
      <c r="C527" s="45" t="s">
        <v>224</v>
      </c>
      <c r="D527" s="44">
        <v>6</v>
      </c>
      <c r="E527" s="43">
        <v>2.0661157024793389E-3</v>
      </c>
    </row>
    <row r="528" spans="2:5" ht="15" customHeight="1" x14ac:dyDescent="0.3">
      <c r="B528" s="76"/>
      <c r="C528" s="45" t="s">
        <v>223</v>
      </c>
      <c r="D528" s="44">
        <v>4</v>
      </c>
      <c r="E528" s="43">
        <v>1.3774104683195593E-3</v>
      </c>
    </row>
    <row r="529" spans="2:5" ht="15" customHeight="1" x14ac:dyDescent="0.3">
      <c r="B529" s="76"/>
      <c r="C529" s="45" t="s">
        <v>222</v>
      </c>
      <c r="D529" s="44">
        <v>9</v>
      </c>
      <c r="E529" s="43">
        <v>3.0991735537190084E-3</v>
      </c>
    </row>
    <row r="530" spans="2:5" ht="15" customHeight="1" x14ac:dyDescent="0.3">
      <c r="B530" s="76"/>
      <c r="C530" s="45" t="s">
        <v>221</v>
      </c>
      <c r="D530" s="44">
        <v>10</v>
      </c>
      <c r="E530" s="43">
        <v>3.4435261707988982E-3</v>
      </c>
    </row>
    <row r="531" spans="2:5" ht="15" customHeight="1" x14ac:dyDescent="0.3">
      <c r="B531" s="76"/>
      <c r="C531" s="45" t="s">
        <v>220</v>
      </c>
      <c r="D531" s="44">
        <v>15</v>
      </c>
      <c r="E531" s="43">
        <v>5.1652892561983473E-3</v>
      </c>
    </row>
    <row r="532" spans="2:5" ht="15" customHeight="1" x14ac:dyDescent="0.3">
      <c r="B532" s="76"/>
      <c r="C532" s="45" t="s">
        <v>219</v>
      </c>
      <c r="D532" s="44">
        <v>7</v>
      </c>
      <c r="E532" s="43">
        <v>2.4104683195592287E-3</v>
      </c>
    </row>
    <row r="533" spans="2:5" ht="15" customHeight="1" x14ac:dyDescent="0.3">
      <c r="B533" s="76"/>
      <c r="C533" s="45" t="s">
        <v>218</v>
      </c>
      <c r="D533" s="44">
        <v>38</v>
      </c>
      <c r="E533" s="43">
        <v>1.3085399449035813E-2</v>
      </c>
    </row>
    <row r="534" spans="2:5" ht="15" customHeight="1" x14ac:dyDescent="0.3">
      <c r="B534" s="76"/>
      <c r="C534" s="45" t="s">
        <v>217</v>
      </c>
      <c r="D534" s="44">
        <v>7</v>
      </c>
      <c r="E534" s="43">
        <v>2.4104683195592287E-3</v>
      </c>
    </row>
    <row r="535" spans="2:5" ht="15" customHeight="1" x14ac:dyDescent="0.3">
      <c r="B535" s="76"/>
      <c r="C535" s="45" t="s">
        <v>216</v>
      </c>
      <c r="D535" s="44">
        <v>29</v>
      </c>
      <c r="E535" s="43">
        <v>9.9862258953168047E-3</v>
      </c>
    </row>
    <row r="536" spans="2:5" ht="15" customHeight="1" x14ac:dyDescent="0.3">
      <c r="B536" s="76"/>
      <c r="C536" s="45" t="s">
        <v>215</v>
      </c>
      <c r="D536" s="44">
        <v>8</v>
      </c>
      <c r="E536" s="43">
        <v>2.7548209366391185E-3</v>
      </c>
    </row>
    <row r="537" spans="2:5" ht="15" customHeight="1" x14ac:dyDescent="0.3">
      <c r="B537" s="76"/>
      <c r="C537" s="45" t="s">
        <v>214</v>
      </c>
      <c r="D537" s="44">
        <v>1</v>
      </c>
      <c r="E537" s="43">
        <v>3.4435261707988982E-4</v>
      </c>
    </row>
    <row r="538" spans="2:5" ht="15" customHeight="1" x14ac:dyDescent="0.3">
      <c r="B538" s="76"/>
      <c r="C538" s="45" t="s">
        <v>213</v>
      </c>
      <c r="D538" s="44">
        <v>3</v>
      </c>
      <c r="E538" s="43">
        <v>1.0330578512396695E-3</v>
      </c>
    </row>
    <row r="539" spans="2:5" ht="15" customHeight="1" x14ac:dyDescent="0.3">
      <c r="B539" s="76"/>
      <c r="C539" s="45" t="s">
        <v>212</v>
      </c>
      <c r="D539" s="44">
        <v>1</v>
      </c>
      <c r="E539" s="43">
        <v>3.4435261707988982E-4</v>
      </c>
    </row>
    <row r="540" spans="2:5" ht="15" customHeight="1" x14ac:dyDescent="0.3">
      <c r="B540" s="76"/>
      <c r="C540" s="45" t="s">
        <v>211</v>
      </c>
      <c r="D540" s="44">
        <v>21</v>
      </c>
      <c r="E540" s="43">
        <v>7.2314049586776862E-3</v>
      </c>
    </row>
    <row r="541" spans="2:5" ht="15" customHeight="1" x14ac:dyDescent="0.3">
      <c r="B541" s="76"/>
      <c r="C541" s="45" t="s">
        <v>210</v>
      </c>
      <c r="D541" s="44">
        <v>3</v>
      </c>
      <c r="E541" s="43">
        <v>1.0330578512396695E-3</v>
      </c>
    </row>
    <row r="542" spans="2:5" ht="15" customHeight="1" x14ac:dyDescent="0.3">
      <c r="B542" s="76"/>
      <c r="C542" s="45" t="s">
        <v>209</v>
      </c>
      <c r="D542" s="44">
        <v>7</v>
      </c>
      <c r="E542" s="43">
        <v>2.4104683195592287E-3</v>
      </c>
    </row>
    <row r="543" spans="2:5" ht="15" customHeight="1" x14ac:dyDescent="0.3">
      <c r="B543" s="76"/>
      <c r="C543" s="45" t="s">
        <v>208</v>
      </c>
      <c r="D543" s="44">
        <v>1</v>
      </c>
      <c r="E543" s="43">
        <v>3.4435261707988982E-4</v>
      </c>
    </row>
    <row r="544" spans="2:5" ht="15" customHeight="1" x14ac:dyDescent="0.3">
      <c r="B544" s="76"/>
      <c r="C544" s="45" t="s">
        <v>207</v>
      </c>
      <c r="D544" s="44">
        <v>3</v>
      </c>
      <c r="E544" s="43">
        <v>1.0330578512396695E-3</v>
      </c>
    </row>
    <row r="545" spans="2:5" ht="15" customHeight="1" x14ac:dyDescent="0.3">
      <c r="B545" s="76"/>
      <c r="C545" s="45" t="s">
        <v>206</v>
      </c>
      <c r="D545" s="44">
        <v>3</v>
      </c>
      <c r="E545" s="43">
        <v>1.0330578512396695E-3</v>
      </c>
    </row>
    <row r="546" spans="2:5" ht="15" customHeight="1" x14ac:dyDescent="0.3">
      <c r="B546" s="76"/>
      <c r="C546" s="45" t="s">
        <v>205</v>
      </c>
      <c r="D546" s="44">
        <v>1</v>
      </c>
      <c r="E546" s="43">
        <v>3.4435261707988982E-4</v>
      </c>
    </row>
    <row r="547" spans="2:5" ht="15" customHeight="1" x14ac:dyDescent="0.3">
      <c r="B547" s="76"/>
      <c r="C547" s="45" t="s">
        <v>204</v>
      </c>
      <c r="D547" s="44">
        <v>1</v>
      </c>
      <c r="E547" s="43">
        <v>3.4435261707988982E-4</v>
      </c>
    </row>
    <row r="548" spans="2:5" ht="15" customHeight="1" x14ac:dyDescent="0.3">
      <c r="B548" s="76"/>
      <c r="C548" s="45" t="s">
        <v>203</v>
      </c>
      <c r="D548" s="44">
        <v>3</v>
      </c>
      <c r="E548" s="43">
        <v>1.0330578512396695E-3</v>
      </c>
    </row>
    <row r="549" spans="2:5" ht="15" customHeight="1" x14ac:dyDescent="0.3">
      <c r="B549" s="76"/>
      <c r="C549" s="45" t="s">
        <v>202</v>
      </c>
      <c r="D549" s="44">
        <v>28</v>
      </c>
      <c r="E549" s="43">
        <v>9.6418732782369149E-3</v>
      </c>
    </row>
    <row r="550" spans="2:5" ht="15" customHeight="1" x14ac:dyDescent="0.3">
      <c r="B550" s="76"/>
      <c r="C550" s="45" t="s">
        <v>201</v>
      </c>
      <c r="D550" s="44">
        <v>6</v>
      </c>
      <c r="E550" s="43">
        <v>2.0661157024793389E-3</v>
      </c>
    </row>
    <row r="551" spans="2:5" ht="15" customHeight="1" x14ac:dyDescent="0.3">
      <c r="B551" s="76"/>
      <c r="C551" s="45" t="s">
        <v>200</v>
      </c>
      <c r="D551" s="44">
        <v>2</v>
      </c>
      <c r="E551" s="43">
        <v>6.8870523415977963E-4</v>
      </c>
    </row>
    <row r="552" spans="2:5" ht="15" customHeight="1" x14ac:dyDescent="0.3">
      <c r="B552" s="76"/>
      <c r="C552" s="45" t="s">
        <v>199</v>
      </c>
      <c r="D552" s="44">
        <v>15</v>
      </c>
      <c r="E552" s="43">
        <v>5.1652892561983473E-3</v>
      </c>
    </row>
    <row r="553" spans="2:5" ht="15" customHeight="1" x14ac:dyDescent="0.3">
      <c r="B553" s="76"/>
      <c r="C553" s="45" t="s">
        <v>198</v>
      </c>
      <c r="D553" s="44">
        <v>1</v>
      </c>
      <c r="E553" s="43">
        <v>3.4435261707988982E-4</v>
      </c>
    </row>
    <row r="554" spans="2:5" ht="15" customHeight="1" x14ac:dyDescent="0.3">
      <c r="B554" s="76"/>
      <c r="C554" s="45" t="s">
        <v>197</v>
      </c>
      <c r="D554" s="44">
        <v>5</v>
      </c>
      <c r="E554" s="43">
        <v>1.7217630853994491E-3</v>
      </c>
    </row>
    <row r="555" spans="2:5" ht="15" customHeight="1" x14ac:dyDescent="0.3">
      <c r="B555" s="76"/>
      <c r="C555" s="45" t="s">
        <v>196</v>
      </c>
      <c r="D555" s="44">
        <v>1</v>
      </c>
      <c r="E555" s="43">
        <v>3.4435261707988982E-4</v>
      </c>
    </row>
    <row r="556" spans="2:5" ht="15" customHeight="1" x14ac:dyDescent="0.3">
      <c r="B556" s="76"/>
      <c r="C556" s="45" t="s">
        <v>195</v>
      </c>
      <c r="D556" s="44">
        <v>13</v>
      </c>
      <c r="E556" s="43">
        <v>4.4765840220385676E-3</v>
      </c>
    </row>
    <row r="557" spans="2:5" ht="15" customHeight="1" x14ac:dyDescent="0.3">
      <c r="B557" s="76"/>
      <c r="C557" s="45" t="s">
        <v>194</v>
      </c>
      <c r="D557" s="44">
        <v>5</v>
      </c>
      <c r="E557" s="43">
        <v>1.7217630853994491E-3</v>
      </c>
    </row>
    <row r="558" spans="2:5" ht="15" customHeight="1" x14ac:dyDescent="0.3">
      <c r="B558" s="76"/>
      <c r="C558" s="45" t="s">
        <v>117</v>
      </c>
      <c r="D558" s="44">
        <v>1</v>
      </c>
      <c r="E558" s="43">
        <v>3.4435261707988982E-4</v>
      </c>
    </row>
    <row r="559" spans="2:5" ht="15" customHeight="1" x14ac:dyDescent="0.3">
      <c r="B559" s="76"/>
      <c r="C559" s="45" t="s">
        <v>193</v>
      </c>
      <c r="D559" s="44">
        <v>13</v>
      </c>
      <c r="E559" s="43">
        <v>4.4765840220385676E-3</v>
      </c>
    </row>
    <row r="560" spans="2:5" ht="15" customHeight="1" x14ac:dyDescent="0.3">
      <c r="B560" s="76"/>
      <c r="C560" s="45" t="s">
        <v>192</v>
      </c>
      <c r="D560" s="44">
        <v>4</v>
      </c>
      <c r="E560" s="43">
        <v>1.3774104683195593E-3</v>
      </c>
    </row>
    <row r="561" spans="2:5" ht="15" customHeight="1" x14ac:dyDescent="0.3">
      <c r="B561" s="76"/>
      <c r="C561" s="45" t="s">
        <v>191</v>
      </c>
      <c r="D561" s="44">
        <v>5</v>
      </c>
      <c r="E561" s="43">
        <v>1.7217630853994491E-3</v>
      </c>
    </row>
    <row r="562" spans="2:5" ht="15" customHeight="1" x14ac:dyDescent="0.3">
      <c r="B562" s="76"/>
      <c r="C562" s="45" t="s">
        <v>190</v>
      </c>
      <c r="D562" s="44">
        <v>3</v>
      </c>
      <c r="E562" s="43">
        <v>1.0330578512396695E-3</v>
      </c>
    </row>
    <row r="563" spans="2:5" ht="15" customHeight="1" x14ac:dyDescent="0.3">
      <c r="B563" s="76"/>
      <c r="C563" s="45" t="s">
        <v>189</v>
      </c>
      <c r="D563" s="44">
        <v>2</v>
      </c>
      <c r="E563" s="43">
        <v>6.8870523415977963E-4</v>
      </c>
    </row>
    <row r="564" spans="2:5" ht="15" customHeight="1" x14ac:dyDescent="0.3">
      <c r="B564" s="76"/>
      <c r="C564" s="45" t="s">
        <v>188</v>
      </c>
      <c r="D564" s="44">
        <v>2</v>
      </c>
      <c r="E564" s="43">
        <v>6.8870523415977963E-4</v>
      </c>
    </row>
    <row r="565" spans="2:5" ht="15" customHeight="1" x14ac:dyDescent="0.3">
      <c r="B565" s="76"/>
      <c r="C565" s="45" t="s">
        <v>187</v>
      </c>
      <c r="D565" s="44">
        <v>4</v>
      </c>
      <c r="E565" s="43">
        <v>1.3774104683195593E-3</v>
      </c>
    </row>
    <row r="566" spans="2:5" ht="15" customHeight="1" x14ac:dyDescent="0.3">
      <c r="B566" s="76"/>
      <c r="C566" s="45" t="s">
        <v>186</v>
      </c>
      <c r="D566" s="44">
        <v>3</v>
      </c>
      <c r="E566" s="43">
        <v>1.0330578512396695E-3</v>
      </c>
    </row>
    <row r="567" spans="2:5" ht="15" customHeight="1" x14ac:dyDescent="0.3">
      <c r="B567" s="76"/>
      <c r="C567" s="45" t="s">
        <v>185</v>
      </c>
      <c r="D567" s="44">
        <v>3</v>
      </c>
      <c r="E567" s="43">
        <v>1.0330578512396695E-3</v>
      </c>
    </row>
    <row r="568" spans="2:5" ht="15" customHeight="1" x14ac:dyDescent="0.3">
      <c r="B568" s="76"/>
      <c r="C568" s="45" t="s">
        <v>184</v>
      </c>
      <c r="D568" s="44">
        <v>4</v>
      </c>
      <c r="E568" s="43">
        <v>1.3774104683195593E-3</v>
      </c>
    </row>
    <row r="569" spans="2:5" ht="15" customHeight="1" x14ac:dyDescent="0.3">
      <c r="B569" s="76"/>
      <c r="C569" s="45" t="s">
        <v>183</v>
      </c>
      <c r="D569" s="44">
        <v>1</v>
      </c>
      <c r="E569" s="43">
        <v>3.4435261707988982E-4</v>
      </c>
    </row>
    <row r="570" spans="2:5" ht="15" customHeight="1" x14ac:dyDescent="0.3">
      <c r="B570" s="76"/>
      <c r="C570" s="45" t="s">
        <v>182</v>
      </c>
      <c r="D570" s="44">
        <v>6</v>
      </c>
      <c r="E570" s="43">
        <v>2.0661157024793389E-3</v>
      </c>
    </row>
    <row r="571" spans="2:5" ht="15" customHeight="1" x14ac:dyDescent="0.3">
      <c r="B571" s="76"/>
      <c r="C571" s="45" t="s">
        <v>181</v>
      </c>
      <c r="D571" s="44">
        <v>1</v>
      </c>
      <c r="E571" s="43">
        <v>3.4435261707988982E-4</v>
      </c>
    </row>
    <row r="572" spans="2:5" ht="15" customHeight="1" x14ac:dyDescent="0.3">
      <c r="B572" s="76"/>
      <c r="C572" s="45" t="s">
        <v>180</v>
      </c>
      <c r="D572" s="44">
        <v>1</v>
      </c>
      <c r="E572" s="43">
        <v>3.4435261707988982E-4</v>
      </c>
    </row>
    <row r="573" spans="2:5" ht="15" customHeight="1" x14ac:dyDescent="0.3">
      <c r="B573" s="76"/>
      <c r="C573" s="45" t="s">
        <v>179</v>
      </c>
      <c r="D573" s="44">
        <v>1</v>
      </c>
      <c r="E573" s="43">
        <v>3.4435261707988982E-4</v>
      </c>
    </row>
    <row r="574" spans="2:5" ht="15" customHeight="1" x14ac:dyDescent="0.3">
      <c r="B574" s="77"/>
      <c r="C574" s="42" t="s">
        <v>18</v>
      </c>
      <c r="D574" s="41">
        <v>974</v>
      </c>
      <c r="E574" s="40">
        <v>0.33539944903581265</v>
      </c>
    </row>
    <row r="575" spans="2:5" ht="15" customHeight="1" x14ac:dyDescent="0.3">
      <c r="B575" s="75" t="s">
        <v>32</v>
      </c>
      <c r="C575" s="45" t="s">
        <v>178</v>
      </c>
      <c r="D575" s="44">
        <v>1</v>
      </c>
      <c r="E575" s="43">
        <v>3.4435261707988982E-4</v>
      </c>
    </row>
    <row r="576" spans="2:5" ht="15" customHeight="1" x14ac:dyDescent="0.3">
      <c r="B576" s="76"/>
      <c r="C576" s="45" t="s">
        <v>177</v>
      </c>
      <c r="D576" s="44">
        <v>1</v>
      </c>
      <c r="E576" s="43">
        <v>3.4435261707988982E-4</v>
      </c>
    </row>
    <row r="577" spans="2:5" ht="15" customHeight="1" x14ac:dyDescent="0.3">
      <c r="B577" s="76"/>
      <c r="C577" s="45" t="s">
        <v>176</v>
      </c>
      <c r="D577" s="44">
        <v>2</v>
      </c>
      <c r="E577" s="43">
        <v>6.8870523415977963E-4</v>
      </c>
    </row>
    <row r="578" spans="2:5" ht="15" customHeight="1" x14ac:dyDescent="0.3">
      <c r="B578" s="76"/>
      <c r="C578" s="45" t="s">
        <v>32</v>
      </c>
      <c r="D578" s="44">
        <v>10</v>
      </c>
      <c r="E578" s="43">
        <v>3.4435261707988982E-3</v>
      </c>
    </row>
    <row r="579" spans="2:5" ht="15" customHeight="1" x14ac:dyDescent="0.3">
      <c r="B579" s="76"/>
      <c r="C579" s="45" t="s">
        <v>175</v>
      </c>
      <c r="D579" s="44">
        <v>1</v>
      </c>
      <c r="E579" s="43">
        <v>3.4435261707988982E-4</v>
      </c>
    </row>
    <row r="580" spans="2:5" ht="15" customHeight="1" x14ac:dyDescent="0.3">
      <c r="B580" s="77"/>
      <c r="C580" s="42" t="s">
        <v>18</v>
      </c>
      <c r="D580" s="41">
        <v>15</v>
      </c>
      <c r="E580" s="40">
        <v>5.1652892561983473E-3</v>
      </c>
    </row>
    <row r="581" spans="2:5" ht="15" customHeight="1" x14ac:dyDescent="0.3">
      <c r="B581" s="75" t="s">
        <v>20</v>
      </c>
      <c r="C581" s="45" t="s">
        <v>174</v>
      </c>
      <c r="D581" s="44">
        <v>1</v>
      </c>
      <c r="E581" s="43">
        <v>3.4435261707988982E-4</v>
      </c>
    </row>
    <row r="582" spans="2:5" ht="15" customHeight="1" x14ac:dyDescent="0.3">
      <c r="B582" s="76"/>
      <c r="C582" s="45" t="s">
        <v>173</v>
      </c>
      <c r="D582" s="44">
        <v>1</v>
      </c>
      <c r="E582" s="43">
        <v>3.4435261707988982E-4</v>
      </c>
    </row>
    <row r="583" spans="2:5" ht="15" customHeight="1" x14ac:dyDescent="0.3">
      <c r="B583" s="77"/>
      <c r="C583" s="42" t="s">
        <v>18</v>
      </c>
      <c r="D583" s="41">
        <v>2</v>
      </c>
      <c r="E583" s="40">
        <v>6.8870523415977963E-4</v>
      </c>
    </row>
    <row r="584" spans="2:5" ht="15" customHeight="1" x14ac:dyDescent="0.3">
      <c r="B584" s="75" t="s">
        <v>33</v>
      </c>
      <c r="C584" s="45" t="s">
        <v>172</v>
      </c>
      <c r="D584" s="44">
        <v>2</v>
      </c>
      <c r="E584" s="43">
        <v>6.8870523415977963E-4</v>
      </c>
    </row>
    <row r="585" spans="2:5" ht="15" customHeight="1" x14ac:dyDescent="0.3">
      <c r="B585" s="76"/>
      <c r="C585" s="45" t="s">
        <v>171</v>
      </c>
      <c r="D585" s="44">
        <v>1</v>
      </c>
      <c r="E585" s="43">
        <v>3.4435261707988982E-4</v>
      </c>
    </row>
    <row r="586" spans="2:5" ht="15" customHeight="1" x14ac:dyDescent="0.3">
      <c r="B586" s="76"/>
      <c r="C586" s="45" t="s">
        <v>170</v>
      </c>
      <c r="D586" s="44">
        <v>1</v>
      </c>
      <c r="E586" s="43">
        <v>3.4435261707988982E-4</v>
      </c>
    </row>
    <row r="587" spans="2:5" ht="15" customHeight="1" x14ac:dyDescent="0.3">
      <c r="B587" s="76"/>
      <c r="C587" s="45" t="s">
        <v>169</v>
      </c>
      <c r="D587" s="44">
        <v>1</v>
      </c>
      <c r="E587" s="43">
        <v>3.4435261707988982E-4</v>
      </c>
    </row>
    <row r="588" spans="2:5" ht="15" customHeight="1" x14ac:dyDescent="0.3">
      <c r="B588" s="76"/>
      <c r="C588" s="45" t="s">
        <v>168</v>
      </c>
      <c r="D588" s="44">
        <v>1</v>
      </c>
      <c r="E588" s="43">
        <v>3.4435261707988982E-4</v>
      </c>
    </row>
    <row r="589" spans="2:5" ht="15" customHeight="1" x14ac:dyDescent="0.3">
      <c r="B589" s="76"/>
      <c r="C589" s="45" t="s">
        <v>167</v>
      </c>
      <c r="D589" s="44">
        <v>1</v>
      </c>
      <c r="E589" s="43">
        <v>3.4435261707988982E-4</v>
      </c>
    </row>
    <row r="590" spans="2:5" ht="15" customHeight="1" x14ac:dyDescent="0.3">
      <c r="B590" s="76"/>
      <c r="C590" s="45" t="s">
        <v>166</v>
      </c>
      <c r="D590" s="44">
        <v>2</v>
      </c>
      <c r="E590" s="43">
        <v>6.8870523415977963E-4</v>
      </c>
    </row>
    <row r="591" spans="2:5" ht="15" customHeight="1" x14ac:dyDescent="0.3">
      <c r="B591" s="76"/>
      <c r="C591" s="45" t="s">
        <v>165</v>
      </c>
      <c r="D591" s="44">
        <v>1</v>
      </c>
      <c r="E591" s="43">
        <v>3.4435261707988982E-4</v>
      </c>
    </row>
    <row r="592" spans="2:5" ht="15" customHeight="1" x14ac:dyDescent="0.3">
      <c r="B592" s="76"/>
      <c r="C592" s="45" t="s">
        <v>164</v>
      </c>
      <c r="D592" s="44">
        <v>1</v>
      </c>
      <c r="E592" s="43">
        <v>3.4435261707988982E-4</v>
      </c>
    </row>
    <row r="593" spans="2:5" ht="15" customHeight="1" x14ac:dyDescent="0.3">
      <c r="B593" s="76"/>
      <c r="C593" s="45" t="s">
        <v>33</v>
      </c>
      <c r="D593" s="44">
        <v>5</v>
      </c>
      <c r="E593" s="43">
        <v>1.7217630853994491E-3</v>
      </c>
    </row>
    <row r="594" spans="2:5" ht="15" customHeight="1" x14ac:dyDescent="0.3">
      <c r="B594" s="76"/>
      <c r="C594" s="45" t="s">
        <v>163</v>
      </c>
      <c r="D594" s="44">
        <v>2</v>
      </c>
      <c r="E594" s="43">
        <v>6.8870523415977963E-4</v>
      </c>
    </row>
    <row r="595" spans="2:5" ht="15" customHeight="1" x14ac:dyDescent="0.3">
      <c r="B595" s="76"/>
      <c r="C595" s="45" t="s">
        <v>162</v>
      </c>
      <c r="D595" s="44">
        <v>1</v>
      </c>
      <c r="E595" s="43">
        <v>3.4435261707988982E-4</v>
      </c>
    </row>
    <row r="596" spans="2:5" ht="15" customHeight="1" x14ac:dyDescent="0.3">
      <c r="B596" s="76"/>
      <c r="C596" s="45" t="s">
        <v>161</v>
      </c>
      <c r="D596" s="44">
        <v>1</v>
      </c>
      <c r="E596" s="43">
        <v>3.4435261707988982E-4</v>
      </c>
    </row>
    <row r="597" spans="2:5" ht="15" customHeight="1" x14ac:dyDescent="0.3">
      <c r="B597" s="76"/>
      <c r="C597" s="45" t="s">
        <v>160</v>
      </c>
      <c r="D597" s="44">
        <v>1</v>
      </c>
      <c r="E597" s="43">
        <v>3.4435261707988982E-4</v>
      </c>
    </row>
    <row r="598" spans="2:5" ht="15" customHeight="1" x14ac:dyDescent="0.3">
      <c r="B598" s="77"/>
      <c r="C598" s="42" t="s">
        <v>18</v>
      </c>
      <c r="D598" s="41">
        <v>21</v>
      </c>
      <c r="E598" s="40">
        <v>7.2314049586776862E-3</v>
      </c>
    </row>
    <row r="599" spans="2:5" ht="15" customHeight="1" x14ac:dyDescent="0.3">
      <c r="B599" s="75" t="s">
        <v>25</v>
      </c>
      <c r="C599" s="45" t="s">
        <v>159</v>
      </c>
      <c r="D599" s="44">
        <v>4</v>
      </c>
      <c r="E599" s="43">
        <v>1.3774104683195593E-3</v>
      </c>
    </row>
    <row r="600" spans="2:5" ht="15" customHeight="1" x14ac:dyDescent="0.3">
      <c r="B600" s="76"/>
      <c r="C600" s="45" t="s">
        <v>158</v>
      </c>
      <c r="D600" s="44">
        <v>1</v>
      </c>
      <c r="E600" s="43">
        <v>3.4435261707988982E-4</v>
      </c>
    </row>
    <row r="601" spans="2:5" ht="15" customHeight="1" x14ac:dyDescent="0.3">
      <c r="B601" s="76"/>
      <c r="C601" s="45" t="s">
        <v>157</v>
      </c>
      <c r="D601" s="44">
        <v>1</v>
      </c>
      <c r="E601" s="43">
        <v>3.4435261707988982E-4</v>
      </c>
    </row>
    <row r="602" spans="2:5" ht="15" customHeight="1" x14ac:dyDescent="0.3">
      <c r="B602" s="77"/>
      <c r="C602" s="42" t="s">
        <v>18</v>
      </c>
      <c r="D602" s="41">
        <v>6</v>
      </c>
      <c r="E602" s="40">
        <v>2.0661157024793389E-3</v>
      </c>
    </row>
    <row r="603" spans="2:5" ht="15" customHeight="1" x14ac:dyDescent="0.3">
      <c r="B603" s="75" t="s">
        <v>30</v>
      </c>
      <c r="C603" s="45" t="s">
        <v>156</v>
      </c>
      <c r="D603" s="44">
        <v>2</v>
      </c>
      <c r="E603" s="43">
        <v>6.8870523415977963E-4</v>
      </c>
    </row>
    <row r="604" spans="2:5" ht="15" customHeight="1" x14ac:dyDescent="0.3">
      <c r="B604" s="76"/>
      <c r="C604" s="45" t="s">
        <v>155</v>
      </c>
      <c r="D604" s="44">
        <v>5</v>
      </c>
      <c r="E604" s="43">
        <v>1.7217630853994491E-3</v>
      </c>
    </row>
    <row r="605" spans="2:5" ht="15" customHeight="1" x14ac:dyDescent="0.3">
      <c r="B605" s="76"/>
      <c r="C605" s="45" t="s">
        <v>154</v>
      </c>
      <c r="D605" s="44">
        <v>1</v>
      </c>
      <c r="E605" s="43">
        <v>3.4435261707988982E-4</v>
      </c>
    </row>
    <row r="606" spans="2:5" ht="15" customHeight="1" x14ac:dyDescent="0.3">
      <c r="B606" s="76"/>
      <c r="C606" s="45" t="s">
        <v>153</v>
      </c>
      <c r="D606" s="44">
        <v>3</v>
      </c>
      <c r="E606" s="43">
        <v>1.0330578512396695E-3</v>
      </c>
    </row>
    <row r="607" spans="2:5" ht="15" customHeight="1" x14ac:dyDescent="0.3">
      <c r="B607" s="76"/>
      <c r="C607" s="45" t="s">
        <v>152</v>
      </c>
      <c r="D607" s="44">
        <v>1</v>
      </c>
      <c r="E607" s="43">
        <v>3.4435261707988982E-4</v>
      </c>
    </row>
    <row r="608" spans="2:5" ht="15" customHeight="1" x14ac:dyDescent="0.3">
      <c r="B608" s="77"/>
      <c r="C608" s="42" t="s">
        <v>18</v>
      </c>
      <c r="D608" s="41">
        <v>12</v>
      </c>
      <c r="E608" s="40">
        <v>4.1322314049586778E-3</v>
      </c>
    </row>
    <row r="609" spans="2:5" ht="15" customHeight="1" x14ac:dyDescent="0.3">
      <c r="B609" s="75" t="s">
        <v>31</v>
      </c>
      <c r="C609" s="45" t="s">
        <v>151</v>
      </c>
      <c r="D609" s="44">
        <v>1</v>
      </c>
      <c r="E609" s="43">
        <v>3.4435261707988982E-4</v>
      </c>
    </row>
    <row r="610" spans="2:5" ht="15" customHeight="1" x14ac:dyDescent="0.3">
      <c r="B610" s="76"/>
      <c r="C610" s="45" t="s">
        <v>150</v>
      </c>
      <c r="D610" s="44">
        <v>1</v>
      </c>
      <c r="E610" s="43">
        <v>3.4435261707988982E-4</v>
      </c>
    </row>
    <row r="611" spans="2:5" ht="15" customHeight="1" x14ac:dyDescent="0.3">
      <c r="B611" s="76"/>
      <c r="C611" s="45" t="s">
        <v>149</v>
      </c>
      <c r="D611" s="44">
        <v>4</v>
      </c>
      <c r="E611" s="43">
        <v>1.3774104683195593E-3</v>
      </c>
    </row>
    <row r="612" spans="2:5" ht="15" customHeight="1" x14ac:dyDescent="0.3">
      <c r="B612" s="76"/>
      <c r="C612" s="45" t="s">
        <v>148</v>
      </c>
      <c r="D612" s="44">
        <v>1</v>
      </c>
      <c r="E612" s="43">
        <v>3.4435261707988982E-4</v>
      </c>
    </row>
    <row r="613" spans="2:5" ht="15" customHeight="1" x14ac:dyDescent="0.3">
      <c r="B613" s="76"/>
      <c r="C613" s="45" t="s">
        <v>147</v>
      </c>
      <c r="D613" s="44">
        <v>1</v>
      </c>
      <c r="E613" s="43">
        <v>3.4435261707988982E-4</v>
      </c>
    </row>
    <row r="614" spans="2:5" ht="15" customHeight="1" x14ac:dyDescent="0.3">
      <c r="B614" s="76"/>
      <c r="C614" s="45" t="s">
        <v>146</v>
      </c>
      <c r="D614" s="44">
        <v>1</v>
      </c>
      <c r="E614" s="43">
        <v>3.4435261707988982E-4</v>
      </c>
    </row>
    <row r="615" spans="2:5" ht="15" customHeight="1" x14ac:dyDescent="0.3">
      <c r="B615" s="76"/>
      <c r="C615" s="45" t="s">
        <v>145</v>
      </c>
      <c r="D615" s="44">
        <v>4</v>
      </c>
      <c r="E615" s="43">
        <v>1.3774104683195593E-3</v>
      </c>
    </row>
    <row r="616" spans="2:5" ht="15" customHeight="1" x14ac:dyDescent="0.3">
      <c r="B616" s="76"/>
      <c r="C616" s="45" t="s">
        <v>144</v>
      </c>
      <c r="D616" s="44">
        <v>2</v>
      </c>
      <c r="E616" s="43">
        <v>6.8870523415977963E-4</v>
      </c>
    </row>
    <row r="617" spans="2:5" ht="15" customHeight="1" x14ac:dyDescent="0.3">
      <c r="B617" s="77"/>
      <c r="C617" s="42" t="s">
        <v>18</v>
      </c>
      <c r="D617" s="41">
        <v>15</v>
      </c>
      <c r="E617" s="40">
        <v>5.1652892561983473E-3</v>
      </c>
    </row>
    <row r="618" spans="2:5" ht="15" customHeight="1" x14ac:dyDescent="0.3">
      <c r="B618" s="75" t="s">
        <v>45</v>
      </c>
      <c r="C618" s="45" t="s">
        <v>143</v>
      </c>
      <c r="D618" s="44">
        <v>7</v>
      </c>
      <c r="E618" s="43">
        <v>2.4104683195592287E-3</v>
      </c>
    </row>
    <row r="619" spans="2:5" ht="15" customHeight="1" x14ac:dyDescent="0.3">
      <c r="B619" s="76"/>
      <c r="C619" s="45" t="s">
        <v>142</v>
      </c>
      <c r="D619" s="44">
        <v>3</v>
      </c>
      <c r="E619" s="43">
        <v>1.0330578512396695E-3</v>
      </c>
    </row>
    <row r="620" spans="2:5" ht="15" customHeight="1" x14ac:dyDescent="0.3">
      <c r="B620" s="76"/>
      <c r="C620" s="45" t="s">
        <v>141</v>
      </c>
      <c r="D620" s="44">
        <v>31</v>
      </c>
      <c r="E620" s="43">
        <v>1.0674931129476584E-2</v>
      </c>
    </row>
    <row r="621" spans="2:5" ht="15" customHeight="1" x14ac:dyDescent="0.3">
      <c r="B621" s="76"/>
      <c r="C621" s="45" t="s">
        <v>140</v>
      </c>
      <c r="D621" s="44">
        <v>4</v>
      </c>
      <c r="E621" s="43">
        <v>1.3774104683195593E-3</v>
      </c>
    </row>
    <row r="622" spans="2:5" ht="15" customHeight="1" x14ac:dyDescent="0.3">
      <c r="B622" s="76"/>
      <c r="C622" s="45" t="s">
        <v>139</v>
      </c>
      <c r="D622" s="44">
        <v>1</v>
      </c>
      <c r="E622" s="43">
        <v>3.4435261707988982E-4</v>
      </c>
    </row>
    <row r="623" spans="2:5" ht="15" customHeight="1" x14ac:dyDescent="0.3">
      <c r="B623" s="76"/>
      <c r="C623" s="45" t="s">
        <v>138</v>
      </c>
      <c r="D623" s="44">
        <v>5</v>
      </c>
      <c r="E623" s="43">
        <v>1.7217630853994491E-3</v>
      </c>
    </row>
    <row r="624" spans="2:5" ht="15" customHeight="1" x14ac:dyDescent="0.3">
      <c r="B624" s="76"/>
      <c r="C624" s="45" t="s">
        <v>137</v>
      </c>
      <c r="D624" s="44">
        <v>1</v>
      </c>
      <c r="E624" s="43">
        <v>3.4435261707988982E-4</v>
      </c>
    </row>
    <row r="625" spans="2:5" ht="15" customHeight="1" x14ac:dyDescent="0.3">
      <c r="B625" s="76"/>
      <c r="C625" s="45" t="s">
        <v>136</v>
      </c>
      <c r="D625" s="44">
        <v>2</v>
      </c>
      <c r="E625" s="43">
        <v>6.8870523415977963E-4</v>
      </c>
    </row>
    <row r="626" spans="2:5" ht="15" customHeight="1" x14ac:dyDescent="0.3">
      <c r="B626" s="76"/>
      <c r="C626" s="45" t="s">
        <v>135</v>
      </c>
      <c r="D626" s="44">
        <v>1</v>
      </c>
      <c r="E626" s="43">
        <v>3.4435261707988982E-4</v>
      </c>
    </row>
    <row r="627" spans="2:5" ht="15" customHeight="1" x14ac:dyDescent="0.3">
      <c r="B627" s="76"/>
      <c r="C627" s="45" t="s">
        <v>134</v>
      </c>
      <c r="D627" s="44">
        <v>1</v>
      </c>
      <c r="E627" s="43">
        <v>3.4435261707988982E-4</v>
      </c>
    </row>
    <row r="628" spans="2:5" ht="15" customHeight="1" x14ac:dyDescent="0.3">
      <c r="B628" s="76"/>
      <c r="C628" s="45" t="s">
        <v>133</v>
      </c>
      <c r="D628" s="44">
        <v>33</v>
      </c>
      <c r="E628" s="43">
        <v>1.1363636363636364E-2</v>
      </c>
    </row>
    <row r="629" spans="2:5" ht="15" customHeight="1" x14ac:dyDescent="0.3">
      <c r="B629" s="76"/>
      <c r="C629" s="45" t="s">
        <v>132</v>
      </c>
      <c r="D629" s="44">
        <v>5</v>
      </c>
      <c r="E629" s="43">
        <v>1.7217630853994491E-3</v>
      </c>
    </row>
    <row r="630" spans="2:5" ht="15" customHeight="1" x14ac:dyDescent="0.3">
      <c r="B630" s="76"/>
      <c r="C630" s="45" t="s">
        <v>131</v>
      </c>
      <c r="D630" s="44">
        <v>10</v>
      </c>
      <c r="E630" s="43">
        <v>3.4435261707988982E-3</v>
      </c>
    </row>
    <row r="631" spans="2:5" ht="15" customHeight="1" x14ac:dyDescent="0.3">
      <c r="B631" s="76"/>
      <c r="C631" s="45" t="s">
        <v>130</v>
      </c>
      <c r="D631" s="44">
        <v>1</v>
      </c>
      <c r="E631" s="43">
        <v>3.4435261707988982E-4</v>
      </c>
    </row>
    <row r="632" spans="2:5" ht="15" customHeight="1" x14ac:dyDescent="0.3">
      <c r="B632" s="76"/>
      <c r="C632" s="45" t="s">
        <v>129</v>
      </c>
      <c r="D632" s="44">
        <v>1</v>
      </c>
      <c r="E632" s="43">
        <v>3.4435261707988982E-4</v>
      </c>
    </row>
    <row r="633" spans="2:5" ht="15" customHeight="1" x14ac:dyDescent="0.3">
      <c r="B633" s="76"/>
      <c r="C633" s="45" t="s">
        <v>128</v>
      </c>
      <c r="D633" s="44">
        <v>2</v>
      </c>
      <c r="E633" s="43">
        <v>6.8870523415977963E-4</v>
      </c>
    </row>
    <row r="634" spans="2:5" ht="15" customHeight="1" x14ac:dyDescent="0.3">
      <c r="B634" s="76"/>
      <c r="C634" s="45" t="s">
        <v>127</v>
      </c>
      <c r="D634" s="44">
        <v>2</v>
      </c>
      <c r="E634" s="43">
        <v>6.8870523415977963E-4</v>
      </c>
    </row>
    <row r="635" spans="2:5" ht="15" customHeight="1" x14ac:dyDescent="0.3">
      <c r="B635" s="76"/>
      <c r="C635" s="45" t="s">
        <v>126</v>
      </c>
      <c r="D635" s="44">
        <v>6</v>
      </c>
      <c r="E635" s="43">
        <v>2.0661157024793389E-3</v>
      </c>
    </row>
    <row r="636" spans="2:5" ht="15" customHeight="1" x14ac:dyDescent="0.3">
      <c r="B636" s="76"/>
      <c r="C636" s="45" t="s">
        <v>125</v>
      </c>
      <c r="D636" s="44">
        <v>2</v>
      </c>
      <c r="E636" s="43">
        <v>6.8870523415977963E-4</v>
      </c>
    </row>
    <row r="637" spans="2:5" ht="15" customHeight="1" x14ac:dyDescent="0.3">
      <c r="B637" s="76"/>
      <c r="C637" s="45" t="s">
        <v>124</v>
      </c>
      <c r="D637" s="44">
        <v>5</v>
      </c>
      <c r="E637" s="43">
        <v>1.7217630853994491E-3</v>
      </c>
    </row>
    <row r="638" spans="2:5" ht="15" customHeight="1" x14ac:dyDescent="0.3">
      <c r="B638" s="76"/>
      <c r="C638" s="45" t="s">
        <v>123</v>
      </c>
      <c r="D638" s="44">
        <v>8</v>
      </c>
      <c r="E638" s="43">
        <v>2.7548209366391185E-3</v>
      </c>
    </row>
    <row r="639" spans="2:5" ht="15" customHeight="1" x14ac:dyDescent="0.3">
      <c r="B639" s="76"/>
      <c r="C639" s="45" t="s">
        <v>122</v>
      </c>
      <c r="D639" s="44">
        <v>5</v>
      </c>
      <c r="E639" s="43">
        <v>1.7217630853994491E-3</v>
      </c>
    </row>
    <row r="640" spans="2:5" ht="15" customHeight="1" x14ac:dyDescent="0.3">
      <c r="B640" s="76"/>
      <c r="C640" s="45" t="s">
        <v>121</v>
      </c>
      <c r="D640" s="44">
        <v>12</v>
      </c>
      <c r="E640" s="43">
        <v>4.1322314049586778E-3</v>
      </c>
    </row>
    <row r="641" spans="2:5" ht="15" customHeight="1" x14ac:dyDescent="0.3">
      <c r="B641" s="76"/>
      <c r="C641" s="45" t="s">
        <v>120</v>
      </c>
      <c r="D641" s="44">
        <v>2</v>
      </c>
      <c r="E641" s="43">
        <v>6.8870523415977963E-4</v>
      </c>
    </row>
    <row r="642" spans="2:5" ht="15" customHeight="1" x14ac:dyDescent="0.3">
      <c r="B642" s="76"/>
      <c r="C642" s="45" t="s">
        <v>119</v>
      </c>
      <c r="D642" s="44">
        <v>3</v>
      </c>
      <c r="E642" s="43">
        <v>1.0330578512396695E-3</v>
      </c>
    </row>
    <row r="643" spans="2:5" ht="15" customHeight="1" x14ac:dyDescent="0.3">
      <c r="B643" s="76"/>
      <c r="C643" s="45" t="s">
        <v>118</v>
      </c>
      <c r="D643" s="44">
        <v>59</v>
      </c>
      <c r="E643" s="43">
        <v>2.0316804407713499E-2</v>
      </c>
    </row>
    <row r="644" spans="2:5" ht="15" customHeight="1" x14ac:dyDescent="0.3">
      <c r="B644" s="76"/>
      <c r="C644" s="45" t="s">
        <v>45</v>
      </c>
      <c r="D644" s="44">
        <v>52</v>
      </c>
      <c r="E644" s="43">
        <v>1.790633608815427E-2</v>
      </c>
    </row>
    <row r="645" spans="2:5" ht="15" customHeight="1" x14ac:dyDescent="0.3">
      <c r="B645" s="76"/>
      <c r="C645" s="45" t="s">
        <v>117</v>
      </c>
      <c r="D645" s="44">
        <v>6</v>
      </c>
      <c r="E645" s="43">
        <v>2.0661157024793389E-3</v>
      </c>
    </row>
    <row r="646" spans="2:5" ht="15" customHeight="1" x14ac:dyDescent="0.3">
      <c r="B646" s="76"/>
      <c r="C646" s="45" t="s">
        <v>116</v>
      </c>
      <c r="D646" s="44">
        <v>5</v>
      </c>
      <c r="E646" s="43">
        <v>1.7217630853994491E-3</v>
      </c>
    </row>
    <row r="647" spans="2:5" ht="15" customHeight="1" x14ac:dyDescent="0.3">
      <c r="B647" s="76"/>
      <c r="C647" s="45" t="s">
        <v>115</v>
      </c>
      <c r="D647" s="44">
        <v>1</v>
      </c>
      <c r="E647" s="43">
        <v>3.4435261707988982E-4</v>
      </c>
    </row>
    <row r="648" spans="2:5" ht="15" customHeight="1" x14ac:dyDescent="0.3">
      <c r="B648" s="76"/>
      <c r="C648" s="45" t="s">
        <v>114</v>
      </c>
      <c r="D648" s="44">
        <v>51</v>
      </c>
      <c r="E648" s="43">
        <v>1.7561983471074381E-2</v>
      </c>
    </row>
    <row r="649" spans="2:5" ht="15" customHeight="1" x14ac:dyDescent="0.3">
      <c r="B649" s="77"/>
      <c r="C649" s="42" t="s">
        <v>18</v>
      </c>
      <c r="D649" s="41">
        <v>327</v>
      </c>
      <c r="E649" s="40">
        <v>0.11260330578512397</v>
      </c>
    </row>
    <row r="650" spans="2:5" ht="15" customHeight="1" x14ac:dyDescent="0.3">
      <c r="B650" s="75" t="s">
        <v>40</v>
      </c>
      <c r="C650" s="45" t="s">
        <v>113</v>
      </c>
      <c r="D650" s="44">
        <v>2</v>
      </c>
      <c r="E650" s="43">
        <v>6.8870523415977963E-4</v>
      </c>
    </row>
    <row r="651" spans="2:5" ht="15" customHeight="1" x14ac:dyDescent="0.3">
      <c r="B651" s="76"/>
      <c r="C651" s="45" t="s">
        <v>112</v>
      </c>
      <c r="D651" s="44">
        <v>6</v>
      </c>
      <c r="E651" s="43">
        <v>2.0661157024793389E-3</v>
      </c>
    </row>
    <row r="652" spans="2:5" ht="15" customHeight="1" x14ac:dyDescent="0.3">
      <c r="B652" s="76"/>
      <c r="C652" s="45" t="s">
        <v>111</v>
      </c>
      <c r="D652" s="44">
        <v>2</v>
      </c>
      <c r="E652" s="43">
        <v>6.8870523415977963E-4</v>
      </c>
    </row>
    <row r="653" spans="2:5" ht="15" customHeight="1" x14ac:dyDescent="0.3">
      <c r="B653" s="76"/>
      <c r="C653" s="45" t="s">
        <v>110</v>
      </c>
      <c r="D653" s="44">
        <v>1</v>
      </c>
      <c r="E653" s="43">
        <v>3.4435261707988982E-4</v>
      </c>
    </row>
    <row r="654" spans="2:5" ht="15" customHeight="1" x14ac:dyDescent="0.3">
      <c r="B654" s="76"/>
      <c r="C654" s="45" t="s">
        <v>109</v>
      </c>
      <c r="D654" s="44">
        <v>1</v>
      </c>
      <c r="E654" s="43">
        <v>3.4435261707988982E-4</v>
      </c>
    </row>
    <row r="655" spans="2:5" ht="15" customHeight="1" x14ac:dyDescent="0.3">
      <c r="B655" s="76"/>
      <c r="C655" s="45" t="s">
        <v>108</v>
      </c>
      <c r="D655" s="44">
        <v>2</v>
      </c>
      <c r="E655" s="43">
        <v>6.8870523415977963E-4</v>
      </c>
    </row>
    <row r="656" spans="2:5" ht="15" customHeight="1" x14ac:dyDescent="0.3">
      <c r="B656" s="76"/>
      <c r="C656" s="45" t="s">
        <v>107</v>
      </c>
      <c r="D656" s="44">
        <v>2</v>
      </c>
      <c r="E656" s="43">
        <v>6.8870523415977963E-4</v>
      </c>
    </row>
    <row r="657" spans="2:5" ht="15" customHeight="1" x14ac:dyDescent="0.3">
      <c r="B657" s="76"/>
      <c r="C657" s="45" t="s">
        <v>106</v>
      </c>
      <c r="D657" s="44">
        <v>1</v>
      </c>
      <c r="E657" s="43">
        <v>3.4435261707988982E-4</v>
      </c>
    </row>
    <row r="658" spans="2:5" ht="15" customHeight="1" x14ac:dyDescent="0.3">
      <c r="B658" s="76"/>
      <c r="C658" s="45" t="s">
        <v>105</v>
      </c>
      <c r="D658" s="44">
        <v>1</v>
      </c>
      <c r="E658" s="43">
        <v>3.4435261707988982E-4</v>
      </c>
    </row>
    <row r="659" spans="2:5" ht="15" customHeight="1" x14ac:dyDescent="0.3">
      <c r="B659" s="76"/>
      <c r="C659" s="45" t="s">
        <v>104</v>
      </c>
      <c r="D659" s="44">
        <v>1</v>
      </c>
      <c r="E659" s="43">
        <v>3.4435261707988982E-4</v>
      </c>
    </row>
    <row r="660" spans="2:5" ht="15" customHeight="1" x14ac:dyDescent="0.3">
      <c r="B660" s="76"/>
      <c r="C660" s="45" t="s">
        <v>103</v>
      </c>
      <c r="D660" s="44">
        <v>1</v>
      </c>
      <c r="E660" s="43">
        <v>3.4435261707988982E-4</v>
      </c>
    </row>
    <row r="661" spans="2:5" ht="15" customHeight="1" x14ac:dyDescent="0.3">
      <c r="B661" s="76"/>
      <c r="C661" s="45" t="s">
        <v>102</v>
      </c>
      <c r="D661" s="44">
        <v>3</v>
      </c>
      <c r="E661" s="43">
        <v>1.0330578512396695E-3</v>
      </c>
    </row>
    <row r="662" spans="2:5" ht="15" customHeight="1" x14ac:dyDescent="0.3">
      <c r="B662" s="76"/>
      <c r="C662" s="45" t="s">
        <v>101</v>
      </c>
      <c r="D662" s="44">
        <v>1</v>
      </c>
      <c r="E662" s="43">
        <v>3.4435261707988982E-4</v>
      </c>
    </row>
    <row r="663" spans="2:5" ht="15" customHeight="1" x14ac:dyDescent="0.3">
      <c r="B663" s="76"/>
      <c r="C663" s="45" t="s">
        <v>100</v>
      </c>
      <c r="D663" s="44">
        <v>2</v>
      </c>
      <c r="E663" s="43">
        <v>6.8870523415977963E-4</v>
      </c>
    </row>
    <row r="664" spans="2:5" ht="15" customHeight="1" x14ac:dyDescent="0.3">
      <c r="B664" s="76"/>
      <c r="C664" s="45" t="s">
        <v>99</v>
      </c>
      <c r="D664" s="44">
        <v>1</v>
      </c>
      <c r="E664" s="43">
        <v>3.4435261707988982E-4</v>
      </c>
    </row>
    <row r="665" spans="2:5" ht="15" customHeight="1" x14ac:dyDescent="0.3">
      <c r="B665" s="76"/>
      <c r="C665" s="45" t="s">
        <v>98</v>
      </c>
      <c r="D665" s="44">
        <v>2</v>
      </c>
      <c r="E665" s="43">
        <v>6.8870523415977963E-4</v>
      </c>
    </row>
    <row r="666" spans="2:5" ht="15" customHeight="1" x14ac:dyDescent="0.3">
      <c r="B666" s="76"/>
      <c r="C666" s="45" t="s">
        <v>97</v>
      </c>
      <c r="D666" s="44">
        <v>1</v>
      </c>
      <c r="E666" s="43">
        <v>3.4435261707988982E-4</v>
      </c>
    </row>
    <row r="667" spans="2:5" ht="15" customHeight="1" x14ac:dyDescent="0.3">
      <c r="B667" s="76"/>
      <c r="C667" s="45" t="s">
        <v>96</v>
      </c>
      <c r="D667" s="44">
        <v>1</v>
      </c>
      <c r="E667" s="43">
        <v>3.4435261707988982E-4</v>
      </c>
    </row>
    <row r="668" spans="2:5" ht="15" customHeight="1" x14ac:dyDescent="0.3">
      <c r="B668" s="76"/>
      <c r="C668" s="45" t="s">
        <v>95</v>
      </c>
      <c r="D668" s="44">
        <v>1</v>
      </c>
      <c r="E668" s="43">
        <v>3.4435261707988982E-4</v>
      </c>
    </row>
    <row r="669" spans="2:5" ht="15" customHeight="1" x14ac:dyDescent="0.3">
      <c r="B669" s="76"/>
      <c r="C669" s="45" t="s">
        <v>94</v>
      </c>
      <c r="D669" s="44">
        <v>1</v>
      </c>
      <c r="E669" s="43">
        <v>3.4435261707988982E-4</v>
      </c>
    </row>
    <row r="670" spans="2:5" ht="15" customHeight="1" x14ac:dyDescent="0.3">
      <c r="B670" s="76"/>
      <c r="C670" s="45" t="s">
        <v>93</v>
      </c>
      <c r="D670" s="44">
        <v>2</v>
      </c>
      <c r="E670" s="43">
        <v>6.8870523415977963E-4</v>
      </c>
    </row>
    <row r="671" spans="2:5" ht="15" customHeight="1" x14ac:dyDescent="0.3">
      <c r="B671" s="76"/>
      <c r="C671" s="45" t="s">
        <v>92</v>
      </c>
      <c r="D671" s="44">
        <v>2</v>
      </c>
      <c r="E671" s="43">
        <v>6.8870523415977963E-4</v>
      </c>
    </row>
    <row r="672" spans="2:5" ht="15" customHeight="1" x14ac:dyDescent="0.3">
      <c r="B672" s="76"/>
      <c r="C672" s="45" t="s">
        <v>91</v>
      </c>
      <c r="D672" s="44">
        <v>1</v>
      </c>
      <c r="E672" s="43">
        <v>3.4435261707988982E-4</v>
      </c>
    </row>
    <row r="673" spans="2:5" ht="15" customHeight="1" x14ac:dyDescent="0.3">
      <c r="B673" s="76"/>
      <c r="C673" s="45" t="s">
        <v>90</v>
      </c>
      <c r="D673" s="44">
        <v>1</v>
      </c>
      <c r="E673" s="43">
        <v>3.4435261707988982E-4</v>
      </c>
    </row>
    <row r="674" spans="2:5" ht="15" customHeight="1" x14ac:dyDescent="0.3">
      <c r="B674" s="76"/>
      <c r="C674" s="45" t="s">
        <v>89</v>
      </c>
      <c r="D674" s="44">
        <v>4</v>
      </c>
      <c r="E674" s="43">
        <v>1.3774104683195593E-3</v>
      </c>
    </row>
    <row r="675" spans="2:5" ht="15" customHeight="1" x14ac:dyDescent="0.3">
      <c r="B675" s="76"/>
      <c r="C675" s="45" t="s">
        <v>88</v>
      </c>
      <c r="D675" s="44">
        <v>1</v>
      </c>
      <c r="E675" s="43">
        <v>3.4435261707988982E-4</v>
      </c>
    </row>
    <row r="676" spans="2:5" ht="15" customHeight="1" x14ac:dyDescent="0.3">
      <c r="B676" s="76"/>
      <c r="C676" s="45" t="s">
        <v>87</v>
      </c>
      <c r="D676" s="44">
        <v>9</v>
      </c>
      <c r="E676" s="43">
        <v>3.0991735537190084E-3</v>
      </c>
    </row>
    <row r="677" spans="2:5" ht="15" customHeight="1" x14ac:dyDescent="0.3">
      <c r="B677" s="76"/>
      <c r="C677" s="45" t="s">
        <v>86</v>
      </c>
      <c r="D677" s="44">
        <v>3</v>
      </c>
      <c r="E677" s="43">
        <v>1.0330578512396695E-3</v>
      </c>
    </row>
    <row r="678" spans="2:5" ht="15" customHeight="1" x14ac:dyDescent="0.3">
      <c r="B678" s="76"/>
      <c r="C678" s="45" t="s">
        <v>85</v>
      </c>
      <c r="D678" s="44">
        <v>1</v>
      </c>
      <c r="E678" s="43">
        <v>3.4435261707988982E-4</v>
      </c>
    </row>
    <row r="679" spans="2:5" ht="15" customHeight="1" x14ac:dyDescent="0.3">
      <c r="B679" s="76"/>
      <c r="C679" s="45" t="s">
        <v>84</v>
      </c>
      <c r="D679" s="44">
        <v>1</v>
      </c>
      <c r="E679" s="43">
        <v>3.4435261707988982E-4</v>
      </c>
    </row>
    <row r="680" spans="2:5" ht="15" customHeight="1" x14ac:dyDescent="0.3">
      <c r="B680" s="76"/>
      <c r="C680" s="45" t="s">
        <v>83</v>
      </c>
      <c r="D680" s="44">
        <v>3</v>
      </c>
      <c r="E680" s="43">
        <v>1.0330578512396695E-3</v>
      </c>
    </row>
    <row r="681" spans="2:5" ht="15" customHeight="1" x14ac:dyDescent="0.3">
      <c r="B681" s="76"/>
      <c r="C681" s="45" t="s">
        <v>82</v>
      </c>
      <c r="D681" s="44">
        <v>4</v>
      </c>
      <c r="E681" s="43">
        <v>1.3774104683195593E-3</v>
      </c>
    </row>
    <row r="682" spans="2:5" ht="15" customHeight="1" x14ac:dyDescent="0.3">
      <c r="B682" s="76"/>
      <c r="C682" s="45" t="s">
        <v>81</v>
      </c>
      <c r="D682" s="44">
        <v>1</v>
      </c>
      <c r="E682" s="43">
        <v>3.4435261707988982E-4</v>
      </c>
    </row>
    <row r="683" spans="2:5" ht="15" customHeight="1" x14ac:dyDescent="0.3">
      <c r="B683" s="76"/>
      <c r="C683" s="45" t="s">
        <v>80</v>
      </c>
      <c r="D683" s="44">
        <v>1</v>
      </c>
      <c r="E683" s="43">
        <v>3.4435261707988982E-4</v>
      </c>
    </row>
    <row r="684" spans="2:5" ht="15" customHeight="1" x14ac:dyDescent="0.3">
      <c r="B684" s="76"/>
      <c r="C684" s="45" t="s">
        <v>79</v>
      </c>
      <c r="D684" s="44">
        <v>2</v>
      </c>
      <c r="E684" s="43">
        <v>6.8870523415977963E-4</v>
      </c>
    </row>
    <row r="685" spans="2:5" ht="15" customHeight="1" x14ac:dyDescent="0.3">
      <c r="B685" s="76"/>
      <c r="C685" s="45" t="s">
        <v>78</v>
      </c>
      <c r="D685" s="44">
        <v>1</v>
      </c>
      <c r="E685" s="43">
        <v>3.4435261707988982E-4</v>
      </c>
    </row>
    <row r="686" spans="2:5" ht="15" customHeight="1" x14ac:dyDescent="0.3">
      <c r="B686" s="76"/>
      <c r="C686" s="45" t="s">
        <v>77</v>
      </c>
      <c r="D686" s="44">
        <v>2</v>
      </c>
      <c r="E686" s="43">
        <v>6.8870523415977963E-4</v>
      </c>
    </row>
    <row r="687" spans="2:5" ht="15" customHeight="1" x14ac:dyDescent="0.3">
      <c r="B687" s="76"/>
      <c r="C687" s="45" t="s">
        <v>76</v>
      </c>
      <c r="D687" s="44">
        <v>1</v>
      </c>
      <c r="E687" s="43">
        <v>3.4435261707988982E-4</v>
      </c>
    </row>
    <row r="688" spans="2:5" ht="15" customHeight="1" x14ac:dyDescent="0.3">
      <c r="B688" s="76"/>
      <c r="C688" s="45" t="s">
        <v>75</v>
      </c>
      <c r="D688" s="44">
        <v>7</v>
      </c>
      <c r="E688" s="43">
        <v>2.4104683195592287E-3</v>
      </c>
    </row>
    <row r="689" spans="2:5" ht="15" customHeight="1" x14ac:dyDescent="0.3">
      <c r="B689" s="76"/>
      <c r="C689" s="45" t="s">
        <v>74</v>
      </c>
      <c r="D689" s="44">
        <v>4</v>
      </c>
      <c r="E689" s="43">
        <v>1.3774104683195593E-3</v>
      </c>
    </row>
    <row r="690" spans="2:5" ht="15" customHeight="1" x14ac:dyDescent="0.3">
      <c r="B690" s="76"/>
      <c r="C690" s="45" t="s">
        <v>73</v>
      </c>
      <c r="D690" s="44">
        <v>2</v>
      </c>
      <c r="E690" s="43">
        <v>6.8870523415977963E-4</v>
      </c>
    </row>
    <row r="691" spans="2:5" ht="15" customHeight="1" x14ac:dyDescent="0.3">
      <c r="B691" s="76"/>
      <c r="C691" s="45" t="s">
        <v>72</v>
      </c>
      <c r="D691" s="44">
        <v>1</v>
      </c>
      <c r="E691" s="43">
        <v>3.4435261707988982E-4</v>
      </c>
    </row>
    <row r="692" spans="2:5" ht="15" customHeight="1" x14ac:dyDescent="0.3">
      <c r="B692" s="76"/>
      <c r="C692" s="45" t="s">
        <v>71</v>
      </c>
      <c r="D692" s="44">
        <v>3</v>
      </c>
      <c r="E692" s="43">
        <v>1.0330578512396695E-3</v>
      </c>
    </row>
    <row r="693" spans="2:5" ht="15" customHeight="1" x14ac:dyDescent="0.3">
      <c r="B693" s="76"/>
      <c r="C693" s="45" t="s">
        <v>70</v>
      </c>
      <c r="D693" s="44">
        <v>1</v>
      </c>
      <c r="E693" s="43">
        <v>3.4435261707988982E-4</v>
      </c>
    </row>
    <row r="694" spans="2:5" ht="15" customHeight="1" x14ac:dyDescent="0.3">
      <c r="B694" s="76"/>
      <c r="C694" s="45" t="s">
        <v>69</v>
      </c>
      <c r="D694" s="44">
        <v>1</v>
      </c>
      <c r="E694" s="43">
        <v>3.4435261707988982E-4</v>
      </c>
    </row>
    <row r="695" spans="2:5" ht="15" customHeight="1" x14ac:dyDescent="0.3">
      <c r="B695" s="76"/>
      <c r="C695" s="45" t="s">
        <v>68</v>
      </c>
      <c r="D695" s="44">
        <v>1</v>
      </c>
      <c r="E695" s="43">
        <v>3.4435261707988982E-4</v>
      </c>
    </row>
    <row r="696" spans="2:5" ht="15" customHeight="1" x14ac:dyDescent="0.3">
      <c r="B696" s="76"/>
      <c r="C696" s="45" t="s">
        <v>67</v>
      </c>
      <c r="D696" s="44">
        <v>1</v>
      </c>
      <c r="E696" s="43">
        <v>3.4435261707988982E-4</v>
      </c>
    </row>
    <row r="697" spans="2:5" ht="15" customHeight="1" x14ac:dyDescent="0.3">
      <c r="B697" s="76"/>
      <c r="C697" s="45" t="s">
        <v>66</v>
      </c>
      <c r="D697" s="44">
        <v>4</v>
      </c>
      <c r="E697" s="43">
        <v>1.3774104683195593E-3</v>
      </c>
    </row>
    <row r="698" spans="2:5" ht="15" customHeight="1" x14ac:dyDescent="0.3">
      <c r="B698" s="76"/>
      <c r="C698" s="45" t="s">
        <v>65</v>
      </c>
      <c r="D698" s="44">
        <v>1</v>
      </c>
      <c r="E698" s="43">
        <v>3.4435261707988982E-4</v>
      </c>
    </row>
    <row r="699" spans="2:5" ht="15" customHeight="1" x14ac:dyDescent="0.3">
      <c r="B699" s="76"/>
      <c r="C699" s="45" t="s">
        <v>64</v>
      </c>
      <c r="D699" s="44">
        <v>2</v>
      </c>
      <c r="E699" s="43">
        <v>6.8870523415977963E-4</v>
      </c>
    </row>
    <row r="700" spans="2:5" ht="15" customHeight="1" x14ac:dyDescent="0.3">
      <c r="B700" s="76"/>
      <c r="C700" s="45" t="s">
        <v>63</v>
      </c>
      <c r="D700" s="44">
        <v>1</v>
      </c>
      <c r="E700" s="43">
        <v>3.4435261707988982E-4</v>
      </c>
    </row>
    <row r="701" spans="2:5" ht="15" customHeight="1" x14ac:dyDescent="0.3">
      <c r="B701" s="76"/>
      <c r="C701" s="45" t="s">
        <v>62</v>
      </c>
      <c r="D701" s="44">
        <v>6</v>
      </c>
      <c r="E701" s="43">
        <v>2.0661157024793389E-3</v>
      </c>
    </row>
    <row r="702" spans="2:5" ht="15" customHeight="1" x14ac:dyDescent="0.3">
      <c r="B702" s="76"/>
      <c r="C702" s="45" t="s">
        <v>61</v>
      </c>
      <c r="D702" s="44">
        <v>1</v>
      </c>
      <c r="E702" s="43">
        <v>3.4435261707988982E-4</v>
      </c>
    </row>
    <row r="703" spans="2:5" ht="15" customHeight="1" x14ac:dyDescent="0.3">
      <c r="B703" s="76"/>
      <c r="C703" s="45" t="s">
        <v>60</v>
      </c>
      <c r="D703" s="44">
        <v>1</v>
      </c>
      <c r="E703" s="43">
        <v>3.4435261707988982E-4</v>
      </c>
    </row>
    <row r="704" spans="2:5" ht="15" customHeight="1" x14ac:dyDescent="0.3">
      <c r="B704" s="76"/>
      <c r="C704" s="45" t="s">
        <v>59</v>
      </c>
      <c r="D704" s="44">
        <v>4</v>
      </c>
      <c r="E704" s="43">
        <v>1.3774104683195593E-3</v>
      </c>
    </row>
    <row r="705" spans="2:5" ht="15" customHeight="1" x14ac:dyDescent="0.3">
      <c r="B705" s="76"/>
      <c r="C705" s="45" t="s">
        <v>40</v>
      </c>
      <c r="D705" s="44">
        <v>16</v>
      </c>
      <c r="E705" s="43">
        <v>5.5096418732782371E-3</v>
      </c>
    </row>
    <row r="706" spans="2:5" ht="15" customHeight="1" x14ac:dyDescent="0.3">
      <c r="B706" s="76"/>
      <c r="C706" s="45" t="s">
        <v>58</v>
      </c>
      <c r="D706" s="44">
        <v>4</v>
      </c>
      <c r="E706" s="43">
        <v>1.3774104683195593E-3</v>
      </c>
    </row>
    <row r="707" spans="2:5" ht="15" customHeight="1" x14ac:dyDescent="0.3">
      <c r="B707" s="76"/>
      <c r="C707" s="45" t="s">
        <v>57</v>
      </c>
      <c r="D707" s="44">
        <v>3</v>
      </c>
      <c r="E707" s="43">
        <v>1.0330578512396695E-3</v>
      </c>
    </row>
    <row r="708" spans="2:5" ht="15" customHeight="1" x14ac:dyDescent="0.3">
      <c r="B708" s="77"/>
      <c r="C708" s="42" t="s">
        <v>18</v>
      </c>
      <c r="D708" s="41">
        <v>137</v>
      </c>
      <c r="E708" s="40">
        <v>4.7176308539944901E-2</v>
      </c>
    </row>
    <row r="709" spans="2:5" ht="15" customHeight="1" x14ac:dyDescent="0.3">
      <c r="B709" s="75" t="s">
        <v>19</v>
      </c>
      <c r="C709" s="45" t="s">
        <v>56</v>
      </c>
      <c r="D709" s="44">
        <v>1</v>
      </c>
      <c r="E709" s="43">
        <v>3.4435261707988982E-4</v>
      </c>
    </row>
    <row r="710" spans="2:5" ht="15" customHeight="1" x14ac:dyDescent="0.3">
      <c r="B710" s="77"/>
      <c r="C710" s="42" t="s">
        <v>18</v>
      </c>
      <c r="D710" s="41">
        <v>1</v>
      </c>
      <c r="E710" s="40">
        <v>3.4435261707988982E-4</v>
      </c>
    </row>
    <row r="711" spans="2:5" ht="15" customHeight="1" x14ac:dyDescent="0.3">
      <c r="B711" s="75" t="s">
        <v>28</v>
      </c>
      <c r="C711" s="45" t="s">
        <v>55</v>
      </c>
      <c r="D711" s="44">
        <v>6</v>
      </c>
      <c r="E711" s="43">
        <v>2.0661157024793389E-3</v>
      </c>
    </row>
    <row r="712" spans="2:5" ht="15" customHeight="1" x14ac:dyDescent="0.3">
      <c r="B712" s="76"/>
      <c r="C712" s="45" t="s">
        <v>54</v>
      </c>
      <c r="D712" s="44">
        <v>1</v>
      </c>
      <c r="E712" s="43">
        <v>3.4435261707988982E-4</v>
      </c>
    </row>
    <row r="713" spans="2:5" ht="15" customHeight="1" x14ac:dyDescent="0.3">
      <c r="B713" s="76"/>
      <c r="C713" s="45" t="s">
        <v>53</v>
      </c>
      <c r="D713" s="44">
        <v>1</v>
      </c>
      <c r="E713" s="43">
        <v>3.4435261707988982E-4</v>
      </c>
    </row>
    <row r="714" spans="2:5" ht="15" customHeight="1" x14ac:dyDescent="0.3">
      <c r="B714" s="76"/>
      <c r="C714" s="45" t="s">
        <v>52</v>
      </c>
      <c r="D714" s="44">
        <v>1</v>
      </c>
      <c r="E714" s="43">
        <v>3.4435261707988982E-4</v>
      </c>
    </row>
    <row r="715" spans="2:5" ht="15" customHeight="1" x14ac:dyDescent="0.3">
      <c r="B715" s="76"/>
      <c r="C715" s="45" t="s">
        <v>51</v>
      </c>
      <c r="D715" s="44">
        <v>1</v>
      </c>
      <c r="E715" s="43">
        <v>3.4435261707988982E-4</v>
      </c>
    </row>
    <row r="716" spans="2:5" ht="15" customHeight="1" x14ac:dyDescent="0.3">
      <c r="B716" s="77"/>
      <c r="C716" s="42" t="s">
        <v>18</v>
      </c>
      <c r="D716" s="41">
        <v>10</v>
      </c>
      <c r="E716" s="40">
        <v>3.4435261707988982E-3</v>
      </c>
    </row>
    <row r="717" spans="2:5" ht="15" customHeight="1" x14ac:dyDescent="0.3">
      <c r="B717" s="78" t="s">
        <v>18</v>
      </c>
      <c r="C717" s="79"/>
      <c r="D717" s="63">
        <f>SUMIF(C$10:C716,"Total",D$10:D716)</f>
        <v>2904</v>
      </c>
      <c r="E717" s="64">
        <v>1</v>
      </c>
    </row>
    <row r="719" spans="2:5" ht="15" customHeight="1" x14ac:dyDescent="0.3">
      <c r="B719" s="19" t="s">
        <v>17</v>
      </c>
    </row>
    <row r="720" spans="2:5" ht="15" customHeight="1" x14ac:dyDescent="0.3">
      <c r="B720" s="21" t="s">
        <v>16</v>
      </c>
    </row>
    <row r="721" spans="2:2" ht="15" customHeight="1" x14ac:dyDescent="0.3">
      <c r="B721" s="20" t="s">
        <v>15</v>
      </c>
    </row>
    <row r="722" spans="2:2" ht="15" customHeight="1" x14ac:dyDescent="0.3">
      <c r="B722" s="19" t="s">
        <v>14</v>
      </c>
    </row>
    <row r="723" spans="2:2" ht="15" customHeight="1" x14ac:dyDescent="0.3">
      <c r="B723" s="19" t="s">
        <v>13</v>
      </c>
    </row>
  </sheetData>
  <mergeCells count="30">
    <mergeCell ref="B64:B68"/>
    <mergeCell ref="B7:E8"/>
    <mergeCell ref="B10:B13"/>
    <mergeCell ref="B14:B17"/>
    <mergeCell ref="B18:B21"/>
    <mergeCell ref="B22:B63"/>
    <mergeCell ref="B343:B442"/>
    <mergeCell ref="B69:B73"/>
    <mergeCell ref="B74:B90"/>
    <mergeCell ref="B91:B97"/>
    <mergeCell ref="B98:B142"/>
    <mergeCell ref="B143:B166"/>
    <mergeCell ref="B167:B215"/>
    <mergeCell ref="B216:B253"/>
    <mergeCell ref="B254:B280"/>
    <mergeCell ref="B281:B316"/>
    <mergeCell ref="B317:B337"/>
    <mergeCell ref="B338:B342"/>
    <mergeCell ref="B717:C717"/>
    <mergeCell ref="B443:B574"/>
    <mergeCell ref="B575:B580"/>
    <mergeCell ref="B581:B583"/>
    <mergeCell ref="B584:B598"/>
    <mergeCell ref="B599:B602"/>
    <mergeCell ref="B603:B608"/>
    <mergeCell ref="B609:B617"/>
    <mergeCell ref="B618:B649"/>
    <mergeCell ref="B650:B708"/>
    <mergeCell ref="B709:B710"/>
    <mergeCell ref="B711:B716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rowBreaks count="13" manualBreakCount="13">
    <brk id="21" max="4" man="1"/>
    <brk id="63" max="4" man="1"/>
    <brk id="97" max="4" man="1"/>
    <brk id="166" max="4" man="1"/>
    <brk id="208" max="4" man="1"/>
    <brk id="253" max="4" man="1"/>
    <brk id="280" max="4" man="1"/>
    <brk id="316" max="4" man="1"/>
    <brk id="342" max="4" man="1"/>
    <brk id="442" max="4" man="1"/>
    <brk id="574" max="4" man="1"/>
    <brk id="617" max="4" man="1"/>
    <brk id="64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1"/>
  <sheetViews>
    <sheetView showGridLines="0" topLeftCell="A11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732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731</v>
      </c>
      <c r="C11" s="31" t="s">
        <v>48</v>
      </c>
      <c r="D11" s="30" t="s">
        <v>47</v>
      </c>
    </row>
    <row r="12" spans="2:4" ht="15" customHeight="1" x14ac:dyDescent="0.3">
      <c r="B12" s="27" t="s">
        <v>730</v>
      </c>
      <c r="C12" s="26">
        <v>49</v>
      </c>
      <c r="D12" s="25">
        <v>1.6873278236914601E-2</v>
      </c>
    </row>
    <row r="13" spans="2:4" x14ac:dyDescent="0.3">
      <c r="B13" s="27" t="s">
        <v>729</v>
      </c>
      <c r="C13" s="26">
        <v>8</v>
      </c>
      <c r="D13" s="25">
        <v>2.7548209366391185E-3</v>
      </c>
    </row>
    <row r="14" spans="2:4" s="28" customFormat="1" ht="15" x14ac:dyDescent="0.3">
      <c r="B14" s="27" t="s">
        <v>728</v>
      </c>
      <c r="C14" s="26">
        <v>37</v>
      </c>
      <c r="D14" s="25">
        <v>1.2741046831955923E-2</v>
      </c>
    </row>
    <row r="15" spans="2:4" s="28" customFormat="1" ht="15" x14ac:dyDescent="0.3">
      <c r="B15" s="27" t="s">
        <v>727</v>
      </c>
      <c r="C15" s="26">
        <v>57</v>
      </c>
      <c r="D15" s="25">
        <v>1.962809917355372E-2</v>
      </c>
    </row>
    <row r="16" spans="2:4" x14ac:dyDescent="0.3">
      <c r="B16" s="27" t="s">
        <v>726</v>
      </c>
      <c r="C16" s="26">
        <v>48</v>
      </c>
      <c r="D16" s="25">
        <v>1.6528925619834711E-2</v>
      </c>
    </row>
    <row r="17" spans="2:4" x14ac:dyDescent="0.3">
      <c r="B17" s="27" t="s">
        <v>725</v>
      </c>
      <c r="C17" s="26">
        <v>57</v>
      </c>
      <c r="D17" s="25">
        <v>1.962809917355372E-2</v>
      </c>
    </row>
    <row r="18" spans="2:4" x14ac:dyDescent="0.3">
      <c r="B18" s="27" t="s">
        <v>724</v>
      </c>
      <c r="C18" s="26">
        <v>233</v>
      </c>
      <c r="D18" s="25">
        <v>8.0234159779614331E-2</v>
      </c>
    </row>
    <row r="19" spans="2:4" x14ac:dyDescent="0.3">
      <c r="B19" s="27" t="s">
        <v>723</v>
      </c>
      <c r="C19" s="26">
        <v>454</v>
      </c>
      <c r="D19" s="25">
        <v>0.15633608815426997</v>
      </c>
    </row>
    <row r="20" spans="2:4" x14ac:dyDescent="0.3">
      <c r="B20" s="27" t="s">
        <v>722</v>
      </c>
      <c r="C20" s="26">
        <v>26</v>
      </c>
      <c r="D20" s="25">
        <v>8.9531680440771352E-3</v>
      </c>
    </row>
    <row r="21" spans="2:4" x14ac:dyDescent="0.3">
      <c r="B21" s="27" t="s">
        <v>721</v>
      </c>
      <c r="C21" s="26">
        <v>101</v>
      </c>
      <c r="D21" s="25">
        <v>3.4779614325068868E-2</v>
      </c>
    </row>
    <row r="22" spans="2:4" x14ac:dyDescent="0.3">
      <c r="B22" s="27" t="s">
        <v>720</v>
      </c>
      <c r="C22" s="26">
        <v>58</v>
      </c>
      <c r="D22" s="25">
        <v>1.9972451790633609E-2</v>
      </c>
    </row>
    <row r="23" spans="2:4" x14ac:dyDescent="0.3">
      <c r="B23" s="27" t="s">
        <v>719</v>
      </c>
      <c r="C23" s="26">
        <v>1057</v>
      </c>
      <c r="D23" s="25">
        <v>0.36398071625344353</v>
      </c>
    </row>
    <row r="24" spans="2:4" x14ac:dyDescent="0.3">
      <c r="B24" s="27" t="s">
        <v>718</v>
      </c>
      <c r="C24" s="26">
        <v>29</v>
      </c>
      <c r="D24" s="25">
        <v>9.9862258953168047E-3</v>
      </c>
    </row>
    <row r="25" spans="2:4" x14ac:dyDescent="0.3">
      <c r="B25" s="27" t="s">
        <v>717</v>
      </c>
      <c r="C25" s="26">
        <v>148</v>
      </c>
      <c r="D25" s="25">
        <v>5.0964187327823693E-2</v>
      </c>
    </row>
    <row r="26" spans="2:4" x14ac:dyDescent="0.3">
      <c r="B26" s="27" t="s">
        <v>716</v>
      </c>
      <c r="C26" s="26">
        <v>420</v>
      </c>
      <c r="D26" s="25">
        <v>0.14462809917355371</v>
      </c>
    </row>
    <row r="27" spans="2:4" x14ac:dyDescent="0.3">
      <c r="B27" s="27" t="s">
        <v>715</v>
      </c>
      <c r="C27" s="26">
        <v>5</v>
      </c>
      <c r="D27" s="25">
        <v>1.7217630853994491E-3</v>
      </c>
    </row>
    <row r="28" spans="2:4" x14ac:dyDescent="0.3">
      <c r="B28" s="27" t="s">
        <v>714</v>
      </c>
      <c r="C28" s="26">
        <v>11</v>
      </c>
      <c r="D28" s="25">
        <v>3.787878787878788E-3</v>
      </c>
    </row>
    <row r="29" spans="2:4" x14ac:dyDescent="0.3">
      <c r="B29" s="27" t="s">
        <v>713</v>
      </c>
      <c r="C29" s="26">
        <v>1</v>
      </c>
      <c r="D29" s="25">
        <v>3.4435261707988982E-4</v>
      </c>
    </row>
    <row r="30" spans="2:4" x14ac:dyDescent="0.3">
      <c r="B30" s="27" t="s">
        <v>712</v>
      </c>
      <c r="C30" s="26">
        <v>37</v>
      </c>
      <c r="D30" s="25">
        <v>1.2741046831955923E-2</v>
      </c>
    </row>
    <row r="31" spans="2:4" x14ac:dyDescent="0.3">
      <c r="B31" s="27" t="s">
        <v>711</v>
      </c>
      <c r="C31" s="26">
        <v>61</v>
      </c>
      <c r="D31" s="25">
        <v>2.1005509641873279E-2</v>
      </c>
    </row>
    <row r="32" spans="2:4" x14ac:dyDescent="0.3">
      <c r="B32" s="27" t="s">
        <v>710</v>
      </c>
      <c r="C32" s="26">
        <v>5</v>
      </c>
      <c r="D32" s="25">
        <v>1.7217630853994491E-3</v>
      </c>
    </row>
    <row r="33" spans="2:4" x14ac:dyDescent="0.3">
      <c r="B33" s="27" t="s">
        <v>709</v>
      </c>
      <c r="C33" s="26">
        <v>1</v>
      </c>
      <c r="D33" s="25">
        <v>3.4435261707988982E-4</v>
      </c>
    </row>
    <row r="34" spans="2:4" x14ac:dyDescent="0.3">
      <c r="B34" s="27" t="s">
        <v>708</v>
      </c>
      <c r="C34" s="26">
        <v>1</v>
      </c>
      <c r="D34" s="25">
        <v>3.4435261707988982E-4</v>
      </c>
    </row>
    <row r="35" spans="2:4" x14ac:dyDescent="0.3">
      <c r="B35" s="24" t="s">
        <v>18</v>
      </c>
      <c r="C35" s="23">
        <v>2904</v>
      </c>
      <c r="D35" s="22">
        <v>1</v>
      </c>
    </row>
    <row r="37" spans="2:4" x14ac:dyDescent="0.3">
      <c r="B37" s="19" t="s">
        <v>17</v>
      </c>
    </row>
    <row r="38" spans="2:4" x14ac:dyDescent="0.3">
      <c r="B38" s="21" t="s">
        <v>16</v>
      </c>
    </row>
    <row r="39" spans="2:4" x14ac:dyDescent="0.3">
      <c r="B39" s="20" t="s">
        <v>15</v>
      </c>
    </row>
    <row r="40" spans="2:4" x14ac:dyDescent="0.3">
      <c r="B40" s="19" t="s">
        <v>14</v>
      </c>
    </row>
    <row r="41" spans="2:4" x14ac:dyDescent="0.3">
      <c r="B41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17"/>
  <sheetViews>
    <sheetView topLeftCell="A298" zoomScale="96" zoomScaleNormal="96" zoomScaleSheetLayoutView="100" workbookViewId="0">
      <selection activeCell="B311" sqref="B311:E311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80"/>
      <c r="C7" s="80"/>
      <c r="D7" s="80"/>
      <c r="E7" s="80"/>
    </row>
    <row r="8" spans="1:5" s="50" customFormat="1" ht="33" customHeight="1" x14ac:dyDescent="0.25">
      <c r="A8" s="51"/>
      <c r="B8" s="80"/>
      <c r="C8" s="80"/>
      <c r="D8" s="80"/>
      <c r="E8" s="80"/>
    </row>
    <row r="9" spans="1:5" s="29" customFormat="1" ht="40.5" customHeight="1" x14ac:dyDescent="0.2">
      <c r="B9" s="47" t="s">
        <v>731</v>
      </c>
      <c r="C9" s="49" t="s">
        <v>49</v>
      </c>
      <c r="D9" s="48" t="s">
        <v>48</v>
      </c>
      <c r="E9" s="47" t="s">
        <v>47</v>
      </c>
    </row>
    <row r="10" spans="1:5" ht="15" customHeight="1" x14ac:dyDescent="0.3">
      <c r="B10" s="75" t="s">
        <v>730</v>
      </c>
      <c r="C10" s="45" t="s">
        <v>38</v>
      </c>
      <c r="D10" s="44">
        <v>3</v>
      </c>
      <c r="E10" s="43">
        <v>1.0330578512396695E-3</v>
      </c>
    </row>
    <row r="11" spans="1:5" ht="15" customHeight="1" x14ac:dyDescent="0.3">
      <c r="B11" s="76"/>
      <c r="C11" s="45" t="s">
        <v>39</v>
      </c>
      <c r="D11" s="44">
        <v>2</v>
      </c>
      <c r="E11" s="43">
        <v>6.8870523415977963E-4</v>
      </c>
    </row>
    <row r="12" spans="1:5" ht="15" customHeight="1" x14ac:dyDescent="0.3">
      <c r="B12" s="76"/>
      <c r="C12" s="45" t="s">
        <v>34</v>
      </c>
      <c r="D12" s="44">
        <v>1</v>
      </c>
      <c r="E12" s="43">
        <v>3.4435261707988982E-4</v>
      </c>
    </row>
    <row r="13" spans="1:5" ht="15" customHeight="1" x14ac:dyDescent="0.3">
      <c r="B13" s="76"/>
      <c r="C13" s="45" t="s">
        <v>42</v>
      </c>
      <c r="D13" s="44">
        <v>9</v>
      </c>
      <c r="E13" s="43">
        <v>3.0991735537190084E-3</v>
      </c>
    </row>
    <row r="14" spans="1:5" ht="15" customHeight="1" x14ac:dyDescent="0.3">
      <c r="B14" s="76"/>
      <c r="C14" s="45" t="s">
        <v>36</v>
      </c>
      <c r="D14" s="44">
        <v>1</v>
      </c>
      <c r="E14" s="43">
        <v>3.4435261707988982E-4</v>
      </c>
    </row>
    <row r="15" spans="1:5" s="46" customFormat="1" ht="15" customHeight="1" x14ac:dyDescent="0.3">
      <c r="A15" s="36"/>
      <c r="B15" s="76"/>
      <c r="C15" s="45" t="s">
        <v>35</v>
      </c>
      <c r="D15" s="44">
        <v>1</v>
      </c>
      <c r="E15" s="43">
        <v>3.4435261707988982E-4</v>
      </c>
    </row>
    <row r="16" spans="1:5" s="46" customFormat="1" ht="15" customHeight="1" x14ac:dyDescent="0.3">
      <c r="A16" s="36"/>
      <c r="B16" s="76"/>
      <c r="C16" s="45" t="s">
        <v>41</v>
      </c>
      <c r="D16" s="44">
        <v>1</v>
      </c>
      <c r="E16" s="43">
        <v>3.4435261707988982E-4</v>
      </c>
    </row>
    <row r="17" spans="1:5" s="46" customFormat="1" ht="15" customHeight="1" x14ac:dyDescent="0.3">
      <c r="A17" s="36"/>
      <c r="B17" s="76"/>
      <c r="C17" s="45" t="s">
        <v>37</v>
      </c>
      <c r="D17" s="44">
        <v>1</v>
      </c>
      <c r="E17" s="43">
        <v>3.4435261707988982E-4</v>
      </c>
    </row>
    <row r="18" spans="1:5" s="46" customFormat="1" ht="15" customHeight="1" x14ac:dyDescent="0.3">
      <c r="A18" s="36"/>
      <c r="B18" s="76"/>
      <c r="C18" s="45" t="s">
        <v>44</v>
      </c>
      <c r="D18" s="44">
        <v>6</v>
      </c>
      <c r="E18" s="43">
        <v>2.0661157024793389E-3</v>
      </c>
    </row>
    <row r="19" spans="1:5" s="46" customFormat="1" ht="15" customHeight="1" x14ac:dyDescent="0.3">
      <c r="A19" s="36"/>
      <c r="B19" s="76"/>
      <c r="C19" s="45" t="s">
        <v>46</v>
      </c>
      <c r="D19" s="44">
        <v>21</v>
      </c>
      <c r="E19" s="43">
        <v>7.2314049586776862E-3</v>
      </c>
    </row>
    <row r="20" spans="1:5" ht="15" customHeight="1" x14ac:dyDescent="0.3">
      <c r="B20" s="76"/>
      <c r="C20" s="45" t="s">
        <v>30</v>
      </c>
      <c r="D20" s="44">
        <v>1</v>
      </c>
      <c r="E20" s="43">
        <v>3.4435261707988982E-4</v>
      </c>
    </row>
    <row r="21" spans="1:5" ht="15" customHeight="1" x14ac:dyDescent="0.3">
      <c r="B21" s="76"/>
      <c r="C21" s="45" t="s">
        <v>40</v>
      </c>
      <c r="D21" s="44">
        <v>2</v>
      </c>
      <c r="E21" s="43">
        <v>6.8870523415977963E-4</v>
      </c>
    </row>
    <row r="22" spans="1:5" ht="15" customHeight="1" x14ac:dyDescent="0.3">
      <c r="B22" s="77"/>
      <c r="C22" s="42" t="s">
        <v>18</v>
      </c>
      <c r="D22" s="41">
        <v>49</v>
      </c>
      <c r="E22" s="40">
        <v>1.6873278236914601E-2</v>
      </c>
    </row>
    <row r="23" spans="1:5" ht="15" customHeight="1" x14ac:dyDescent="0.3">
      <c r="B23" s="75" t="s">
        <v>729</v>
      </c>
      <c r="C23" s="45" t="s">
        <v>23</v>
      </c>
      <c r="D23" s="44">
        <v>1</v>
      </c>
      <c r="E23" s="43">
        <v>3.4435261707988982E-4</v>
      </c>
    </row>
    <row r="24" spans="1:5" ht="15" customHeight="1" x14ac:dyDescent="0.3">
      <c r="B24" s="76"/>
      <c r="C24" s="45" t="s">
        <v>43</v>
      </c>
      <c r="D24" s="44">
        <v>1</v>
      </c>
      <c r="E24" s="43">
        <v>3.4435261707988982E-4</v>
      </c>
    </row>
    <row r="25" spans="1:5" ht="15" customHeight="1" x14ac:dyDescent="0.3">
      <c r="B25" s="76"/>
      <c r="C25" s="45" t="s">
        <v>42</v>
      </c>
      <c r="D25" s="44">
        <v>2</v>
      </c>
      <c r="E25" s="43">
        <v>6.8870523415977963E-4</v>
      </c>
    </row>
    <row r="26" spans="1:5" ht="15" customHeight="1" x14ac:dyDescent="0.3">
      <c r="B26" s="76"/>
      <c r="C26" s="45" t="s">
        <v>36</v>
      </c>
      <c r="D26" s="44">
        <v>1</v>
      </c>
      <c r="E26" s="43">
        <v>3.4435261707988982E-4</v>
      </c>
    </row>
    <row r="27" spans="1:5" ht="15" customHeight="1" x14ac:dyDescent="0.3">
      <c r="B27" s="76"/>
      <c r="C27" s="45" t="s">
        <v>41</v>
      </c>
      <c r="D27" s="44">
        <v>1</v>
      </c>
      <c r="E27" s="43">
        <v>3.4435261707988982E-4</v>
      </c>
    </row>
    <row r="28" spans="1:5" ht="15" customHeight="1" x14ac:dyDescent="0.3">
      <c r="B28" s="76"/>
      <c r="C28" s="45" t="s">
        <v>46</v>
      </c>
      <c r="D28" s="44">
        <v>2</v>
      </c>
      <c r="E28" s="43">
        <v>6.8870523415977963E-4</v>
      </c>
    </row>
    <row r="29" spans="1:5" ht="15" customHeight="1" x14ac:dyDescent="0.3">
      <c r="B29" s="77"/>
      <c r="C29" s="42" t="s">
        <v>18</v>
      </c>
      <c r="D29" s="41">
        <v>8</v>
      </c>
      <c r="E29" s="40">
        <v>2.7548209366391185E-3</v>
      </c>
    </row>
    <row r="30" spans="1:5" ht="15" customHeight="1" x14ac:dyDescent="0.3">
      <c r="B30" s="75" t="s">
        <v>728</v>
      </c>
      <c r="C30" s="45" t="s">
        <v>38</v>
      </c>
      <c r="D30" s="44">
        <v>6</v>
      </c>
      <c r="E30" s="43">
        <v>2.0661157024793389E-3</v>
      </c>
    </row>
    <row r="31" spans="1:5" ht="15" customHeight="1" x14ac:dyDescent="0.3">
      <c r="B31" s="76"/>
      <c r="C31" s="45" t="s">
        <v>34</v>
      </c>
      <c r="D31" s="44">
        <v>2</v>
      </c>
      <c r="E31" s="43">
        <v>6.8870523415977963E-4</v>
      </c>
    </row>
    <row r="32" spans="1:5" ht="15" customHeight="1" x14ac:dyDescent="0.3">
      <c r="B32" s="76"/>
      <c r="C32" s="45" t="s">
        <v>42</v>
      </c>
      <c r="D32" s="44">
        <v>2</v>
      </c>
      <c r="E32" s="43">
        <v>6.8870523415977963E-4</v>
      </c>
    </row>
    <row r="33" spans="2:5" ht="15" customHeight="1" x14ac:dyDescent="0.3">
      <c r="B33" s="76"/>
      <c r="C33" s="45" t="s">
        <v>41</v>
      </c>
      <c r="D33" s="44">
        <v>2</v>
      </c>
      <c r="E33" s="43">
        <v>6.8870523415977963E-4</v>
      </c>
    </row>
    <row r="34" spans="2:5" ht="15" customHeight="1" x14ac:dyDescent="0.3">
      <c r="B34" s="76"/>
      <c r="C34" s="45" t="s">
        <v>37</v>
      </c>
      <c r="D34" s="44">
        <v>1</v>
      </c>
      <c r="E34" s="43">
        <v>3.4435261707988982E-4</v>
      </c>
    </row>
    <row r="35" spans="2:5" ht="15" customHeight="1" x14ac:dyDescent="0.3">
      <c r="B35" s="76"/>
      <c r="C35" s="45" t="s">
        <v>44</v>
      </c>
      <c r="D35" s="44">
        <v>5</v>
      </c>
      <c r="E35" s="43">
        <v>1.7217630853994491E-3</v>
      </c>
    </row>
    <row r="36" spans="2:5" ht="15" customHeight="1" x14ac:dyDescent="0.3">
      <c r="B36" s="76"/>
      <c r="C36" s="45" t="s">
        <v>46</v>
      </c>
      <c r="D36" s="44">
        <v>16</v>
      </c>
      <c r="E36" s="43">
        <v>5.5096418732782371E-3</v>
      </c>
    </row>
    <row r="37" spans="2:5" ht="15" customHeight="1" x14ac:dyDescent="0.3">
      <c r="B37" s="76"/>
      <c r="C37" s="45" t="s">
        <v>45</v>
      </c>
      <c r="D37" s="44">
        <v>2</v>
      </c>
      <c r="E37" s="43">
        <v>6.8870523415977963E-4</v>
      </c>
    </row>
    <row r="38" spans="2:5" ht="15" customHeight="1" x14ac:dyDescent="0.3">
      <c r="B38" s="76"/>
      <c r="C38" s="45" t="s">
        <v>40</v>
      </c>
      <c r="D38" s="44">
        <v>1</v>
      </c>
      <c r="E38" s="43">
        <v>3.4435261707988982E-4</v>
      </c>
    </row>
    <row r="39" spans="2:5" ht="15" customHeight="1" x14ac:dyDescent="0.3">
      <c r="B39" s="77"/>
      <c r="C39" s="42" t="s">
        <v>18</v>
      </c>
      <c r="D39" s="41">
        <v>37</v>
      </c>
      <c r="E39" s="40">
        <v>1.2741046831955923E-2</v>
      </c>
    </row>
    <row r="40" spans="2:5" ht="15" customHeight="1" x14ac:dyDescent="0.3">
      <c r="B40" s="75" t="s">
        <v>727</v>
      </c>
      <c r="C40" s="45" t="s">
        <v>38</v>
      </c>
      <c r="D40" s="44">
        <v>3</v>
      </c>
      <c r="E40" s="43">
        <v>1.0330578512396695E-3</v>
      </c>
    </row>
    <row r="41" spans="2:5" ht="15" customHeight="1" x14ac:dyDescent="0.3">
      <c r="B41" s="76"/>
      <c r="C41" s="45" t="s">
        <v>43</v>
      </c>
      <c r="D41" s="44">
        <v>3</v>
      </c>
      <c r="E41" s="43">
        <v>1.0330578512396695E-3</v>
      </c>
    </row>
    <row r="42" spans="2:5" ht="15" customHeight="1" x14ac:dyDescent="0.3">
      <c r="B42" s="76"/>
      <c r="C42" s="45" t="s">
        <v>39</v>
      </c>
      <c r="D42" s="44">
        <v>2</v>
      </c>
      <c r="E42" s="43">
        <v>6.8870523415977963E-4</v>
      </c>
    </row>
    <row r="43" spans="2:5" ht="15" customHeight="1" x14ac:dyDescent="0.3">
      <c r="B43" s="76"/>
      <c r="C43" s="45" t="s">
        <v>42</v>
      </c>
      <c r="D43" s="44">
        <v>4</v>
      </c>
      <c r="E43" s="43">
        <v>1.3774104683195593E-3</v>
      </c>
    </row>
    <row r="44" spans="2:5" ht="15" customHeight="1" x14ac:dyDescent="0.3">
      <c r="B44" s="76"/>
      <c r="C44" s="45" t="s">
        <v>36</v>
      </c>
      <c r="D44" s="44">
        <v>1</v>
      </c>
      <c r="E44" s="43">
        <v>3.4435261707988982E-4</v>
      </c>
    </row>
    <row r="45" spans="2:5" ht="15" customHeight="1" x14ac:dyDescent="0.3">
      <c r="B45" s="76"/>
      <c r="C45" s="45" t="s">
        <v>35</v>
      </c>
      <c r="D45" s="44">
        <v>1</v>
      </c>
      <c r="E45" s="43">
        <v>3.4435261707988982E-4</v>
      </c>
    </row>
    <row r="46" spans="2:5" ht="15" customHeight="1" x14ac:dyDescent="0.3">
      <c r="B46" s="76"/>
      <c r="C46" s="45" t="s">
        <v>41</v>
      </c>
      <c r="D46" s="44">
        <v>4</v>
      </c>
      <c r="E46" s="43">
        <v>1.3774104683195593E-3</v>
      </c>
    </row>
    <row r="47" spans="2:5" ht="15" customHeight="1" x14ac:dyDescent="0.3">
      <c r="B47" s="76"/>
      <c r="C47" s="45" t="s">
        <v>37</v>
      </c>
      <c r="D47" s="44">
        <v>1</v>
      </c>
      <c r="E47" s="43">
        <v>3.4435261707988982E-4</v>
      </c>
    </row>
    <row r="48" spans="2:5" ht="15" customHeight="1" x14ac:dyDescent="0.3">
      <c r="B48" s="76"/>
      <c r="C48" s="45" t="s">
        <v>44</v>
      </c>
      <c r="D48" s="44">
        <v>4</v>
      </c>
      <c r="E48" s="43">
        <v>1.3774104683195593E-3</v>
      </c>
    </row>
    <row r="49" spans="2:5" ht="15" customHeight="1" x14ac:dyDescent="0.3">
      <c r="B49" s="76"/>
      <c r="C49" s="45" t="s">
        <v>46</v>
      </c>
      <c r="D49" s="44">
        <v>27</v>
      </c>
      <c r="E49" s="43">
        <v>9.2975206611570251E-3</v>
      </c>
    </row>
    <row r="50" spans="2:5" ht="15" customHeight="1" x14ac:dyDescent="0.3">
      <c r="B50" s="76"/>
      <c r="C50" s="45" t="s">
        <v>45</v>
      </c>
      <c r="D50" s="44">
        <v>3</v>
      </c>
      <c r="E50" s="43">
        <v>1.0330578512396695E-3</v>
      </c>
    </row>
    <row r="51" spans="2:5" ht="15" customHeight="1" x14ac:dyDescent="0.3">
      <c r="B51" s="76"/>
      <c r="C51" s="45" t="s">
        <v>40</v>
      </c>
      <c r="D51" s="44">
        <v>4</v>
      </c>
      <c r="E51" s="43">
        <v>1.3774104683195593E-3</v>
      </c>
    </row>
    <row r="52" spans="2:5" ht="15" customHeight="1" x14ac:dyDescent="0.3">
      <c r="B52" s="77"/>
      <c r="C52" s="42" t="s">
        <v>18</v>
      </c>
      <c r="D52" s="41">
        <v>57</v>
      </c>
      <c r="E52" s="40">
        <v>1.962809917355372E-2</v>
      </c>
    </row>
    <row r="53" spans="2:5" ht="15" customHeight="1" x14ac:dyDescent="0.3">
      <c r="B53" s="75" t="s">
        <v>726</v>
      </c>
      <c r="C53" s="45" t="s">
        <v>38</v>
      </c>
      <c r="D53" s="44">
        <v>1</v>
      </c>
      <c r="E53" s="43">
        <v>3.4435261707988982E-4</v>
      </c>
    </row>
    <row r="54" spans="2:5" ht="15" customHeight="1" x14ac:dyDescent="0.3">
      <c r="B54" s="76"/>
      <c r="C54" s="45" t="s">
        <v>43</v>
      </c>
      <c r="D54" s="44">
        <v>1</v>
      </c>
      <c r="E54" s="43">
        <v>3.4435261707988982E-4</v>
      </c>
    </row>
    <row r="55" spans="2:5" ht="15" customHeight="1" x14ac:dyDescent="0.3">
      <c r="B55" s="76"/>
      <c r="C55" s="45" t="s">
        <v>34</v>
      </c>
      <c r="D55" s="44">
        <v>1</v>
      </c>
      <c r="E55" s="43">
        <v>3.4435261707988982E-4</v>
      </c>
    </row>
    <row r="56" spans="2:5" ht="15" customHeight="1" x14ac:dyDescent="0.3">
      <c r="B56" s="76"/>
      <c r="C56" s="45" t="s">
        <v>42</v>
      </c>
      <c r="D56" s="44">
        <v>13</v>
      </c>
      <c r="E56" s="43">
        <v>4.4765840220385676E-3</v>
      </c>
    </row>
    <row r="57" spans="2:5" ht="15" customHeight="1" x14ac:dyDescent="0.3">
      <c r="B57" s="76"/>
      <c r="C57" s="45" t="s">
        <v>36</v>
      </c>
      <c r="D57" s="44">
        <v>1</v>
      </c>
      <c r="E57" s="43">
        <v>3.4435261707988982E-4</v>
      </c>
    </row>
    <row r="58" spans="2:5" ht="15" customHeight="1" x14ac:dyDescent="0.3">
      <c r="B58" s="76"/>
      <c r="C58" s="45" t="s">
        <v>35</v>
      </c>
      <c r="D58" s="44">
        <v>2</v>
      </c>
      <c r="E58" s="43">
        <v>6.8870523415977963E-4</v>
      </c>
    </row>
    <row r="59" spans="2:5" ht="15" customHeight="1" x14ac:dyDescent="0.3">
      <c r="B59" s="76"/>
      <c r="C59" s="45" t="s">
        <v>41</v>
      </c>
      <c r="D59" s="44">
        <v>3</v>
      </c>
      <c r="E59" s="43">
        <v>1.0330578512396695E-3</v>
      </c>
    </row>
    <row r="60" spans="2:5" ht="15" customHeight="1" x14ac:dyDescent="0.3">
      <c r="B60" s="76"/>
      <c r="C60" s="45" t="s">
        <v>37</v>
      </c>
      <c r="D60" s="44">
        <v>1</v>
      </c>
      <c r="E60" s="43">
        <v>3.4435261707988982E-4</v>
      </c>
    </row>
    <row r="61" spans="2:5" ht="15" customHeight="1" x14ac:dyDescent="0.3">
      <c r="B61" s="76"/>
      <c r="C61" s="45" t="s">
        <v>44</v>
      </c>
      <c r="D61" s="44">
        <v>3</v>
      </c>
      <c r="E61" s="43">
        <v>1.0330578512396695E-3</v>
      </c>
    </row>
    <row r="62" spans="2:5" ht="15" customHeight="1" x14ac:dyDescent="0.3">
      <c r="B62" s="76"/>
      <c r="C62" s="45" t="s">
        <v>46</v>
      </c>
      <c r="D62" s="44">
        <v>17</v>
      </c>
      <c r="E62" s="43">
        <v>5.8539944903581269E-3</v>
      </c>
    </row>
    <row r="63" spans="2:5" ht="15" customHeight="1" x14ac:dyDescent="0.3">
      <c r="B63" s="76"/>
      <c r="C63" s="45" t="s">
        <v>40</v>
      </c>
      <c r="D63" s="44">
        <v>5</v>
      </c>
      <c r="E63" s="43">
        <v>1.7217630853994491E-3</v>
      </c>
    </row>
    <row r="64" spans="2:5" ht="15" customHeight="1" x14ac:dyDescent="0.3">
      <c r="B64" s="77"/>
      <c r="C64" s="42" t="s">
        <v>18</v>
      </c>
      <c r="D64" s="41">
        <v>48</v>
      </c>
      <c r="E64" s="40">
        <v>1.6528925619834711E-2</v>
      </c>
    </row>
    <row r="65" spans="2:5" ht="15" customHeight="1" x14ac:dyDescent="0.3">
      <c r="B65" s="75" t="s">
        <v>725</v>
      </c>
      <c r="C65" s="45" t="s">
        <v>38</v>
      </c>
      <c r="D65" s="44">
        <v>5</v>
      </c>
      <c r="E65" s="43">
        <v>1.7217630853994491E-3</v>
      </c>
    </row>
    <row r="66" spans="2:5" ht="15" customHeight="1" x14ac:dyDescent="0.3">
      <c r="B66" s="76"/>
      <c r="C66" s="45" t="s">
        <v>43</v>
      </c>
      <c r="D66" s="44">
        <v>2</v>
      </c>
      <c r="E66" s="43">
        <v>6.8870523415977963E-4</v>
      </c>
    </row>
    <row r="67" spans="2:5" ht="15" customHeight="1" x14ac:dyDescent="0.3">
      <c r="B67" s="76"/>
      <c r="C67" s="45" t="s">
        <v>39</v>
      </c>
      <c r="D67" s="44">
        <v>1</v>
      </c>
      <c r="E67" s="43">
        <v>3.4435261707988982E-4</v>
      </c>
    </row>
    <row r="68" spans="2:5" ht="15" customHeight="1" x14ac:dyDescent="0.3">
      <c r="B68" s="76"/>
      <c r="C68" s="45" t="s">
        <v>34</v>
      </c>
      <c r="D68" s="44">
        <v>1</v>
      </c>
      <c r="E68" s="43">
        <v>3.4435261707988982E-4</v>
      </c>
    </row>
    <row r="69" spans="2:5" ht="15" customHeight="1" x14ac:dyDescent="0.3">
      <c r="B69" s="76"/>
      <c r="C69" s="45" t="s">
        <v>42</v>
      </c>
      <c r="D69" s="44">
        <v>6</v>
      </c>
      <c r="E69" s="43">
        <v>2.0661157024793389E-3</v>
      </c>
    </row>
    <row r="70" spans="2:5" ht="15" customHeight="1" x14ac:dyDescent="0.3">
      <c r="B70" s="76"/>
      <c r="C70" s="45" t="s">
        <v>36</v>
      </c>
      <c r="D70" s="44">
        <v>1</v>
      </c>
      <c r="E70" s="43">
        <v>3.4435261707988982E-4</v>
      </c>
    </row>
    <row r="71" spans="2:5" ht="15" customHeight="1" x14ac:dyDescent="0.3">
      <c r="B71" s="76"/>
      <c r="C71" s="45" t="s">
        <v>41</v>
      </c>
      <c r="D71" s="44">
        <v>5</v>
      </c>
      <c r="E71" s="43">
        <v>1.7217630853994491E-3</v>
      </c>
    </row>
    <row r="72" spans="2:5" ht="15" customHeight="1" x14ac:dyDescent="0.3">
      <c r="B72" s="76"/>
      <c r="C72" s="45" t="s">
        <v>37</v>
      </c>
      <c r="D72" s="44">
        <v>2</v>
      </c>
      <c r="E72" s="43">
        <v>6.8870523415977963E-4</v>
      </c>
    </row>
    <row r="73" spans="2:5" ht="15" customHeight="1" x14ac:dyDescent="0.3">
      <c r="B73" s="76"/>
      <c r="C73" s="45" t="s">
        <v>44</v>
      </c>
      <c r="D73" s="44">
        <v>4</v>
      </c>
      <c r="E73" s="43">
        <v>1.3774104683195593E-3</v>
      </c>
    </row>
    <row r="74" spans="2:5" ht="15" customHeight="1" x14ac:dyDescent="0.3">
      <c r="B74" s="76"/>
      <c r="C74" s="45" t="s">
        <v>46</v>
      </c>
      <c r="D74" s="44">
        <v>24</v>
      </c>
      <c r="E74" s="43">
        <v>8.2644628099173556E-3</v>
      </c>
    </row>
    <row r="75" spans="2:5" ht="15" customHeight="1" x14ac:dyDescent="0.3">
      <c r="B75" s="76"/>
      <c r="C75" s="45" t="s">
        <v>45</v>
      </c>
      <c r="D75" s="44">
        <v>1</v>
      </c>
      <c r="E75" s="43">
        <v>3.4435261707988982E-4</v>
      </c>
    </row>
    <row r="76" spans="2:5" ht="15" customHeight="1" x14ac:dyDescent="0.3">
      <c r="B76" s="76"/>
      <c r="C76" s="45" t="s">
        <v>40</v>
      </c>
      <c r="D76" s="44">
        <v>4</v>
      </c>
      <c r="E76" s="43">
        <v>1.3774104683195593E-3</v>
      </c>
    </row>
    <row r="77" spans="2:5" ht="15" customHeight="1" x14ac:dyDescent="0.3">
      <c r="B77" s="76"/>
      <c r="C77" s="45" t="s">
        <v>28</v>
      </c>
      <c r="D77" s="44">
        <v>1</v>
      </c>
      <c r="E77" s="43">
        <v>3.4435261707988982E-4</v>
      </c>
    </row>
    <row r="78" spans="2:5" ht="15" customHeight="1" x14ac:dyDescent="0.3">
      <c r="B78" s="77"/>
      <c r="C78" s="42" t="s">
        <v>18</v>
      </c>
      <c r="D78" s="41">
        <v>57</v>
      </c>
      <c r="E78" s="40">
        <v>1.962809917355372E-2</v>
      </c>
    </row>
    <row r="79" spans="2:5" ht="15" customHeight="1" x14ac:dyDescent="0.3">
      <c r="B79" s="75" t="s">
        <v>724</v>
      </c>
      <c r="C79" s="45" t="s">
        <v>38</v>
      </c>
      <c r="D79" s="44">
        <v>9</v>
      </c>
      <c r="E79" s="43">
        <v>3.0991735537190084E-3</v>
      </c>
    </row>
    <row r="80" spans="2:5" ht="15" customHeight="1" x14ac:dyDescent="0.3">
      <c r="B80" s="76"/>
      <c r="C80" s="45" t="s">
        <v>23</v>
      </c>
      <c r="D80" s="44">
        <v>1</v>
      </c>
      <c r="E80" s="43">
        <v>3.4435261707988982E-4</v>
      </c>
    </row>
    <row r="81" spans="2:5" ht="15" customHeight="1" x14ac:dyDescent="0.3">
      <c r="B81" s="76"/>
      <c r="C81" s="45" t="s">
        <v>43</v>
      </c>
      <c r="D81" s="44">
        <v>8</v>
      </c>
      <c r="E81" s="43">
        <v>2.7548209366391185E-3</v>
      </c>
    </row>
    <row r="82" spans="2:5" ht="15" customHeight="1" x14ac:dyDescent="0.3">
      <c r="B82" s="76"/>
      <c r="C82" s="45" t="s">
        <v>26</v>
      </c>
      <c r="D82" s="44">
        <v>1</v>
      </c>
      <c r="E82" s="43">
        <v>3.4435261707988982E-4</v>
      </c>
    </row>
    <row r="83" spans="2:5" ht="15" customHeight="1" x14ac:dyDescent="0.3">
      <c r="B83" s="76"/>
      <c r="C83" s="45" t="s">
        <v>39</v>
      </c>
      <c r="D83" s="44">
        <v>5</v>
      </c>
      <c r="E83" s="43">
        <v>1.7217630853994491E-3</v>
      </c>
    </row>
    <row r="84" spans="2:5" ht="15" customHeight="1" x14ac:dyDescent="0.3">
      <c r="B84" s="76"/>
      <c r="C84" s="45" t="s">
        <v>34</v>
      </c>
      <c r="D84" s="44">
        <v>3</v>
      </c>
      <c r="E84" s="43">
        <v>1.0330578512396695E-3</v>
      </c>
    </row>
    <row r="85" spans="2:5" ht="15" customHeight="1" x14ac:dyDescent="0.3">
      <c r="B85" s="76"/>
      <c r="C85" s="45" t="s">
        <v>42</v>
      </c>
      <c r="D85" s="44">
        <v>11</v>
      </c>
      <c r="E85" s="43">
        <v>3.787878787878788E-3</v>
      </c>
    </row>
    <row r="86" spans="2:5" ht="15" customHeight="1" x14ac:dyDescent="0.3">
      <c r="B86" s="76"/>
      <c r="C86" s="45" t="s">
        <v>36</v>
      </c>
      <c r="D86" s="44">
        <v>6</v>
      </c>
      <c r="E86" s="43">
        <v>2.0661157024793389E-3</v>
      </c>
    </row>
    <row r="87" spans="2:5" ht="15" customHeight="1" x14ac:dyDescent="0.3">
      <c r="B87" s="76"/>
      <c r="C87" s="45" t="s">
        <v>35</v>
      </c>
      <c r="D87" s="44">
        <v>5</v>
      </c>
      <c r="E87" s="43">
        <v>1.7217630853994491E-3</v>
      </c>
    </row>
    <row r="88" spans="2:5" ht="15" customHeight="1" x14ac:dyDescent="0.3">
      <c r="B88" s="76"/>
      <c r="C88" s="45" t="s">
        <v>41</v>
      </c>
      <c r="D88" s="44">
        <v>16</v>
      </c>
      <c r="E88" s="43">
        <v>5.5096418732782371E-3</v>
      </c>
    </row>
    <row r="89" spans="2:5" ht="15" customHeight="1" x14ac:dyDescent="0.3">
      <c r="B89" s="76"/>
      <c r="C89" s="45" t="s">
        <v>37</v>
      </c>
      <c r="D89" s="44">
        <v>4</v>
      </c>
      <c r="E89" s="43">
        <v>1.3774104683195593E-3</v>
      </c>
    </row>
    <row r="90" spans="2:5" ht="15" customHeight="1" x14ac:dyDescent="0.3">
      <c r="B90" s="76"/>
      <c r="C90" s="45" t="s">
        <v>22</v>
      </c>
      <c r="D90" s="44">
        <v>1</v>
      </c>
      <c r="E90" s="43">
        <v>3.4435261707988982E-4</v>
      </c>
    </row>
    <row r="91" spans="2:5" ht="15" customHeight="1" x14ac:dyDescent="0.3">
      <c r="B91" s="76"/>
      <c r="C91" s="45" t="s">
        <v>44</v>
      </c>
      <c r="D91" s="44">
        <v>22</v>
      </c>
      <c r="E91" s="43">
        <v>7.575757575757576E-3</v>
      </c>
    </row>
    <row r="92" spans="2:5" ht="15" customHeight="1" x14ac:dyDescent="0.3">
      <c r="B92" s="76"/>
      <c r="C92" s="45" t="s">
        <v>46</v>
      </c>
      <c r="D92" s="44">
        <v>112</v>
      </c>
      <c r="E92" s="43">
        <v>3.8567493112947659E-2</v>
      </c>
    </row>
    <row r="93" spans="2:5" ht="15" customHeight="1" x14ac:dyDescent="0.3">
      <c r="B93" s="76"/>
      <c r="C93" s="45" t="s">
        <v>33</v>
      </c>
      <c r="D93" s="44">
        <v>2</v>
      </c>
      <c r="E93" s="43">
        <v>6.8870523415977963E-4</v>
      </c>
    </row>
    <row r="94" spans="2:5" ht="15" customHeight="1" x14ac:dyDescent="0.3">
      <c r="B94" s="76"/>
      <c r="C94" s="45" t="s">
        <v>30</v>
      </c>
      <c r="D94" s="44">
        <v>2</v>
      </c>
      <c r="E94" s="43">
        <v>6.8870523415977963E-4</v>
      </c>
    </row>
    <row r="95" spans="2:5" ht="15" customHeight="1" x14ac:dyDescent="0.3">
      <c r="B95" s="76"/>
      <c r="C95" s="45" t="s">
        <v>45</v>
      </c>
      <c r="D95" s="44">
        <v>9</v>
      </c>
      <c r="E95" s="43">
        <v>3.0991735537190084E-3</v>
      </c>
    </row>
    <row r="96" spans="2:5" ht="15" customHeight="1" x14ac:dyDescent="0.3">
      <c r="B96" s="76"/>
      <c r="C96" s="45" t="s">
        <v>40</v>
      </c>
      <c r="D96" s="44">
        <v>14</v>
      </c>
      <c r="E96" s="43">
        <v>4.8209366391184574E-3</v>
      </c>
    </row>
    <row r="97" spans="2:5" ht="15" customHeight="1" x14ac:dyDescent="0.3">
      <c r="B97" s="76"/>
      <c r="C97" s="45" t="s">
        <v>28</v>
      </c>
      <c r="D97" s="44">
        <v>2</v>
      </c>
      <c r="E97" s="43">
        <v>6.8870523415977963E-4</v>
      </c>
    </row>
    <row r="98" spans="2:5" ht="15" customHeight="1" x14ac:dyDescent="0.3">
      <c r="B98" s="77"/>
      <c r="C98" s="42" t="s">
        <v>18</v>
      </c>
      <c r="D98" s="41">
        <v>233</v>
      </c>
      <c r="E98" s="40">
        <v>8.0234159779614331E-2</v>
      </c>
    </row>
    <row r="99" spans="2:5" ht="15" customHeight="1" x14ac:dyDescent="0.3">
      <c r="B99" s="75" t="s">
        <v>723</v>
      </c>
      <c r="C99" s="45" t="s">
        <v>29</v>
      </c>
      <c r="D99" s="44">
        <v>2</v>
      </c>
      <c r="E99" s="43">
        <v>6.8870523415977963E-4</v>
      </c>
    </row>
    <row r="100" spans="2:5" ht="15" customHeight="1" x14ac:dyDescent="0.3">
      <c r="B100" s="76"/>
      <c r="C100" s="45" t="s">
        <v>24</v>
      </c>
      <c r="D100" s="44">
        <v>1</v>
      </c>
      <c r="E100" s="43">
        <v>3.4435261707988982E-4</v>
      </c>
    </row>
    <row r="101" spans="2:5" ht="15" customHeight="1" x14ac:dyDescent="0.3">
      <c r="B101" s="76"/>
      <c r="C101" s="45" t="s">
        <v>21</v>
      </c>
      <c r="D101" s="44">
        <v>1</v>
      </c>
      <c r="E101" s="43">
        <v>3.4435261707988982E-4</v>
      </c>
    </row>
    <row r="102" spans="2:5" ht="15" customHeight="1" x14ac:dyDescent="0.3">
      <c r="B102" s="76"/>
      <c r="C102" s="45" t="s">
        <v>38</v>
      </c>
      <c r="D102" s="44">
        <v>18</v>
      </c>
      <c r="E102" s="43">
        <v>6.1983471074380167E-3</v>
      </c>
    </row>
    <row r="103" spans="2:5" ht="15" customHeight="1" x14ac:dyDescent="0.3">
      <c r="B103" s="76"/>
      <c r="C103" s="45" t="s">
        <v>43</v>
      </c>
      <c r="D103" s="44">
        <v>20</v>
      </c>
      <c r="E103" s="43">
        <v>6.8870523415977963E-3</v>
      </c>
    </row>
    <row r="104" spans="2:5" ht="15" customHeight="1" x14ac:dyDescent="0.3">
      <c r="B104" s="76"/>
      <c r="C104" s="45" t="s">
        <v>26</v>
      </c>
      <c r="D104" s="44">
        <v>2</v>
      </c>
      <c r="E104" s="43">
        <v>6.8870523415977963E-4</v>
      </c>
    </row>
    <row r="105" spans="2:5" ht="15" customHeight="1" x14ac:dyDescent="0.3">
      <c r="B105" s="76"/>
      <c r="C105" s="45" t="s">
        <v>39</v>
      </c>
      <c r="D105" s="44">
        <v>11</v>
      </c>
      <c r="E105" s="43">
        <v>3.787878787878788E-3</v>
      </c>
    </row>
    <row r="106" spans="2:5" ht="15" customHeight="1" x14ac:dyDescent="0.3">
      <c r="B106" s="76"/>
      <c r="C106" s="45" t="s">
        <v>34</v>
      </c>
      <c r="D106" s="44">
        <v>15</v>
      </c>
      <c r="E106" s="43">
        <v>5.1652892561983473E-3</v>
      </c>
    </row>
    <row r="107" spans="2:5" ht="15" customHeight="1" x14ac:dyDescent="0.3">
      <c r="B107" s="76"/>
      <c r="C107" s="45" t="s">
        <v>42</v>
      </c>
      <c r="D107" s="44">
        <v>42</v>
      </c>
      <c r="E107" s="43">
        <v>1.4462809917355372E-2</v>
      </c>
    </row>
    <row r="108" spans="2:5" ht="15" customHeight="1" x14ac:dyDescent="0.3">
      <c r="B108" s="76"/>
      <c r="C108" s="45" t="s">
        <v>36</v>
      </c>
      <c r="D108" s="44">
        <v>8</v>
      </c>
      <c r="E108" s="43">
        <v>2.7548209366391185E-3</v>
      </c>
    </row>
    <row r="109" spans="2:5" ht="15" customHeight="1" x14ac:dyDescent="0.3">
      <c r="B109" s="76"/>
      <c r="C109" s="45" t="s">
        <v>35</v>
      </c>
      <c r="D109" s="44">
        <v>11</v>
      </c>
      <c r="E109" s="43">
        <v>3.787878787878788E-3</v>
      </c>
    </row>
    <row r="110" spans="2:5" ht="15" customHeight="1" x14ac:dyDescent="0.3">
      <c r="B110" s="76"/>
      <c r="C110" s="45" t="s">
        <v>41</v>
      </c>
      <c r="D110" s="44">
        <v>21</v>
      </c>
      <c r="E110" s="43">
        <v>7.2314049586776862E-3</v>
      </c>
    </row>
    <row r="111" spans="2:5" ht="15" customHeight="1" x14ac:dyDescent="0.3">
      <c r="B111" s="76"/>
      <c r="C111" s="45" t="s">
        <v>37</v>
      </c>
      <c r="D111" s="44">
        <v>5</v>
      </c>
      <c r="E111" s="43">
        <v>1.7217630853994491E-3</v>
      </c>
    </row>
    <row r="112" spans="2:5" ht="15" customHeight="1" x14ac:dyDescent="0.3">
      <c r="B112" s="76"/>
      <c r="C112" s="45" t="s">
        <v>44</v>
      </c>
      <c r="D112" s="44">
        <v>52</v>
      </c>
      <c r="E112" s="43">
        <v>1.790633608815427E-2</v>
      </c>
    </row>
    <row r="113" spans="2:5" ht="15" customHeight="1" x14ac:dyDescent="0.3">
      <c r="B113" s="76"/>
      <c r="C113" s="45" t="s">
        <v>46</v>
      </c>
      <c r="D113" s="44">
        <v>174</v>
      </c>
      <c r="E113" s="43">
        <v>5.9917355371900828E-2</v>
      </c>
    </row>
    <row r="114" spans="2:5" ht="15" customHeight="1" x14ac:dyDescent="0.3">
      <c r="B114" s="76"/>
      <c r="C114" s="45" t="s">
        <v>32</v>
      </c>
      <c r="D114" s="44">
        <v>2</v>
      </c>
      <c r="E114" s="43">
        <v>6.8870523415977963E-4</v>
      </c>
    </row>
    <row r="115" spans="2:5" ht="15" customHeight="1" x14ac:dyDescent="0.3">
      <c r="B115" s="76"/>
      <c r="C115" s="45" t="s">
        <v>20</v>
      </c>
      <c r="D115" s="44">
        <v>1</v>
      </c>
      <c r="E115" s="43">
        <v>3.4435261707988982E-4</v>
      </c>
    </row>
    <row r="116" spans="2:5" ht="15" customHeight="1" x14ac:dyDescent="0.3">
      <c r="B116" s="76"/>
      <c r="C116" s="45" t="s">
        <v>33</v>
      </c>
      <c r="D116" s="44">
        <v>3</v>
      </c>
      <c r="E116" s="43">
        <v>1.0330578512396695E-3</v>
      </c>
    </row>
    <row r="117" spans="2:5" ht="15" customHeight="1" x14ac:dyDescent="0.3">
      <c r="B117" s="76"/>
      <c r="C117" s="45" t="s">
        <v>25</v>
      </c>
      <c r="D117" s="44">
        <v>1</v>
      </c>
      <c r="E117" s="43">
        <v>3.4435261707988982E-4</v>
      </c>
    </row>
    <row r="118" spans="2:5" ht="15" customHeight="1" x14ac:dyDescent="0.3">
      <c r="B118" s="76"/>
      <c r="C118" s="45" t="s">
        <v>45</v>
      </c>
      <c r="D118" s="44">
        <v>45</v>
      </c>
      <c r="E118" s="43">
        <v>1.5495867768595042E-2</v>
      </c>
    </row>
    <row r="119" spans="2:5" ht="15" customHeight="1" x14ac:dyDescent="0.3">
      <c r="B119" s="76"/>
      <c r="C119" s="45" t="s">
        <v>40</v>
      </c>
      <c r="D119" s="44">
        <v>17</v>
      </c>
      <c r="E119" s="43">
        <v>5.8539944903581269E-3</v>
      </c>
    </row>
    <row r="120" spans="2:5" ht="15" customHeight="1" x14ac:dyDescent="0.3">
      <c r="B120" s="76"/>
      <c r="C120" s="45" t="s">
        <v>28</v>
      </c>
      <c r="D120" s="44">
        <v>2</v>
      </c>
      <c r="E120" s="43">
        <v>6.8870523415977963E-4</v>
      </c>
    </row>
    <row r="121" spans="2:5" ht="15" customHeight="1" x14ac:dyDescent="0.3">
      <c r="B121" s="77"/>
      <c r="C121" s="42" t="s">
        <v>18</v>
      </c>
      <c r="D121" s="41">
        <v>454</v>
      </c>
      <c r="E121" s="40">
        <v>0.15633608815426997</v>
      </c>
    </row>
    <row r="122" spans="2:5" ht="15" customHeight="1" x14ac:dyDescent="0.3">
      <c r="B122" s="75" t="s">
        <v>722</v>
      </c>
      <c r="C122" s="45" t="s">
        <v>21</v>
      </c>
      <c r="D122" s="44">
        <v>1</v>
      </c>
      <c r="E122" s="43">
        <v>3.4435261707988982E-4</v>
      </c>
    </row>
    <row r="123" spans="2:5" ht="15" customHeight="1" x14ac:dyDescent="0.3">
      <c r="B123" s="76"/>
      <c r="C123" s="45" t="s">
        <v>38</v>
      </c>
      <c r="D123" s="44">
        <v>2</v>
      </c>
      <c r="E123" s="43">
        <v>6.8870523415977963E-4</v>
      </c>
    </row>
    <row r="124" spans="2:5" ht="15" customHeight="1" x14ac:dyDescent="0.3">
      <c r="B124" s="76"/>
      <c r="C124" s="45" t="s">
        <v>43</v>
      </c>
      <c r="D124" s="44">
        <v>2</v>
      </c>
      <c r="E124" s="43">
        <v>6.8870523415977963E-4</v>
      </c>
    </row>
    <row r="125" spans="2:5" ht="15" customHeight="1" x14ac:dyDescent="0.3">
      <c r="B125" s="76"/>
      <c r="C125" s="45" t="s">
        <v>39</v>
      </c>
      <c r="D125" s="44">
        <v>1</v>
      </c>
      <c r="E125" s="43">
        <v>3.4435261707988982E-4</v>
      </c>
    </row>
    <row r="126" spans="2:5" ht="15" customHeight="1" x14ac:dyDescent="0.3">
      <c r="B126" s="76"/>
      <c r="C126" s="45" t="s">
        <v>35</v>
      </c>
      <c r="D126" s="44">
        <v>1</v>
      </c>
      <c r="E126" s="43">
        <v>3.4435261707988982E-4</v>
      </c>
    </row>
    <row r="127" spans="2:5" ht="15" customHeight="1" x14ac:dyDescent="0.3">
      <c r="B127" s="76"/>
      <c r="C127" s="45" t="s">
        <v>41</v>
      </c>
      <c r="D127" s="44">
        <v>1</v>
      </c>
      <c r="E127" s="43">
        <v>3.4435261707988982E-4</v>
      </c>
    </row>
    <row r="128" spans="2:5" ht="15" customHeight="1" x14ac:dyDescent="0.3">
      <c r="B128" s="76"/>
      <c r="C128" s="45" t="s">
        <v>37</v>
      </c>
      <c r="D128" s="44">
        <v>3</v>
      </c>
      <c r="E128" s="43">
        <v>1.0330578512396695E-3</v>
      </c>
    </row>
    <row r="129" spans="2:5" ht="15" customHeight="1" x14ac:dyDescent="0.3">
      <c r="B129" s="76"/>
      <c r="C129" s="45" t="s">
        <v>44</v>
      </c>
      <c r="D129" s="44">
        <v>4</v>
      </c>
      <c r="E129" s="43">
        <v>1.3774104683195593E-3</v>
      </c>
    </row>
    <row r="130" spans="2:5" ht="15" customHeight="1" x14ac:dyDescent="0.3">
      <c r="B130" s="76"/>
      <c r="C130" s="45" t="s">
        <v>46</v>
      </c>
      <c r="D130" s="44">
        <v>7</v>
      </c>
      <c r="E130" s="43">
        <v>2.4104683195592287E-3</v>
      </c>
    </row>
    <row r="131" spans="2:5" ht="15" customHeight="1" x14ac:dyDescent="0.3">
      <c r="B131" s="76"/>
      <c r="C131" s="45" t="s">
        <v>30</v>
      </c>
      <c r="D131" s="44">
        <v>2</v>
      </c>
      <c r="E131" s="43">
        <v>6.8870523415977963E-4</v>
      </c>
    </row>
    <row r="132" spans="2:5" ht="15" customHeight="1" x14ac:dyDescent="0.3">
      <c r="B132" s="76"/>
      <c r="C132" s="45" t="s">
        <v>45</v>
      </c>
      <c r="D132" s="44">
        <v>2</v>
      </c>
      <c r="E132" s="43">
        <v>6.8870523415977963E-4</v>
      </c>
    </row>
    <row r="133" spans="2:5" ht="15" customHeight="1" x14ac:dyDescent="0.3">
      <c r="B133" s="77"/>
      <c r="C133" s="42" t="s">
        <v>18</v>
      </c>
      <c r="D133" s="41">
        <v>26</v>
      </c>
      <c r="E133" s="40">
        <v>8.9531680440771352E-3</v>
      </c>
    </row>
    <row r="134" spans="2:5" ht="15" customHeight="1" x14ac:dyDescent="0.3">
      <c r="B134" s="75" t="s">
        <v>721</v>
      </c>
      <c r="C134" s="45" t="s">
        <v>29</v>
      </c>
      <c r="D134" s="44">
        <v>1</v>
      </c>
      <c r="E134" s="43">
        <v>3.4435261707988982E-4</v>
      </c>
    </row>
    <row r="135" spans="2:5" ht="15" customHeight="1" x14ac:dyDescent="0.3">
      <c r="B135" s="76"/>
      <c r="C135" s="45" t="s">
        <v>24</v>
      </c>
      <c r="D135" s="44">
        <v>1</v>
      </c>
      <c r="E135" s="43">
        <v>3.4435261707988982E-4</v>
      </c>
    </row>
    <row r="136" spans="2:5" ht="15" customHeight="1" x14ac:dyDescent="0.3">
      <c r="B136" s="76"/>
      <c r="C136" s="45" t="s">
        <v>38</v>
      </c>
      <c r="D136" s="44">
        <v>2</v>
      </c>
      <c r="E136" s="43">
        <v>6.8870523415977963E-4</v>
      </c>
    </row>
    <row r="137" spans="2:5" ht="15" customHeight="1" x14ac:dyDescent="0.3">
      <c r="B137" s="76"/>
      <c r="C137" s="45" t="s">
        <v>43</v>
      </c>
      <c r="D137" s="44">
        <v>7</v>
      </c>
      <c r="E137" s="43">
        <v>2.4104683195592287E-3</v>
      </c>
    </row>
    <row r="138" spans="2:5" ht="15" customHeight="1" x14ac:dyDescent="0.3">
      <c r="B138" s="76"/>
      <c r="C138" s="45" t="s">
        <v>26</v>
      </c>
      <c r="D138" s="44">
        <v>1</v>
      </c>
      <c r="E138" s="43">
        <v>3.4435261707988982E-4</v>
      </c>
    </row>
    <row r="139" spans="2:5" ht="15" customHeight="1" x14ac:dyDescent="0.3">
      <c r="B139" s="76"/>
      <c r="C139" s="45" t="s">
        <v>39</v>
      </c>
      <c r="D139" s="44">
        <v>5</v>
      </c>
      <c r="E139" s="43">
        <v>1.7217630853994491E-3</v>
      </c>
    </row>
    <row r="140" spans="2:5" ht="15" customHeight="1" x14ac:dyDescent="0.3">
      <c r="B140" s="76"/>
      <c r="C140" s="45" t="s">
        <v>34</v>
      </c>
      <c r="D140" s="44">
        <v>1</v>
      </c>
      <c r="E140" s="43">
        <v>3.4435261707988982E-4</v>
      </c>
    </row>
    <row r="141" spans="2:5" ht="15" customHeight="1" x14ac:dyDescent="0.3">
      <c r="B141" s="76"/>
      <c r="C141" s="45" t="s">
        <v>42</v>
      </c>
      <c r="D141" s="44">
        <v>9</v>
      </c>
      <c r="E141" s="43">
        <v>3.0991735537190084E-3</v>
      </c>
    </row>
    <row r="142" spans="2:5" ht="15" customHeight="1" x14ac:dyDescent="0.3">
      <c r="B142" s="76"/>
      <c r="C142" s="45" t="s">
        <v>36</v>
      </c>
      <c r="D142" s="44">
        <v>2</v>
      </c>
      <c r="E142" s="43">
        <v>6.8870523415977963E-4</v>
      </c>
    </row>
    <row r="143" spans="2:5" ht="15" customHeight="1" x14ac:dyDescent="0.3">
      <c r="B143" s="76"/>
      <c r="C143" s="45" t="s">
        <v>35</v>
      </c>
      <c r="D143" s="44">
        <v>4</v>
      </c>
      <c r="E143" s="43">
        <v>1.3774104683195593E-3</v>
      </c>
    </row>
    <row r="144" spans="2:5" ht="15" customHeight="1" x14ac:dyDescent="0.3">
      <c r="B144" s="76"/>
      <c r="C144" s="45" t="s">
        <v>41</v>
      </c>
      <c r="D144" s="44">
        <v>5</v>
      </c>
      <c r="E144" s="43">
        <v>1.7217630853994491E-3</v>
      </c>
    </row>
    <row r="145" spans="2:5" ht="15" customHeight="1" x14ac:dyDescent="0.3">
      <c r="B145" s="76"/>
      <c r="C145" s="45" t="s">
        <v>37</v>
      </c>
      <c r="D145" s="44">
        <v>8</v>
      </c>
      <c r="E145" s="43">
        <v>2.7548209366391185E-3</v>
      </c>
    </row>
    <row r="146" spans="2:5" ht="15" customHeight="1" x14ac:dyDescent="0.3">
      <c r="B146" s="76"/>
      <c r="C146" s="45" t="s">
        <v>22</v>
      </c>
      <c r="D146" s="44">
        <v>1</v>
      </c>
      <c r="E146" s="43">
        <v>3.4435261707988982E-4</v>
      </c>
    </row>
    <row r="147" spans="2:5" ht="15" customHeight="1" x14ac:dyDescent="0.3">
      <c r="B147" s="76"/>
      <c r="C147" s="45" t="s">
        <v>44</v>
      </c>
      <c r="D147" s="44">
        <v>5</v>
      </c>
      <c r="E147" s="43">
        <v>1.7217630853994491E-3</v>
      </c>
    </row>
    <row r="148" spans="2:5" ht="15" customHeight="1" x14ac:dyDescent="0.3">
      <c r="B148" s="76"/>
      <c r="C148" s="45" t="s">
        <v>46</v>
      </c>
      <c r="D148" s="44">
        <v>32</v>
      </c>
      <c r="E148" s="43">
        <v>1.1019283746556474E-2</v>
      </c>
    </row>
    <row r="149" spans="2:5" ht="15" customHeight="1" x14ac:dyDescent="0.3">
      <c r="B149" s="76"/>
      <c r="C149" s="45" t="s">
        <v>32</v>
      </c>
      <c r="D149" s="44">
        <v>1</v>
      </c>
      <c r="E149" s="43">
        <v>3.4435261707988982E-4</v>
      </c>
    </row>
    <row r="150" spans="2:5" ht="15" customHeight="1" x14ac:dyDescent="0.3">
      <c r="B150" s="76"/>
      <c r="C150" s="45" t="s">
        <v>33</v>
      </c>
      <c r="D150" s="44">
        <v>2</v>
      </c>
      <c r="E150" s="43">
        <v>6.8870523415977963E-4</v>
      </c>
    </row>
    <row r="151" spans="2:5" ht="15" customHeight="1" x14ac:dyDescent="0.3">
      <c r="B151" s="76"/>
      <c r="C151" s="45" t="s">
        <v>25</v>
      </c>
      <c r="D151" s="44">
        <v>1</v>
      </c>
      <c r="E151" s="43">
        <v>3.4435261707988982E-4</v>
      </c>
    </row>
    <row r="152" spans="2:5" ht="15" customHeight="1" x14ac:dyDescent="0.3">
      <c r="B152" s="76"/>
      <c r="C152" s="45" t="s">
        <v>45</v>
      </c>
      <c r="D152" s="44">
        <v>10</v>
      </c>
      <c r="E152" s="43">
        <v>3.4435261707988982E-3</v>
      </c>
    </row>
    <row r="153" spans="2:5" ht="15" customHeight="1" x14ac:dyDescent="0.3">
      <c r="B153" s="76"/>
      <c r="C153" s="45" t="s">
        <v>40</v>
      </c>
      <c r="D153" s="44">
        <v>3</v>
      </c>
      <c r="E153" s="43">
        <v>1.0330578512396695E-3</v>
      </c>
    </row>
    <row r="154" spans="2:5" ht="15" customHeight="1" x14ac:dyDescent="0.3">
      <c r="B154" s="77"/>
      <c r="C154" s="42" t="s">
        <v>18</v>
      </c>
      <c r="D154" s="41">
        <v>101</v>
      </c>
      <c r="E154" s="40">
        <v>3.4779614325068868E-2</v>
      </c>
    </row>
    <row r="155" spans="2:5" ht="15" customHeight="1" x14ac:dyDescent="0.3">
      <c r="B155" s="75" t="s">
        <v>720</v>
      </c>
      <c r="C155" s="45" t="s">
        <v>38</v>
      </c>
      <c r="D155" s="44">
        <v>3</v>
      </c>
      <c r="E155" s="43">
        <v>1.0330578512396695E-3</v>
      </c>
    </row>
    <row r="156" spans="2:5" ht="15" customHeight="1" x14ac:dyDescent="0.3">
      <c r="B156" s="76"/>
      <c r="C156" s="45" t="s">
        <v>43</v>
      </c>
      <c r="D156" s="44">
        <v>8</v>
      </c>
      <c r="E156" s="43">
        <v>2.7548209366391185E-3</v>
      </c>
    </row>
    <row r="157" spans="2:5" ht="15" customHeight="1" x14ac:dyDescent="0.3">
      <c r="B157" s="76"/>
      <c r="C157" s="45" t="s">
        <v>39</v>
      </c>
      <c r="D157" s="44">
        <v>4</v>
      </c>
      <c r="E157" s="43">
        <v>1.3774104683195593E-3</v>
      </c>
    </row>
    <row r="158" spans="2:5" ht="15" customHeight="1" x14ac:dyDescent="0.3">
      <c r="B158" s="76"/>
      <c r="C158" s="45" t="s">
        <v>34</v>
      </c>
      <c r="D158" s="44">
        <v>2</v>
      </c>
      <c r="E158" s="43">
        <v>6.8870523415977963E-4</v>
      </c>
    </row>
    <row r="159" spans="2:5" ht="15" customHeight="1" x14ac:dyDescent="0.3">
      <c r="B159" s="76"/>
      <c r="C159" s="45" t="s">
        <v>42</v>
      </c>
      <c r="D159" s="44">
        <v>5</v>
      </c>
      <c r="E159" s="43">
        <v>1.7217630853994491E-3</v>
      </c>
    </row>
    <row r="160" spans="2:5" ht="15" customHeight="1" x14ac:dyDescent="0.3">
      <c r="B160" s="76"/>
      <c r="C160" s="45" t="s">
        <v>35</v>
      </c>
      <c r="D160" s="44">
        <v>3</v>
      </c>
      <c r="E160" s="43">
        <v>1.0330578512396695E-3</v>
      </c>
    </row>
    <row r="161" spans="2:5" ht="15" customHeight="1" x14ac:dyDescent="0.3">
      <c r="B161" s="76"/>
      <c r="C161" s="45" t="s">
        <v>41</v>
      </c>
      <c r="D161" s="44">
        <v>1</v>
      </c>
      <c r="E161" s="43">
        <v>3.4435261707988982E-4</v>
      </c>
    </row>
    <row r="162" spans="2:5" ht="15" customHeight="1" x14ac:dyDescent="0.3">
      <c r="B162" s="76"/>
      <c r="C162" s="45" t="s">
        <v>37</v>
      </c>
      <c r="D162" s="44">
        <v>2</v>
      </c>
      <c r="E162" s="43">
        <v>6.8870523415977963E-4</v>
      </c>
    </row>
    <row r="163" spans="2:5" ht="15" customHeight="1" x14ac:dyDescent="0.3">
      <c r="B163" s="76"/>
      <c r="C163" s="45" t="s">
        <v>44</v>
      </c>
      <c r="D163" s="44">
        <v>7</v>
      </c>
      <c r="E163" s="43">
        <v>2.4104683195592287E-3</v>
      </c>
    </row>
    <row r="164" spans="2:5" ht="15" customHeight="1" x14ac:dyDescent="0.3">
      <c r="B164" s="76"/>
      <c r="C164" s="45" t="s">
        <v>46</v>
      </c>
      <c r="D164" s="44">
        <v>14</v>
      </c>
      <c r="E164" s="43">
        <v>4.8209366391184574E-3</v>
      </c>
    </row>
    <row r="165" spans="2:5" ht="15" customHeight="1" x14ac:dyDescent="0.3">
      <c r="B165" s="76"/>
      <c r="C165" s="45" t="s">
        <v>20</v>
      </c>
      <c r="D165" s="44">
        <v>1</v>
      </c>
      <c r="E165" s="43">
        <v>3.4435261707988982E-4</v>
      </c>
    </row>
    <row r="166" spans="2:5" ht="15" customHeight="1" x14ac:dyDescent="0.3">
      <c r="B166" s="76"/>
      <c r="C166" s="45" t="s">
        <v>33</v>
      </c>
      <c r="D166" s="44">
        <v>1</v>
      </c>
      <c r="E166" s="43">
        <v>3.4435261707988982E-4</v>
      </c>
    </row>
    <row r="167" spans="2:5" ht="15" customHeight="1" x14ac:dyDescent="0.3">
      <c r="B167" s="76"/>
      <c r="C167" s="45" t="s">
        <v>25</v>
      </c>
      <c r="D167" s="44">
        <v>1</v>
      </c>
      <c r="E167" s="43">
        <v>3.4435261707988982E-4</v>
      </c>
    </row>
    <row r="168" spans="2:5" ht="15" customHeight="1" x14ac:dyDescent="0.3">
      <c r="B168" s="76"/>
      <c r="C168" s="45" t="s">
        <v>30</v>
      </c>
      <c r="D168" s="44">
        <v>1</v>
      </c>
      <c r="E168" s="43">
        <v>3.4435261707988982E-4</v>
      </c>
    </row>
    <row r="169" spans="2:5" ht="15" customHeight="1" x14ac:dyDescent="0.3">
      <c r="B169" s="76"/>
      <c r="C169" s="45" t="s">
        <v>45</v>
      </c>
      <c r="D169" s="44">
        <v>4</v>
      </c>
      <c r="E169" s="43">
        <v>1.3774104683195593E-3</v>
      </c>
    </row>
    <row r="170" spans="2:5" ht="15" customHeight="1" x14ac:dyDescent="0.3">
      <c r="B170" s="76"/>
      <c r="C170" s="45" t="s">
        <v>40</v>
      </c>
      <c r="D170" s="44">
        <v>1</v>
      </c>
      <c r="E170" s="43">
        <v>3.4435261707988982E-4</v>
      </c>
    </row>
    <row r="171" spans="2:5" ht="15" customHeight="1" x14ac:dyDescent="0.3">
      <c r="B171" s="77"/>
      <c r="C171" s="42" t="s">
        <v>18</v>
      </c>
      <c r="D171" s="41">
        <v>58</v>
      </c>
      <c r="E171" s="40">
        <v>1.9972451790633609E-2</v>
      </c>
    </row>
    <row r="172" spans="2:5" ht="15" customHeight="1" x14ac:dyDescent="0.3">
      <c r="B172" s="75" t="s">
        <v>719</v>
      </c>
      <c r="C172" s="45" t="s">
        <v>29</v>
      </c>
      <c r="D172" s="44">
        <v>6</v>
      </c>
      <c r="E172" s="43">
        <v>2.0661157024793389E-3</v>
      </c>
    </row>
    <row r="173" spans="2:5" ht="15" customHeight="1" x14ac:dyDescent="0.3">
      <c r="B173" s="76"/>
      <c r="C173" s="45" t="s">
        <v>24</v>
      </c>
      <c r="D173" s="44">
        <v>1</v>
      </c>
      <c r="E173" s="43">
        <v>3.4435261707988982E-4</v>
      </c>
    </row>
    <row r="174" spans="2:5" ht="15" customHeight="1" x14ac:dyDescent="0.3">
      <c r="B174" s="76"/>
      <c r="C174" s="45" t="s">
        <v>38</v>
      </c>
      <c r="D174" s="44">
        <v>41</v>
      </c>
      <c r="E174" s="43">
        <v>1.4118457300275482E-2</v>
      </c>
    </row>
    <row r="175" spans="2:5" ht="15" customHeight="1" x14ac:dyDescent="0.3">
      <c r="B175" s="76"/>
      <c r="C175" s="45" t="s">
        <v>27</v>
      </c>
      <c r="D175" s="44">
        <v>2</v>
      </c>
      <c r="E175" s="43">
        <v>6.8870523415977963E-4</v>
      </c>
    </row>
    <row r="176" spans="2:5" ht="15" customHeight="1" x14ac:dyDescent="0.3">
      <c r="B176" s="76"/>
      <c r="C176" s="45" t="s">
        <v>43</v>
      </c>
      <c r="D176" s="44">
        <v>80</v>
      </c>
      <c r="E176" s="43">
        <v>2.7548209366391185E-2</v>
      </c>
    </row>
    <row r="177" spans="2:5" ht="15" customHeight="1" x14ac:dyDescent="0.3">
      <c r="B177" s="76"/>
      <c r="C177" s="45" t="s">
        <v>39</v>
      </c>
      <c r="D177" s="44">
        <v>58</v>
      </c>
      <c r="E177" s="43">
        <v>1.9972451790633609E-2</v>
      </c>
    </row>
    <row r="178" spans="2:5" ht="15" customHeight="1" x14ac:dyDescent="0.3">
      <c r="B178" s="76"/>
      <c r="C178" s="45" t="s">
        <v>34</v>
      </c>
      <c r="D178" s="44">
        <v>19</v>
      </c>
      <c r="E178" s="43">
        <v>6.5426997245179065E-3</v>
      </c>
    </row>
    <row r="179" spans="2:5" ht="15" customHeight="1" x14ac:dyDescent="0.3">
      <c r="B179" s="76"/>
      <c r="C179" s="45" t="s">
        <v>42</v>
      </c>
      <c r="D179" s="44">
        <v>54</v>
      </c>
      <c r="E179" s="43">
        <v>1.859504132231405E-2</v>
      </c>
    </row>
    <row r="180" spans="2:5" ht="15" customHeight="1" x14ac:dyDescent="0.3">
      <c r="B180" s="76"/>
      <c r="C180" s="45" t="s">
        <v>36</v>
      </c>
      <c r="D180" s="44">
        <v>27</v>
      </c>
      <c r="E180" s="43">
        <v>9.2975206611570251E-3</v>
      </c>
    </row>
    <row r="181" spans="2:5" ht="15" customHeight="1" x14ac:dyDescent="0.3">
      <c r="B181" s="76"/>
      <c r="C181" s="45" t="s">
        <v>35</v>
      </c>
      <c r="D181" s="44">
        <v>15</v>
      </c>
      <c r="E181" s="43">
        <v>5.1652892561983473E-3</v>
      </c>
    </row>
    <row r="182" spans="2:5" ht="15" customHeight="1" x14ac:dyDescent="0.3">
      <c r="B182" s="76"/>
      <c r="C182" s="45" t="s">
        <v>41</v>
      </c>
      <c r="D182" s="44">
        <v>48</v>
      </c>
      <c r="E182" s="43">
        <v>1.6528925619834711E-2</v>
      </c>
    </row>
    <row r="183" spans="2:5" ht="15" customHeight="1" x14ac:dyDescent="0.3">
      <c r="B183" s="76"/>
      <c r="C183" s="45" t="s">
        <v>37</v>
      </c>
      <c r="D183" s="44">
        <v>41</v>
      </c>
      <c r="E183" s="43">
        <v>1.4118457300275482E-2</v>
      </c>
    </row>
    <row r="184" spans="2:5" ht="15" customHeight="1" x14ac:dyDescent="0.3">
      <c r="B184" s="76"/>
      <c r="C184" s="45" t="s">
        <v>44</v>
      </c>
      <c r="D184" s="44">
        <v>91</v>
      </c>
      <c r="E184" s="43">
        <v>3.133608815426997E-2</v>
      </c>
    </row>
    <row r="185" spans="2:5" ht="15" customHeight="1" x14ac:dyDescent="0.3">
      <c r="B185" s="76"/>
      <c r="C185" s="45" t="s">
        <v>46</v>
      </c>
      <c r="D185" s="44">
        <v>342</v>
      </c>
      <c r="E185" s="43">
        <v>0.11776859504132231</v>
      </c>
    </row>
    <row r="186" spans="2:5" ht="15" customHeight="1" x14ac:dyDescent="0.3">
      <c r="B186" s="76"/>
      <c r="C186" s="45" t="s">
        <v>32</v>
      </c>
      <c r="D186" s="44">
        <v>7</v>
      </c>
      <c r="E186" s="43">
        <v>2.4104683195592287E-3</v>
      </c>
    </row>
    <row r="187" spans="2:5" ht="15" customHeight="1" x14ac:dyDescent="0.3">
      <c r="B187" s="76"/>
      <c r="C187" s="45" t="s">
        <v>33</v>
      </c>
      <c r="D187" s="44">
        <v>7</v>
      </c>
      <c r="E187" s="43">
        <v>2.4104683195592287E-3</v>
      </c>
    </row>
    <row r="188" spans="2:5" ht="15" customHeight="1" x14ac:dyDescent="0.3">
      <c r="B188" s="76"/>
      <c r="C188" s="45" t="s">
        <v>25</v>
      </c>
      <c r="D188" s="44">
        <v>1</v>
      </c>
      <c r="E188" s="43">
        <v>3.4435261707988982E-4</v>
      </c>
    </row>
    <row r="189" spans="2:5" ht="15" customHeight="1" x14ac:dyDescent="0.3">
      <c r="B189" s="76"/>
      <c r="C189" s="45" t="s">
        <v>30</v>
      </c>
      <c r="D189" s="44">
        <v>4</v>
      </c>
      <c r="E189" s="43">
        <v>1.3774104683195593E-3</v>
      </c>
    </row>
    <row r="190" spans="2:5" ht="15" customHeight="1" x14ac:dyDescent="0.3">
      <c r="B190" s="76"/>
      <c r="C190" s="45" t="s">
        <v>31</v>
      </c>
      <c r="D190" s="44">
        <v>3</v>
      </c>
      <c r="E190" s="43">
        <v>1.0330578512396695E-3</v>
      </c>
    </row>
    <row r="191" spans="2:5" ht="15" customHeight="1" x14ac:dyDescent="0.3">
      <c r="B191" s="76"/>
      <c r="C191" s="45" t="s">
        <v>45</v>
      </c>
      <c r="D191" s="44">
        <v>162</v>
      </c>
      <c r="E191" s="43">
        <v>5.578512396694215E-2</v>
      </c>
    </row>
    <row r="192" spans="2:5" ht="15" customHeight="1" x14ac:dyDescent="0.3">
      <c r="B192" s="76"/>
      <c r="C192" s="45" t="s">
        <v>40</v>
      </c>
      <c r="D192" s="44">
        <v>43</v>
      </c>
      <c r="E192" s="43">
        <v>1.4807162534435262E-2</v>
      </c>
    </row>
    <row r="193" spans="2:5" ht="15" customHeight="1" x14ac:dyDescent="0.3">
      <c r="B193" s="76"/>
      <c r="C193" s="45" t="s">
        <v>28</v>
      </c>
      <c r="D193" s="44">
        <v>5</v>
      </c>
      <c r="E193" s="43">
        <v>1.7217630853994491E-3</v>
      </c>
    </row>
    <row r="194" spans="2:5" ht="15" customHeight="1" x14ac:dyDescent="0.3">
      <c r="B194" s="77"/>
      <c r="C194" s="42" t="s">
        <v>18</v>
      </c>
      <c r="D194" s="41">
        <v>1057</v>
      </c>
      <c r="E194" s="40">
        <v>0.36398071625344353</v>
      </c>
    </row>
    <row r="195" spans="2:5" ht="15" customHeight="1" x14ac:dyDescent="0.3">
      <c r="B195" s="75" t="s">
        <v>770</v>
      </c>
      <c r="C195" s="45" t="s">
        <v>38</v>
      </c>
      <c r="D195" s="44">
        <v>1</v>
      </c>
      <c r="E195" s="43">
        <v>3.4435261707988982E-4</v>
      </c>
    </row>
    <row r="196" spans="2:5" ht="15" customHeight="1" x14ac:dyDescent="0.3">
      <c r="B196" s="76"/>
      <c r="C196" s="45" t="s">
        <v>27</v>
      </c>
      <c r="D196" s="44">
        <v>2</v>
      </c>
      <c r="E196" s="43">
        <v>6.8870523415977963E-4</v>
      </c>
    </row>
    <row r="197" spans="2:5" ht="15" customHeight="1" x14ac:dyDescent="0.3">
      <c r="B197" s="76"/>
      <c r="C197" s="45" t="s">
        <v>43</v>
      </c>
      <c r="D197" s="44">
        <v>3</v>
      </c>
      <c r="E197" s="43">
        <v>1.0330578512396695E-3</v>
      </c>
    </row>
    <row r="198" spans="2:5" ht="15" customHeight="1" x14ac:dyDescent="0.3">
      <c r="B198" s="76"/>
      <c r="C198" s="45" t="s">
        <v>39</v>
      </c>
      <c r="D198" s="44">
        <v>2</v>
      </c>
      <c r="E198" s="43">
        <v>6.8870523415977963E-4</v>
      </c>
    </row>
    <row r="199" spans="2:5" ht="15" customHeight="1" x14ac:dyDescent="0.3">
      <c r="B199" s="76"/>
      <c r="C199" s="45" t="s">
        <v>34</v>
      </c>
      <c r="D199" s="44">
        <v>1</v>
      </c>
      <c r="E199" s="43">
        <v>3.4435261707988982E-4</v>
      </c>
    </row>
    <row r="200" spans="2:5" ht="15" customHeight="1" x14ac:dyDescent="0.3">
      <c r="B200" s="76"/>
      <c r="C200" s="45" t="s">
        <v>42</v>
      </c>
      <c r="D200" s="44">
        <v>2</v>
      </c>
      <c r="E200" s="43">
        <v>6.8870523415977963E-4</v>
      </c>
    </row>
    <row r="201" spans="2:5" ht="15" customHeight="1" x14ac:dyDescent="0.3">
      <c r="B201" s="76"/>
      <c r="C201" s="45" t="s">
        <v>35</v>
      </c>
      <c r="D201" s="44">
        <v>2</v>
      </c>
      <c r="E201" s="43">
        <v>6.8870523415977963E-4</v>
      </c>
    </row>
    <row r="202" spans="2:5" ht="15" customHeight="1" x14ac:dyDescent="0.3">
      <c r="B202" s="76"/>
      <c r="C202" s="45" t="s">
        <v>46</v>
      </c>
      <c r="D202" s="44">
        <v>8</v>
      </c>
      <c r="E202" s="43">
        <v>2.7548209366391185E-3</v>
      </c>
    </row>
    <row r="203" spans="2:5" ht="15" customHeight="1" x14ac:dyDescent="0.3">
      <c r="B203" s="76"/>
      <c r="C203" s="45" t="s">
        <v>30</v>
      </c>
      <c r="D203" s="44">
        <v>1</v>
      </c>
      <c r="E203" s="43">
        <v>3.4435261707988982E-4</v>
      </c>
    </row>
    <row r="204" spans="2:5" ht="15" customHeight="1" x14ac:dyDescent="0.3">
      <c r="B204" s="76"/>
      <c r="C204" s="45" t="s">
        <v>31</v>
      </c>
      <c r="D204" s="44">
        <v>1</v>
      </c>
      <c r="E204" s="43">
        <v>3.4435261707988982E-4</v>
      </c>
    </row>
    <row r="205" spans="2:5" ht="15" customHeight="1" x14ac:dyDescent="0.3">
      <c r="B205" s="76"/>
      <c r="C205" s="45" t="s">
        <v>45</v>
      </c>
      <c r="D205" s="44">
        <v>6</v>
      </c>
      <c r="E205" s="43">
        <v>2.0661157024793389E-3</v>
      </c>
    </row>
    <row r="206" spans="2:5" ht="15" customHeight="1" x14ac:dyDescent="0.3">
      <c r="B206" s="77"/>
      <c r="C206" s="42" t="s">
        <v>18</v>
      </c>
      <c r="D206" s="41">
        <v>29</v>
      </c>
      <c r="E206" s="40">
        <v>9.9862258953168047E-3</v>
      </c>
    </row>
    <row r="207" spans="2:5" ht="15" customHeight="1" x14ac:dyDescent="0.3">
      <c r="B207" s="75" t="s">
        <v>717</v>
      </c>
      <c r="C207" s="45" t="s">
        <v>29</v>
      </c>
      <c r="D207" s="44">
        <v>2</v>
      </c>
      <c r="E207" s="43">
        <v>6.8870523415977963E-4</v>
      </c>
    </row>
    <row r="208" spans="2:5" ht="15" customHeight="1" x14ac:dyDescent="0.3">
      <c r="B208" s="76"/>
      <c r="C208" s="45" t="s">
        <v>21</v>
      </c>
      <c r="D208" s="44">
        <v>1</v>
      </c>
      <c r="E208" s="43">
        <v>3.4435261707988982E-4</v>
      </c>
    </row>
    <row r="209" spans="2:5" ht="15" customHeight="1" x14ac:dyDescent="0.3">
      <c r="B209" s="76"/>
      <c r="C209" s="45" t="s">
        <v>38</v>
      </c>
      <c r="D209" s="44">
        <v>3</v>
      </c>
      <c r="E209" s="43">
        <v>1.0330578512396695E-3</v>
      </c>
    </row>
    <row r="210" spans="2:5" ht="15" customHeight="1" x14ac:dyDescent="0.3">
      <c r="B210" s="76"/>
      <c r="C210" s="45" t="s">
        <v>23</v>
      </c>
      <c r="D210" s="44">
        <v>1</v>
      </c>
      <c r="E210" s="43">
        <v>3.4435261707988982E-4</v>
      </c>
    </row>
    <row r="211" spans="2:5" ht="15" customHeight="1" x14ac:dyDescent="0.3">
      <c r="B211" s="76"/>
      <c r="C211" s="45" t="s">
        <v>43</v>
      </c>
      <c r="D211" s="44">
        <v>21</v>
      </c>
      <c r="E211" s="43">
        <v>7.2314049586776862E-3</v>
      </c>
    </row>
    <row r="212" spans="2:5" ht="15" customHeight="1" x14ac:dyDescent="0.3">
      <c r="B212" s="76"/>
      <c r="C212" s="45" t="s">
        <v>26</v>
      </c>
      <c r="D212" s="44">
        <v>1</v>
      </c>
      <c r="E212" s="43">
        <v>3.4435261707988982E-4</v>
      </c>
    </row>
    <row r="213" spans="2:5" ht="15" customHeight="1" x14ac:dyDescent="0.3">
      <c r="B213" s="76"/>
      <c r="C213" s="45" t="s">
        <v>39</v>
      </c>
      <c r="D213" s="44">
        <v>8</v>
      </c>
      <c r="E213" s="43">
        <v>2.7548209366391185E-3</v>
      </c>
    </row>
    <row r="214" spans="2:5" ht="15" customHeight="1" x14ac:dyDescent="0.3">
      <c r="B214" s="76"/>
      <c r="C214" s="45" t="s">
        <v>34</v>
      </c>
      <c r="D214" s="44">
        <v>4</v>
      </c>
      <c r="E214" s="43">
        <v>1.3774104683195593E-3</v>
      </c>
    </row>
    <row r="215" spans="2:5" ht="15" customHeight="1" x14ac:dyDescent="0.3">
      <c r="B215" s="76"/>
      <c r="C215" s="45" t="s">
        <v>42</v>
      </c>
      <c r="D215" s="44">
        <v>6</v>
      </c>
      <c r="E215" s="43">
        <v>2.0661157024793389E-3</v>
      </c>
    </row>
    <row r="216" spans="2:5" ht="15" customHeight="1" x14ac:dyDescent="0.3">
      <c r="B216" s="76"/>
      <c r="C216" s="45" t="s">
        <v>36</v>
      </c>
      <c r="D216" s="44">
        <v>4</v>
      </c>
      <c r="E216" s="43">
        <v>1.3774104683195593E-3</v>
      </c>
    </row>
    <row r="217" spans="2:5" ht="15" customHeight="1" x14ac:dyDescent="0.3">
      <c r="B217" s="76"/>
      <c r="C217" s="45" t="s">
        <v>35</v>
      </c>
      <c r="D217" s="44">
        <v>1</v>
      </c>
      <c r="E217" s="43">
        <v>3.4435261707988982E-4</v>
      </c>
    </row>
    <row r="218" spans="2:5" ht="15" customHeight="1" x14ac:dyDescent="0.3">
      <c r="B218" s="76"/>
      <c r="C218" s="45" t="s">
        <v>41</v>
      </c>
      <c r="D218" s="44">
        <v>15</v>
      </c>
      <c r="E218" s="43">
        <v>5.1652892561983473E-3</v>
      </c>
    </row>
    <row r="219" spans="2:5" ht="15" customHeight="1" x14ac:dyDescent="0.3">
      <c r="B219" s="76"/>
      <c r="C219" s="45" t="s">
        <v>37</v>
      </c>
      <c r="D219" s="44">
        <v>9</v>
      </c>
      <c r="E219" s="43">
        <v>3.0991735537190084E-3</v>
      </c>
    </row>
    <row r="220" spans="2:5" ht="15" customHeight="1" x14ac:dyDescent="0.3">
      <c r="B220" s="76"/>
      <c r="C220" s="45" t="s">
        <v>22</v>
      </c>
      <c r="D220" s="44">
        <v>1</v>
      </c>
      <c r="E220" s="43">
        <v>3.4435261707988982E-4</v>
      </c>
    </row>
    <row r="221" spans="2:5" ht="15" customHeight="1" x14ac:dyDescent="0.3">
      <c r="B221" s="76"/>
      <c r="C221" s="45" t="s">
        <v>44</v>
      </c>
      <c r="D221" s="44">
        <v>9</v>
      </c>
      <c r="E221" s="43">
        <v>3.0991735537190084E-3</v>
      </c>
    </row>
    <row r="222" spans="2:5" ht="15" customHeight="1" x14ac:dyDescent="0.3">
      <c r="B222" s="76"/>
      <c r="C222" s="45" t="s">
        <v>46</v>
      </c>
      <c r="D222" s="44">
        <v>40</v>
      </c>
      <c r="E222" s="43">
        <v>1.3774104683195593E-2</v>
      </c>
    </row>
    <row r="223" spans="2:5" ht="15" customHeight="1" x14ac:dyDescent="0.3">
      <c r="B223" s="76"/>
      <c r="C223" s="45" t="s">
        <v>32</v>
      </c>
      <c r="D223" s="44">
        <v>1</v>
      </c>
      <c r="E223" s="43">
        <v>3.4435261707988982E-4</v>
      </c>
    </row>
    <row r="224" spans="2:5" ht="15" customHeight="1" x14ac:dyDescent="0.3">
      <c r="B224" s="76"/>
      <c r="C224" s="45" t="s">
        <v>33</v>
      </c>
      <c r="D224" s="44">
        <v>3</v>
      </c>
      <c r="E224" s="43">
        <v>1.0330578512396695E-3</v>
      </c>
    </row>
    <row r="225" spans="2:5" ht="15" customHeight="1" x14ac:dyDescent="0.3">
      <c r="B225" s="76"/>
      <c r="C225" s="45" t="s">
        <v>31</v>
      </c>
      <c r="D225" s="44">
        <v>2</v>
      </c>
      <c r="E225" s="43">
        <v>6.8870523415977963E-4</v>
      </c>
    </row>
    <row r="226" spans="2:5" ht="15" customHeight="1" x14ac:dyDescent="0.3">
      <c r="B226" s="76"/>
      <c r="C226" s="45" t="s">
        <v>45</v>
      </c>
      <c r="D226" s="44">
        <v>10</v>
      </c>
      <c r="E226" s="43">
        <v>3.4435261707988982E-3</v>
      </c>
    </row>
    <row r="227" spans="2:5" ht="15" customHeight="1" x14ac:dyDescent="0.3">
      <c r="B227" s="76"/>
      <c r="C227" s="45" t="s">
        <v>40</v>
      </c>
      <c r="D227" s="44">
        <v>6</v>
      </c>
      <c r="E227" s="43">
        <v>2.0661157024793389E-3</v>
      </c>
    </row>
    <row r="228" spans="2:5" ht="15" customHeight="1" x14ac:dyDescent="0.3">
      <c r="B228" s="77"/>
      <c r="C228" s="42" t="s">
        <v>18</v>
      </c>
      <c r="D228" s="41">
        <v>148</v>
      </c>
      <c r="E228" s="40">
        <v>5.0964187327823693E-2</v>
      </c>
    </row>
    <row r="229" spans="2:5" ht="15" customHeight="1" x14ac:dyDescent="0.3">
      <c r="B229" s="75" t="s">
        <v>716</v>
      </c>
      <c r="C229" s="45" t="s">
        <v>24</v>
      </c>
      <c r="D229" s="44">
        <v>2</v>
      </c>
      <c r="E229" s="43">
        <v>6.8870523415977963E-4</v>
      </c>
    </row>
    <row r="230" spans="2:5" ht="15" customHeight="1" x14ac:dyDescent="0.3">
      <c r="B230" s="76"/>
      <c r="C230" s="45" t="s">
        <v>38</v>
      </c>
      <c r="D230" s="44">
        <v>23</v>
      </c>
      <c r="E230" s="43">
        <v>7.9201101928374658E-3</v>
      </c>
    </row>
    <row r="231" spans="2:5" ht="15" customHeight="1" x14ac:dyDescent="0.3">
      <c r="B231" s="76"/>
      <c r="C231" s="45" t="s">
        <v>27</v>
      </c>
      <c r="D231" s="44">
        <v>2</v>
      </c>
      <c r="E231" s="43">
        <v>6.8870523415977963E-4</v>
      </c>
    </row>
    <row r="232" spans="2:5" ht="15" customHeight="1" x14ac:dyDescent="0.3">
      <c r="B232" s="76"/>
      <c r="C232" s="45" t="s">
        <v>43</v>
      </c>
      <c r="D232" s="44">
        <v>54</v>
      </c>
      <c r="E232" s="43">
        <v>1.859504132231405E-2</v>
      </c>
    </row>
    <row r="233" spans="2:5" ht="15" customHeight="1" x14ac:dyDescent="0.3">
      <c r="B233" s="76"/>
      <c r="C233" s="45" t="s">
        <v>26</v>
      </c>
      <c r="D233" s="44">
        <v>1</v>
      </c>
      <c r="E233" s="43">
        <v>3.4435261707988982E-4</v>
      </c>
    </row>
    <row r="234" spans="2:5" ht="15" customHeight="1" x14ac:dyDescent="0.3">
      <c r="B234" s="76"/>
      <c r="C234" s="45" t="s">
        <v>39</v>
      </c>
      <c r="D234" s="44">
        <v>19</v>
      </c>
      <c r="E234" s="43">
        <v>6.5426997245179065E-3</v>
      </c>
    </row>
    <row r="235" spans="2:5" ht="15" customHeight="1" x14ac:dyDescent="0.3">
      <c r="B235" s="76"/>
      <c r="C235" s="45" t="s">
        <v>34</v>
      </c>
      <c r="D235" s="44">
        <v>6</v>
      </c>
      <c r="E235" s="43">
        <v>2.0661157024793389E-3</v>
      </c>
    </row>
    <row r="236" spans="2:5" ht="15" customHeight="1" x14ac:dyDescent="0.3">
      <c r="B236" s="76"/>
      <c r="C236" s="45" t="s">
        <v>42</v>
      </c>
      <c r="D236" s="44">
        <v>23</v>
      </c>
      <c r="E236" s="43">
        <v>7.9201101928374658E-3</v>
      </c>
    </row>
    <row r="237" spans="2:5" ht="15" customHeight="1" x14ac:dyDescent="0.3">
      <c r="B237" s="76"/>
      <c r="C237" s="45" t="s">
        <v>36</v>
      </c>
      <c r="D237" s="44">
        <v>5</v>
      </c>
      <c r="E237" s="43">
        <v>1.7217630853994491E-3</v>
      </c>
    </row>
    <row r="238" spans="2:5" ht="15" customHeight="1" x14ac:dyDescent="0.3">
      <c r="B238" s="76"/>
      <c r="C238" s="45" t="s">
        <v>35</v>
      </c>
      <c r="D238" s="44">
        <v>9</v>
      </c>
      <c r="E238" s="43">
        <v>3.0991735537190084E-3</v>
      </c>
    </row>
    <row r="239" spans="2:5" ht="15" customHeight="1" x14ac:dyDescent="0.3">
      <c r="B239" s="76"/>
      <c r="C239" s="45" t="s">
        <v>41</v>
      </c>
      <c r="D239" s="44">
        <v>21</v>
      </c>
      <c r="E239" s="43">
        <v>7.2314049586776862E-3</v>
      </c>
    </row>
    <row r="240" spans="2:5" ht="15" customHeight="1" x14ac:dyDescent="0.3">
      <c r="B240" s="76"/>
      <c r="C240" s="45" t="s">
        <v>37</v>
      </c>
      <c r="D240" s="44">
        <v>12</v>
      </c>
      <c r="E240" s="43">
        <v>4.1322314049586778E-3</v>
      </c>
    </row>
    <row r="241" spans="2:5" ht="15" customHeight="1" x14ac:dyDescent="0.3">
      <c r="B241" s="76"/>
      <c r="C241" s="45" t="s">
        <v>22</v>
      </c>
      <c r="D241" s="44">
        <v>2</v>
      </c>
      <c r="E241" s="43">
        <v>6.8870523415977963E-4</v>
      </c>
    </row>
    <row r="242" spans="2:5" ht="15" customHeight="1" x14ac:dyDescent="0.3">
      <c r="B242" s="76"/>
      <c r="C242" s="45" t="s">
        <v>44</v>
      </c>
      <c r="D242" s="44">
        <v>34</v>
      </c>
      <c r="E242" s="43">
        <v>1.1707988980716254E-2</v>
      </c>
    </row>
    <row r="243" spans="2:5" ht="15" customHeight="1" x14ac:dyDescent="0.3">
      <c r="B243" s="76"/>
      <c r="C243" s="45" t="s">
        <v>46</v>
      </c>
      <c r="D243" s="44">
        <v>105</v>
      </c>
      <c r="E243" s="43">
        <v>3.6157024793388427E-2</v>
      </c>
    </row>
    <row r="244" spans="2:5" ht="15" customHeight="1" x14ac:dyDescent="0.3">
      <c r="B244" s="76"/>
      <c r="C244" s="45" t="s">
        <v>32</v>
      </c>
      <c r="D244" s="44">
        <v>2</v>
      </c>
      <c r="E244" s="43">
        <v>6.8870523415977963E-4</v>
      </c>
    </row>
    <row r="245" spans="2:5" ht="15" customHeight="1" x14ac:dyDescent="0.3">
      <c r="B245" s="76"/>
      <c r="C245" s="45" t="s">
        <v>33</v>
      </c>
      <c r="D245" s="44">
        <v>1</v>
      </c>
      <c r="E245" s="43">
        <v>3.4435261707988982E-4</v>
      </c>
    </row>
    <row r="246" spans="2:5" ht="15" customHeight="1" x14ac:dyDescent="0.3">
      <c r="B246" s="76"/>
      <c r="C246" s="45" t="s">
        <v>25</v>
      </c>
      <c r="D246" s="44">
        <v>1</v>
      </c>
      <c r="E246" s="43">
        <v>3.4435261707988982E-4</v>
      </c>
    </row>
    <row r="247" spans="2:5" ht="15" customHeight="1" x14ac:dyDescent="0.3">
      <c r="B247" s="76"/>
      <c r="C247" s="45" t="s">
        <v>30</v>
      </c>
      <c r="D247" s="44">
        <v>1</v>
      </c>
      <c r="E247" s="43">
        <v>3.4435261707988982E-4</v>
      </c>
    </row>
    <row r="248" spans="2:5" ht="15" customHeight="1" x14ac:dyDescent="0.3">
      <c r="B248" s="76"/>
      <c r="C248" s="45" t="s">
        <v>31</v>
      </c>
      <c r="D248" s="44">
        <v>5</v>
      </c>
      <c r="E248" s="43">
        <v>1.7217630853994491E-3</v>
      </c>
    </row>
    <row r="249" spans="2:5" ht="15" customHeight="1" x14ac:dyDescent="0.3">
      <c r="B249" s="76"/>
      <c r="C249" s="45" t="s">
        <v>45</v>
      </c>
      <c r="D249" s="44">
        <v>59</v>
      </c>
      <c r="E249" s="43">
        <v>2.0316804407713499E-2</v>
      </c>
    </row>
    <row r="250" spans="2:5" ht="15" customHeight="1" x14ac:dyDescent="0.3">
      <c r="B250" s="76"/>
      <c r="C250" s="45" t="s">
        <v>40</v>
      </c>
      <c r="D250" s="44">
        <v>33</v>
      </c>
      <c r="E250" s="43">
        <v>1.1363636363636364E-2</v>
      </c>
    </row>
    <row r="251" spans="2:5" ht="15" customHeight="1" x14ac:dyDescent="0.3">
      <c r="B251" s="77"/>
      <c r="C251" s="42" t="s">
        <v>18</v>
      </c>
      <c r="D251" s="41">
        <v>420</v>
      </c>
      <c r="E251" s="40">
        <v>0.14462809917355371</v>
      </c>
    </row>
    <row r="252" spans="2:5" ht="15" customHeight="1" x14ac:dyDescent="0.3">
      <c r="B252" s="75" t="s">
        <v>715</v>
      </c>
      <c r="C252" s="45" t="s">
        <v>43</v>
      </c>
      <c r="D252" s="44">
        <v>1</v>
      </c>
      <c r="E252" s="43">
        <v>3.4435261707988982E-4</v>
      </c>
    </row>
    <row r="253" spans="2:5" ht="15" customHeight="1" x14ac:dyDescent="0.3">
      <c r="B253" s="76"/>
      <c r="C253" s="45" t="s">
        <v>41</v>
      </c>
      <c r="D253" s="44">
        <v>1</v>
      </c>
      <c r="E253" s="43">
        <v>3.4435261707988982E-4</v>
      </c>
    </row>
    <row r="254" spans="2:5" ht="15" customHeight="1" x14ac:dyDescent="0.3">
      <c r="B254" s="76"/>
      <c r="C254" s="45" t="s">
        <v>46</v>
      </c>
      <c r="D254" s="44">
        <v>1</v>
      </c>
      <c r="E254" s="43">
        <v>3.4435261707988982E-4</v>
      </c>
    </row>
    <row r="255" spans="2:5" ht="15" customHeight="1" x14ac:dyDescent="0.3">
      <c r="B255" s="76"/>
      <c r="C255" s="45" t="s">
        <v>32</v>
      </c>
      <c r="D255" s="44">
        <v>1</v>
      </c>
      <c r="E255" s="43">
        <v>3.4435261707988982E-4</v>
      </c>
    </row>
    <row r="256" spans="2:5" ht="15" customHeight="1" x14ac:dyDescent="0.3">
      <c r="B256" s="76"/>
      <c r="C256" s="45" t="s">
        <v>31</v>
      </c>
      <c r="D256" s="44">
        <v>1</v>
      </c>
      <c r="E256" s="43">
        <v>3.4435261707988982E-4</v>
      </c>
    </row>
    <row r="257" spans="2:5" ht="15" customHeight="1" x14ac:dyDescent="0.3">
      <c r="B257" s="77"/>
      <c r="C257" s="42" t="s">
        <v>18</v>
      </c>
      <c r="D257" s="41">
        <v>5</v>
      </c>
      <c r="E257" s="40">
        <v>1.7217630853994491E-3</v>
      </c>
    </row>
    <row r="258" spans="2:5" ht="15" customHeight="1" x14ac:dyDescent="0.3">
      <c r="B258" s="75" t="s">
        <v>714</v>
      </c>
      <c r="C258" s="45" t="s">
        <v>43</v>
      </c>
      <c r="D258" s="44">
        <v>1</v>
      </c>
      <c r="E258" s="43">
        <v>3.4435261707988982E-4</v>
      </c>
    </row>
    <row r="259" spans="2:5" ht="15" customHeight="1" x14ac:dyDescent="0.3">
      <c r="B259" s="76"/>
      <c r="C259" s="45" t="s">
        <v>39</v>
      </c>
      <c r="D259" s="44">
        <v>1</v>
      </c>
      <c r="E259" s="43">
        <v>3.4435261707988982E-4</v>
      </c>
    </row>
    <row r="260" spans="2:5" ht="15" customHeight="1" x14ac:dyDescent="0.3">
      <c r="B260" s="76"/>
      <c r="C260" s="45" t="s">
        <v>42</v>
      </c>
      <c r="D260" s="44">
        <v>1</v>
      </c>
      <c r="E260" s="43">
        <v>3.4435261707988982E-4</v>
      </c>
    </row>
    <row r="261" spans="2:5" ht="15" customHeight="1" x14ac:dyDescent="0.3">
      <c r="B261" s="76"/>
      <c r="C261" s="45" t="s">
        <v>41</v>
      </c>
      <c r="D261" s="44">
        <v>1</v>
      </c>
      <c r="E261" s="43">
        <v>3.4435261707988982E-4</v>
      </c>
    </row>
    <row r="262" spans="2:5" ht="15" customHeight="1" x14ac:dyDescent="0.3">
      <c r="B262" s="76"/>
      <c r="C262" s="45" t="s">
        <v>44</v>
      </c>
      <c r="D262" s="44">
        <v>1</v>
      </c>
      <c r="E262" s="43">
        <v>3.4435261707988982E-4</v>
      </c>
    </row>
    <row r="263" spans="2:5" ht="15" customHeight="1" x14ac:dyDescent="0.3">
      <c r="B263" s="76"/>
      <c r="C263" s="45" t="s">
        <v>46</v>
      </c>
      <c r="D263" s="44">
        <v>4</v>
      </c>
      <c r="E263" s="43">
        <v>1.3774104683195593E-3</v>
      </c>
    </row>
    <row r="264" spans="2:5" ht="15" customHeight="1" x14ac:dyDescent="0.3">
      <c r="B264" s="76"/>
      <c r="C264" s="45" t="s">
        <v>45</v>
      </c>
      <c r="D264" s="44">
        <v>1</v>
      </c>
      <c r="E264" s="43">
        <v>3.4435261707988982E-4</v>
      </c>
    </row>
    <row r="265" spans="2:5" ht="15" customHeight="1" x14ac:dyDescent="0.3">
      <c r="B265" s="76"/>
      <c r="C265" s="45" t="s">
        <v>40</v>
      </c>
      <c r="D265" s="44">
        <v>1</v>
      </c>
      <c r="E265" s="43">
        <v>3.4435261707988982E-4</v>
      </c>
    </row>
    <row r="266" spans="2:5" ht="15" customHeight="1" x14ac:dyDescent="0.3">
      <c r="B266" s="77"/>
      <c r="C266" s="42" t="s">
        <v>18</v>
      </c>
      <c r="D266" s="41">
        <v>11</v>
      </c>
      <c r="E266" s="40">
        <v>3.787878787878788E-3</v>
      </c>
    </row>
    <row r="267" spans="2:5" ht="15" customHeight="1" x14ac:dyDescent="0.3">
      <c r="B267" s="75" t="s">
        <v>713</v>
      </c>
      <c r="C267" s="45" t="s">
        <v>33</v>
      </c>
      <c r="D267" s="44">
        <v>1</v>
      </c>
      <c r="E267" s="43">
        <v>3.4435261707988982E-4</v>
      </c>
    </row>
    <row r="268" spans="2:5" ht="15" customHeight="1" x14ac:dyDescent="0.3">
      <c r="B268" s="77"/>
      <c r="C268" s="42" t="s">
        <v>18</v>
      </c>
      <c r="D268" s="41">
        <v>1</v>
      </c>
      <c r="E268" s="40">
        <v>3.4435261707988982E-4</v>
      </c>
    </row>
    <row r="269" spans="2:5" ht="15" customHeight="1" x14ac:dyDescent="0.3">
      <c r="B269" s="75" t="s">
        <v>712</v>
      </c>
      <c r="C269" s="45" t="s">
        <v>38</v>
      </c>
      <c r="D269" s="44">
        <v>1</v>
      </c>
      <c r="E269" s="43">
        <v>3.4435261707988982E-4</v>
      </c>
    </row>
    <row r="270" spans="2:5" ht="15" customHeight="1" x14ac:dyDescent="0.3">
      <c r="B270" s="76"/>
      <c r="C270" s="45" t="s">
        <v>43</v>
      </c>
      <c r="D270" s="44">
        <v>5</v>
      </c>
      <c r="E270" s="43">
        <v>1.7217630853994491E-3</v>
      </c>
    </row>
    <row r="271" spans="2:5" ht="15" customHeight="1" x14ac:dyDescent="0.3">
      <c r="B271" s="76"/>
      <c r="C271" s="45" t="s">
        <v>39</v>
      </c>
      <c r="D271" s="44">
        <v>1</v>
      </c>
      <c r="E271" s="43">
        <v>3.4435261707988982E-4</v>
      </c>
    </row>
    <row r="272" spans="2:5" ht="15" customHeight="1" x14ac:dyDescent="0.3">
      <c r="B272" s="76"/>
      <c r="C272" s="45" t="s">
        <v>34</v>
      </c>
      <c r="D272" s="44">
        <v>1</v>
      </c>
      <c r="E272" s="43">
        <v>3.4435261707988982E-4</v>
      </c>
    </row>
    <row r="273" spans="2:5" ht="15" customHeight="1" x14ac:dyDescent="0.3">
      <c r="B273" s="76"/>
      <c r="C273" s="45" t="s">
        <v>42</v>
      </c>
      <c r="D273" s="44">
        <v>1</v>
      </c>
      <c r="E273" s="43">
        <v>3.4435261707988982E-4</v>
      </c>
    </row>
    <row r="274" spans="2:5" ht="15" customHeight="1" x14ac:dyDescent="0.3">
      <c r="B274" s="76"/>
      <c r="C274" s="45" t="s">
        <v>36</v>
      </c>
      <c r="D274" s="44">
        <v>1</v>
      </c>
      <c r="E274" s="43">
        <v>3.4435261707988982E-4</v>
      </c>
    </row>
    <row r="275" spans="2:5" ht="15" customHeight="1" x14ac:dyDescent="0.3">
      <c r="B275" s="76"/>
      <c r="C275" s="45" t="s">
        <v>35</v>
      </c>
      <c r="D275" s="44">
        <v>3</v>
      </c>
      <c r="E275" s="43">
        <v>1.0330578512396695E-3</v>
      </c>
    </row>
    <row r="276" spans="2:5" ht="15" customHeight="1" x14ac:dyDescent="0.3">
      <c r="B276" s="76"/>
      <c r="C276" s="45" t="s">
        <v>41</v>
      </c>
      <c r="D276" s="44">
        <v>3</v>
      </c>
      <c r="E276" s="43">
        <v>1.0330578512396695E-3</v>
      </c>
    </row>
    <row r="277" spans="2:5" ht="15" customHeight="1" x14ac:dyDescent="0.3">
      <c r="B277" s="76"/>
      <c r="C277" s="45" t="s">
        <v>44</v>
      </c>
      <c r="D277" s="44">
        <v>3</v>
      </c>
      <c r="E277" s="43">
        <v>1.0330578512396695E-3</v>
      </c>
    </row>
    <row r="278" spans="2:5" ht="15" customHeight="1" x14ac:dyDescent="0.3">
      <c r="B278" s="76"/>
      <c r="C278" s="45" t="s">
        <v>46</v>
      </c>
      <c r="D278" s="44">
        <v>11</v>
      </c>
      <c r="E278" s="43">
        <v>3.787878787878788E-3</v>
      </c>
    </row>
    <row r="279" spans="2:5" ht="15" customHeight="1" x14ac:dyDescent="0.3">
      <c r="B279" s="76"/>
      <c r="C279" s="45" t="s">
        <v>33</v>
      </c>
      <c r="D279" s="44">
        <v>1</v>
      </c>
      <c r="E279" s="43">
        <v>3.4435261707988982E-4</v>
      </c>
    </row>
    <row r="280" spans="2:5" ht="15" customHeight="1" x14ac:dyDescent="0.3">
      <c r="B280" s="76"/>
      <c r="C280" s="45" t="s">
        <v>31</v>
      </c>
      <c r="D280" s="44">
        <v>1</v>
      </c>
      <c r="E280" s="43">
        <v>3.4435261707988982E-4</v>
      </c>
    </row>
    <row r="281" spans="2:5" ht="15" customHeight="1" x14ac:dyDescent="0.3">
      <c r="B281" s="76"/>
      <c r="C281" s="45" t="s">
        <v>45</v>
      </c>
      <c r="D281" s="44">
        <v>5</v>
      </c>
      <c r="E281" s="43">
        <v>1.7217630853994491E-3</v>
      </c>
    </row>
    <row r="282" spans="2:5" ht="15" customHeight="1" x14ac:dyDescent="0.3">
      <c r="B282" s="77"/>
      <c r="C282" s="42" t="s">
        <v>18</v>
      </c>
      <c r="D282" s="41">
        <v>37</v>
      </c>
      <c r="E282" s="40">
        <v>1.2741046831955923E-2</v>
      </c>
    </row>
    <row r="283" spans="2:5" ht="15" customHeight="1" x14ac:dyDescent="0.3">
      <c r="B283" s="75" t="s">
        <v>769</v>
      </c>
      <c r="C283" s="45" t="s">
        <v>38</v>
      </c>
      <c r="D283" s="44">
        <v>2</v>
      </c>
      <c r="E283" s="43">
        <v>6.8870523415977963E-4</v>
      </c>
    </row>
    <row r="284" spans="2:5" ht="15" customHeight="1" x14ac:dyDescent="0.3">
      <c r="B284" s="76"/>
      <c r="C284" s="45" t="s">
        <v>27</v>
      </c>
      <c r="D284" s="44">
        <v>1</v>
      </c>
      <c r="E284" s="43">
        <v>3.4435261707988982E-4</v>
      </c>
    </row>
    <row r="285" spans="2:5" ht="15" customHeight="1" x14ac:dyDescent="0.3">
      <c r="B285" s="76"/>
      <c r="C285" s="45" t="s">
        <v>23</v>
      </c>
      <c r="D285" s="44">
        <v>2</v>
      </c>
      <c r="E285" s="43">
        <v>6.8870523415977963E-4</v>
      </c>
    </row>
    <row r="286" spans="2:5" ht="15" customHeight="1" x14ac:dyDescent="0.3">
      <c r="B286" s="76"/>
      <c r="C286" s="45" t="s">
        <v>43</v>
      </c>
      <c r="D286" s="44">
        <v>8</v>
      </c>
      <c r="E286" s="43">
        <v>2.7548209366391185E-3</v>
      </c>
    </row>
    <row r="287" spans="2:5" ht="15" customHeight="1" x14ac:dyDescent="0.3">
      <c r="B287" s="76"/>
      <c r="C287" s="45" t="s">
        <v>39</v>
      </c>
      <c r="D287" s="44">
        <v>4</v>
      </c>
      <c r="E287" s="43">
        <v>1.3774104683195593E-3</v>
      </c>
    </row>
    <row r="288" spans="2:5" ht="15" customHeight="1" x14ac:dyDescent="0.3">
      <c r="B288" s="76"/>
      <c r="C288" s="45" t="s">
        <v>42</v>
      </c>
      <c r="D288" s="44">
        <v>5</v>
      </c>
      <c r="E288" s="43">
        <v>1.7217630853994491E-3</v>
      </c>
    </row>
    <row r="289" spans="2:5" ht="15" customHeight="1" x14ac:dyDescent="0.3">
      <c r="B289" s="76"/>
      <c r="C289" s="45" t="s">
        <v>36</v>
      </c>
      <c r="D289" s="44">
        <v>3</v>
      </c>
      <c r="E289" s="43">
        <v>1.0330578512396695E-3</v>
      </c>
    </row>
    <row r="290" spans="2:5" ht="15" customHeight="1" x14ac:dyDescent="0.3">
      <c r="B290" s="76"/>
      <c r="C290" s="45" t="s">
        <v>35</v>
      </c>
      <c r="D290" s="44">
        <v>1</v>
      </c>
      <c r="E290" s="43">
        <v>3.4435261707988982E-4</v>
      </c>
    </row>
    <row r="291" spans="2:5" ht="15" customHeight="1" x14ac:dyDescent="0.3">
      <c r="B291" s="76"/>
      <c r="C291" s="45" t="s">
        <v>41</v>
      </c>
      <c r="D291" s="44">
        <v>1</v>
      </c>
      <c r="E291" s="43">
        <v>3.4435261707988982E-4</v>
      </c>
    </row>
    <row r="292" spans="2:5" ht="15" customHeight="1" x14ac:dyDescent="0.3">
      <c r="B292" s="76"/>
      <c r="C292" s="45" t="s">
        <v>37</v>
      </c>
      <c r="D292" s="44">
        <v>1</v>
      </c>
      <c r="E292" s="43">
        <v>3.4435261707988982E-4</v>
      </c>
    </row>
    <row r="293" spans="2:5" ht="15" customHeight="1" x14ac:dyDescent="0.3">
      <c r="B293" s="76"/>
      <c r="C293" s="45" t="s">
        <v>44</v>
      </c>
      <c r="D293" s="44">
        <v>4</v>
      </c>
      <c r="E293" s="43">
        <v>1.3774104683195593E-3</v>
      </c>
    </row>
    <row r="294" spans="2:5" ht="15" customHeight="1" x14ac:dyDescent="0.3">
      <c r="B294" s="76"/>
      <c r="C294" s="45" t="s">
        <v>46</v>
      </c>
      <c r="D294" s="44">
        <v>14</v>
      </c>
      <c r="E294" s="43">
        <v>4.8209366391184574E-3</v>
      </c>
    </row>
    <row r="295" spans="2:5" ht="15" customHeight="1" x14ac:dyDescent="0.3">
      <c r="B295" s="76"/>
      <c r="C295" s="45" t="s">
        <v>32</v>
      </c>
      <c r="D295" s="44">
        <v>1</v>
      </c>
      <c r="E295" s="43">
        <v>3.4435261707988982E-4</v>
      </c>
    </row>
    <row r="296" spans="2:5" ht="15" customHeight="1" x14ac:dyDescent="0.3">
      <c r="B296" s="76"/>
      <c r="C296" s="45" t="s">
        <v>25</v>
      </c>
      <c r="D296" s="44">
        <v>1</v>
      </c>
      <c r="E296" s="43">
        <v>3.4435261707988982E-4</v>
      </c>
    </row>
    <row r="297" spans="2:5" ht="15" customHeight="1" x14ac:dyDescent="0.3">
      <c r="B297" s="76"/>
      <c r="C297" s="45" t="s">
        <v>31</v>
      </c>
      <c r="D297" s="44">
        <v>2</v>
      </c>
      <c r="E297" s="43">
        <v>6.8870523415977963E-4</v>
      </c>
    </row>
    <row r="298" spans="2:5" ht="15" customHeight="1" x14ac:dyDescent="0.3">
      <c r="B298" s="76"/>
      <c r="C298" s="45" t="s">
        <v>45</v>
      </c>
      <c r="D298" s="44">
        <v>8</v>
      </c>
      <c r="E298" s="43">
        <v>2.7548209366391185E-3</v>
      </c>
    </row>
    <row r="299" spans="2:5" ht="15" customHeight="1" x14ac:dyDescent="0.3">
      <c r="B299" s="76"/>
      <c r="C299" s="45" t="s">
        <v>40</v>
      </c>
      <c r="D299" s="44">
        <v>2</v>
      </c>
      <c r="E299" s="43">
        <v>6.8870523415977963E-4</v>
      </c>
    </row>
    <row r="300" spans="2:5" ht="15" customHeight="1" x14ac:dyDescent="0.3">
      <c r="B300" s="76"/>
      <c r="C300" s="45" t="s">
        <v>19</v>
      </c>
      <c r="D300" s="44">
        <v>1</v>
      </c>
      <c r="E300" s="43">
        <v>3.4435261707988982E-4</v>
      </c>
    </row>
    <row r="301" spans="2:5" ht="15" customHeight="1" x14ac:dyDescent="0.3">
      <c r="B301" s="77"/>
      <c r="C301" s="42" t="s">
        <v>18</v>
      </c>
      <c r="D301" s="41">
        <v>61</v>
      </c>
      <c r="E301" s="40">
        <v>2.1005509641873279E-2</v>
      </c>
    </row>
    <row r="302" spans="2:5" ht="15" customHeight="1" x14ac:dyDescent="0.3">
      <c r="B302" s="75" t="s">
        <v>768</v>
      </c>
      <c r="C302" s="45" t="s">
        <v>39</v>
      </c>
      <c r="D302" s="44">
        <v>1</v>
      </c>
      <c r="E302" s="43">
        <v>3.4435261707988982E-4</v>
      </c>
    </row>
    <row r="303" spans="2:5" ht="15" customHeight="1" x14ac:dyDescent="0.3">
      <c r="B303" s="76"/>
      <c r="C303" s="45" t="s">
        <v>44</v>
      </c>
      <c r="D303" s="44">
        <v>1</v>
      </c>
      <c r="E303" s="43">
        <v>3.4435261707988982E-4</v>
      </c>
    </row>
    <row r="304" spans="2:5" ht="15" customHeight="1" x14ac:dyDescent="0.3">
      <c r="B304" s="76"/>
      <c r="C304" s="45" t="s">
        <v>46</v>
      </c>
      <c r="D304" s="44">
        <v>2</v>
      </c>
      <c r="E304" s="43">
        <v>6.8870523415977963E-4</v>
      </c>
    </row>
    <row r="305" spans="2:5" ht="15" customHeight="1" x14ac:dyDescent="0.3">
      <c r="B305" s="76"/>
      <c r="C305" s="45" t="s">
        <v>40</v>
      </c>
      <c r="D305" s="44">
        <v>1</v>
      </c>
      <c r="E305" s="43">
        <v>3.4435261707988982E-4</v>
      </c>
    </row>
    <row r="306" spans="2:5" ht="15" customHeight="1" x14ac:dyDescent="0.3">
      <c r="B306" s="77"/>
      <c r="C306" s="42" t="s">
        <v>18</v>
      </c>
      <c r="D306" s="41">
        <v>5</v>
      </c>
      <c r="E306" s="40">
        <v>1.7217630853994491E-3</v>
      </c>
    </row>
    <row r="307" spans="2:5" ht="15" customHeight="1" x14ac:dyDescent="0.3">
      <c r="B307" s="75" t="s">
        <v>709</v>
      </c>
      <c r="C307" s="45" t="s">
        <v>42</v>
      </c>
      <c r="D307" s="44">
        <v>1</v>
      </c>
      <c r="E307" s="43">
        <v>3.4435261707988982E-4</v>
      </c>
    </row>
    <row r="308" spans="2:5" ht="15" customHeight="1" x14ac:dyDescent="0.3">
      <c r="B308" s="77"/>
      <c r="C308" s="42" t="s">
        <v>18</v>
      </c>
      <c r="D308" s="41">
        <v>1</v>
      </c>
      <c r="E308" s="40">
        <v>3.4435261707988982E-4</v>
      </c>
    </row>
    <row r="309" spans="2:5" ht="15" customHeight="1" x14ac:dyDescent="0.3">
      <c r="B309" s="75" t="s">
        <v>708</v>
      </c>
      <c r="C309" s="45" t="s">
        <v>46</v>
      </c>
      <c r="D309" s="44">
        <v>1</v>
      </c>
      <c r="E309" s="43">
        <v>3.4435261707988982E-4</v>
      </c>
    </row>
    <row r="310" spans="2:5" ht="15" customHeight="1" x14ac:dyDescent="0.3">
      <c r="B310" s="77"/>
      <c r="C310" s="42" t="s">
        <v>18</v>
      </c>
      <c r="D310" s="41">
        <v>1</v>
      </c>
      <c r="E310" s="40">
        <v>3.4435261707988982E-4</v>
      </c>
    </row>
    <row r="311" spans="2:5" ht="15" customHeight="1" x14ac:dyDescent="0.3">
      <c r="B311" s="78" t="s">
        <v>18</v>
      </c>
      <c r="C311" s="79"/>
      <c r="D311" s="63">
        <v>2904</v>
      </c>
      <c r="E311" s="64">
        <v>1</v>
      </c>
    </row>
    <row r="313" spans="2:5" ht="15" customHeight="1" x14ac:dyDescent="0.3">
      <c r="B313" s="19" t="s">
        <v>17</v>
      </c>
    </row>
    <row r="314" spans="2:5" ht="15" customHeight="1" x14ac:dyDescent="0.3">
      <c r="B314" s="21" t="s">
        <v>16</v>
      </c>
    </row>
    <row r="315" spans="2:5" ht="15" customHeight="1" x14ac:dyDescent="0.3">
      <c r="B315" s="20" t="s">
        <v>15</v>
      </c>
    </row>
    <row r="316" spans="2:5" ht="15" customHeight="1" x14ac:dyDescent="0.3">
      <c r="B316" s="19" t="s">
        <v>14</v>
      </c>
    </row>
    <row r="317" spans="2:5" ht="15" customHeight="1" x14ac:dyDescent="0.3">
      <c r="B317" s="19" t="s">
        <v>13</v>
      </c>
    </row>
  </sheetData>
  <mergeCells count="25">
    <mergeCell ref="B7:E8"/>
    <mergeCell ref="B10:B22"/>
    <mergeCell ref="B23:B29"/>
    <mergeCell ref="B30:B39"/>
    <mergeCell ref="B40:B52"/>
    <mergeCell ref="B134:B154"/>
    <mergeCell ref="B155:B171"/>
    <mergeCell ref="B172:B194"/>
    <mergeCell ref="B195:B206"/>
    <mergeCell ref="B207:B228"/>
    <mergeCell ref="B53:B64"/>
    <mergeCell ref="B65:B78"/>
    <mergeCell ref="B79:B98"/>
    <mergeCell ref="B99:B121"/>
    <mergeCell ref="B122:B133"/>
    <mergeCell ref="B229:B251"/>
    <mergeCell ref="B252:B257"/>
    <mergeCell ref="B258:B266"/>
    <mergeCell ref="B311:C311"/>
    <mergeCell ref="B267:B268"/>
    <mergeCell ref="B269:B282"/>
    <mergeCell ref="B283:B301"/>
    <mergeCell ref="B302:B306"/>
    <mergeCell ref="B307:B308"/>
    <mergeCell ref="B309:B3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7" manualBreakCount="7">
    <brk id="52" max="4" man="1"/>
    <brk id="78" max="4" man="1"/>
    <brk id="121" max="4" man="1"/>
    <brk id="154" max="4" man="1"/>
    <brk id="194" max="4" man="1"/>
    <brk id="228" max="4" man="1"/>
    <brk id="26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737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736</v>
      </c>
      <c r="C11" s="31" t="s">
        <v>48</v>
      </c>
      <c r="D11" s="30" t="s">
        <v>47</v>
      </c>
    </row>
    <row r="12" spans="2:4" ht="15" customHeight="1" x14ac:dyDescent="0.3">
      <c r="B12" s="27" t="s">
        <v>735</v>
      </c>
      <c r="C12" s="26">
        <v>1955</v>
      </c>
      <c r="D12" s="25">
        <v>0.67320936639118456</v>
      </c>
    </row>
    <row r="13" spans="2:4" ht="15" customHeight="1" x14ac:dyDescent="0.3">
      <c r="B13" s="27" t="s">
        <v>734</v>
      </c>
      <c r="C13" s="26">
        <v>949</v>
      </c>
      <c r="D13" s="25">
        <v>0.32679063360881544</v>
      </c>
    </row>
    <row r="14" spans="2:4" x14ac:dyDescent="0.3">
      <c r="B14" s="24" t="s">
        <v>733</v>
      </c>
      <c r="C14" s="23">
        <v>2904</v>
      </c>
      <c r="D14" s="22">
        <v>1</v>
      </c>
    </row>
    <row r="15" spans="2:4" s="28" customFormat="1" ht="15" x14ac:dyDescent="0.3">
      <c r="C15" s="60"/>
    </row>
    <row r="16" spans="2:4" s="28" customFormat="1" ht="15" x14ac:dyDescent="0.3">
      <c r="B16" s="19" t="s">
        <v>17</v>
      </c>
      <c r="C16" s="60"/>
    </row>
    <row r="17" spans="2:4" x14ac:dyDescent="0.3">
      <c r="B17" s="21" t="s">
        <v>16</v>
      </c>
      <c r="C17" s="59"/>
      <c r="D17" s="59"/>
    </row>
    <row r="18" spans="2:4" x14ac:dyDescent="0.3">
      <c r="B18" s="20" t="s">
        <v>15</v>
      </c>
      <c r="C18" s="58"/>
      <c r="D18" s="58"/>
    </row>
    <row r="19" spans="2:4" x14ac:dyDescent="0.3">
      <c r="B19" s="19" t="s">
        <v>14</v>
      </c>
    </row>
    <row r="20" spans="2:4" x14ac:dyDescent="0.3">
      <c r="B20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73"/>
  <sheetViews>
    <sheetView topLeftCell="A64" zoomScale="90" zoomScaleNormal="90" zoomScaleSheetLayoutView="100" workbookViewId="0">
      <selection activeCell="B87" sqref="B87:B8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80"/>
      <c r="C7" s="80"/>
      <c r="D7" s="80"/>
      <c r="E7" s="80"/>
    </row>
    <row r="8" spans="1:5" s="50" customFormat="1" ht="33" customHeight="1" x14ac:dyDescent="0.25">
      <c r="A8" s="51"/>
      <c r="B8" s="80"/>
      <c r="C8" s="80"/>
      <c r="D8" s="80"/>
      <c r="E8" s="80"/>
    </row>
    <row r="9" spans="1:5" s="29" customFormat="1" ht="40.5" customHeight="1" x14ac:dyDescent="0.2">
      <c r="B9" s="47" t="s">
        <v>49</v>
      </c>
      <c r="C9" s="49" t="s">
        <v>736</v>
      </c>
      <c r="D9" s="48" t="s">
        <v>48</v>
      </c>
      <c r="E9" s="47" t="s">
        <v>47</v>
      </c>
    </row>
    <row r="10" spans="1:5" ht="15" customHeight="1" x14ac:dyDescent="0.3">
      <c r="B10" s="75" t="s">
        <v>29</v>
      </c>
      <c r="C10" s="45" t="s">
        <v>739</v>
      </c>
      <c r="D10" s="44">
        <v>9</v>
      </c>
      <c r="E10" s="43">
        <v>3.0991735537190084E-3</v>
      </c>
    </row>
    <row r="11" spans="1:5" ht="15" customHeight="1" x14ac:dyDescent="0.3">
      <c r="B11" s="76"/>
      <c r="C11" s="45" t="s">
        <v>738</v>
      </c>
      <c r="D11" s="44">
        <v>2</v>
      </c>
      <c r="E11" s="43">
        <v>6.8870523415977963E-4</v>
      </c>
    </row>
    <row r="12" spans="1:5" ht="15" customHeight="1" x14ac:dyDescent="0.3">
      <c r="B12" s="77"/>
      <c r="C12" s="42" t="s">
        <v>18</v>
      </c>
      <c r="D12" s="41">
        <v>11</v>
      </c>
      <c r="E12" s="40">
        <v>3.787878787878788E-3</v>
      </c>
    </row>
    <row r="13" spans="1:5" ht="15" customHeight="1" x14ac:dyDescent="0.3">
      <c r="B13" s="75" t="s">
        <v>24</v>
      </c>
      <c r="C13" s="45" t="s">
        <v>739</v>
      </c>
      <c r="D13" s="44">
        <v>4</v>
      </c>
      <c r="E13" s="43">
        <v>1.3774104683195593E-3</v>
      </c>
    </row>
    <row r="14" spans="1:5" ht="15" customHeight="1" x14ac:dyDescent="0.3">
      <c r="B14" s="76"/>
      <c r="C14" s="45" t="s">
        <v>738</v>
      </c>
      <c r="D14" s="44">
        <v>1</v>
      </c>
      <c r="E14" s="43">
        <v>3.4435261707988982E-4</v>
      </c>
    </row>
    <row r="15" spans="1:5" s="46" customFormat="1" ht="15" customHeight="1" x14ac:dyDescent="0.2">
      <c r="B15" s="77"/>
      <c r="C15" s="42" t="s">
        <v>18</v>
      </c>
      <c r="D15" s="41">
        <v>5</v>
      </c>
      <c r="E15" s="40">
        <v>1.7217630853994491E-3</v>
      </c>
    </row>
    <row r="16" spans="1:5" s="46" customFormat="1" ht="15" customHeight="1" x14ac:dyDescent="0.2">
      <c r="B16" s="75" t="s">
        <v>21</v>
      </c>
      <c r="C16" s="45" t="s">
        <v>739</v>
      </c>
      <c r="D16" s="44">
        <v>1</v>
      </c>
      <c r="E16" s="43">
        <v>3.4435261707988982E-4</v>
      </c>
    </row>
    <row r="17" spans="2:5" ht="15" customHeight="1" x14ac:dyDescent="0.3">
      <c r="B17" s="76"/>
      <c r="C17" s="45" t="s">
        <v>738</v>
      </c>
      <c r="D17" s="44">
        <v>2</v>
      </c>
      <c r="E17" s="43">
        <v>6.8870523415977963E-4</v>
      </c>
    </row>
    <row r="18" spans="2:5" ht="15" customHeight="1" x14ac:dyDescent="0.3">
      <c r="B18" s="77"/>
      <c r="C18" s="42" t="s">
        <v>18</v>
      </c>
      <c r="D18" s="41">
        <v>3</v>
      </c>
      <c r="E18" s="40">
        <v>1.0330578512396695E-3</v>
      </c>
    </row>
    <row r="19" spans="2:5" ht="15" customHeight="1" x14ac:dyDescent="0.3">
      <c r="B19" s="75" t="s">
        <v>38</v>
      </c>
      <c r="C19" s="45" t="s">
        <v>739</v>
      </c>
      <c r="D19" s="44">
        <v>93</v>
      </c>
      <c r="E19" s="43">
        <v>3.2024793388429749E-2</v>
      </c>
    </row>
    <row r="20" spans="2:5" ht="15" customHeight="1" x14ac:dyDescent="0.3">
      <c r="B20" s="76"/>
      <c r="C20" s="45" t="s">
        <v>738</v>
      </c>
      <c r="D20" s="44">
        <v>30</v>
      </c>
      <c r="E20" s="43">
        <v>1.0330578512396695E-2</v>
      </c>
    </row>
    <row r="21" spans="2:5" ht="15" customHeight="1" x14ac:dyDescent="0.3">
      <c r="B21" s="77"/>
      <c r="C21" s="42" t="s">
        <v>18</v>
      </c>
      <c r="D21" s="41">
        <v>123</v>
      </c>
      <c r="E21" s="40">
        <v>4.2355371900826444E-2</v>
      </c>
    </row>
    <row r="22" spans="2:5" ht="15" customHeight="1" x14ac:dyDescent="0.3">
      <c r="B22" s="75" t="s">
        <v>27</v>
      </c>
      <c r="C22" s="45" t="s">
        <v>739</v>
      </c>
      <c r="D22" s="44">
        <v>2</v>
      </c>
      <c r="E22" s="43">
        <v>6.8870523415977963E-4</v>
      </c>
    </row>
    <row r="23" spans="2:5" ht="15" customHeight="1" x14ac:dyDescent="0.3">
      <c r="B23" s="76"/>
      <c r="C23" s="45" t="s">
        <v>738</v>
      </c>
      <c r="D23" s="44">
        <v>5</v>
      </c>
      <c r="E23" s="43">
        <v>1.7217630853994491E-3</v>
      </c>
    </row>
    <row r="24" spans="2:5" ht="15" customHeight="1" x14ac:dyDescent="0.3">
      <c r="B24" s="77"/>
      <c r="C24" s="42" t="s">
        <v>18</v>
      </c>
      <c r="D24" s="41">
        <v>7</v>
      </c>
      <c r="E24" s="40">
        <v>2.4104683195592287E-3</v>
      </c>
    </row>
    <row r="25" spans="2:5" ht="15" customHeight="1" x14ac:dyDescent="0.3">
      <c r="B25" s="75" t="s">
        <v>23</v>
      </c>
      <c r="C25" s="45" t="s">
        <v>739</v>
      </c>
      <c r="D25" s="44">
        <v>3</v>
      </c>
      <c r="E25" s="43">
        <v>1.0330578512396695E-3</v>
      </c>
    </row>
    <row r="26" spans="2:5" ht="15" customHeight="1" x14ac:dyDescent="0.3">
      <c r="B26" s="76"/>
      <c r="C26" s="45" t="s">
        <v>738</v>
      </c>
      <c r="D26" s="44">
        <v>2</v>
      </c>
      <c r="E26" s="43">
        <v>6.8870523415977963E-4</v>
      </c>
    </row>
    <row r="27" spans="2:5" ht="15" customHeight="1" x14ac:dyDescent="0.3">
      <c r="B27" s="77"/>
      <c r="C27" s="42" t="s">
        <v>18</v>
      </c>
      <c r="D27" s="41">
        <v>5</v>
      </c>
      <c r="E27" s="40">
        <v>1.7217630853994491E-3</v>
      </c>
    </row>
    <row r="28" spans="2:5" ht="15" customHeight="1" x14ac:dyDescent="0.3">
      <c r="B28" s="75" t="s">
        <v>43</v>
      </c>
      <c r="C28" s="45" t="s">
        <v>739</v>
      </c>
      <c r="D28" s="44">
        <v>149</v>
      </c>
      <c r="E28" s="43">
        <v>5.1308539944903579E-2</v>
      </c>
    </row>
    <row r="29" spans="2:5" ht="15" customHeight="1" x14ac:dyDescent="0.3">
      <c r="B29" s="76"/>
      <c r="C29" s="45" t="s">
        <v>738</v>
      </c>
      <c r="D29" s="44">
        <v>76</v>
      </c>
      <c r="E29" s="43">
        <v>2.6170798898071626E-2</v>
      </c>
    </row>
    <row r="30" spans="2:5" ht="15" customHeight="1" x14ac:dyDescent="0.3">
      <c r="B30" s="77"/>
      <c r="C30" s="42" t="s">
        <v>18</v>
      </c>
      <c r="D30" s="41">
        <v>225</v>
      </c>
      <c r="E30" s="40">
        <v>7.7479338842975212E-2</v>
      </c>
    </row>
    <row r="31" spans="2:5" ht="15" customHeight="1" x14ac:dyDescent="0.3">
      <c r="B31" s="75" t="s">
        <v>26</v>
      </c>
      <c r="C31" s="45" t="s">
        <v>739</v>
      </c>
      <c r="D31" s="44">
        <v>4</v>
      </c>
      <c r="E31" s="43">
        <v>1.3774104683195593E-3</v>
      </c>
    </row>
    <row r="32" spans="2:5" ht="15" customHeight="1" x14ac:dyDescent="0.3">
      <c r="B32" s="76"/>
      <c r="C32" s="45" t="s">
        <v>738</v>
      </c>
      <c r="D32" s="44">
        <v>2</v>
      </c>
      <c r="E32" s="43">
        <v>6.8870523415977963E-4</v>
      </c>
    </row>
    <row r="33" spans="2:5" ht="15" customHeight="1" x14ac:dyDescent="0.3">
      <c r="B33" s="77"/>
      <c r="C33" s="42" t="s">
        <v>18</v>
      </c>
      <c r="D33" s="41">
        <v>6</v>
      </c>
      <c r="E33" s="40">
        <v>2.0661157024793389E-3</v>
      </c>
    </row>
    <row r="34" spans="2:5" ht="15" customHeight="1" x14ac:dyDescent="0.3">
      <c r="B34" s="75" t="s">
        <v>39</v>
      </c>
      <c r="C34" s="45" t="s">
        <v>739</v>
      </c>
      <c r="D34" s="44">
        <v>91</v>
      </c>
      <c r="E34" s="43">
        <v>3.133608815426997E-2</v>
      </c>
    </row>
    <row r="35" spans="2:5" ht="15" customHeight="1" x14ac:dyDescent="0.3">
      <c r="B35" s="76"/>
      <c r="C35" s="45" t="s">
        <v>738</v>
      </c>
      <c r="D35" s="44">
        <v>34</v>
      </c>
      <c r="E35" s="43">
        <v>1.1707988980716254E-2</v>
      </c>
    </row>
    <row r="36" spans="2:5" ht="15" customHeight="1" x14ac:dyDescent="0.3">
      <c r="B36" s="77"/>
      <c r="C36" s="42" t="s">
        <v>18</v>
      </c>
      <c r="D36" s="41">
        <v>125</v>
      </c>
      <c r="E36" s="40">
        <v>4.3044077134986224E-2</v>
      </c>
    </row>
    <row r="37" spans="2:5" ht="15" customHeight="1" x14ac:dyDescent="0.3">
      <c r="B37" s="75" t="s">
        <v>34</v>
      </c>
      <c r="C37" s="45" t="s">
        <v>739</v>
      </c>
      <c r="D37" s="44">
        <v>40</v>
      </c>
      <c r="E37" s="43">
        <v>1.3774104683195593E-2</v>
      </c>
    </row>
    <row r="38" spans="2:5" ht="15" customHeight="1" x14ac:dyDescent="0.3">
      <c r="B38" s="76"/>
      <c r="C38" s="45" t="s">
        <v>738</v>
      </c>
      <c r="D38" s="44">
        <v>17</v>
      </c>
      <c r="E38" s="43">
        <v>5.8539944903581269E-3</v>
      </c>
    </row>
    <row r="39" spans="2:5" ht="15" customHeight="1" x14ac:dyDescent="0.3">
      <c r="B39" s="77"/>
      <c r="C39" s="42" t="s">
        <v>18</v>
      </c>
      <c r="D39" s="41">
        <v>57</v>
      </c>
      <c r="E39" s="40">
        <v>1.962809917355372E-2</v>
      </c>
    </row>
    <row r="40" spans="2:5" ht="15" customHeight="1" x14ac:dyDescent="0.3">
      <c r="B40" s="75" t="s">
        <v>42</v>
      </c>
      <c r="C40" s="45" t="s">
        <v>739</v>
      </c>
      <c r="D40" s="44">
        <v>130</v>
      </c>
      <c r="E40" s="43">
        <v>4.4765840220385676E-2</v>
      </c>
    </row>
    <row r="41" spans="2:5" ht="15" customHeight="1" x14ac:dyDescent="0.3">
      <c r="B41" s="76"/>
      <c r="C41" s="45" t="s">
        <v>738</v>
      </c>
      <c r="D41" s="44">
        <v>66</v>
      </c>
      <c r="E41" s="43">
        <v>2.2727272727272728E-2</v>
      </c>
    </row>
    <row r="42" spans="2:5" ht="15" customHeight="1" x14ac:dyDescent="0.3">
      <c r="B42" s="77"/>
      <c r="C42" s="42" t="s">
        <v>18</v>
      </c>
      <c r="D42" s="41">
        <v>196</v>
      </c>
      <c r="E42" s="40">
        <v>6.7493112947658404E-2</v>
      </c>
    </row>
    <row r="43" spans="2:5" ht="15" customHeight="1" x14ac:dyDescent="0.3">
      <c r="B43" s="75" t="s">
        <v>36</v>
      </c>
      <c r="C43" s="45" t="s">
        <v>739</v>
      </c>
      <c r="D43" s="44">
        <v>40</v>
      </c>
      <c r="E43" s="43">
        <v>1.3774104683195593E-2</v>
      </c>
    </row>
    <row r="44" spans="2:5" ht="15" customHeight="1" x14ac:dyDescent="0.3">
      <c r="B44" s="76"/>
      <c r="C44" s="45" t="s">
        <v>738</v>
      </c>
      <c r="D44" s="44">
        <v>21</v>
      </c>
      <c r="E44" s="43">
        <v>7.2314049586776862E-3</v>
      </c>
    </row>
    <row r="45" spans="2:5" ht="15" customHeight="1" x14ac:dyDescent="0.3">
      <c r="B45" s="77"/>
      <c r="C45" s="42" t="s">
        <v>18</v>
      </c>
      <c r="D45" s="41">
        <v>61</v>
      </c>
      <c r="E45" s="40">
        <v>2.1005509641873279E-2</v>
      </c>
    </row>
    <row r="46" spans="2:5" ht="15" customHeight="1" x14ac:dyDescent="0.3">
      <c r="B46" s="75" t="s">
        <v>35</v>
      </c>
      <c r="C46" s="45" t="s">
        <v>739</v>
      </c>
      <c r="D46" s="44">
        <v>38</v>
      </c>
      <c r="E46" s="43">
        <v>1.3085399449035813E-2</v>
      </c>
    </row>
    <row r="47" spans="2:5" ht="15" customHeight="1" x14ac:dyDescent="0.3">
      <c r="B47" s="76"/>
      <c r="C47" s="45" t="s">
        <v>738</v>
      </c>
      <c r="D47" s="44">
        <v>21</v>
      </c>
      <c r="E47" s="43">
        <v>7.2314049586776862E-3</v>
      </c>
    </row>
    <row r="48" spans="2:5" ht="15" customHeight="1" x14ac:dyDescent="0.3">
      <c r="B48" s="77"/>
      <c r="C48" s="42" t="s">
        <v>18</v>
      </c>
      <c r="D48" s="41">
        <v>59</v>
      </c>
      <c r="E48" s="40">
        <v>2.0316804407713499E-2</v>
      </c>
    </row>
    <row r="49" spans="2:5" ht="15" customHeight="1" x14ac:dyDescent="0.3">
      <c r="B49" s="75" t="s">
        <v>41</v>
      </c>
      <c r="C49" s="45" t="s">
        <v>739</v>
      </c>
      <c r="D49" s="44">
        <v>87</v>
      </c>
      <c r="E49" s="43">
        <v>2.9958677685950414E-2</v>
      </c>
    </row>
    <row r="50" spans="2:5" ht="15" customHeight="1" x14ac:dyDescent="0.3">
      <c r="B50" s="76"/>
      <c r="C50" s="45" t="s">
        <v>738</v>
      </c>
      <c r="D50" s="44">
        <v>63</v>
      </c>
      <c r="E50" s="43">
        <v>2.1694214876033058E-2</v>
      </c>
    </row>
    <row r="51" spans="2:5" ht="15" customHeight="1" x14ac:dyDescent="0.3">
      <c r="B51" s="77"/>
      <c r="C51" s="42" t="s">
        <v>18</v>
      </c>
      <c r="D51" s="41">
        <v>150</v>
      </c>
      <c r="E51" s="40">
        <v>5.1652892561983473E-2</v>
      </c>
    </row>
    <row r="52" spans="2:5" ht="15" customHeight="1" x14ac:dyDescent="0.3">
      <c r="B52" s="75" t="s">
        <v>37</v>
      </c>
      <c r="C52" s="45" t="s">
        <v>739</v>
      </c>
      <c r="D52" s="44">
        <v>60</v>
      </c>
      <c r="E52" s="43">
        <v>2.0661157024793389E-2</v>
      </c>
    </row>
    <row r="53" spans="2:5" ht="15" customHeight="1" x14ac:dyDescent="0.3">
      <c r="B53" s="76"/>
      <c r="C53" s="45" t="s">
        <v>738</v>
      </c>
      <c r="D53" s="44">
        <v>31</v>
      </c>
      <c r="E53" s="43">
        <v>1.0674931129476584E-2</v>
      </c>
    </row>
    <row r="54" spans="2:5" ht="15" customHeight="1" x14ac:dyDescent="0.3">
      <c r="B54" s="77"/>
      <c r="C54" s="42" t="s">
        <v>18</v>
      </c>
      <c r="D54" s="41">
        <v>91</v>
      </c>
      <c r="E54" s="40">
        <v>3.133608815426997E-2</v>
      </c>
    </row>
    <row r="55" spans="2:5" ht="15" customHeight="1" x14ac:dyDescent="0.3">
      <c r="B55" s="75" t="s">
        <v>22</v>
      </c>
      <c r="C55" s="45" t="s">
        <v>739</v>
      </c>
      <c r="D55" s="44">
        <v>5</v>
      </c>
      <c r="E55" s="43">
        <v>1.7217630853994491E-3</v>
      </c>
    </row>
    <row r="56" spans="2:5" ht="15" customHeight="1" x14ac:dyDescent="0.3">
      <c r="B56" s="77"/>
      <c r="C56" s="42" t="s">
        <v>18</v>
      </c>
      <c r="D56" s="41">
        <v>5</v>
      </c>
      <c r="E56" s="40">
        <v>1.7217630853994491E-3</v>
      </c>
    </row>
    <row r="57" spans="2:5" ht="15" customHeight="1" x14ac:dyDescent="0.3">
      <c r="B57" s="75" t="s">
        <v>44</v>
      </c>
      <c r="C57" s="45" t="s">
        <v>739</v>
      </c>
      <c r="D57" s="44">
        <v>180</v>
      </c>
      <c r="E57" s="43">
        <v>6.1983471074380167E-2</v>
      </c>
    </row>
    <row r="58" spans="2:5" ht="15" customHeight="1" x14ac:dyDescent="0.3">
      <c r="B58" s="76"/>
      <c r="C58" s="45" t="s">
        <v>738</v>
      </c>
      <c r="D58" s="44">
        <v>75</v>
      </c>
      <c r="E58" s="43">
        <v>2.5826446280991736E-2</v>
      </c>
    </row>
    <row r="59" spans="2:5" ht="15" customHeight="1" x14ac:dyDescent="0.3">
      <c r="B59" s="77"/>
      <c r="C59" s="42" t="s">
        <v>18</v>
      </c>
      <c r="D59" s="41">
        <v>255</v>
      </c>
      <c r="E59" s="40">
        <v>8.78099173553719E-2</v>
      </c>
    </row>
    <row r="60" spans="2:5" ht="15" customHeight="1" x14ac:dyDescent="0.3">
      <c r="B60" s="75" t="s">
        <v>46</v>
      </c>
      <c r="C60" s="45" t="s">
        <v>739</v>
      </c>
      <c r="D60" s="44">
        <v>636</v>
      </c>
      <c r="E60" s="43">
        <v>0.21900826446280991</v>
      </c>
    </row>
    <row r="61" spans="2:5" ht="15" customHeight="1" x14ac:dyDescent="0.3">
      <c r="B61" s="76"/>
      <c r="C61" s="45" t="s">
        <v>738</v>
      </c>
      <c r="D61" s="44">
        <v>338</v>
      </c>
      <c r="E61" s="43">
        <v>0.11639118457300275</v>
      </c>
    </row>
    <row r="62" spans="2:5" ht="15" customHeight="1" x14ac:dyDescent="0.3">
      <c r="B62" s="77"/>
      <c r="C62" s="42" t="s">
        <v>18</v>
      </c>
      <c r="D62" s="41">
        <v>974</v>
      </c>
      <c r="E62" s="40">
        <v>0.33539944903581265</v>
      </c>
    </row>
    <row r="63" spans="2:5" ht="15" customHeight="1" x14ac:dyDescent="0.3">
      <c r="B63" s="75" t="s">
        <v>32</v>
      </c>
      <c r="C63" s="45" t="s">
        <v>739</v>
      </c>
      <c r="D63" s="44">
        <v>10</v>
      </c>
      <c r="E63" s="43">
        <v>3.4435261707988982E-3</v>
      </c>
    </row>
    <row r="64" spans="2:5" ht="15" customHeight="1" x14ac:dyDescent="0.3">
      <c r="B64" s="76"/>
      <c r="C64" s="45" t="s">
        <v>738</v>
      </c>
      <c r="D64" s="44">
        <v>5</v>
      </c>
      <c r="E64" s="43">
        <v>1.7217630853994491E-3</v>
      </c>
    </row>
    <row r="65" spans="2:5" ht="15" customHeight="1" x14ac:dyDescent="0.3">
      <c r="B65" s="77"/>
      <c r="C65" s="42" t="s">
        <v>18</v>
      </c>
      <c r="D65" s="41">
        <v>15</v>
      </c>
      <c r="E65" s="40">
        <v>5.1652892561983473E-3</v>
      </c>
    </row>
    <row r="66" spans="2:5" ht="15" customHeight="1" x14ac:dyDescent="0.3">
      <c r="B66" s="76" t="s">
        <v>20</v>
      </c>
      <c r="C66" s="45" t="s">
        <v>738</v>
      </c>
      <c r="D66" s="44">
        <v>2</v>
      </c>
      <c r="E66" s="43">
        <v>6.8870523415977963E-4</v>
      </c>
    </row>
    <row r="67" spans="2:5" ht="15" customHeight="1" x14ac:dyDescent="0.3">
      <c r="B67" s="77"/>
      <c r="C67" s="42" t="s">
        <v>18</v>
      </c>
      <c r="D67" s="41">
        <v>2</v>
      </c>
      <c r="E67" s="40">
        <v>6.8870523415977963E-4</v>
      </c>
    </row>
    <row r="68" spans="2:5" ht="15" customHeight="1" x14ac:dyDescent="0.3">
      <c r="B68" s="75" t="s">
        <v>33</v>
      </c>
      <c r="C68" s="45" t="s">
        <v>739</v>
      </c>
      <c r="D68" s="44">
        <v>17</v>
      </c>
      <c r="E68" s="43">
        <v>5.8539944903581269E-3</v>
      </c>
    </row>
    <row r="69" spans="2:5" ht="15" customHeight="1" x14ac:dyDescent="0.3">
      <c r="B69" s="76"/>
      <c r="C69" s="45" t="s">
        <v>738</v>
      </c>
      <c r="D69" s="44">
        <v>4</v>
      </c>
      <c r="E69" s="43">
        <v>1.3774104683195593E-3</v>
      </c>
    </row>
    <row r="70" spans="2:5" ht="15" customHeight="1" x14ac:dyDescent="0.3">
      <c r="B70" s="77"/>
      <c r="C70" s="42" t="s">
        <v>18</v>
      </c>
      <c r="D70" s="41">
        <v>21</v>
      </c>
      <c r="E70" s="40">
        <v>7.2314049586776862E-3</v>
      </c>
    </row>
    <row r="71" spans="2:5" ht="15" customHeight="1" x14ac:dyDescent="0.3">
      <c r="B71" s="75" t="s">
        <v>25</v>
      </c>
      <c r="C71" s="45" t="s">
        <v>739</v>
      </c>
      <c r="D71" s="44">
        <v>6</v>
      </c>
      <c r="E71" s="43">
        <v>2.0661157024793389E-3</v>
      </c>
    </row>
    <row r="72" spans="2:5" ht="15" customHeight="1" x14ac:dyDescent="0.3">
      <c r="B72" s="77"/>
      <c r="C72" s="42" t="s">
        <v>18</v>
      </c>
      <c r="D72" s="41">
        <v>6</v>
      </c>
      <c r="E72" s="40">
        <v>2.0661157024793389E-3</v>
      </c>
    </row>
    <row r="73" spans="2:5" ht="15" customHeight="1" x14ac:dyDescent="0.3">
      <c r="B73" s="75" t="s">
        <v>30</v>
      </c>
      <c r="C73" s="45" t="s">
        <v>739</v>
      </c>
      <c r="D73" s="44">
        <v>10</v>
      </c>
      <c r="E73" s="43">
        <v>3.4435261707988982E-3</v>
      </c>
    </row>
    <row r="74" spans="2:5" ht="15" customHeight="1" x14ac:dyDescent="0.3">
      <c r="B74" s="76"/>
      <c r="C74" s="45" t="s">
        <v>738</v>
      </c>
      <c r="D74" s="44">
        <v>2</v>
      </c>
      <c r="E74" s="43">
        <v>6.8870523415977963E-4</v>
      </c>
    </row>
    <row r="75" spans="2:5" ht="15" customHeight="1" x14ac:dyDescent="0.3">
      <c r="B75" s="77"/>
      <c r="C75" s="42" t="s">
        <v>18</v>
      </c>
      <c r="D75" s="41">
        <v>12</v>
      </c>
      <c r="E75" s="40">
        <v>4.1322314049586778E-3</v>
      </c>
    </row>
    <row r="76" spans="2:5" ht="15" customHeight="1" x14ac:dyDescent="0.3">
      <c r="B76" s="75" t="s">
        <v>31</v>
      </c>
      <c r="C76" s="45" t="s">
        <v>739</v>
      </c>
      <c r="D76" s="44">
        <v>10</v>
      </c>
      <c r="E76" s="43">
        <v>3.4435261707988982E-3</v>
      </c>
    </row>
    <row r="77" spans="2:5" ht="15" customHeight="1" x14ac:dyDescent="0.3">
      <c r="B77" s="76"/>
      <c r="C77" s="45" t="s">
        <v>738</v>
      </c>
      <c r="D77" s="44">
        <v>5</v>
      </c>
      <c r="E77" s="43">
        <v>1.7217630853994491E-3</v>
      </c>
    </row>
    <row r="78" spans="2:5" ht="15" customHeight="1" x14ac:dyDescent="0.3">
      <c r="B78" s="77"/>
      <c r="C78" s="42" t="s">
        <v>18</v>
      </c>
      <c r="D78" s="41">
        <v>15</v>
      </c>
      <c r="E78" s="40">
        <v>5.1652892561983473E-3</v>
      </c>
    </row>
    <row r="79" spans="2:5" ht="15" customHeight="1" x14ac:dyDescent="0.3">
      <c r="B79" s="75" t="s">
        <v>45</v>
      </c>
      <c r="C79" s="45" t="s">
        <v>739</v>
      </c>
      <c r="D79" s="44">
        <v>226</v>
      </c>
      <c r="E79" s="43">
        <v>7.7823691460055092E-2</v>
      </c>
    </row>
    <row r="80" spans="2:5" ht="15" customHeight="1" x14ac:dyDescent="0.3">
      <c r="B80" s="76"/>
      <c r="C80" s="45" t="s">
        <v>738</v>
      </c>
      <c r="D80" s="44">
        <v>101</v>
      </c>
      <c r="E80" s="43">
        <v>3.4779614325068868E-2</v>
      </c>
    </row>
    <row r="81" spans="2:5" ht="15" customHeight="1" x14ac:dyDescent="0.3">
      <c r="B81" s="77"/>
      <c r="C81" s="42" t="s">
        <v>18</v>
      </c>
      <c r="D81" s="41">
        <v>327</v>
      </c>
      <c r="E81" s="40">
        <v>0.11260330578512397</v>
      </c>
    </row>
    <row r="82" spans="2:5" ht="15" customHeight="1" x14ac:dyDescent="0.3">
      <c r="B82" s="75" t="s">
        <v>40</v>
      </c>
      <c r="C82" s="45" t="s">
        <v>739</v>
      </c>
      <c r="D82" s="44">
        <v>98</v>
      </c>
      <c r="E82" s="43">
        <v>3.3746556473829202E-2</v>
      </c>
    </row>
    <row r="83" spans="2:5" ht="15" customHeight="1" x14ac:dyDescent="0.3">
      <c r="B83" s="76"/>
      <c r="C83" s="45" t="s">
        <v>738</v>
      </c>
      <c r="D83" s="44">
        <v>39</v>
      </c>
      <c r="E83" s="43">
        <v>1.3429752066115703E-2</v>
      </c>
    </row>
    <row r="84" spans="2:5" ht="15" customHeight="1" x14ac:dyDescent="0.3">
      <c r="B84" s="77"/>
      <c r="C84" s="42" t="s">
        <v>18</v>
      </c>
      <c r="D84" s="41">
        <v>137</v>
      </c>
      <c r="E84" s="40">
        <v>4.7176308539944901E-2</v>
      </c>
    </row>
    <row r="85" spans="2:5" ht="15" customHeight="1" x14ac:dyDescent="0.3">
      <c r="B85" s="76" t="s">
        <v>19</v>
      </c>
      <c r="C85" s="45" t="s">
        <v>738</v>
      </c>
      <c r="D85" s="44">
        <v>1</v>
      </c>
      <c r="E85" s="43">
        <v>3.4435261707988982E-4</v>
      </c>
    </row>
    <row r="86" spans="2:5" ht="15" customHeight="1" x14ac:dyDescent="0.3">
      <c r="B86" s="77"/>
      <c r="C86" s="42" t="s">
        <v>18</v>
      </c>
      <c r="D86" s="41">
        <v>1</v>
      </c>
      <c r="E86" s="40">
        <v>3.4435261707988982E-4</v>
      </c>
    </row>
    <row r="87" spans="2:5" ht="15" customHeight="1" x14ac:dyDescent="0.3">
      <c r="B87" s="75" t="s">
        <v>28</v>
      </c>
      <c r="C87" s="45" t="s">
        <v>739</v>
      </c>
      <c r="D87" s="44">
        <v>6</v>
      </c>
      <c r="E87" s="43">
        <v>2.0661157024793389E-3</v>
      </c>
    </row>
    <row r="88" spans="2:5" ht="15" customHeight="1" x14ac:dyDescent="0.3">
      <c r="B88" s="76"/>
      <c r="C88" s="45" t="s">
        <v>738</v>
      </c>
      <c r="D88" s="44">
        <v>4</v>
      </c>
      <c r="E88" s="43">
        <v>1.3774104683195593E-3</v>
      </c>
    </row>
    <row r="89" spans="2:5" ht="15" customHeight="1" x14ac:dyDescent="0.3">
      <c r="B89" s="77"/>
      <c r="C89" s="42" t="s">
        <v>18</v>
      </c>
      <c r="D89" s="41">
        <v>10</v>
      </c>
      <c r="E89" s="40">
        <v>3.4435261707988982E-3</v>
      </c>
    </row>
    <row r="90" spans="2:5" ht="15" customHeight="1" x14ac:dyDescent="0.3">
      <c r="B90" s="78" t="s">
        <v>18</v>
      </c>
      <c r="C90" s="79"/>
      <c r="D90" s="63">
        <f>SUMIF(C10:C89,"TOTAL",D10:D89)</f>
        <v>2904</v>
      </c>
      <c r="E90" s="64">
        <v>1</v>
      </c>
    </row>
    <row r="92" spans="2:5" ht="15" customHeight="1" x14ac:dyDescent="0.3">
      <c r="B92" s="19" t="s">
        <v>17</v>
      </c>
    </row>
    <row r="93" spans="2:5" ht="15" customHeight="1" x14ac:dyDescent="0.3">
      <c r="B93" s="21" t="s">
        <v>16</v>
      </c>
    </row>
    <row r="94" spans="2:5" ht="15" customHeight="1" x14ac:dyDescent="0.3">
      <c r="B94" s="20" t="s">
        <v>15</v>
      </c>
    </row>
    <row r="95" spans="2:5" ht="15" customHeight="1" x14ac:dyDescent="0.3">
      <c r="B95" s="19" t="s">
        <v>14</v>
      </c>
    </row>
    <row r="96" spans="2:5" ht="15" customHeight="1" x14ac:dyDescent="0.3">
      <c r="B96" s="19" t="s">
        <v>13</v>
      </c>
    </row>
    <row r="469" spans="2:2" s="37" customFormat="1" ht="15" customHeight="1" x14ac:dyDescent="0.3">
      <c r="B469" s="61"/>
    </row>
    <row r="470" spans="2:2" s="37" customFormat="1" ht="15" customHeight="1" x14ac:dyDescent="0.3">
      <c r="B470" s="62"/>
    </row>
    <row r="471" spans="2:2" s="37" customFormat="1" ht="15" customHeight="1" x14ac:dyDescent="0.3">
      <c r="B471" s="62"/>
    </row>
    <row r="472" spans="2:2" s="37" customFormat="1" ht="15" customHeight="1" x14ac:dyDescent="0.3">
      <c r="B472" s="61"/>
    </row>
    <row r="473" spans="2:2" s="37" customFormat="1" ht="15" customHeight="1" x14ac:dyDescent="0.3">
      <c r="B473" s="61"/>
    </row>
  </sheetData>
  <mergeCells count="30">
    <mergeCell ref="B85:B86"/>
    <mergeCell ref="B87:B89"/>
    <mergeCell ref="B90:C90"/>
    <mergeCell ref="B68:B70"/>
    <mergeCell ref="B71:B72"/>
    <mergeCell ref="B73:B75"/>
    <mergeCell ref="B76:B78"/>
    <mergeCell ref="B79:B81"/>
    <mergeCell ref="B46:B48"/>
    <mergeCell ref="B49:B51"/>
    <mergeCell ref="B52:B54"/>
    <mergeCell ref="B55:B56"/>
    <mergeCell ref="B57:B59"/>
    <mergeCell ref="B60:B62"/>
    <mergeCell ref="B63:B65"/>
    <mergeCell ref="B66:B67"/>
    <mergeCell ref="B82:B84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7:E8"/>
    <mergeCell ref="B10:B12"/>
    <mergeCell ref="B13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5" max="4" man="1"/>
    <brk id="78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3" zoomScale="145" zoomScaleNormal="145" zoomScaleSheetLayoutView="100" workbookViewId="0">
      <selection activeCell="E9" sqref="E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80"/>
      <c r="C7" s="80"/>
      <c r="D7" s="80"/>
      <c r="E7" s="80"/>
    </row>
    <row r="8" spans="1:5" s="50" customFormat="1" ht="33" customHeight="1" x14ac:dyDescent="0.25">
      <c r="A8" s="51"/>
      <c r="B8" s="80"/>
      <c r="C8" s="80"/>
      <c r="D8" s="80"/>
      <c r="E8" s="80"/>
    </row>
    <row r="9" spans="1:5" s="29" customFormat="1" ht="40.5" customHeight="1" x14ac:dyDescent="0.2">
      <c r="B9" s="47" t="s">
        <v>736</v>
      </c>
      <c r="C9" s="49" t="s">
        <v>748</v>
      </c>
      <c r="D9" s="48" t="s">
        <v>48</v>
      </c>
      <c r="E9" s="47" t="s">
        <v>47</v>
      </c>
    </row>
    <row r="10" spans="1:5" ht="15" customHeight="1" x14ac:dyDescent="0.3">
      <c r="B10" s="75" t="s">
        <v>739</v>
      </c>
      <c r="C10" s="45" t="s">
        <v>746</v>
      </c>
      <c r="D10" s="44">
        <v>1</v>
      </c>
      <c r="E10" s="43">
        <v>3.4435261707988982E-4</v>
      </c>
    </row>
    <row r="11" spans="1:5" ht="15" customHeight="1" x14ac:dyDescent="0.3">
      <c r="B11" s="76"/>
      <c r="C11" s="45" t="s">
        <v>745</v>
      </c>
      <c r="D11" s="44">
        <v>19</v>
      </c>
      <c r="E11" s="43">
        <v>6.5426997245179065E-3</v>
      </c>
    </row>
    <row r="12" spans="1:5" ht="15" customHeight="1" x14ac:dyDescent="0.3">
      <c r="B12" s="76"/>
      <c r="C12" s="45" t="s">
        <v>744</v>
      </c>
      <c r="D12" s="44">
        <v>287</v>
      </c>
      <c r="E12" s="43">
        <v>9.8829201101928374E-2</v>
      </c>
    </row>
    <row r="13" spans="1:5" ht="15" customHeight="1" x14ac:dyDescent="0.3">
      <c r="B13" s="76"/>
      <c r="C13" s="45" t="s">
        <v>743</v>
      </c>
      <c r="D13" s="44">
        <v>925</v>
      </c>
      <c r="E13" s="43">
        <v>0.31852617079889806</v>
      </c>
    </row>
    <row r="14" spans="1:5" ht="15" customHeight="1" x14ac:dyDescent="0.3">
      <c r="B14" s="76"/>
      <c r="C14" s="45" t="s">
        <v>742</v>
      </c>
      <c r="D14" s="44">
        <v>532</v>
      </c>
      <c r="E14" s="43">
        <v>0.18319559228650137</v>
      </c>
    </row>
    <row r="15" spans="1:5" s="46" customFormat="1" ht="15" customHeight="1" x14ac:dyDescent="0.2">
      <c r="B15" s="76"/>
      <c r="C15" s="45" t="s">
        <v>741</v>
      </c>
      <c r="D15" s="44">
        <v>183</v>
      </c>
      <c r="E15" s="43">
        <v>6.3016528925619833E-2</v>
      </c>
    </row>
    <row r="16" spans="1:5" s="46" customFormat="1" ht="15" customHeight="1" x14ac:dyDescent="0.2">
      <c r="B16" s="76"/>
      <c r="C16" s="45" t="s">
        <v>740</v>
      </c>
      <c r="D16" s="44">
        <v>7</v>
      </c>
      <c r="E16" s="43">
        <v>2.4104683195592287E-3</v>
      </c>
    </row>
    <row r="17" spans="2:5" s="46" customFormat="1" ht="15" customHeight="1" x14ac:dyDescent="0.2">
      <c r="B17" s="77"/>
      <c r="C17" s="45" t="s">
        <v>747</v>
      </c>
      <c r="D17" s="44">
        <v>1</v>
      </c>
      <c r="E17" s="43">
        <v>3.4435261707988982E-4</v>
      </c>
    </row>
    <row r="18" spans="2:5" s="46" customFormat="1" ht="15" customHeight="1" x14ac:dyDescent="0.2">
      <c r="B18" s="75" t="s">
        <v>738</v>
      </c>
      <c r="C18" s="45" t="s">
        <v>746</v>
      </c>
      <c r="D18" s="44">
        <v>2</v>
      </c>
      <c r="E18" s="43">
        <v>6.8870523415977963E-4</v>
      </c>
    </row>
    <row r="19" spans="2:5" s="46" customFormat="1" ht="15" customHeight="1" x14ac:dyDescent="0.2">
      <c r="B19" s="76"/>
      <c r="C19" s="45" t="s">
        <v>745</v>
      </c>
      <c r="D19" s="44">
        <v>15</v>
      </c>
      <c r="E19" s="43">
        <v>5.1652892561983473E-3</v>
      </c>
    </row>
    <row r="20" spans="2:5" ht="15" customHeight="1" x14ac:dyDescent="0.3">
      <c r="B20" s="76"/>
      <c r="C20" s="45" t="s">
        <v>744</v>
      </c>
      <c r="D20" s="44">
        <v>109</v>
      </c>
      <c r="E20" s="43">
        <v>3.7534435261707987E-2</v>
      </c>
    </row>
    <row r="21" spans="2:5" ht="15" customHeight="1" x14ac:dyDescent="0.3">
      <c r="B21" s="76"/>
      <c r="C21" s="45" t="s">
        <v>743</v>
      </c>
      <c r="D21" s="44">
        <v>424</v>
      </c>
      <c r="E21" s="43">
        <v>0.14600550964187328</v>
      </c>
    </row>
    <row r="22" spans="2:5" ht="15" customHeight="1" x14ac:dyDescent="0.3">
      <c r="B22" s="76"/>
      <c r="C22" s="45" t="s">
        <v>742</v>
      </c>
      <c r="D22" s="44">
        <v>284</v>
      </c>
      <c r="E22" s="43">
        <v>9.7796143250688708E-2</v>
      </c>
    </row>
    <row r="23" spans="2:5" ht="15" customHeight="1" x14ac:dyDescent="0.3">
      <c r="B23" s="76"/>
      <c r="C23" s="45" t="s">
        <v>741</v>
      </c>
      <c r="D23" s="44">
        <v>106</v>
      </c>
      <c r="E23" s="43">
        <v>3.6501377410468321E-2</v>
      </c>
    </row>
    <row r="24" spans="2:5" ht="15" customHeight="1" x14ac:dyDescent="0.3">
      <c r="B24" s="77"/>
      <c r="C24" s="45" t="s">
        <v>740</v>
      </c>
      <c r="D24" s="44">
        <v>9</v>
      </c>
      <c r="E24" s="43">
        <v>3.0991735537190084E-3</v>
      </c>
    </row>
    <row r="25" spans="2:5" ht="15" customHeight="1" x14ac:dyDescent="0.3">
      <c r="B25" s="81" t="s">
        <v>18</v>
      </c>
      <c r="C25" s="82"/>
      <c r="D25" s="39">
        <v>2904</v>
      </c>
      <c r="E25" s="38">
        <v>1</v>
      </c>
    </row>
    <row r="27" spans="2:5" ht="15" customHeight="1" x14ac:dyDescent="0.3">
      <c r="B27" s="19" t="s">
        <v>17</v>
      </c>
    </row>
    <row r="28" spans="2:5" ht="15" customHeight="1" x14ac:dyDescent="0.3">
      <c r="B28" s="21" t="s">
        <v>16</v>
      </c>
    </row>
    <row r="29" spans="2:5" ht="15" customHeight="1" x14ac:dyDescent="0.3">
      <c r="B29" s="20" t="s">
        <v>15</v>
      </c>
    </row>
    <row r="30" spans="2:5" ht="15" customHeight="1" x14ac:dyDescent="0.3">
      <c r="B30" s="19" t="s">
        <v>14</v>
      </c>
    </row>
    <row r="31" spans="2:5" ht="15" customHeight="1" x14ac:dyDescent="0.3">
      <c r="B31" s="19" t="s">
        <v>13</v>
      </c>
    </row>
    <row r="485" spans="2:2" s="37" customFormat="1" ht="15" customHeight="1" x14ac:dyDescent="0.3">
      <c r="B485" s="61"/>
    </row>
    <row r="486" spans="2:2" s="37" customFormat="1" ht="15" customHeight="1" x14ac:dyDescent="0.3">
      <c r="B486" s="62"/>
    </row>
    <row r="487" spans="2:2" s="37" customFormat="1" ht="15" customHeight="1" x14ac:dyDescent="0.3">
      <c r="B487" s="62"/>
    </row>
    <row r="488" spans="2:2" s="37" customFormat="1" ht="15" customHeight="1" x14ac:dyDescent="0.3">
      <c r="B488" s="61"/>
    </row>
    <row r="489" spans="2:2" s="37" customFormat="1" ht="15" customHeight="1" x14ac:dyDescent="0.3">
      <c r="B489" s="61"/>
    </row>
  </sheetData>
  <mergeCells count="4">
    <mergeCell ref="B7:E8"/>
    <mergeCell ref="B10:B17"/>
    <mergeCell ref="B18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5"/>
  <sheetViews>
    <sheetView showGridLines="0" tabSelected="1" topLeftCell="A5" zoomScaleNormal="100" zoomScaleSheetLayoutView="115" workbookViewId="0">
      <selection activeCell="G23" sqref="G23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767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766</v>
      </c>
      <c r="C11" s="31" t="s">
        <v>48</v>
      </c>
      <c r="D11" s="30" t="s">
        <v>47</v>
      </c>
    </row>
    <row r="12" spans="2:4" ht="15" customHeight="1" x14ac:dyDescent="0.3">
      <c r="B12" s="27" t="s">
        <v>765</v>
      </c>
      <c r="C12" s="26">
        <v>2219</v>
      </c>
      <c r="D12" s="25">
        <v>0.7641184573002755</v>
      </c>
    </row>
    <row r="13" spans="2:4" x14ac:dyDescent="0.3">
      <c r="B13" s="27" t="s">
        <v>764</v>
      </c>
      <c r="C13" s="26">
        <v>397</v>
      </c>
      <c r="D13" s="25">
        <v>0.13670798898071626</v>
      </c>
    </row>
    <row r="14" spans="2:4" s="28" customFormat="1" ht="15" x14ac:dyDescent="0.3">
      <c r="B14" s="27" t="s">
        <v>763</v>
      </c>
      <c r="C14" s="26">
        <v>85</v>
      </c>
      <c r="D14" s="25">
        <v>2.9269972451790634E-2</v>
      </c>
    </row>
    <row r="15" spans="2:4" s="28" customFormat="1" ht="15" x14ac:dyDescent="0.3">
      <c r="B15" s="27" t="s">
        <v>762</v>
      </c>
      <c r="C15" s="26">
        <v>62</v>
      </c>
      <c r="D15" s="25">
        <v>2.1349862258953169E-2</v>
      </c>
    </row>
    <row r="16" spans="2:4" x14ac:dyDescent="0.3">
      <c r="B16" s="27" t="s">
        <v>761</v>
      </c>
      <c r="C16" s="26">
        <v>50</v>
      </c>
      <c r="D16" s="25">
        <v>1.7217630853994491E-2</v>
      </c>
    </row>
    <row r="17" spans="2:4" x14ac:dyDescent="0.3">
      <c r="B17" s="27" t="s">
        <v>760</v>
      </c>
      <c r="C17" s="26">
        <v>25</v>
      </c>
      <c r="D17" s="25">
        <v>8.6088154269972454E-3</v>
      </c>
    </row>
    <row r="18" spans="2:4" x14ac:dyDescent="0.3">
      <c r="B18" s="27" t="s">
        <v>759</v>
      </c>
      <c r="C18" s="26">
        <v>17</v>
      </c>
      <c r="D18" s="25">
        <v>5.8539944903581269E-3</v>
      </c>
    </row>
    <row r="19" spans="2:4" x14ac:dyDescent="0.3">
      <c r="B19" s="27" t="s">
        <v>758</v>
      </c>
      <c r="C19" s="26">
        <v>12</v>
      </c>
      <c r="D19" s="25">
        <v>4.1322314049586778E-3</v>
      </c>
    </row>
    <row r="20" spans="2:4" x14ac:dyDescent="0.3">
      <c r="B20" s="27" t="s">
        <v>757</v>
      </c>
      <c r="C20" s="26">
        <v>9</v>
      </c>
      <c r="D20" s="25">
        <v>3.0991735537190084E-3</v>
      </c>
    </row>
    <row r="21" spans="2:4" x14ac:dyDescent="0.3">
      <c r="B21" s="27" t="s">
        <v>756</v>
      </c>
      <c r="C21" s="26">
        <v>8</v>
      </c>
      <c r="D21" s="25">
        <v>2.7548209366391185E-3</v>
      </c>
    </row>
    <row r="22" spans="2:4" x14ac:dyDescent="0.3">
      <c r="B22" s="27" t="s">
        <v>755</v>
      </c>
      <c r="C22" s="26">
        <v>6</v>
      </c>
      <c r="D22" s="25">
        <v>2.0661157024793389E-3</v>
      </c>
    </row>
    <row r="23" spans="2:4" x14ac:dyDescent="0.3">
      <c r="B23" s="27" t="s">
        <v>754</v>
      </c>
      <c r="C23" s="26">
        <v>5</v>
      </c>
      <c r="D23" s="25">
        <v>1.7217630853994491E-3</v>
      </c>
    </row>
    <row r="24" spans="2:4" x14ac:dyDescent="0.3">
      <c r="B24" s="27" t="s">
        <v>753</v>
      </c>
      <c r="C24" s="26">
        <v>3</v>
      </c>
      <c r="D24" s="25">
        <v>1.0330578512396695E-3</v>
      </c>
    </row>
    <row r="25" spans="2:4" x14ac:dyDescent="0.3">
      <c r="B25" s="27" t="s">
        <v>752</v>
      </c>
      <c r="C25" s="26">
        <v>2</v>
      </c>
      <c r="D25" s="25">
        <v>6.8870523415977963E-4</v>
      </c>
    </row>
    <row r="26" spans="2:4" x14ac:dyDescent="0.3">
      <c r="B26" s="27" t="s">
        <v>751</v>
      </c>
      <c r="C26" s="26">
        <v>2</v>
      </c>
      <c r="D26" s="25">
        <v>6.8870523415977963E-4</v>
      </c>
    </row>
    <row r="27" spans="2:4" x14ac:dyDescent="0.3">
      <c r="B27" s="27" t="s">
        <v>750</v>
      </c>
      <c r="C27" s="26">
        <v>1</v>
      </c>
      <c r="D27" s="25">
        <v>3.4435261707988982E-4</v>
      </c>
    </row>
    <row r="28" spans="2:4" x14ac:dyDescent="0.3">
      <c r="B28" s="27" t="s">
        <v>749</v>
      </c>
      <c r="C28" s="26">
        <v>1</v>
      </c>
      <c r="D28" s="25">
        <v>3.4435261707988982E-4</v>
      </c>
    </row>
    <row r="29" spans="2:4" x14ac:dyDescent="0.3">
      <c r="B29" s="24" t="s">
        <v>18</v>
      </c>
      <c r="C29" s="23">
        <v>2904</v>
      </c>
      <c r="D29" s="22">
        <v>1</v>
      </c>
    </row>
    <row r="31" spans="2:4" x14ac:dyDescent="0.3">
      <c r="B31" s="19" t="s">
        <v>17</v>
      </c>
    </row>
    <row r="32" spans="2:4" x14ac:dyDescent="0.3">
      <c r="B32" s="21" t="s">
        <v>16</v>
      </c>
    </row>
    <row r="33" spans="2:2" x14ac:dyDescent="0.3">
      <c r="B33" s="20" t="s">
        <v>15</v>
      </c>
    </row>
    <row r="34" spans="2:2" x14ac:dyDescent="0.3">
      <c r="B34" s="19" t="s">
        <v>14</v>
      </c>
    </row>
    <row r="35" spans="2:2" x14ac:dyDescent="0.3">
      <c r="B35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Connecticut_Edomexgral</vt:lpstr>
      <vt:lpstr>Connecticut_EDOMEX</vt:lpstr>
      <vt:lpstr>Connecticut_Educagral</vt:lpstr>
      <vt:lpstr>Connecticut_Eduedo</vt:lpstr>
      <vt:lpstr>Connecticut_gengral</vt:lpstr>
      <vt:lpstr>Connecticut_edomexgen</vt:lpstr>
      <vt:lpstr>Connecticut_edadgen</vt:lpstr>
      <vt:lpstr>Connecticut_ocupgral</vt:lpstr>
      <vt:lpstr>Connecticut_edadgen!Área_de_impresión</vt:lpstr>
      <vt:lpstr>Connecticut_EDOMEX!Área_de_impresión</vt:lpstr>
      <vt:lpstr>Connecticut_edomexgen!Área_de_impresión</vt:lpstr>
      <vt:lpstr>Connecticut_Eduedo!Área_de_impresión</vt:lpstr>
      <vt:lpstr>Connecticut_edadgen!Títulos_a_imprimir</vt:lpstr>
      <vt:lpstr>Connecticut_EDOMEX!Títulos_a_imprimir</vt:lpstr>
      <vt:lpstr>Connecticut_edomexgen!Títulos_a_imprimir</vt:lpstr>
      <vt:lpstr>Connecticut_Edomexgral!Títulos_a_imprimir</vt:lpstr>
      <vt:lpstr>Connecticut_Educagral!Títulos_a_imprimir</vt:lpstr>
      <vt:lpstr>Connecticut_Eduedo!Títulos_a_imprimir</vt:lpstr>
      <vt:lpstr>Connecticut_gengral!Títulos_a_imprimir</vt:lpstr>
      <vt:lpstr>Connecticut_ocupgral!Títulos_a_imprimir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2020-06-18T19:26:14Z</dcterms:created>
  <dcterms:modified xsi:type="dcterms:W3CDTF">2020-08-04T23:00:20Z</dcterms:modified>
</cp:coreProperties>
</file>