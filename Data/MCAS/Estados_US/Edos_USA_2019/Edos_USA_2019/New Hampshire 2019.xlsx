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álisisInfo2.7\Matrículas\Anual\Matrículas2019\Tablas_estadísticas 2019\USA\Finales_USA 4.8.20\"/>
    </mc:Choice>
  </mc:AlternateContent>
  <bookViews>
    <workbookView xWindow="0" yWindow="0" windowWidth="11880" windowHeight="7320" tabRatio="820" firstSheet="3" activeTab="8"/>
  </bookViews>
  <sheets>
    <sheet name="Índice" sheetId="10" r:id="rId1"/>
    <sheet name="New Hampshire_Edomexgral" sheetId="2" r:id="rId2"/>
    <sheet name="New Hampshire_EDOMEX" sheetId="14" r:id="rId3"/>
    <sheet name="New Hampshire_Educagral" sheetId="12" r:id="rId4"/>
    <sheet name="New Hampshire_Eduedo" sheetId="13" r:id="rId5"/>
    <sheet name="New Hampshire_gengral" sheetId="6" r:id="rId6"/>
    <sheet name="New Hampshire_edomexgen" sheetId="7" r:id="rId7"/>
    <sheet name="New Hampshire_edadgen" sheetId="8" r:id="rId8"/>
    <sheet name="New Hampshire_ocupgral" sheetId="9" r:id="rId9"/>
  </sheets>
  <definedNames>
    <definedName name="_xlnm._FilterDatabase" localSheetId="7" hidden="1">'New Hampshire_edadgen'!$B$9:$E$13</definedName>
    <definedName name="_xlnm._FilterDatabase" localSheetId="2" hidden="1">'New Hampshire_EDOMEX'!$B$9:$E$13</definedName>
    <definedName name="_xlnm._FilterDatabase" localSheetId="6" hidden="1">'New Hampshire_edomexgen'!$B$9:$E$12</definedName>
    <definedName name="_xlnm._FilterDatabase" localSheetId="1" hidden="1">'New Hampshire_Edomexgral'!$B$11:$D$12</definedName>
    <definedName name="_xlnm._FilterDatabase" localSheetId="3" hidden="1">'New Hampshire_Educagral'!$B$11:$D$12</definedName>
    <definedName name="_xlnm._FilterDatabase" localSheetId="4" hidden="1">'New Hampshire_Eduedo'!$B$9:$E$13</definedName>
    <definedName name="_xlnm._FilterDatabase" localSheetId="5" hidden="1">'New Hampshire_gengral'!$B$11:$D$12</definedName>
    <definedName name="_xlnm._FilterDatabase" localSheetId="8" hidden="1">'New Hampshire_ocupgral'!$B$11:$D$12</definedName>
    <definedName name="_xlnm.Print_Area" localSheetId="7">'New Hampshire_edadgen'!$A$1:$E$26</definedName>
    <definedName name="_xlnm.Print_Area" localSheetId="2">'New Hampshire_EDOMEX'!$A$1:$E$90</definedName>
    <definedName name="_xlnm.Print_Area" localSheetId="6">'New Hampshire_edomexgen'!$A$1:$E$68</definedName>
    <definedName name="_xlnm.Print_Area" localSheetId="4">'New Hampshire_Eduedo'!$A$1:$E$91</definedName>
    <definedName name="_xlnm.Print_Titles" localSheetId="7">'New Hampshire_edadgen'!$1:$9</definedName>
    <definedName name="_xlnm.Print_Titles" localSheetId="2">'New Hampshire_EDOMEX'!$1:$9</definedName>
    <definedName name="_xlnm.Print_Titles" localSheetId="6">'New Hampshire_edomexgen'!$1:$9</definedName>
    <definedName name="_xlnm.Print_Titles" localSheetId="1">'New Hampshire_Edomexgral'!$1:$11</definedName>
    <definedName name="_xlnm.Print_Titles" localSheetId="3">'New Hampshire_Educagral'!$1:$11</definedName>
    <definedName name="_xlnm.Print_Titles" localSheetId="4">'New Hampshire_Eduedo'!$1:$9</definedName>
    <definedName name="_xlnm.Print_Titles" localSheetId="5">'New Hampshire_gengral'!$1:$11</definedName>
    <definedName name="_xlnm.Print_Titles" localSheetId="8">'New Hampshire_ocupgral'!$1:$11</definedName>
  </definedNames>
  <calcPr calcId="152511"/>
</workbook>
</file>

<file path=xl/calcChain.xml><?xml version="1.0" encoding="utf-8"?>
<calcChain xmlns="http://schemas.openxmlformats.org/spreadsheetml/2006/main">
  <c r="D84" i="14" l="1"/>
  <c r="D62" i="7" l="1"/>
</calcChain>
</file>

<file path=xl/sharedStrings.xml><?xml version="1.0" encoding="utf-8"?>
<sst xmlns="http://schemas.openxmlformats.org/spreadsheetml/2006/main" count="405" uniqueCount="133">
  <si>
    <t>Abril de 2020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</si>
  <si>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</si>
  <si>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</si>
  <si>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</si>
  <si>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800,811</t>
  </si>
  <si>
    <t>Total</t>
  </si>
  <si>
    <t>Tamaulipas</t>
  </si>
  <si>
    <t>Sinaloa</t>
  </si>
  <si>
    <t>Oaxaca</t>
  </si>
  <si>
    <t>Coahuila</t>
  </si>
  <si>
    <t>Baja California Sur</t>
  </si>
  <si>
    <t>Baja California</t>
  </si>
  <si>
    <t>Michoacán</t>
  </si>
  <si>
    <t>Durango</t>
  </si>
  <si>
    <t>Aguascalientes</t>
  </si>
  <si>
    <t>San Luis Potosí</t>
  </si>
  <si>
    <t>Guanajuato</t>
  </si>
  <si>
    <t>Ciudad de México</t>
  </si>
  <si>
    <t>Puebla</t>
  </si>
  <si>
    <t>Estado de México</t>
  </si>
  <si>
    <t>Colima</t>
  </si>
  <si>
    <t>Zacatecas</t>
  </si>
  <si>
    <t>Veracruz</t>
  </si>
  <si>
    <t>Guerrero</t>
  </si>
  <si>
    <t>Jalisco</t>
  </si>
  <si>
    <t>Chiapas</t>
  </si>
  <si>
    <t>Querétaro</t>
  </si>
  <si>
    <t>Porcentaje de Matrículas</t>
  </si>
  <si>
    <t>Número de Matrículas</t>
  </si>
  <si>
    <t>Estado de Origen</t>
  </si>
  <si>
    <t>MATRÍCULAS CONSULARES DE ALTA SEGURIDAD EXPEDIDAS EN EL ESTADO DE NEW HAMPSHIRE EN EE.UU. POR ESTADO DE LA REPÚBLICA MEXICANA DURANTE EL 2019</t>
  </si>
  <si>
    <t>Sombrerete</t>
  </si>
  <si>
    <t>Soledad de Doblado</t>
  </si>
  <si>
    <t>San Andrés Tuxtla</t>
  </si>
  <si>
    <t>Altotonga</t>
  </si>
  <si>
    <t>Alto Lucero de Gutiérrez Barrios</t>
  </si>
  <si>
    <t>El Mante</t>
  </si>
  <si>
    <t>Guasave</t>
  </si>
  <si>
    <t>Ciudad Valles</t>
  </si>
  <si>
    <t>Landa de Matamoros</t>
  </si>
  <si>
    <t>Jalpan de Serra</t>
  </si>
  <si>
    <t>El Marqués</t>
  </si>
  <si>
    <t>Teziutlán</t>
  </si>
  <si>
    <t>Ixtacamaxtitlán</t>
  </si>
  <si>
    <t>Huehuetlán el Chico</t>
  </si>
  <si>
    <t>Huaquechula</t>
  </si>
  <si>
    <t>Ocotlán de Morelos</t>
  </si>
  <si>
    <t>Zitácuaro</t>
  </si>
  <si>
    <t>Maravatío</t>
  </si>
  <si>
    <t>Zapotiltic</t>
  </si>
  <si>
    <t>Zapopan</t>
  </si>
  <si>
    <t>Tomatlán</t>
  </si>
  <si>
    <t>Guadalajara</t>
  </si>
  <si>
    <t>Degollado</t>
  </si>
  <si>
    <t>Teloloapan</t>
  </si>
  <si>
    <t>Taxco de Alarcón</t>
  </si>
  <si>
    <t>Mártir de Cuilapan</t>
  </si>
  <si>
    <t>Malinaltepec</t>
  </si>
  <si>
    <t>Azoyú</t>
  </si>
  <si>
    <t>Ocampo</t>
  </si>
  <si>
    <t>Cortazar</t>
  </si>
  <si>
    <t>Apaseo el Alto</t>
  </si>
  <si>
    <t>Toluca</t>
  </si>
  <si>
    <t>Temoaya</t>
  </si>
  <si>
    <t>La Paz</t>
  </si>
  <si>
    <t>Coatepec Harinas</t>
  </si>
  <si>
    <t>Atlacomulco</t>
  </si>
  <si>
    <t>Vicente Guerrero</t>
  </si>
  <si>
    <t>Tlalpan</t>
  </si>
  <si>
    <t>Iztacalco</t>
  </si>
  <si>
    <t>Gustavo A. Madero</t>
  </si>
  <si>
    <t>Manzanillo</t>
  </si>
  <si>
    <t>San Pedro</t>
  </si>
  <si>
    <t>Tenejapa</t>
  </si>
  <si>
    <t>Tapachula</t>
  </si>
  <si>
    <t>San Cristóbal de las Casas</t>
  </si>
  <si>
    <t>Pijijiapan</t>
  </si>
  <si>
    <t>Las Margaritas</t>
  </si>
  <si>
    <t>Chamula</t>
  </si>
  <si>
    <t>Comondú</t>
  </si>
  <si>
    <t>Tijuana</t>
  </si>
  <si>
    <t>Municipio Origen</t>
  </si>
  <si>
    <t>Profesional Titulado</t>
  </si>
  <si>
    <t>Profesional pasante</t>
  </si>
  <si>
    <t>2° Año de profesional</t>
  </si>
  <si>
    <t>Preparatoria con certificado</t>
  </si>
  <si>
    <t>Preparatoria sin certificado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</si>
  <si>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</si>
  <si>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</si>
  <si>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</si>
  <si>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</si>
  <si>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</si>
  <si>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</si>
  <si>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</si>
  <si>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3° Primaria</t>
  </si>
  <si>
    <t>2° Primaria</t>
  </si>
  <si>
    <t>Nivel de Estudios</t>
  </si>
  <si>
    <t>TOTAL</t>
  </si>
  <si>
    <t>MUJER</t>
  </si>
  <si>
    <t>HOMBRE</t>
  </si>
  <si>
    <t>Género</t>
  </si>
  <si>
    <t>MATRÍCULAS CONSULARES DE ALTA SEGURIDAD EXPEDIDAS EN EE.UU A MEXICANOS EN EL ESTADO DE NEW HAMPSHIRE, POR GÉNERO 2019</t>
  </si>
  <si>
    <t>Mujer</t>
  </si>
  <si>
    <t>Hombre</t>
  </si>
  <si>
    <t>Entre 66 y 75 Años</t>
  </si>
  <si>
    <t>Entre 50 y 65 Años</t>
  </si>
  <si>
    <t>Entre 40 y 49 Años</t>
  </si>
  <si>
    <t>Entre 29 y 39 Años</t>
  </si>
  <si>
    <t>Entre 18 y 28 Años</t>
  </si>
  <si>
    <t>Edad cumplida</t>
  </si>
  <si>
    <t>Otro</t>
  </si>
  <si>
    <t>Estudiante</t>
  </si>
  <si>
    <t>Campesino(a)</t>
  </si>
  <si>
    <t>Obrero(a)</t>
  </si>
  <si>
    <t>Hogar</t>
  </si>
  <si>
    <t>Empleado(a)</t>
  </si>
  <si>
    <t>Ocupación</t>
  </si>
  <si>
    <t>MATRÍCULAS CONSULARES DE ALTA SEGURIDAD EXPEDIDAS EN EE.UU A MEXICANOS EN EL ESTADO DE  NEW HAMPSHIRE, POR PERFIL OCUPACIONAL 2019</t>
  </si>
  <si>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</si>
  <si>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</si>
  <si>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</si>
  <si>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</si>
  <si>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</si>
  <si>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</si>
  <si>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</si>
  <si>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</si>
  <si>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</si>
  <si>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</si>
  <si>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</si>
  <si>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</si>
  <si>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>Matrículas consulares expedidas a mexicanos  en el estado de New Hampshire   en el 2019</t>
  </si>
  <si>
    <t>MATRÍCULAS CONSULARES EXPEDIDAS EN EL ESTADO DE NEW HAMPSHIRE EN EE.UU. POR NIVEL DE EDUCACIÓN</t>
  </si>
  <si>
    <t>Profesional titulado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</si>
</sst>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b/>
      <sz val="9"/>
      <color indexed="9"/>
      <name val="Montserrat"/>
    </font>
    <font>
      <b/>
      <sz val="11"/>
      <name val="Arial Narrow"/>
      <family val="2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  <font>
      <b/>
      <sz val="12"/>
      <color theme="1"/>
      <name val="Montserrat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3" fillId="0" borderId="0"/>
    <xf numFmtId="0" fontId="22" fillId="0" borderId="0" applyNumberFormat="0" applyFill="0" applyBorder="0" applyAlignment="0" applyProtection="0"/>
  </cellStyleXfs>
  <cellXfs count="79">
    <xf numFmtId="0" fontId="0" fillId="0" borderId="0" xfId="0"/>
    <xf numFmtId="0" fontId="0" fillId="3" borderId="0" xfId="0" applyFont="1" applyFill="1"/>
    <xf numFmtId="3" fontId="0" fillId="3" borderId="0" xfId="0" applyNumberFormat="1" applyFont="1" applyFill="1"/>
    <xf numFmtId="0" fontId="4" fillId="3" borderId="0" xfId="0" applyFont="1" applyFill="1"/>
    <xf numFmtId="0" fontId="4" fillId="3" borderId="0" xfId="0" applyFont="1" applyFill="1" applyAlignment="1">
      <alignment vertical="top"/>
    </xf>
    <xf numFmtId="0" fontId="4" fillId="3" borderId="0" xfId="0" applyFont="1" applyFill="1" applyAlignment="1">
      <alignment vertical="center"/>
    </xf>
    <xf numFmtId="164" fontId="5" fillId="4" borderId="1" xfId="0" applyNumberFormat="1" applyFont="1" applyFill="1" applyBorder="1" applyAlignment="1">
      <alignment horizontal="right" vertical="top" wrapText="1"/>
    </xf>
    <xf numFmtId="3" fontId="5" fillId="4" borderId="1" xfId="0" applyNumberFormat="1" applyFont="1" applyFill="1" applyBorder="1" applyAlignment="1">
      <alignment horizontal="right" vertical="top" wrapText="1"/>
    </xf>
    <xf numFmtId="49" fontId="5" fillId="4" borderId="1" xfId="0" applyNumberFormat="1" applyFont="1" applyFill="1" applyBorder="1" applyAlignment="1">
      <alignment vertical="top" wrapText="1"/>
    </xf>
    <xf numFmtId="164" fontId="6" fillId="3" borderId="1" xfId="0" applyNumberFormat="1" applyFont="1" applyFill="1" applyBorder="1" applyAlignment="1">
      <alignment horizontal="right" vertical="top" wrapText="1"/>
    </xf>
    <xf numFmtId="3" fontId="6" fillId="3" borderId="1" xfId="0" applyNumberFormat="1" applyFont="1" applyFill="1" applyBorder="1" applyAlignment="1">
      <alignment horizontal="right" vertical="top" wrapText="1"/>
    </xf>
    <xf numFmtId="49" fontId="7" fillId="3" borderId="1" xfId="0" applyNumberFormat="1" applyFont="1" applyFill="1" applyBorder="1" applyAlignment="1">
      <alignment vertical="top" wrapText="1"/>
    </xf>
    <xf numFmtId="0" fontId="8" fillId="3" borderId="0" xfId="0" applyFont="1" applyFill="1"/>
    <xf numFmtId="0" fontId="9" fillId="0" borderId="0" xfId="0" applyFont="1"/>
    <xf numFmtId="0" fontId="5" fillId="2" borderId="2" xfId="0" applyFont="1" applyFill="1" applyBorder="1" applyAlignment="1">
      <alignment horizontal="center" vertical="center" wrapText="1"/>
    </xf>
    <xf numFmtId="1" fontId="5" fillId="2" borderId="2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3" fontId="9" fillId="0" borderId="0" xfId="0" applyNumberFormat="1" applyFont="1"/>
    <xf numFmtId="1" fontId="9" fillId="0" borderId="0" xfId="0" applyNumberFormat="1" applyFont="1"/>
    <xf numFmtId="0" fontId="12" fillId="3" borderId="0" xfId="0" applyFont="1" applyFill="1"/>
    <xf numFmtId="0" fontId="13" fillId="3" borderId="0" xfId="0" applyFont="1" applyFill="1"/>
    <xf numFmtId="0" fontId="14" fillId="0" borderId="0" xfId="0" applyFont="1" applyBorder="1"/>
    <xf numFmtId="0" fontId="14" fillId="0" borderId="0" xfId="0" applyFont="1" applyBorder="1" applyAlignment="1">
      <alignment vertical="top"/>
    </xf>
    <xf numFmtId="164" fontId="5" fillId="5" borderId="1" xfId="0" applyNumberFormat="1" applyFont="1" applyFill="1" applyBorder="1" applyAlignment="1">
      <alignment horizontal="right" vertical="center" wrapText="1"/>
    </xf>
    <xf numFmtId="3" fontId="5" fillId="5" borderId="1" xfId="0" applyNumberFormat="1" applyFont="1" applyFill="1" applyBorder="1" applyAlignment="1">
      <alignment horizontal="right" vertical="center" wrapText="1"/>
    </xf>
    <xf numFmtId="165" fontId="5" fillId="6" borderId="1" xfId="1" applyNumberFormat="1" applyFont="1" applyFill="1" applyBorder="1" applyAlignment="1">
      <alignment vertical="center" wrapText="1"/>
    </xf>
    <xf numFmtId="3" fontId="5" fillId="6" borderId="1" xfId="2" applyNumberFormat="1" applyFont="1" applyFill="1" applyBorder="1" applyAlignment="1">
      <alignment horizontal="right" vertical="center" wrapText="1"/>
    </xf>
    <xf numFmtId="49" fontId="5" fillId="6" borderId="1" xfId="2" applyNumberFormat="1" applyFont="1" applyFill="1" applyBorder="1" applyAlignment="1">
      <alignment vertical="center" wrapText="1"/>
    </xf>
    <xf numFmtId="164" fontId="15" fillId="3" borderId="1" xfId="2" applyNumberFormat="1" applyFont="1" applyFill="1" applyBorder="1" applyAlignment="1">
      <alignment horizontal="right" vertical="center" wrapText="1"/>
    </xf>
    <xf numFmtId="166" fontId="15" fillId="3" borderId="1" xfId="2" applyNumberFormat="1" applyFont="1" applyFill="1" applyBorder="1" applyAlignment="1">
      <alignment horizontal="right" vertical="center" wrapText="1"/>
    </xf>
    <xf numFmtId="49" fontId="15" fillId="3" borderId="1" xfId="2" applyNumberFormat="1" applyFont="1" applyFill="1" applyBorder="1" applyAlignment="1">
      <alignment vertical="center" wrapText="1"/>
    </xf>
    <xf numFmtId="0" fontId="16" fillId="3" borderId="0" xfId="0" applyFont="1" applyFill="1"/>
    <xf numFmtId="0" fontId="17" fillId="2" borderId="2" xfId="3" applyFont="1" applyFill="1" applyBorder="1" applyAlignment="1">
      <alignment horizontal="center" vertical="center" wrapText="1"/>
    </xf>
    <xf numFmtId="1" fontId="17" fillId="2" borderId="2" xfId="3" applyNumberFormat="1" applyFont="1" applyFill="1" applyBorder="1" applyAlignment="1">
      <alignment horizontal="center" vertical="center" wrapText="1"/>
    </xf>
    <xf numFmtId="0" fontId="5" fillId="2" borderId="2" xfId="3" applyFont="1" applyFill="1" applyBorder="1" applyAlignment="1">
      <alignment horizontal="center" vertical="center" wrapText="1"/>
    </xf>
    <xf numFmtId="0" fontId="9" fillId="3" borderId="0" xfId="0" applyFont="1" applyFill="1"/>
    <xf numFmtId="0" fontId="18" fillId="3" borderId="0" xfId="0" applyFont="1" applyFill="1" applyAlignment="1"/>
    <xf numFmtId="0" fontId="16" fillId="3" borderId="0" xfId="0" applyFont="1" applyFill="1" applyAlignment="1">
      <alignment vertical="center"/>
    </xf>
    <xf numFmtId="0" fontId="9" fillId="3" borderId="0" xfId="0" applyFont="1" applyFill="1" applyBorder="1"/>
    <xf numFmtId="3" fontId="9" fillId="3" borderId="0" xfId="0" applyNumberFormat="1" applyFont="1" applyFill="1" applyBorder="1"/>
    <xf numFmtId="1" fontId="9" fillId="3" borderId="0" xfId="0" applyNumberFormat="1" applyFont="1" applyFill="1" applyBorder="1"/>
    <xf numFmtId="0" fontId="16" fillId="3" borderId="0" xfId="0" applyFont="1" applyFill="1" applyBorder="1"/>
    <xf numFmtId="0" fontId="16" fillId="3" borderId="0" xfId="0" applyFont="1" applyFill="1" applyBorder="1" applyAlignment="1">
      <alignment vertical="center"/>
    </xf>
    <xf numFmtId="0" fontId="14" fillId="0" borderId="0" xfId="0" applyFont="1" applyAlignment="1">
      <alignment vertical="top"/>
    </xf>
    <xf numFmtId="0" fontId="14" fillId="0" borderId="0" xfId="0" applyFont="1" applyAlignment="1">
      <alignment horizontal="justify" vertical="center"/>
    </xf>
    <xf numFmtId="3" fontId="8" fillId="3" borderId="0" xfId="0" applyNumberFormat="1" applyFont="1" applyFill="1"/>
    <xf numFmtId="0" fontId="20" fillId="0" borderId="0" xfId="0" applyFont="1"/>
    <xf numFmtId="0" fontId="21" fillId="0" borderId="8" xfId="0" applyFont="1" applyBorder="1" applyAlignment="1">
      <alignment horizontal="left"/>
    </xf>
    <xf numFmtId="0" fontId="21" fillId="0" borderId="0" xfId="0" applyFont="1" applyBorder="1" applyAlignment="1">
      <alignment horizontal="left"/>
    </xf>
    <xf numFmtId="0" fontId="21" fillId="0" borderId="9" xfId="0" applyFont="1" applyBorder="1" applyAlignment="1">
      <alignment horizontal="left"/>
    </xf>
    <xf numFmtId="0" fontId="21" fillId="0" borderId="8" xfId="0" applyFont="1" applyBorder="1" applyAlignment="1"/>
    <xf numFmtId="0" fontId="21" fillId="0" borderId="0" xfId="0" applyFont="1" applyBorder="1" applyAlignment="1"/>
    <xf numFmtId="0" fontId="21" fillId="0" borderId="9" xfId="0" applyFont="1" applyBorder="1" applyAlignment="1"/>
    <xf numFmtId="0" fontId="21" fillId="0" borderId="10" xfId="0" applyFont="1" applyBorder="1"/>
    <xf numFmtId="0" fontId="21" fillId="0" borderId="11" xfId="0" applyFont="1" applyBorder="1"/>
    <xf numFmtId="0" fontId="21" fillId="0" borderId="12" xfId="0" applyFont="1" applyBorder="1"/>
    <xf numFmtId="0" fontId="22" fillId="0" borderId="0" xfId="4" quotePrefix="1"/>
    <xf numFmtId="0" fontId="24" fillId="0" borderId="8" xfId="0" applyFont="1" applyBorder="1" applyAlignment="1">
      <alignment horizontal="left"/>
    </xf>
    <xf numFmtId="0" fontId="24" fillId="0" borderId="0" xfId="0" applyFont="1" applyBorder="1" applyAlignment="1">
      <alignment horizontal="left"/>
    </xf>
    <xf numFmtId="0" fontId="24" fillId="0" borderId="9" xfId="0" applyFont="1" applyBorder="1" applyAlignment="1">
      <alignment horizontal="left"/>
    </xf>
    <xf numFmtId="3" fontId="5" fillId="4" borderId="1" xfId="0" applyNumberFormat="1" applyFont="1" applyFill="1" applyBorder="1" applyAlignment="1">
      <alignment horizontal="right" vertical="center" wrapText="1"/>
    </xf>
    <xf numFmtId="164" fontId="5" fillId="4" borderId="1" xfId="0" applyNumberFormat="1" applyFont="1" applyFill="1" applyBorder="1" applyAlignment="1">
      <alignment horizontal="right" vertical="center" wrapText="1"/>
    </xf>
    <xf numFmtId="0" fontId="23" fillId="0" borderId="0" xfId="4" applyFont="1" applyBorder="1" applyAlignment="1">
      <alignment horizontal="left"/>
    </xf>
    <xf numFmtId="0" fontId="23" fillId="0" borderId="9" xfId="4" applyFont="1" applyBorder="1" applyAlignment="1">
      <alignment horizontal="left"/>
    </xf>
    <xf numFmtId="0" fontId="23" fillId="0" borderId="8" xfId="4" applyFont="1" applyBorder="1" applyAlignment="1">
      <alignment horizontal="left"/>
    </xf>
    <xf numFmtId="0" fontId="19" fillId="2" borderId="0" xfId="0" applyFont="1" applyFill="1" applyAlignment="1">
      <alignment horizontal="center" wrapText="1"/>
    </xf>
    <xf numFmtId="0" fontId="21" fillId="0" borderId="8" xfId="0" applyFont="1" applyBorder="1" applyAlignment="1">
      <alignment horizontal="left"/>
    </xf>
    <xf numFmtId="0" fontId="21" fillId="0" borderId="0" xfId="0" applyFont="1" applyBorder="1" applyAlignment="1">
      <alignment horizontal="left"/>
    </xf>
    <xf numFmtId="0" fontId="21" fillId="0" borderId="9" xfId="0" applyFont="1" applyBorder="1" applyAlignment="1">
      <alignment horizontal="left"/>
    </xf>
    <xf numFmtId="0" fontId="11" fillId="0" borderId="0" xfId="0" applyFont="1" applyBorder="1" applyAlignment="1">
      <alignment horizontal="center" vertical="center" wrapText="1"/>
    </xf>
    <xf numFmtId="49" fontId="15" fillId="3" borderId="2" xfId="2" applyNumberFormat="1" applyFont="1" applyFill="1" applyBorder="1" applyAlignment="1">
      <alignment horizontal="center" vertical="center" wrapText="1"/>
    </xf>
    <xf numFmtId="49" fontId="15" fillId="3" borderId="6" xfId="2" applyNumberFormat="1" applyFont="1" applyFill="1" applyBorder="1" applyAlignment="1">
      <alignment horizontal="center" vertical="center" wrapText="1"/>
    </xf>
    <xf numFmtId="49" fontId="15" fillId="3" borderId="7" xfId="2" applyNumberFormat="1" applyFont="1" applyFill="1" applyBorder="1" applyAlignment="1">
      <alignment horizontal="center" vertical="center" wrapText="1"/>
    </xf>
    <xf numFmtId="49" fontId="5" fillId="4" borderId="5" xfId="0" applyNumberFormat="1" applyFont="1" applyFill="1" applyBorder="1" applyAlignment="1">
      <alignment horizontal="center" vertical="center" wrapText="1"/>
    </xf>
    <xf numFmtId="49" fontId="5" fillId="4" borderId="4" xfId="0" applyNumberFormat="1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wrapText="1"/>
    </xf>
    <xf numFmtId="49" fontId="5" fillId="5" borderId="5" xfId="0" applyNumberFormat="1" applyFont="1" applyFill="1" applyBorder="1" applyAlignment="1">
      <alignment horizontal="center" vertical="center" wrapText="1"/>
    </xf>
    <xf numFmtId="49" fontId="5" fillId="5" borderId="4" xfId="0" applyNumberFormat="1" applyFont="1" applyFill="1" applyBorder="1" applyAlignment="1">
      <alignment horizontal="center" vertical="center" wrapText="1"/>
    </xf>
  </cellXfs>
  <cellStyles count="5">
    <cellStyle name="Hipervínculo" xfId="4" builtinId="8"/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365817</xdr:colOff>
      <xdr:row>2</xdr:row>
      <xdr:rowOff>165056</xdr:rowOff>
    </xdr:from>
    <xdr:to>
      <xdr:col>3</xdr:col>
      <xdr:colOff>877914</xdr:colOff>
      <xdr:row>3</xdr:row>
      <xdr:rowOff>165057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693964" y="904644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HAMPSHIRE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171450</xdr:colOff>
      <xdr:row>7</xdr:row>
      <xdr:rowOff>133350</xdr:rowOff>
    </xdr:from>
    <xdr:to>
      <xdr:col>5</xdr:col>
      <xdr:colOff>64422</xdr:colOff>
      <xdr:row>8</xdr:row>
      <xdr:rowOff>122145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00575" y="165735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EL ESTADO DE NEW HAMPSHIRE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HAMPSHIRE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552450</xdr:colOff>
      <xdr:row>7</xdr:row>
      <xdr:rowOff>142875</xdr:rowOff>
    </xdr:from>
    <xdr:to>
      <xdr:col>4</xdr:col>
      <xdr:colOff>1064547</xdr:colOff>
      <xdr:row>7</xdr:row>
      <xdr:rowOff>333376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91125" y="188595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HAMPSHIRE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0</xdr:colOff>
      <xdr:row>8</xdr:row>
      <xdr:rowOff>0</xdr:rowOff>
    </xdr:from>
    <xdr:to>
      <xdr:col>4</xdr:col>
      <xdr:colOff>512097</xdr:colOff>
      <xdr:row>8</xdr:row>
      <xdr:rowOff>179295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019675" y="171450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 NEW HAMPSHIRE, POR NIVEL DE EDUCACIÓN Y ESTADO DE LA REPÚBLICA, DURANTE EL 2019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HAMPSHIRE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492672</xdr:colOff>
      <xdr:row>7</xdr:row>
      <xdr:rowOff>118241</xdr:rowOff>
    </xdr:from>
    <xdr:to>
      <xdr:col>4</xdr:col>
      <xdr:colOff>1004769</xdr:colOff>
      <xdr:row>7</xdr:row>
      <xdr:rowOff>308742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30362" y="1859017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HAMPSHIRE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342900</xdr:colOff>
      <xdr:row>7</xdr:row>
      <xdr:rowOff>38100</xdr:rowOff>
    </xdr:from>
    <xdr:to>
      <xdr:col>5</xdr:col>
      <xdr:colOff>235872</xdr:colOff>
      <xdr:row>8</xdr:row>
      <xdr:rowOff>26895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772025" y="156210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NEW HAMPSHIRE,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HAMPSHIRE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584638</xdr:colOff>
      <xdr:row>7</xdr:row>
      <xdr:rowOff>118241</xdr:rowOff>
    </xdr:from>
    <xdr:to>
      <xdr:col>4</xdr:col>
      <xdr:colOff>1096735</xdr:colOff>
      <xdr:row>7</xdr:row>
      <xdr:rowOff>297536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222328" y="1859017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NEW HAMPSHIRE,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HAMPSHIRE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518948</xdr:colOff>
      <xdr:row>7</xdr:row>
      <xdr:rowOff>170793</xdr:rowOff>
    </xdr:from>
    <xdr:to>
      <xdr:col>4</xdr:col>
      <xdr:colOff>1031045</xdr:colOff>
      <xdr:row>7</xdr:row>
      <xdr:rowOff>350088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56638" y="1911569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HAMPSHIRE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238125</xdr:colOff>
      <xdr:row>7</xdr:row>
      <xdr:rowOff>133350</xdr:rowOff>
    </xdr:from>
    <xdr:to>
      <xdr:col>5</xdr:col>
      <xdr:colOff>131097</xdr:colOff>
      <xdr:row>8</xdr:row>
      <xdr:rowOff>122145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67250" y="165735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showGridLines="0" view="pageBreakPreview" topLeftCell="A2" zoomScaleNormal="100" zoomScaleSheetLayoutView="100" workbookViewId="0">
      <selection activeCell="J18" sqref="J18"/>
    </sheetView>
  </sheetViews>
  <sheetFormatPr baseColWidth="10" defaultColWidth="11.44140625" defaultRowHeight="16.8" x14ac:dyDescent="0.4"/>
  <cols>
    <col min="1" max="1" width="5.109375" style="47" customWidth="1"/>
    <col min="2" max="2" width="20" style="47" customWidth="1"/>
    <col min="3" max="3" width="24.6640625" style="47" customWidth="1"/>
    <col min="4" max="4" width="28.88671875" style="47" customWidth="1"/>
    <col min="5" max="16384" width="11.44140625" style="47"/>
  </cols>
  <sheetData>
    <row r="1" spans="1:4" ht="42" customHeight="1" x14ac:dyDescent="0.4">
      <c r="A1" s="66" t="s">
        <v>130</v>
      </c>
      <c r="B1" s="66"/>
      <c r="C1" s="66"/>
      <c r="D1" s="66"/>
    </row>
    <row r="2" spans="1:4" ht="18" x14ac:dyDescent="0.4">
      <c r="A2" s="58"/>
      <c r="B2" s="59"/>
      <c r="C2" s="59"/>
      <c r="D2" s="60"/>
    </row>
    <row r="3" spans="1:4" x14ac:dyDescent="0.4">
      <c r="A3" s="67" t="s">
        <v>118</v>
      </c>
      <c r="B3" s="68"/>
      <c r="C3" s="68"/>
      <c r="D3" s="69"/>
    </row>
    <row r="4" spans="1:4" x14ac:dyDescent="0.4">
      <c r="A4" s="67"/>
      <c r="B4" s="68"/>
      <c r="C4" s="68"/>
      <c r="D4" s="69"/>
    </row>
    <row r="5" spans="1:4" ht="18" x14ac:dyDescent="0.4">
      <c r="A5" s="48"/>
      <c r="B5" s="49"/>
      <c r="C5" s="49"/>
      <c r="D5" s="50"/>
    </row>
    <row r="6" spans="1:4" ht="18" x14ac:dyDescent="0.4">
      <c r="A6" s="65" t="s">
        <v>119</v>
      </c>
      <c r="B6" s="63"/>
      <c r="C6" s="63"/>
      <c r="D6" s="64"/>
    </row>
    <row r="7" spans="1:4" ht="18" x14ac:dyDescent="0.4">
      <c r="A7" s="51"/>
      <c r="B7" s="52"/>
      <c r="C7" s="52"/>
      <c r="D7" s="53"/>
    </row>
    <row r="8" spans="1:4" ht="18" x14ac:dyDescent="0.4">
      <c r="A8" s="51" t="s">
        <v>120</v>
      </c>
      <c r="B8" s="52"/>
      <c r="C8" s="52"/>
      <c r="D8" s="53"/>
    </row>
    <row r="9" spans="1:4" ht="18" x14ac:dyDescent="0.4">
      <c r="A9" s="51"/>
      <c r="B9" s="63" t="s">
        <v>121</v>
      </c>
      <c r="C9" s="63"/>
      <c r="D9" s="64"/>
    </row>
    <row r="10" spans="1:4" ht="18" x14ac:dyDescent="0.4">
      <c r="A10" s="51" t="s">
        <v>122</v>
      </c>
      <c r="B10" s="52"/>
      <c r="C10" s="52"/>
      <c r="D10" s="53"/>
    </row>
    <row r="11" spans="1:4" ht="18" x14ac:dyDescent="0.4">
      <c r="A11" s="51"/>
      <c r="B11" s="63" t="s">
        <v>123</v>
      </c>
      <c r="C11" s="63"/>
      <c r="D11" s="64"/>
    </row>
    <row r="12" spans="1:4" ht="18" x14ac:dyDescent="0.4">
      <c r="A12" s="51"/>
      <c r="B12" s="63" t="s">
        <v>124</v>
      </c>
      <c r="C12" s="63"/>
      <c r="D12" s="64"/>
    </row>
    <row r="13" spans="1:4" ht="18" x14ac:dyDescent="0.4">
      <c r="A13" s="51"/>
      <c r="B13" s="52"/>
      <c r="C13" s="52"/>
      <c r="D13" s="53"/>
    </row>
    <row r="14" spans="1:4" ht="18" x14ac:dyDescent="0.4">
      <c r="A14" s="51" t="s">
        <v>125</v>
      </c>
      <c r="B14" s="52"/>
      <c r="C14" s="52"/>
      <c r="D14" s="53"/>
    </row>
    <row r="15" spans="1:4" ht="18" x14ac:dyDescent="0.4">
      <c r="A15" s="51"/>
      <c r="B15" s="63" t="s">
        <v>126</v>
      </c>
      <c r="C15" s="63"/>
      <c r="D15" s="64"/>
    </row>
    <row r="16" spans="1:4" ht="18" x14ac:dyDescent="0.4">
      <c r="A16" s="51"/>
      <c r="B16" s="63" t="s">
        <v>127</v>
      </c>
      <c r="C16" s="63"/>
      <c r="D16" s="64"/>
    </row>
    <row r="17" spans="1:4" ht="18" x14ac:dyDescent="0.4">
      <c r="A17" s="51"/>
      <c r="B17" s="52"/>
      <c r="C17" s="52"/>
      <c r="D17" s="53"/>
    </row>
    <row r="18" spans="1:4" ht="18" x14ac:dyDescent="0.4">
      <c r="A18" s="65" t="s">
        <v>128</v>
      </c>
      <c r="B18" s="63"/>
      <c r="C18" s="63"/>
      <c r="D18" s="64"/>
    </row>
    <row r="19" spans="1:4" ht="18" x14ac:dyDescent="0.4">
      <c r="A19" s="51"/>
      <c r="B19" s="52"/>
      <c r="C19" s="52"/>
      <c r="D19" s="53"/>
    </row>
    <row r="20" spans="1:4" ht="18" x14ac:dyDescent="0.4">
      <c r="A20" s="65" t="s">
        <v>129</v>
      </c>
      <c r="B20" s="63"/>
      <c r="C20" s="63"/>
      <c r="D20" s="64"/>
    </row>
    <row r="21" spans="1:4" ht="18.600000000000001" thickBot="1" x14ac:dyDescent="0.45">
      <c r="A21" s="54"/>
      <c r="B21" s="55"/>
      <c r="C21" s="55"/>
      <c r="D21" s="56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'New Hampshire_Edomexgral'!A1" display="1. Por Estados de la República Mexicana"/>
    <hyperlink ref="B9" location="Nebraska_EDOMEX!A1" display="2.1 Por estado de la República Mexicana y municipio de origen"/>
    <hyperlink ref="B11:D11" location="'New Hampshire_Educagral'!A1" display="3.1 Educación general"/>
    <hyperlink ref="B12:D12" location="'New Hampshire_Eduedo'!A1" display="3.2 Por Estado de la República Mexicana"/>
    <hyperlink ref="B15:D15" location="'New Hampshire_gengral'!A1" display="4.1 Género General"/>
    <hyperlink ref="B16:D16" location="'New Hampshire_edomexgen'!A1" display="4.2 Por Estados de la República Mexicana"/>
    <hyperlink ref="A18:D18" location="'New Hampshire_edadgen'!A1" display="5. Por estructura de Edad"/>
    <hyperlink ref="A20:D20" location="'New Hampshire_ocupgral'!A1" display="6. Por Ocupación"/>
    <hyperlink ref="B9:D9" location="'New Hampshire_EDOMEX'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B1:D39"/>
  <sheetViews>
    <sheetView showGridLines="0" topLeftCell="A20" zoomScaleNormal="100" zoomScaleSheetLayoutView="115" workbookViewId="0">
      <selection activeCell="D40" sqref="D40"/>
    </sheetView>
  </sheetViews>
  <sheetFormatPr baseColWidth="10" defaultColWidth="11.44140625" defaultRowHeight="14.4" x14ac:dyDescent="0.3"/>
  <cols>
    <col min="1" max="1" width="9.33203125" style="1" customWidth="1"/>
    <col min="2" max="2" width="21.6640625" style="1" customWidth="1"/>
    <col min="3" max="3" width="17.6640625" style="2" customWidth="1"/>
    <col min="4" max="4" width="17.6640625" style="1" customWidth="1"/>
    <col min="5" max="5" width="9.33203125" style="1" customWidth="1"/>
    <col min="6" max="6" width="5.6640625" style="1" customWidth="1"/>
    <col min="7" max="16384" width="11.44140625" style="1"/>
  </cols>
  <sheetData>
    <row r="1" spans="2:4" s="13" customFormat="1" ht="15" customHeight="1" x14ac:dyDescent="0.2">
      <c r="C1" s="19"/>
    </row>
    <row r="2" spans="2:4" s="13" customFormat="1" ht="15" customHeight="1" x14ac:dyDescent="0.2">
      <c r="C2" s="19"/>
    </row>
    <row r="3" spans="2:4" s="13" customFormat="1" ht="15" customHeight="1" x14ac:dyDescent="0.2">
      <c r="C3" s="19"/>
    </row>
    <row r="4" spans="2:4" s="13" customFormat="1" ht="30" customHeight="1" x14ac:dyDescent="0.2">
      <c r="C4" s="19"/>
      <c r="D4" s="18"/>
    </row>
    <row r="5" spans="2:4" s="13" customFormat="1" ht="15" customHeight="1" x14ac:dyDescent="0.2">
      <c r="C5" s="19"/>
      <c r="D5" s="18"/>
    </row>
    <row r="6" spans="2:4" s="13" customFormat="1" ht="15" customHeight="1" x14ac:dyDescent="0.2">
      <c r="C6" s="19"/>
      <c r="D6" s="18"/>
    </row>
    <row r="7" spans="2:4" s="13" customFormat="1" ht="15" customHeight="1" x14ac:dyDescent="0.2">
      <c r="B7" s="70" t="s">
        <v>30</v>
      </c>
      <c r="C7" s="70"/>
      <c r="D7" s="70"/>
    </row>
    <row r="8" spans="2:4" s="13" customFormat="1" ht="15" customHeight="1" x14ac:dyDescent="0.2">
      <c r="B8" s="70"/>
      <c r="C8" s="70"/>
      <c r="D8" s="70"/>
    </row>
    <row r="9" spans="2:4" s="13" customFormat="1" ht="33" customHeight="1" x14ac:dyDescent="0.2">
      <c r="B9" s="70"/>
      <c r="C9" s="70"/>
      <c r="D9" s="70"/>
    </row>
    <row r="10" spans="2:4" s="13" customFormat="1" ht="4.5" customHeight="1" x14ac:dyDescent="0.2">
      <c r="B10" s="17"/>
      <c r="C10" s="17"/>
      <c r="D10" s="17"/>
    </row>
    <row r="11" spans="2:4" s="13" customFormat="1" ht="33" customHeight="1" x14ac:dyDescent="0.2">
      <c r="B11" s="16" t="s">
        <v>29</v>
      </c>
      <c r="C11" s="15" t="s">
        <v>28</v>
      </c>
      <c r="D11" s="14" t="s">
        <v>27</v>
      </c>
    </row>
    <row r="12" spans="2:4" ht="15" customHeight="1" x14ac:dyDescent="0.3">
      <c r="B12" s="11" t="s">
        <v>26</v>
      </c>
      <c r="C12" s="10">
        <v>12</v>
      </c>
      <c r="D12" s="9">
        <v>0.1348314606741573</v>
      </c>
    </row>
    <row r="13" spans="2:4" x14ac:dyDescent="0.3">
      <c r="B13" s="11" t="s">
        <v>25</v>
      </c>
      <c r="C13" s="10">
        <v>10</v>
      </c>
      <c r="D13" s="9">
        <v>0.11235955056179775</v>
      </c>
    </row>
    <row r="14" spans="2:4" s="12" customFormat="1" ht="15" x14ac:dyDescent="0.3">
      <c r="B14" s="11" t="s">
        <v>24</v>
      </c>
      <c r="C14" s="10">
        <v>10</v>
      </c>
      <c r="D14" s="9">
        <v>0.11235955056179775</v>
      </c>
    </row>
    <row r="15" spans="2:4" s="12" customFormat="1" ht="15" x14ac:dyDescent="0.3">
      <c r="B15" s="11" t="s">
        <v>23</v>
      </c>
      <c r="C15" s="10">
        <v>8</v>
      </c>
      <c r="D15" s="9">
        <v>8.98876404494382E-2</v>
      </c>
    </row>
    <row r="16" spans="2:4" x14ac:dyDescent="0.3">
      <c r="B16" s="11" t="s">
        <v>22</v>
      </c>
      <c r="C16" s="10">
        <v>7</v>
      </c>
      <c r="D16" s="9">
        <v>7.8651685393258425E-2</v>
      </c>
    </row>
    <row r="17" spans="2:4" x14ac:dyDescent="0.3">
      <c r="B17" s="11" t="s">
        <v>21</v>
      </c>
      <c r="C17" s="10">
        <v>7</v>
      </c>
      <c r="D17" s="9">
        <v>7.8651685393258425E-2</v>
      </c>
    </row>
    <row r="18" spans="2:4" x14ac:dyDescent="0.3">
      <c r="B18" s="11" t="s">
        <v>20</v>
      </c>
      <c r="C18" s="10">
        <v>5</v>
      </c>
      <c r="D18" s="9">
        <v>5.6179775280898875E-2</v>
      </c>
    </row>
    <row r="19" spans="2:4" x14ac:dyDescent="0.3">
      <c r="B19" s="11" t="s">
        <v>19</v>
      </c>
      <c r="C19" s="10">
        <v>5</v>
      </c>
      <c r="D19" s="9">
        <v>5.6179775280898875E-2</v>
      </c>
    </row>
    <row r="20" spans="2:4" x14ac:dyDescent="0.3">
      <c r="B20" s="11" t="s">
        <v>18</v>
      </c>
      <c r="C20" s="10">
        <v>4</v>
      </c>
      <c r="D20" s="9">
        <v>4.49438202247191E-2</v>
      </c>
    </row>
    <row r="21" spans="2:4" x14ac:dyDescent="0.3">
      <c r="B21" s="11" t="s">
        <v>17</v>
      </c>
      <c r="C21" s="10">
        <v>3</v>
      </c>
      <c r="D21" s="9">
        <v>3.3707865168539325E-2</v>
      </c>
    </row>
    <row r="22" spans="2:4" x14ac:dyDescent="0.3">
      <c r="B22" s="11" t="s">
        <v>16</v>
      </c>
      <c r="C22" s="10">
        <v>3</v>
      </c>
      <c r="D22" s="9">
        <v>3.3707865168539325E-2</v>
      </c>
    </row>
    <row r="23" spans="2:4" x14ac:dyDescent="0.3">
      <c r="B23" s="11" t="s">
        <v>15</v>
      </c>
      <c r="C23" s="10">
        <v>3</v>
      </c>
      <c r="D23" s="9">
        <v>3.3707865168539325E-2</v>
      </c>
    </row>
    <row r="24" spans="2:4" x14ac:dyDescent="0.3">
      <c r="B24" s="11" t="s">
        <v>14</v>
      </c>
      <c r="C24" s="10">
        <v>2</v>
      </c>
      <c r="D24" s="9">
        <v>2.247191011235955E-2</v>
      </c>
    </row>
    <row r="25" spans="2:4" x14ac:dyDescent="0.3">
      <c r="B25" s="11" t="s">
        <v>13</v>
      </c>
      <c r="C25" s="10">
        <v>2</v>
      </c>
      <c r="D25" s="9">
        <v>2.247191011235955E-2</v>
      </c>
    </row>
    <row r="26" spans="2:4" x14ac:dyDescent="0.3">
      <c r="B26" s="11" t="s">
        <v>12</v>
      </c>
      <c r="C26" s="10">
        <v>2</v>
      </c>
      <c r="D26" s="9">
        <v>2.247191011235955E-2</v>
      </c>
    </row>
    <row r="27" spans="2:4" x14ac:dyDescent="0.3">
      <c r="B27" s="11" t="s">
        <v>11</v>
      </c>
      <c r="C27" s="10">
        <v>1</v>
      </c>
      <c r="D27" s="9">
        <v>1.1235955056179775E-2</v>
      </c>
    </row>
    <row r="28" spans="2:4" x14ac:dyDescent="0.3">
      <c r="B28" s="11" t="s">
        <v>10</v>
      </c>
      <c r="C28" s="10">
        <v>1</v>
      </c>
      <c r="D28" s="9">
        <v>1.1235955056179775E-2</v>
      </c>
    </row>
    <row r="29" spans="2:4" x14ac:dyDescent="0.3">
      <c r="B29" s="11" t="s">
        <v>9</v>
      </c>
      <c r="C29" s="10">
        <v>1</v>
      </c>
      <c r="D29" s="9">
        <v>1.1235955056179775E-2</v>
      </c>
    </row>
    <row r="30" spans="2:4" x14ac:dyDescent="0.3">
      <c r="B30" s="11" t="s">
        <v>8</v>
      </c>
      <c r="C30" s="10">
        <v>1</v>
      </c>
      <c r="D30" s="9">
        <v>1.1235955056179775E-2</v>
      </c>
    </row>
    <row r="31" spans="2:4" x14ac:dyDescent="0.3">
      <c r="B31" s="11" t="s">
        <v>7</v>
      </c>
      <c r="C31" s="10">
        <v>1</v>
      </c>
      <c r="D31" s="9">
        <v>1.1235955056179775E-2</v>
      </c>
    </row>
    <row r="32" spans="2:4" x14ac:dyDescent="0.3">
      <c r="B32" s="11" t="s">
        <v>6</v>
      </c>
      <c r="C32" s="10">
        <v>1</v>
      </c>
      <c r="D32" s="9">
        <v>1.1235955056179775E-2</v>
      </c>
    </row>
    <row r="33" spans="2:4" x14ac:dyDescent="0.3">
      <c r="B33" s="8" t="s">
        <v>5</v>
      </c>
      <c r="C33" s="7">
        <v>89</v>
      </c>
      <c r="D33" s="6">
        <v>1</v>
      </c>
    </row>
    <row r="35" spans="2:4" x14ac:dyDescent="0.3">
      <c r="B35" s="3" t="s">
        <v>4</v>
      </c>
    </row>
    <row r="36" spans="2:4" x14ac:dyDescent="0.3">
      <c r="B36" s="5" t="s">
        <v>3</v>
      </c>
    </row>
    <row r="37" spans="2:4" x14ac:dyDescent="0.3">
      <c r="B37" s="4" t="s">
        <v>2</v>
      </c>
    </row>
    <row r="38" spans="2:4" x14ac:dyDescent="0.3">
      <c r="B38" s="3" t="s">
        <v>1</v>
      </c>
    </row>
    <row r="39" spans="2:4" x14ac:dyDescent="0.3">
      <c r="B39" s="3" t="s">
        <v>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488"/>
  <sheetViews>
    <sheetView topLeftCell="A73" zoomScaleNormal="100" zoomScaleSheetLayoutView="100" workbookViewId="0">
      <selection activeCell="G8" sqref="G8"/>
    </sheetView>
  </sheetViews>
  <sheetFormatPr baseColWidth="10" defaultColWidth="35" defaultRowHeight="15" customHeight="1" x14ac:dyDescent="0.3"/>
  <cols>
    <col min="1" max="1" width="1" style="20" customWidth="1"/>
    <col min="2" max="2" width="22.88671875" style="21" customWidth="1"/>
    <col min="3" max="3" width="31.44140625" style="21" customWidth="1"/>
    <col min="4" max="4" width="14.33203125" style="21" customWidth="1"/>
    <col min="5" max="5" width="16.88671875" style="21" customWidth="1"/>
    <col min="6" max="16384" width="35" style="20"/>
  </cols>
  <sheetData>
    <row r="1" spans="1:5" s="39" customFormat="1" ht="12" customHeight="1" x14ac:dyDescent="0.2">
      <c r="B1" s="43"/>
      <c r="C1" s="42"/>
      <c r="D1" s="42"/>
      <c r="E1" s="42"/>
    </row>
    <row r="2" spans="1:5" s="39" customFormat="1" ht="15" customHeight="1" x14ac:dyDescent="0.2">
      <c r="C2" s="41"/>
    </row>
    <row r="3" spans="1:5" s="39" customFormat="1" ht="15" customHeight="1" x14ac:dyDescent="0.2">
      <c r="C3" s="41"/>
    </row>
    <row r="4" spans="1:5" s="39" customFormat="1" ht="30" customHeight="1" x14ac:dyDescent="0.2">
      <c r="C4" s="41"/>
      <c r="D4" s="40"/>
    </row>
    <row r="5" spans="1:5" s="39" customFormat="1" ht="15" customHeight="1" x14ac:dyDescent="0.2">
      <c r="C5" s="41"/>
      <c r="D5" s="40"/>
    </row>
    <row r="6" spans="1:5" s="36" customFormat="1" ht="24" customHeight="1" x14ac:dyDescent="0.2">
      <c r="B6" s="38"/>
      <c r="C6" s="32"/>
      <c r="D6" s="32"/>
      <c r="E6" s="32"/>
    </row>
    <row r="7" spans="1:5" s="36" customFormat="1" ht="26.25" customHeight="1" x14ac:dyDescent="0.25">
      <c r="A7" s="37"/>
      <c r="B7" s="76"/>
      <c r="C7" s="76"/>
      <c r="D7" s="76"/>
      <c r="E7" s="76"/>
    </row>
    <row r="8" spans="1:5" s="36" customFormat="1" ht="33" customHeight="1" x14ac:dyDescent="0.25">
      <c r="A8" s="37"/>
      <c r="B8" s="76"/>
      <c r="C8" s="76"/>
      <c r="D8" s="76"/>
      <c r="E8" s="76"/>
    </row>
    <row r="9" spans="1:5" s="13" customFormat="1" ht="40.5" customHeight="1" x14ac:dyDescent="0.2">
      <c r="B9" s="33" t="s">
        <v>29</v>
      </c>
      <c r="C9" s="35" t="s">
        <v>81</v>
      </c>
      <c r="D9" s="34" t="s">
        <v>28</v>
      </c>
      <c r="E9" s="33" t="s">
        <v>27</v>
      </c>
    </row>
    <row r="10" spans="1:5" ht="15" customHeight="1" x14ac:dyDescent="0.3">
      <c r="B10" s="71" t="s">
        <v>14</v>
      </c>
      <c r="C10" s="31" t="s">
        <v>14</v>
      </c>
      <c r="D10" s="30">
        <v>2</v>
      </c>
      <c r="E10" s="29">
        <v>2.247191011235955E-2</v>
      </c>
    </row>
    <row r="11" spans="1:5" ht="15" customHeight="1" x14ac:dyDescent="0.3">
      <c r="B11" s="72"/>
      <c r="C11" s="28" t="s">
        <v>5</v>
      </c>
      <c r="D11" s="27">
        <v>2</v>
      </c>
      <c r="E11" s="26">
        <v>2.247191011235955E-2</v>
      </c>
    </row>
    <row r="12" spans="1:5" ht="15" customHeight="1" x14ac:dyDescent="0.3">
      <c r="B12" s="71" t="s">
        <v>11</v>
      </c>
      <c r="C12" s="31" t="s">
        <v>80</v>
      </c>
      <c r="D12" s="30">
        <v>1</v>
      </c>
      <c r="E12" s="29">
        <v>1.1235955056179775E-2</v>
      </c>
    </row>
    <row r="13" spans="1:5" ht="15" customHeight="1" x14ac:dyDescent="0.3">
      <c r="B13" s="72"/>
      <c r="C13" s="28" t="s">
        <v>5</v>
      </c>
      <c r="D13" s="27">
        <v>1</v>
      </c>
      <c r="E13" s="26">
        <v>1.1235955056179775E-2</v>
      </c>
    </row>
    <row r="14" spans="1:5" ht="15" customHeight="1" x14ac:dyDescent="0.3">
      <c r="B14" s="71" t="s">
        <v>10</v>
      </c>
      <c r="C14" s="31" t="s">
        <v>79</v>
      </c>
      <c r="D14" s="30">
        <v>1</v>
      </c>
      <c r="E14" s="29">
        <v>1.1235955056179775E-2</v>
      </c>
    </row>
    <row r="15" spans="1:5" s="32" customFormat="1" ht="15" customHeight="1" x14ac:dyDescent="0.2">
      <c r="B15" s="72"/>
      <c r="C15" s="28" t="s">
        <v>5</v>
      </c>
      <c r="D15" s="27">
        <v>1</v>
      </c>
      <c r="E15" s="26">
        <v>1.1235955056179775E-2</v>
      </c>
    </row>
    <row r="16" spans="1:5" s="32" customFormat="1" ht="15" customHeight="1" x14ac:dyDescent="0.2">
      <c r="B16" s="71" t="s">
        <v>25</v>
      </c>
      <c r="C16" s="31" t="s">
        <v>78</v>
      </c>
      <c r="D16" s="30">
        <v>2</v>
      </c>
      <c r="E16" s="29">
        <v>2.247191011235955E-2</v>
      </c>
    </row>
    <row r="17" spans="2:5" s="32" customFormat="1" ht="15" customHeight="1" x14ac:dyDescent="0.2">
      <c r="B17" s="73"/>
      <c r="C17" s="31" t="s">
        <v>77</v>
      </c>
      <c r="D17" s="30">
        <v>2</v>
      </c>
      <c r="E17" s="29">
        <v>2.247191011235955E-2</v>
      </c>
    </row>
    <row r="18" spans="2:5" s="32" customFormat="1" ht="15" customHeight="1" x14ac:dyDescent="0.2">
      <c r="B18" s="73"/>
      <c r="C18" s="31" t="s">
        <v>76</v>
      </c>
      <c r="D18" s="30">
        <v>2</v>
      </c>
      <c r="E18" s="29">
        <v>2.247191011235955E-2</v>
      </c>
    </row>
    <row r="19" spans="2:5" s="32" customFormat="1" ht="15" customHeight="1" x14ac:dyDescent="0.2">
      <c r="B19" s="73"/>
      <c r="C19" s="31" t="s">
        <v>75</v>
      </c>
      <c r="D19" s="30">
        <v>2</v>
      </c>
      <c r="E19" s="29">
        <v>2.247191011235955E-2</v>
      </c>
    </row>
    <row r="20" spans="2:5" ht="15" customHeight="1" x14ac:dyDescent="0.3">
      <c r="B20" s="73"/>
      <c r="C20" s="31" t="s">
        <v>74</v>
      </c>
      <c r="D20" s="30">
        <v>1</v>
      </c>
      <c r="E20" s="29">
        <v>1.1235955056179775E-2</v>
      </c>
    </row>
    <row r="21" spans="2:5" ht="15" customHeight="1" x14ac:dyDescent="0.3">
      <c r="B21" s="73"/>
      <c r="C21" s="31" t="s">
        <v>73</v>
      </c>
      <c r="D21" s="30">
        <v>1</v>
      </c>
      <c r="E21" s="29">
        <v>1.1235955056179775E-2</v>
      </c>
    </row>
    <row r="22" spans="2:5" ht="15" customHeight="1" x14ac:dyDescent="0.3">
      <c r="B22" s="72"/>
      <c r="C22" s="28" t="s">
        <v>5</v>
      </c>
      <c r="D22" s="27">
        <v>10</v>
      </c>
      <c r="E22" s="26">
        <v>0.11235955056179775</v>
      </c>
    </row>
    <row r="23" spans="2:5" ht="15" customHeight="1" x14ac:dyDescent="0.3">
      <c r="B23" s="71" t="s">
        <v>9</v>
      </c>
      <c r="C23" s="31" t="s">
        <v>72</v>
      </c>
      <c r="D23" s="30">
        <v>1</v>
      </c>
      <c r="E23" s="29">
        <v>1.1235955056179775E-2</v>
      </c>
    </row>
    <row r="24" spans="2:5" ht="15" customHeight="1" x14ac:dyDescent="0.3">
      <c r="B24" s="72"/>
      <c r="C24" s="28" t="s">
        <v>5</v>
      </c>
      <c r="D24" s="27">
        <v>1</v>
      </c>
      <c r="E24" s="26">
        <v>1.1235955056179775E-2</v>
      </c>
    </row>
    <row r="25" spans="2:5" ht="15" customHeight="1" x14ac:dyDescent="0.3">
      <c r="B25" s="71" t="s">
        <v>20</v>
      </c>
      <c r="C25" s="31" t="s">
        <v>71</v>
      </c>
      <c r="D25" s="30">
        <v>5</v>
      </c>
      <c r="E25" s="29">
        <v>5.6179775280898875E-2</v>
      </c>
    </row>
    <row r="26" spans="2:5" ht="15" customHeight="1" x14ac:dyDescent="0.3">
      <c r="B26" s="72"/>
      <c r="C26" s="28" t="s">
        <v>5</v>
      </c>
      <c r="D26" s="27">
        <v>5</v>
      </c>
      <c r="E26" s="26">
        <v>5.6179775280898875E-2</v>
      </c>
    </row>
    <row r="27" spans="2:5" ht="15" customHeight="1" x14ac:dyDescent="0.3">
      <c r="B27" s="71" t="s">
        <v>17</v>
      </c>
      <c r="C27" s="31" t="s">
        <v>70</v>
      </c>
      <c r="D27" s="30">
        <v>1</v>
      </c>
      <c r="E27" s="29">
        <v>1.1235955056179775E-2</v>
      </c>
    </row>
    <row r="28" spans="2:5" ht="15" customHeight="1" x14ac:dyDescent="0.3">
      <c r="B28" s="73"/>
      <c r="C28" s="31" t="s">
        <v>69</v>
      </c>
      <c r="D28" s="30">
        <v>1</v>
      </c>
      <c r="E28" s="29">
        <v>1.1235955056179775E-2</v>
      </c>
    </row>
    <row r="29" spans="2:5" ht="15" customHeight="1" x14ac:dyDescent="0.3">
      <c r="B29" s="73"/>
      <c r="C29" s="31" t="s">
        <v>68</v>
      </c>
      <c r="D29" s="30">
        <v>1</v>
      </c>
      <c r="E29" s="29">
        <v>1.1235955056179775E-2</v>
      </c>
    </row>
    <row r="30" spans="2:5" ht="15" customHeight="1" x14ac:dyDescent="0.3">
      <c r="B30" s="72"/>
      <c r="C30" s="28" t="s">
        <v>5</v>
      </c>
      <c r="D30" s="27">
        <v>3</v>
      </c>
      <c r="E30" s="26">
        <v>3.3707865168539325E-2</v>
      </c>
    </row>
    <row r="31" spans="2:5" ht="15" customHeight="1" x14ac:dyDescent="0.3">
      <c r="B31" s="71" t="s">
        <v>13</v>
      </c>
      <c r="C31" s="31" t="s">
        <v>13</v>
      </c>
      <c r="D31" s="30">
        <v>1</v>
      </c>
      <c r="E31" s="29">
        <v>1.1235955056179775E-2</v>
      </c>
    </row>
    <row r="32" spans="2:5" ht="15" customHeight="1" x14ac:dyDescent="0.3">
      <c r="B32" s="73"/>
      <c r="C32" s="31" t="s">
        <v>67</v>
      </c>
      <c r="D32" s="30">
        <v>1</v>
      </c>
      <c r="E32" s="29">
        <v>1.1235955056179775E-2</v>
      </c>
    </row>
    <row r="33" spans="2:5" ht="15" customHeight="1" x14ac:dyDescent="0.3">
      <c r="B33" s="72"/>
      <c r="C33" s="28" t="s">
        <v>5</v>
      </c>
      <c r="D33" s="27">
        <v>2</v>
      </c>
      <c r="E33" s="26">
        <v>2.247191011235955E-2</v>
      </c>
    </row>
    <row r="34" spans="2:5" ht="15" customHeight="1" x14ac:dyDescent="0.3">
      <c r="B34" s="71" t="s">
        <v>19</v>
      </c>
      <c r="C34" s="31" t="s">
        <v>66</v>
      </c>
      <c r="D34" s="30">
        <v>1</v>
      </c>
      <c r="E34" s="29">
        <v>1.1235955056179775E-2</v>
      </c>
    </row>
    <row r="35" spans="2:5" ht="15" customHeight="1" x14ac:dyDescent="0.3">
      <c r="B35" s="73"/>
      <c r="C35" s="31" t="s">
        <v>65</v>
      </c>
      <c r="D35" s="30">
        <v>1</v>
      </c>
      <c r="E35" s="29">
        <v>1.1235955056179775E-2</v>
      </c>
    </row>
    <row r="36" spans="2:5" ht="15" customHeight="1" x14ac:dyDescent="0.3">
      <c r="B36" s="73"/>
      <c r="C36" s="31" t="s">
        <v>64</v>
      </c>
      <c r="D36" s="30">
        <v>1</v>
      </c>
      <c r="E36" s="29">
        <v>1.1235955056179775E-2</v>
      </c>
    </row>
    <row r="37" spans="2:5" ht="15" customHeight="1" x14ac:dyDescent="0.3">
      <c r="B37" s="73"/>
      <c r="C37" s="31" t="s">
        <v>63</v>
      </c>
      <c r="D37" s="30">
        <v>1</v>
      </c>
      <c r="E37" s="29">
        <v>1.1235955056179775E-2</v>
      </c>
    </row>
    <row r="38" spans="2:5" ht="15" customHeight="1" x14ac:dyDescent="0.3">
      <c r="B38" s="73"/>
      <c r="C38" s="31" t="s">
        <v>62</v>
      </c>
      <c r="D38" s="30">
        <v>1</v>
      </c>
      <c r="E38" s="29">
        <v>1.1235955056179775E-2</v>
      </c>
    </row>
    <row r="39" spans="2:5" ht="15" customHeight="1" x14ac:dyDescent="0.3">
      <c r="B39" s="72"/>
      <c r="C39" s="28" t="s">
        <v>5</v>
      </c>
      <c r="D39" s="27">
        <v>5</v>
      </c>
      <c r="E39" s="26">
        <v>5.6179775280898875E-2</v>
      </c>
    </row>
    <row r="40" spans="2:5" ht="15" customHeight="1" x14ac:dyDescent="0.3">
      <c r="B40" s="71" t="s">
        <v>16</v>
      </c>
      <c r="C40" s="31" t="s">
        <v>61</v>
      </c>
      <c r="D40" s="30">
        <v>1</v>
      </c>
      <c r="E40" s="29">
        <v>1.1235955056179775E-2</v>
      </c>
    </row>
    <row r="41" spans="2:5" ht="15" customHeight="1" x14ac:dyDescent="0.3">
      <c r="B41" s="73"/>
      <c r="C41" s="31" t="s">
        <v>60</v>
      </c>
      <c r="D41" s="30">
        <v>1</v>
      </c>
      <c r="E41" s="29">
        <v>1.1235955056179775E-2</v>
      </c>
    </row>
    <row r="42" spans="2:5" ht="15" customHeight="1" x14ac:dyDescent="0.3">
      <c r="B42" s="73"/>
      <c r="C42" s="31" t="s">
        <v>59</v>
      </c>
      <c r="D42" s="30">
        <v>1</v>
      </c>
      <c r="E42" s="29">
        <v>1.1235955056179775E-2</v>
      </c>
    </row>
    <row r="43" spans="2:5" ht="15" customHeight="1" x14ac:dyDescent="0.3">
      <c r="B43" s="72"/>
      <c r="C43" s="28" t="s">
        <v>5</v>
      </c>
      <c r="D43" s="27">
        <v>3</v>
      </c>
      <c r="E43" s="26">
        <v>3.3707865168539325E-2</v>
      </c>
    </row>
    <row r="44" spans="2:5" ht="15" customHeight="1" x14ac:dyDescent="0.3">
      <c r="B44" s="71" t="s">
        <v>23</v>
      </c>
      <c r="C44" s="31" t="s">
        <v>58</v>
      </c>
      <c r="D44" s="30">
        <v>1</v>
      </c>
      <c r="E44" s="29">
        <v>1.1235955056179775E-2</v>
      </c>
    </row>
    <row r="45" spans="2:5" ht="15" customHeight="1" x14ac:dyDescent="0.3">
      <c r="B45" s="73"/>
      <c r="C45" s="31" t="s">
        <v>57</v>
      </c>
      <c r="D45" s="30">
        <v>1</v>
      </c>
      <c r="E45" s="29">
        <v>1.1235955056179775E-2</v>
      </c>
    </row>
    <row r="46" spans="2:5" ht="15" customHeight="1" x14ac:dyDescent="0.3">
      <c r="B46" s="73"/>
      <c r="C46" s="31" t="s">
        <v>56</v>
      </c>
      <c r="D46" s="30">
        <v>4</v>
      </c>
      <c r="E46" s="29">
        <v>4.49438202247191E-2</v>
      </c>
    </row>
    <row r="47" spans="2:5" ht="15" customHeight="1" x14ac:dyDescent="0.3">
      <c r="B47" s="73"/>
      <c r="C47" s="31" t="s">
        <v>55</v>
      </c>
      <c r="D47" s="30">
        <v>1</v>
      </c>
      <c r="E47" s="29">
        <v>1.1235955056179775E-2</v>
      </c>
    </row>
    <row r="48" spans="2:5" ht="15" customHeight="1" x14ac:dyDescent="0.3">
      <c r="B48" s="73"/>
      <c r="C48" s="31" t="s">
        <v>54</v>
      </c>
      <c r="D48" s="30">
        <v>1</v>
      </c>
      <c r="E48" s="29">
        <v>1.1235955056179775E-2</v>
      </c>
    </row>
    <row r="49" spans="2:5" ht="15" customHeight="1" x14ac:dyDescent="0.3">
      <c r="B49" s="72"/>
      <c r="C49" s="28" t="s">
        <v>5</v>
      </c>
      <c r="D49" s="27">
        <v>8</v>
      </c>
      <c r="E49" s="26">
        <v>8.98876404494382E-2</v>
      </c>
    </row>
    <row r="50" spans="2:5" ht="15" customHeight="1" x14ac:dyDescent="0.3">
      <c r="B50" s="71" t="s">
        <v>24</v>
      </c>
      <c r="C50" s="31" t="s">
        <v>53</v>
      </c>
      <c r="D50" s="30">
        <v>1</v>
      </c>
      <c r="E50" s="29">
        <v>1.1235955056179775E-2</v>
      </c>
    </row>
    <row r="51" spans="2:5" ht="15" customHeight="1" x14ac:dyDescent="0.3">
      <c r="B51" s="73"/>
      <c r="C51" s="31" t="s">
        <v>52</v>
      </c>
      <c r="D51" s="30">
        <v>4</v>
      </c>
      <c r="E51" s="29">
        <v>4.49438202247191E-2</v>
      </c>
    </row>
    <row r="52" spans="2:5" ht="15" customHeight="1" x14ac:dyDescent="0.3">
      <c r="B52" s="73"/>
      <c r="C52" s="31" t="s">
        <v>51</v>
      </c>
      <c r="D52" s="30">
        <v>3</v>
      </c>
      <c r="E52" s="29">
        <v>3.3707865168539325E-2</v>
      </c>
    </row>
    <row r="53" spans="2:5" ht="15" customHeight="1" x14ac:dyDescent="0.3">
      <c r="B53" s="73"/>
      <c r="C53" s="31" t="s">
        <v>50</v>
      </c>
      <c r="D53" s="30">
        <v>1</v>
      </c>
      <c r="E53" s="29">
        <v>1.1235955056179775E-2</v>
      </c>
    </row>
    <row r="54" spans="2:5" ht="15" customHeight="1" x14ac:dyDescent="0.3">
      <c r="B54" s="73"/>
      <c r="C54" s="31" t="s">
        <v>49</v>
      </c>
      <c r="D54" s="30">
        <v>1</v>
      </c>
      <c r="E54" s="29">
        <v>1.1235955056179775E-2</v>
      </c>
    </row>
    <row r="55" spans="2:5" ht="15" customHeight="1" x14ac:dyDescent="0.3">
      <c r="B55" s="72"/>
      <c r="C55" s="28" t="s">
        <v>5</v>
      </c>
      <c r="D55" s="27">
        <v>10</v>
      </c>
      <c r="E55" s="26">
        <v>0.11235955056179775</v>
      </c>
    </row>
    <row r="56" spans="2:5" ht="15" customHeight="1" x14ac:dyDescent="0.3">
      <c r="B56" s="71" t="s">
        <v>12</v>
      </c>
      <c r="C56" s="31" t="s">
        <v>48</v>
      </c>
      <c r="D56" s="30">
        <v>1</v>
      </c>
      <c r="E56" s="29">
        <v>1.1235955056179775E-2</v>
      </c>
    </row>
    <row r="57" spans="2:5" ht="15" customHeight="1" x14ac:dyDescent="0.3">
      <c r="B57" s="73"/>
      <c r="C57" s="31" t="s">
        <v>47</v>
      </c>
      <c r="D57" s="30">
        <v>1</v>
      </c>
      <c r="E57" s="29">
        <v>1.1235955056179775E-2</v>
      </c>
    </row>
    <row r="58" spans="2:5" ht="15" customHeight="1" x14ac:dyDescent="0.3">
      <c r="B58" s="72"/>
      <c r="C58" s="28" t="s">
        <v>5</v>
      </c>
      <c r="D58" s="27">
        <v>2</v>
      </c>
      <c r="E58" s="26">
        <v>2.247191011235955E-2</v>
      </c>
    </row>
    <row r="59" spans="2:5" ht="15" customHeight="1" x14ac:dyDescent="0.3">
      <c r="B59" s="71" t="s">
        <v>8</v>
      </c>
      <c r="C59" s="31" t="s">
        <v>46</v>
      </c>
      <c r="D59" s="30">
        <v>1</v>
      </c>
      <c r="E59" s="29">
        <v>1.1235955056179775E-2</v>
      </c>
    </row>
    <row r="60" spans="2:5" ht="15" customHeight="1" x14ac:dyDescent="0.3">
      <c r="B60" s="72"/>
      <c r="C60" s="28" t="s">
        <v>5</v>
      </c>
      <c r="D60" s="27">
        <v>1</v>
      </c>
      <c r="E60" s="26">
        <v>1.1235955056179775E-2</v>
      </c>
    </row>
    <row r="61" spans="2:5" ht="15" customHeight="1" x14ac:dyDescent="0.3">
      <c r="B61" s="71" t="s">
        <v>18</v>
      </c>
      <c r="C61" s="31" t="s">
        <v>45</v>
      </c>
      <c r="D61" s="30">
        <v>1</v>
      </c>
      <c r="E61" s="29">
        <v>1.1235955056179775E-2</v>
      </c>
    </row>
    <row r="62" spans="2:5" ht="15" customHeight="1" x14ac:dyDescent="0.3">
      <c r="B62" s="73"/>
      <c r="C62" s="31" t="s">
        <v>44</v>
      </c>
      <c r="D62" s="30">
        <v>1</v>
      </c>
      <c r="E62" s="29">
        <v>1.1235955056179775E-2</v>
      </c>
    </row>
    <row r="63" spans="2:5" ht="15" customHeight="1" x14ac:dyDescent="0.3">
      <c r="B63" s="73"/>
      <c r="C63" s="31" t="s">
        <v>43</v>
      </c>
      <c r="D63" s="30">
        <v>1</v>
      </c>
      <c r="E63" s="29">
        <v>1.1235955056179775E-2</v>
      </c>
    </row>
    <row r="64" spans="2:5" ht="15" customHeight="1" x14ac:dyDescent="0.3">
      <c r="B64" s="73"/>
      <c r="C64" s="31" t="s">
        <v>42</v>
      </c>
      <c r="D64" s="30">
        <v>1</v>
      </c>
      <c r="E64" s="29">
        <v>1.1235955056179775E-2</v>
      </c>
    </row>
    <row r="65" spans="2:5" ht="15" customHeight="1" x14ac:dyDescent="0.3">
      <c r="B65" s="72"/>
      <c r="C65" s="28" t="s">
        <v>5</v>
      </c>
      <c r="D65" s="27">
        <v>4</v>
      </c>
      <c r="E65" s="26">
        <v>4.49438202247191E-2</v>
      </c>
    </row>
    <row r="66" spans="2:5" ht="15" customHeight="1" x14ac:dyDescent="0.3">
      <c r="B66" s="71" t="s">
        <v>26</v>
      </c>
      <c r="C66" s="31" t="s">
        <v>41</v>
      </c>
      <c r="D66" s="30">
        <v>1</v>
      </c>
      <c r="E66" s="29">
        <v>1.1235955056179775E-2</v>
      </c>
    </row>
    <row r="67" spans="2:5" ht="15" customHeight="1" x14ac:dyDescent="0.3">
      <c r="B67" s="73"/>
      <c r="C67" s="31" t="s">
        <v>40</v>
      </c>
      <c r="D67" s="30">
        <v>1</v>
      </c>
      <c r="E67" s="29">
        <v>1.1235955056179775E-2</v>
      </c>
    </row>
    <row r="68" spans="2:5" ht="15" customHeight="1" x14ac:dyDescent="0.3">
      <c r="B68" s="73"/>
      <c r="C68" s="31" t="s">
        <v>39</v>
      </c>
      <c r="D68" s="30">
        <v>3</v>
      </c>
      <c r="E68" s="29">
        <v>3.3707865168539325E-2</v>
      </c>
    </row>
    <row r="69" spans="2:5" ht="15" customHeight="1" x14ac:dyDescent="0.3">
      <c r="B69" s="73"/>
      <c r="C69" s="31" t="s">
        <v>26</v>
      </c>
      <c r="D69" s="30">
        <v>7</v>
      </c>
      <c r="E69" s="29">
        <v>7.8651685393258425E-2</v>
      </c>
    </row>
    <row r="70" spans="2:5" ht="15" customHeight="1" x14ac:dyDescent="0.3">
      <c r="B70" s="72"/>
      <c r="C70" s="28" t="s">
        <v>5</v>
      </c>
      <c r="D70" s="27">
        <v>12</v>
      </c>
      <c r="E70" s="26">
        <v>0.1348314606741573</v>
      </c>
    </row>
    <row r="71" spans="2:5" ht="15" customHeight="1" x14ac:dyDescent="0.3">
      <c r="B71" s="71" t="s">
        <v>15</v>
      </c>
      <c r="C71" s="31" t="s">
        <v>38</v>
      </c>
      <c r="D71" s="30">
        <v>3</v>
      </c>
      <c r="E71" s="29">
        <v>3.3707865168539325E-2</v>
      </c>
    </row>
    <row r="72" spans="2:5" ht="15" customHeight="1" x14ac:dyDescent="0.3">
      <c r="B72" s="72"/>
      <c r="C72" s="28" t="s">
        <v>5</v>
      </c>
      <c r="D72" s="27">
        <v>3</v>
      </c>
      <c r="E72" s="26">
        <v>3.3707865168539325E-2</v>
      </c>
    </row>
    <row r="73" spans="2:5" ht="15" customHeight="1" x14ac:dyDescent="0.3">
      <c r="B73" s="71" t="s">
        <v>7</v>
      </c>
      <c r="C73" s="31" t="s">
        <v>37</v>
      </c>
      <c r="D73" s="30">
        <v>1</v>
      </c>
      <c r="E73" s="29">
        <v>1.1235955056179775E-2</v>
      </c>
    </row>
    <row r="74" spans="2:5" ht="15" customHeight="1" x14ac:dyDescent="0.3">
      <c r="B74" s="72"/>
      <c r="C74" s="28" t="s">
        <v>5</v>
      </c>
      <c r="D74" s="27">
        <v>1</v>
      </c>
      <c r="E74" s="26">
        <v>1.1235955056179775E-2</v>
      </c>
    </row>
    <row r="75" spans="2:5" ht="15" customHeight="1" x14ac:dyDescent="0.3">
      <c r="B75" s="71" t="s">
        <v>6</v>
      </c>
      <c r="C75" s="31" t="s">
        <v>36</v>
      </c>
      <c r="D75" s="30">
        <v>1</v>
      </c>
      <c r="E75" s="29">
        <v>1.1235955056179775E-2</v>
      </c>
    </row>
    <row r="76" spans="2:5" ht="15" customHeight="1" x14ac:dyDescent="0.3">
      <c r="B76" s="72"/>
      <c r="C76" s="28" t="s">
        <v>5</v>
      </c>
      <c r="D76" s="27">
        <v>1</v>
      </c>
      <c r="E76" s="26">
        <v>1.1235955056179775E-2</v>
      </c>
    </row>
    <row r="77" spans="2:5" ht="15" customHeight="1" x14ac:dyDescent="0.3">
      <c r="B77" s="71" t="s">
        <v>22</v>
      </c>
      <c r="C77" s="31" t="s">
        <v>35</v>
      </c>
      <c r="D77" s="30">
        <v>1</v>
      </c>
      <c r="E77" s="29">
        <v>1.1235955056179775E-2</v>
      </c>
    </row>
    <row r="78" spans="2:5" ht="15" customHeight="1" x14ac:dyDescent="0.3">
      <c r="B78" s="73"/>
      <c r="C78" s="31" t="s">
        <v>34</v>
      </c>
      <c r="D78" s="30">
        <v>2</v>
      </c>
      <c r="E78" s="29">
        <v>2.247191011235955E-2</v>
      </c>
    </row>
    <row r="79" spans="2:5" ht="15" customHeight="1" x14ac:dyDescent="0.3">
      <c r="B79" s="73"/>
      <c r="C79" s="31" t="s">
        <v>33</v>
      </c>
      <c r="D79" s="30">
        <v>1</v>
      </c>
      <c r="E79" s="29">
        <v>1.1235955056179775E-2</v>
      </c>
    </row>
    <row r="80" spans="2:5" ht="15" customHeight="1" x14ac:dyDescent="0.3">
      <c r="B80" s="73"/>
      <c r="C80" s="31" t="s">
        <v>32</v>
      </c>
      <c r="D80" s="30">
        <v>3</v>
      </c>
      <c r="E80" s="29">
        <v>3.3707865168539325E-2</v>
      </c>
    </row>
    <row r="81" spans="2:5" ht="15" customHeight="1" x14ac:dyDescent="0.3">
      <c r="B81" s="72"/>
      <c r="C81" s="28" t="s">
        <v>5</v>
      </c>
      <c r="D81" s="27">
        <v>7</v>
      </c>
      <c r="E81" s="26">
        <v>7.8651685393258425E-2</v>
      </c>
    </row>
    <row r="82" spans="2:5" ht="15" customHeight="1" x14ac:dyDescent="0.3">
      <c r="B82" s="71" t="s">
        <v>21</v>
      </c>
      <c r="C82" s="31" t="s">
        <v>31</v>
      </c>
      <c r="D82" s="30">
        <v>7</v>
      </c>
      <c r="E82" s="29">
        <v>7.8651685393258425E-2</v>
      </c>
    </row>
    <row r="83" spans="2:5" ht="15" customHeight="1" x14ac:dyDescent="0.3">
      <c r="B83" s="72"/>
      <c r="C83" s="28" t="s">
        <v>5</v>
      </c>
      <c r="D83" s="27">
        <v>7</v>
      </c>
      <c r="E83" s="26">
        <v>7.8651685393258425E-2</v>
      </c>
    </row>
    <row r="84" spans="2:5" ht="15" customHeight="1" x14ac:dyDescent="0.3">
      <c r="B84" s="74" t="s">
        <v>5</v>
      </c>
      <c r="C84" s="75"/>
      <c r="D84" s="61">
        <f>SUMIF(C$10:C83,"Total",D$10:D83)</f>
        <v>89</v>
      </c>
      <c r="E84" s="62">
        <v>1</v>
      </c>
    </row>
    <row r="86" spans="2:5" ht="15" customHeight="1" x14ac:dyDescent="0.3">
      <c r="B86" s="3" t="s">
        <v>4</v>
      </c>
    </row>
    <row r="87" spans="2:5" ht="15" customHeight="1" x14ac:dyDescent="0.3">
      <c r="B87" s="5" t="s">
        <v>3</v>
      </c>
    </row>
    <row r="88" spans="2:5" ht="15" customHeight="1" x14ac:dyDescent="0.3">
      <c r="B88" s="4" t="s">
        <v>2</v>
      </c>
    </row>
    <row r="89" spans="2:5" ht="15" customHeight="1" x14ac:dyDescent="0.3">
      <c r="B89" s="3" t="s">
        <v>1</v>
      </c>
    </row>
    <row r="90" spans="2:5" ht="15" customHeight="1" x14ac:dyDescent="0.3">
      <c r="B90" s="3" t="s">
        <v>0</v>
      </c>
    </row>
    <row r="484" spans="1:2" s="21" customFormat="1" ht="15" customHeight="1" x14ac:dyDescent="0.3">
      <c r="A484" s="20"/>
      <c r="B484" s="22"/>
    </row>
    <row r="485" spans="1:2" s="21" customFormat="1" ht="15" customHeight="1" x14ac:dyDescent="0.3">
      <c r="A485" s="20"/>
      <c r="B485" s="23"/>
    </row>
    <row r="486" spans="1:2" s="21" customFormat="1" ht="15" customHeight="1" x14ac:dyDescent="0.3">
      <c r="A486" s="20"/>
      <c r="B486" s="23"/>
    </row>
    <row r="487" spans="1:2" s="21" customFormat="1" ht="15" customHeight="1" x14ac:dyDescent="0.3">
      <c r="A487" s="20"/>
      <c r="B487" s="22"/>
    </row>
    <row r="488" spans="1:2" s="21" customFormat="1" ht="15" customHeight="1" x14ac:dyDescent="0.3">
      <c r="A488" s="20"/>
      <c r="B488" s="22"/>
    </row>
  </sheetData>
  <mergeCells count="23">
    <mergeCell ref="B23:B24"/>
    <mergeCell ref="B7:E8"/>
    <mergeCell ref="B10:B11"/>
    <mergeCell ref="B12:B13"/>
    <mergeCell ref="B14:B15"/>
    <mergeCell ref="B16:B22"/>
    <mergeCell ref="B71:B72"/>
    <mergeCell ref="B25:B26"/>
    <mergeCell ref="B27:B30"/>
    <mergeCell ref="B31:B33"/>
    <mergeCell ref="B34:B39"/>
    <mergeCell ref="B40:B43"/>
    <mergeCell ref="B44:B49"/>
    <mergeCell ref="B50:B55"/>
    <mergeCell ref="B56:B58"/>
    <mergeCell ref="B59:B60"/>
    <mergeCell ref="B61:B65"/>
    <mergeCell ref="B66:B70"/>
    <mergeCell ref="B73:B74"/>
    <mergeCell ref="B75:B76"/>
    <mergeCell ref="B77:B81"/>
    <mergeCell ref="B82:B83"/>
    <mergeCell ref="B84:C84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" manualBreakCount="1">
    <brk id="49" max="4" man="1"/>
  </rowBreaks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D32"/>
  <sheetViews>
    <sheetView showGridLines="0" topLeftCell="A7" zoomScaleNormal="100" zoomScaleSheetLayoutView="115" workbookViewId="0"/>
  </sheetViews>
  <sheetFormatPr baseColWidth="10" defaultColWidth="11.44140625" defaultRowHeight="14.4" x14ac:dyDescent="0.3"/>
  <cols>
    <col min="1" max="1" width="9.33203125" style="1" customWidth="1"/>
    <col min="2" max="2" width="30.5546875" style="1" customWidth="1"/>
    <col min="3" max="3" width="17.6640625" style="2" customWidth="1"/>
    <col min="4" max="4" width="17.6640625" style="1" customWidth="1"/>
    <col min="5" max="5" width="9.33203125" style="1" customWidth="1"/>
    <col min="6" max="6" width="5.6640625" style="1" customWidth="1"/>
    <col min="7" max="16384" width="11.44140625" style="1"/>
  </cols>
  <sheetData>
    <row r="1" spans="2:4" s="13" customFormat="1" ht="15" customHeight="1" x14ac:dyDescent="0.2">
      <c r="C1" s="19"/>
    </row>
    <row r="2" spans="2:4" s="13" customFormat="1" ht="15" customHeight="1" x14ac:dyDescent="0.2">
      <c r="C2" s="19"/>
    </row>
    <row r="3" spans="2:4" s="13" customFormat="1" ht="15" customHeight="1" x14ac:dyDescent="0.2">
      <c r="C3" s="19"/>
    </row>
    <row r="4" spans="2:4" s="13" customFormat="1" ht="30" customHeight="1" x14ac:dyDescent="0.2">
      <c r="C4" s="19"/>
      <c r="D4" s="18"/>
    </row>
    <row r="5" spans="2:4" s="13" customFormat="1" ht="15" customHeight="1" x14ac:dyDescent="0.2">
      <c r="C5" s="19"/>
      <c r="D5" s="18"/>
    </row>
    <row r="6" spans="2:4" s="13" customFormat="1" ht="15" customHeight="1" x14ac:dyDescent="0.2">
      <c r="C6" s="19"/>
      <c r="D6" s="18"/>
    </row>
    <row r="7" spans="2:4" s="13" customFormat="1" ht="15" customHeight="1" x14ac:dyDescent="0.2">
      <c r="B7" s="70" t="s">
        <v>131</v>
      </c>
      <c r="C7" s="70"/>
      <c r="D7" s="70"/>
    </row>
    <row r="8" spans="2:4" s="13" customFormat="1" ht="15" customHeight="1" x14ac:dyDescent="0.2">
      <c r="B8" s="70"/>
      <c r="C8" s="70"/>
      <c r="D8" s="70"/>
    </row>
    <row r="9" spans="2:4" s="13" customFormat="1" ht="33" customHeight="1" x14ac:dyDescent="0.2">
      <c r="B9" s="70"/>
      <c r="C9" s="70"/>
      <c r="D9" s="70"/>
    </row>
    <row r="10" spans="2:4" s="13" customFormat="1" ht="4.5" customHeight="1" x14ac:dyDescent="0.2">
      <c r="B10" s="17"/>
      <c r="C10" s="17"/>
      <c r="D10" s="17"/>
    </row>
    <row r="11" spans="2:4" s="13" customFormat="1" ht="33" customHeight="1" x14ac:dyDescent="0.2">
      <c r="B11" s="16" t="s">
        <v>96</v>
      </c>
      <c r="C11" s="15" t="s">
        <v>28</v>
      </c>
      <c r="D11" s="14" t="s">
        <v>27</v>
      </c>
    </row>
    <row r="12" spans="2:4" ht="15" customHeight="1" x14ac:dyDescent="0.3">
      <c r="B12" s="11" t="s">
        <v>95</v>
      </c>
      <c r="C12" s="10">
        <v>1</v>
      </c>
      <c r="D12" s="9">
        <v>1.1235955056179775E-2</v>
      </c>
    </row>
    <row r="13" spans="2:4" x14ac:dyDescent="0.3">
      <c r="B13" s="11" t="s">
        <v>94</v>
      </c>
      <c r="C13" s="10">
        <v>1</v>
      </c>
      <c r="D13" s="9">
        <v>1.1235955056179775E-2</v>
      </c>
    </row>
    <row r="14" spans="2:4" s="12" customFormat="1" ht="15" x14ac:dyDescent="0.3">
      <c r="B14" s="11" t="s">
        <v>93</v>
      </c>
      <c r="C14" s="10">
        <v>1</v>
      </c>
      <c r="D14" s="9">
        <v>1.1235955056179775E-2</v>
      </c>
    </row>
    <row r="15" spans="2:4" s="12" customFormat="1" ht="15" x14ac:dyDescent="0.3">
      <c r="B15" s="11" t="s">
        <v>92</v>
      </c>
      <c r="C15" s="10">
        <v>7</v>
      </c>
      <c r="D15" s="9">
        <v>7.8651685393258425E-2</v>
      </c>
    </row>
    <row r="16" spans="2:4" x14ac:dyDescent="0.3">
      <c r="B16" s="11" t="s">
        <v>91</v>
      </c>
      <c r="C16" s="10">
        <v>15</v>
      </c>
      <c r="D16" s="9">
        <v>0.16853932584269662</v>
      </c>
    </row>
    <row r="17" spans="2:4" x14ac:dyDescent="0.3">
      <c r="B17" s="11" t="s">
        <v>90</v>
      </c>
      <c r="C17" s="10">
        <v>1</v>
      </c>
      <c r="D17" s="9">
        <v>1.1235955056179775E-2</v>
      </c>
    </row>
    <row r="18" spans="2:4" x14ac:dyDescent="0.3">
      <c r="B18" s="11" t="s">
        <v>89</v>
      </c>
      <c r="C18" s="10">
        <v>2</v>
      </c>
      <c r="D18" s="9">
        <v>2.247191011235955E-2</v>
      </c>
    </row>
    <row r="19" spans="2:4" x14ac:dyDescent="0.3">
      <c r="B19" s="11" t="s">
        <v>88</v>
      </c>
      <c r="C19" s="10">
        <v>4</v>
      </c>
      <c r="D19" s="9">
        <v>4.49438202247191E-2</v>
      </c>
    </row>
    <row r="20" spans="2:4" x14ac:dyDescent="0.3">
      <c r="B20" s="11" t="s">
        <v>87</v>
      </c>
      <c r="C20" s="10">
        <v>34</v>
      </c>
      <c r="D20" s="9">
        <v>0.38202247191011235</v>
      </c>
    </row>
    <row r="21" spans="2:4" x14ac:dyDescent="0.3">
      <c r="B21" s="11" t="s">
        <v>86</v>
      </c>
      <c r="C21" s="10">
        <v>3</v>
      </c>
      <c r="D21" s="9">
        <v>3.3707865168539325E-2</v>
      </c>
    </row>
    <row r="22" spans="2:4" x14ac:dyDescent="0.3">
      <c r="B22" s="11" t="s">
        <v>85</v>
      </c>
      <c r="C22" s="10">
        <v>16</v>
      </c>
      <c r="D22" s="9">
        <v>0.1797752808988764</v>
      </c>
    </row>
    <row r="23" spans="2:4" x14ac:dyDescent="0.3">
      <c r="B23" s="11" t="s">
        <v>84</v>
      </c>
      <c r="C23" s="10">
        <v>2</v>
      </c>
      <c r="D23" s="9">
        <v>2.247191011235955E-2</v>
      </c>
    </row>
    <row r="24" spans="2:4" x14ac:dyDescent="0.3">
      <c r="B24" s="11" t="s">
        <v>83</v>
      </c>
      <c r="C24" s="10">
        <v>1</v>
      </c>
      <c r="D24" s="9">
        <v>1.1235955056179775E-2</v>
      </c>
    </row>
    <row r="25" spans="2:4" x14ac:dyDescent="0.3">
      <c r="B25" s="11" t="s">
        <v>82</v>
      </c>
      <c r="C25" s="10">
        <v>1</v>
      </c>
      <c r="D25" s="9">
        <v>1.1235955056179775E-2</v>
      </c>
    </row>
    <row r="26" spans="2:4" x14ac:dyDescent="0.3">
      <c r="B26" s="8" t="s">
        <v>5</v>
      </c>
      <c r="C26" s="7">
        <v>89</v>
      </c>
      <c r="D26" s="6">
        <v>1</v>
      </c>
    </row>
    <row r="28" spans="2:4" x14ac:dyDescent="0.3">
      <c r="B28" s="3" t="s">
        <v>4</v>
      </c>
    </row>
    <row r="29" spans="2:4" x14ac:dyDescent="0.3">
      <c r="B29" s="5" t="s">
        <v>3</v>
      </c>
    </row>
    <row r="30" spans="2:4" x14ac:dyDescent="0.3">
      <c r="B30" s="4" t="s">
        <v>2</v>
      </c>
    </row>
    <row r="31" spans="2:4" x14ac:dyDescent="0.3">
      <c r="B31" s="3" t="s">
        <v>1</v>
      </c>
    </row>
    <row r="32" spans="2:4" x14ac:dyDescent="0.3">
      <c r="B32" s="3" t="s">
        <v>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91"/>
  <sheetViews>
    <sheetView topLeftCell="A80" zoomScale="120" zoomScaleNormal="120" zoomScaleSheetLayoutView="100" workbookViewId="0">
      <selection activeCell="C84" sqref="C84"/>
    </sheetView>
  </sheetViews>
  <sheetFormatPr baseColWidth="10" defaultColWidth="35" defaultRowHeight="15" customHeight="1" x14ac:dyDescent="0.3"/>
  <cols>
    <col min="1" max="1" width="1" style="20" customWidth="1"/>
    <col min="2" max="2" width="22.88671875" style="21" customWidth="1"/>
    <col min="3" max="3" width="31.44140625" style="21" customWidth="1"/>
    <col min="4" max="4" width="14.33203125" style="21" customWidth="1"/>
    <col min="5" max="5" width="16.88671875" style="21" customWidth="1"/>
    <col min="6" max="16384" width="35" style="20"/>
  </cols>
  <sheetData>
    <row r="1" spans="1:5" s="39" customFormat="1" ht="12" customHeight="1" x14ac:dyDescent="0.2">
      <c r="B1" s="43"/>
      <c r="C1" s="42"/>
      <c r="D1" s="42"/>
      <c r="E1" s="42"/>
    </row>
    <row r="2" spans="1:5" s="39" customFormat="1" ht="15" customHeight="1" x14ac:dyDescent="0.2">
      <c r="C2" s="41"/>
    </row>
    <row r="3" spans="1:5" s="39" customFormat="1" ht="15" customHeight="1" x14ac:dyDescent="0.2">
      <c r="C3" s="41"/>
    </row>
    <row r="4" spans="1:5" s="39" customFormat="1" ht="30" customHeight="1" x14ac:dyDescent="0.2">
      <c r="C4" s="41"/>
      <c r="D4" s="40"/>
    </row>
    <row r="5" spans="1:5" s="39" customFormat="1" ht="15" customHeight="1" x14ac:dyDescent="0.2">
      <c r="C5" s="41"/>
      <c r="D5" s="40"/>
    </row>
    <row r="6" spans="1:5" s="36" customFormat="1" ht="24" customHeight="1" x14ac:dyDescent="0.2">
      <c r="B6" s="38"/>
      <c r="C6" s="32"/>
      <c r="D6" s="32"/>
      <c r="E6" s="32"/>
    </row>
    <row r="7" spans="1:5" s="36" customFormat="1" ht="26.25" customHeight="1" x14ac:dyDescent="0.25">
      <c r="A7" s="37"/>
      <c r="B7" s="76"/>
      <c r="C7" s="76"/>
      <c r="D7" s="76"/>
      <c r="E7" s="76"/>
    </row>
    <row r="8" spans="1:5" s="36" customFormat="1" ht="33" customHeight="1" x14ac:dyDescent="0.25">
      <c r="A8" s="37"/>
      <c r="B8" s="76"/>
      <c r="C8" s="76"/>
      <c r="D8" s="76"/>
      <c r="E8" s="76"/>
    </row>
    <row r="9" spans="1:5" s="13" customFormat="1" ht="40.5" customHeight="1" x14ac:dyDescent="0.2">
      <c r="B9" s="33" t="s">
        <v>96</v>
      </c>
      <c r="C9" s="35" t="s">
        <v>29</v>
      </c>
      <c r="D9" s="34" t="s">
        <v>28</v>
      </c>
      <c r="E9" s="33" t="s">
        <v>27</v>
      </c>
    </row>
    <row r="10" spans="1:5" ht="15" customHeight="1" x14ac:dyDescent="0.3">
      <c r="B10" s="71" t="s">
        <v>95</v>
      </c>
      <c r="C10" s="31" t="s">
        <v>22</v>
      </c>
      <c r="D10" s="30">
        <v>1</v>
      </c>
      <c r="E10" s="29">
        <v>1.1235955056179775E-2</v>
      </c>
    </row>
    <row r="11" spans="1:5" ht="15" customHeight="1" x14ac:dyDescent="0.3">
      <c r="B11" s="72"/>
      <c r="C11" s="28" t="s">
        <v>5</v>
      </c>
      <c r="D11" s="27">
        <v>1</v>
      </c>
      <c r="E11" s="26">
        <v>1.1235955056179775E-2</v>
      </c>
    </row>
    <row r="12" spans="1:5" ht="15" customHeight="1" x14ac:dyDescent="0.3">
      <c r="B12" s="71" t="s">
        <v>94</v>
      </c>
      <c r="C12" s="31" t="s">
        <v>21</v>
      </c>
      <c r="D12" s="30">
        <v>1</v>
      </c>
      <c r="E12" s="29">
        <v>1.1235955056179775E-2</v>
      </c>
    </row>
    <row r="13" spans="1:5" ht="15" customHeight="1" x14ac:dyDescent="0.3">
      <c r="B13" s="72"/>
      <c r="C13" s="28" t="s">
        <v>5</v>
      </c>
      <c r="D13" s="27">
        <v>1</v>
      </c>
      <c r="E13" s="26">
        <v>1.1235955056179775E-2</v>
      </c>
    </row>
    <row r="14" spans="1:5" ht="15" customHeight="1" x14ac:dyDescent="0.3">
      <c r="B14" s="71" t="s">
        <v>93</v>
      </c>
      <c r="C14" s="31" t="s">
        <v>24</v>
      </c>
      <c r="D14" s="30">
        <v>1</v>
      </c>
      <c r="E14" s="29">
        <v>1.1235955056179775E-2</v>
      </c>
    </row>
    <row r="15" spans="1:5" s="32" customFormat="1" ht="15" customHeight="1" x14ac:dyDescent="0.3">
      <c r="A15" s="20"/>
      <c r="B15" s="72"/>
      <c r="C15" s="28" t="s">
        <v>5</v>
      </c>
      <c r="D15" s="27">
        <v>1</v>
      </c>
      <c r="E15" s="26">
        <v>1.1235955056179775E-2</v>
      </c>
    </row>
    <row r="16" spans="1:5" s="32" customFormat="1" ht="15" customHeight="1" x14ac:dyDescent="0.3">
      <c r="A16" s="20"/>
      <c r="B16" s="71" t="s">
        <v>92</v>
      </c>
      <c r="C16" s="31" t="s">
        <v>16</v>
      </c>
      <c r="D16" s="30">
        <v>1</v>
      </c>
      <c r="E16" s="29">
        <v>1.1235955056179775E-2</v>
      </c>
    </row>
    <row r="17" spans="1:5" s="32" customFormat="1" ht="15" customHeight="1" x14ac:dyDescent="0.3">
      <c r="A17" s="20"/>
      <c r="B17" s="73"/>
      <c r="C17" s="31" t="s">
        <v>24</v>
      </c>
      <c r="D17" s="30">
        <v>1</v>
      </c>
      <c r="E17" s="29">
        <v>1.1235955056179775E-2</v>
      </c>
    </row>
    <row r="18" spans="1:5" s="32" customFormat="1" ht="15" customHeight="1" x14ac:dyDescent="0.3">
      <c r="A18" s="20"/>
      <c r="B18" s="73"/>
      <c r="C18" s="31" t="s">
        <v>18</v>
      </c>
      <c r="D18" s="30">
        <v>1</v>
      </c>
      <c r="E18" s="29">
        <v>1.1235955056179775E-2</v>
      </c>
    </row>
    <row r="19" spans="1:5" s="32" customFormat="1" ht="15" customHeight="1" x14ac:dyDescent="0.3">
      <c r="A19" s="20"/>
      <c r="B19" s="73"/>
      <c r="C19" s="31" t="s">
        <v>26</v>
      </c>
      <c r="D19" s="30">
        <v>1</v>
      </c>
      <c r="E19" s="29">
        <v>1.1235955056179775E-2</v>
      </c>
    </row>
    <row r="20" spans="1:5" ht="15" customHeight="1" x14ac:dyDescent="0.3">
      <c r="B20" s="73"/>
      <c r="C20" s="31" t="s">
        <v>7</v>
      </c>
      <c r="D20" s="30">
        <v>1</v>
      </c>
      <c r="E20" s="29">
        <v>1.1235955056179775E-2</v>
      </c>
    </row>
    <row r="21" spans="1:5" ht="15" customHeight="1" x14ac:dyDescent="0.3">
      <c r="B21" s="73"/>
      <c r="C21" s="31" t="s">
        <v>22</v>
      </c>
      <c r="D21" s="30">
        <v>1</v>
      </c>
      <c r="E21" s="29">
        <v>1.1235955056179775E-2</v>
      </c>
    </row>
    <row r="22" spans="1:5" ht="15" customHeight="1" x14ac:dyDescent="0.3">
      <c r="B22" s="73"/>
      <c r="C22" s="31" t="s">
        <v>21</v>
      </c>
      <c r="D22" s="30">
        <v>1</v>
      </c>
      <c r="E22" s="29">
        <v>1.1235955056179775E-2</v>
      </c>
    </row>
    <row r="23" spans="1:5" ht="15" customHeight="1" x14ac:dyDescent="0.3">
      <c r="B23" s="72"/>
      <c r="C23" s="28" t="s">
        <v>5</v>
      </c>
      <c r="D23" s="27">
        <v>7</v>
      </c>
      <c r="E23" s="26">
        <v>7.8651685393258425E-2</v>
      </c>
    </row>
    <row r="24" spans="1:5" ht="15" customHeight="1" x14ac:dyDescent="0.3">
      <c r="B24" s="71" t="s">
        <v>91</v>
      </c>
      <c r="C24" s="31" t="s">
        <v>25</v>
      </c>
      <c r="D24" s="30">
        <v>3</v>
      </c>
      <c r="E24" s="29">
        <v>3.3707865168539325E-2</v>
      </c>
    </row>
    <row r="25" spans="1:5" ht="15" customHeight="1" x14ac:dyDescent="0.3">
      <c r="B25" s="73"/>
      <c r="C25" s="31" t="s">
        <v>20</v>
      </c>
      <c r="D25" s="30">
        <v>1</v>
      </c>
      <c r="E25" s="29">
        <v>1.1235955056179775E-2</v>
      </c>
    </row>
    <row r="26" spans="1:5" ht="15" customHeight="1" x14ac:dyDescent="0.3">
      <c r="B26" s="73"/>
      <c r="C26" s="31" t="s">
        <v>19</v>
      </c>
      <c r="D26" s="30">
        <v>1</v>
      </c>
      <c r="E26" s="29">
        <v>1.1235955056179775E-2</v>
      </c>
    </row>
    <row r="27" spans="1:5" ht="15" customHeight="1" x14ac:dyDescent="0.3">
      <c r="B27" s="73"/>
      <c r="C27" s="31" t="s">
        <v>23</v>
      </c>
      <c r="D27" s="30">
        <v>2</v>
      </c>
      <c r="E27" s="29">
        <v>2.247191011235955E-2</v>
      </c>
    </row>
    <row r="28" spans="1:5" ht="15" customHeight="1" x14ac:dyDescent="0.3">
      <c r="B28" s="73"/>
      <c r="C28" s="31" t="s">
        <v>24</v>
      </c>
      <c r="D28" s="30">
        <v>1</v>
      </c>
      <c r="E28" s="29">
        <v>1.1235955056179775E-2</v>
      </c>
    </row>
    <row r="29" spans="1:5" ht="15" customHeight="1" x14ac:dyDescent="0.3">
      <c r="B29" s="73"/>
      <c r="C29" s="31" t="s">
        <v>26</v>
      </c>
      <c r="D29" s="30">
        <v>2</v>
      </c>
      <c r="E29" s="29">
        <v>2.247191011235955E-2</v>
      </c>
    </row>
    <row r="30" spans="1:5" ht="15" customHeight="1" x14ac:dyDescent="0.3">
      <c r="B30" s="73"/>
      <c r="C30" s="31" t="s">
        <v>22</v>
      </c>
      <c r="D30" s="30">
        <v>2</v>
      </c>
      <c r="E30" s="29">
        <v>2.247191011235955E-2</v>
      </c>
    </row>
    <row r="31" spans="1:5" ht="15" customHeight="1" x14ac:dyDescent="0.3">
      <c r="B31" s="73"/>
      <c r="C31" s="31" t="s">
        <v>21</v>
      </c>
      <c r="D31" s="30">
        <v>3</v>
      </c>
      <c r="E31" s="29">
        <v>3.3707865168539325E-2</v>
      </c>
    </row>
    <row r="32" spans="1:5" ht="15" customHeight="1" x14ac:dyDescent="0.3">
      <c r="B32" s="72"/>
      <c r="C32" s="28" t="s">
        <v>5</v>
      </c>
      <c r="D32" s="27">
        <v>15</v>
      </c>
      <c r="E32" s="26">
        <v>0.16853932584269662</v>
      </c>
    </row>
    <row r="33" spans="2:5" ht="15" customHeight="1" x14ac:dyDescent="0.3">
      <c r="B33" s="71" t="s">
        <v>90</v>
      </c>
      <c r="C33" s="31" t="s">
        <v>26</v>
      </c>
      <c r="D33" s="30">
        <v>1</v>
      </c>
      <c r="E33" s="29">
        <v>1.1235955056179775E-2</v>
      </c>
    </row>
    <row r="34" spans="2:5" ht="15" customHeight="1" x14ac:dyDescent="0.3">
      <c r="B34" s="72"/>
      <c r="C34" s="28" t="s">
        <v>5</v>
      </c>
      <c r="D34" s="27">
        <v>1</v>
      </c>
      <c r="E34" s="26">
        <v>1.1235955056179775E-2</v>
      </c>
    </row>
    <row r="35" spans="2:5" ht="15" customHeight="1" x14ac:dyDescent="0.3">
      <c r="B35" s="71" t="s">
        <v>89</v>
      </c>
      <c r="C35" s="31" t="s">
        <v>25</v>
      </c>
      <c r="D35" s="30">
        <v>1</v>
      </c>
      <c r="E35" s="29">
        <v>1.1235955056179775E-2</v>
      </c>
    </row>
    <row r="36" spans="2:5" ht="15" customHeight="1" x14ac:dyDescent="0.3">
      <c r="B36" s="73"/>
      <c r="C36" s="31" t="s">
        <v>22</v>
      </c>
      <c r="D36" s="30">
        <v>1</v>
      </c>
      <c r="E36" s="29">
        <v>1.1235955056179775E-2</v>
      </c>
    </row>
    <row r="37" spans="2:5" ht="15" customHeight="1" x14ac:dyDescent="0.3">
      <c r="B37" s="72"/>
      <c r="C37" s="28" t="s">
        <v>5</v>
      </c>
      <c r="D37" s="27">
        <v>2</v>
      </c>
      <c r="E37" s="26">
        <v>2.247191011235955E-2</v>
      </c>
    </row>
    <row r="38" spans="2:5" ht="15" customHeight="1" x14ac:dyDescent="0.3">
      <c r="B38" s="71" t="s">
        <v>88</v>
      </c>
      <c r="C38" s="31" t="s">
        <v>13</v>
      </c>
      <c r="D38" s="30">
        <v>1</v>
      </c>
      <c r="E38" s="29">
        <v>1.1235955056179775E-2</v>
      </c>
    </row>
    <row r="39" spans="2:5" ht="15" customHeight="1" x14ac:dyDescent="0.3">
      <c r="B39" s="73"/>
      <c r="C39" s="31" t="s">
        <v>19</v>
      </c>
      <c r="D39" s="30">
        <v>1</v>
      </c>
      <c r="E39" s="29">
        <v>1.1235955056179775E-2</v>
      </c>
    </row>
    <row r="40" spans="2:5" ht="15" customHeight="1" x14ac:dyDescent="0.3">
      <c r="B40" s="73"/>
      <c r="C40" s="31" t="s">
        <v>16</v>
      </c>
      <c r="D40" s="30">
        <v>1</v>
      </c>
      <c r="E40" s="29">
        <v>1.1235955056179775E-2</v>
      </c>
    </row>
    <row r="41" spans="2:5" ht="15" customHeight="1" x14ac:dyDescent="0.3">
      <c r="B41" s="73"/>
      <c r="C41" s="31" t="s">
        <v>26</v>
      </c>
      <c r="D41" s="30">
        <v>1</v>
      </c>
      <c r="E41" s="29">
        <v>1.1235955056179775E-2</v>
      </c>
    </row>
    <row r="42" spans="2:5" ht="15" customHeight="1" x14ac:dyDescent="0.3">
      <c r="B42" s="72"/>
      <c r="C42" s="28" t="s">
        <v>5</v>
      </c>
      <c r="D42" s="27">
        <v>4</v>
      </c>
      <c r="E42" s="26">
        <v>4.49438202247191E-2</v>
      </c>
    </row>
    <row r="43" spans="2:5" ht="15" customHeight="1" x14ac:dyDescent="0.3">
      <c r="B43" s="71" t="s">
        <v>87</v>
      </c>
      <c r="C43" s="31" t="s">
        <v>14</v>
      </c>
      <c r="D43" s="30">
        <v>1</v>
      </c>
      <c r="E43" s="29">
        <v>1.1235955056179775E-2</v>
      </c>
    </row>
    <row r="44" spans="2:5" ht="15" customHeight="1" x14ac:dyDescent="0.3">
      <c r="B44" s="73"/>
      <c r="C44" s="31" t="s">
        <v>25</v>
      </c>
      <c r="D44" s="30">
        <v>5</v>
      </c>
      <c r="E44" s="29">
        <v>5.6179775280898875E-2</v>
      </c>
    </row>
    <row r="45" spans="2:5" ht="15" customHeight="1" x14ac:dyDescent="0.3">
      <c r="B45" s="73"/>
      <c r="C45" s="31" t="s">
        <v>20</v>
      </c>
      <c r="D45" s="30">
        <v>1</v>
      </c>
      <c r="E45" s="29">
        <v>1.1235955056179775E-2</v>
      </c>
    </row>
    <row r="46" spans="2:5" ht="15" customHeight="1" x14ac:dyDescent="0.3">
      <c r="B46" s="73"/>
      <c r="C46" s="31" t="s">
        <v>17</v>
      </c>
      <c r="D46" s="30">
        <v>2</v>
      </c>
      <c r="E46" s="29">
        <v>2.247191011235955E-2</v>
      </c>
    </row>
    <row r="47" spans="2:5" ht="15" customHeight="1" x14ac:dyDescent="0.3">
      <c r="B47" s="73"/>
      <c r="C47" s="31" t="s">
        <v>13</v>
      </c>
      <c r="D47" s="30">
        <v>1</v>
      </c>
      <c r="E47" s="29">
        <v>1.1235955056179775E-2</v>
      </c>
    </row>
    <row r="48" spans="2:5" ht="15" customHeight="1" x14ac:dyDescent="0.3">
      <c r="B48" s="73"/>
      <c r="C48" s="31" t="s">
        <v>19</v>
      </c>
      <c r="D48" s="30">
        <v>2</v>
      </c>
      <c r="E48" s="29">
        <v>2.247191011235955E-2</v>
      </c>
    </row>
    <row r="49" spans="2:5" ht="15" customHeight="1" x14ac:dyDescent="0.3">
      <c r="B49" s="73"/>
      <c r="C49" s="31" t="s">
        <v>23</v>
      </c>
      <c r="D49" s="30">
        <v>5</v>
      </c>
      <c r="E49" s="29">
        <v>5.6179775280898875E-2</v>
      </c>
    </row>
    <row r="50" spans="2:5" ht="15" customHeight="1" x14ac:dyDescent="0.3">
      <c r="B50" s="73"/>
      <c r="C50" s="31" t="s">
        <v>24</v>
      </c>
      <c r="D50" s="30">
        <v>3</v>
      </c>
      <c r="E50" s="29">
        <v>3.3707865168539325E-2</v>
      </c>
    </row>
    <row r="51" spans="2:5" ht="15" customHeight="1" x14ac:dyDescent="0.3">
      <c r="B51" s="73"/>
      <c r="C51" s="31" t="s">
        <v>12</v>
      </c>
      <c r="D51" s="30">
        <v>1</v>
      </c>
      <c r="E51" s="29">
        <v>1.1235955056179775E-2</v>
      </c>
    </row>
    <row r="52" spans="2:5" ht="15" customHeight="1" x14ac:dyDescent="0.3">
      <c r="B52" s="73"/>
      <c r="C52" s="31" t="s">
        <v>8</v>
      </c>
      <c r="D52" s="30">
        <v>1</v>
      </c>
      <c r="E52" s="29">
        <v>1.1235955056179775E-2</v>
      </c>
    </row>
    <row r="53" spans="2:5" ht="15" customHeight="1" x14ac:dyDescent="0.3">
      <c r="B53" s="73"/>
      <c r="C53" s="31" t="s">
        <v>18</v>
      </c>
      <c r="D53" s="30">
        <v>2</v>
      </c>
      <c r="E53" s="29">
        <v>2.247191011235955E-2</v>
      </c>
    </row>
    <row r="54" spans="2:5" ht="15" customHeight="1" x14ac:dyDescent="0.3">
      <c r="B54" s="73"/>
      <c r="C54" s="31" t="s">
        <v>26</v>
      </c>
      <c r="D54" s="30">
        <v>6</v>
      </c>
      <c r="E54" s="29">
        <v>6.741573033707865E-2</v>
      </c>
    </row>
    <row r="55" spans="2:5" ht="15" customHeight="1" x14ac:dyDescent="0.3">
      <c r="B55" s="73"/>
      <c r="C55" s="31" t="s">
        <v>15</v>
      </c>
      <c r="D55" s="30">
        <v>1</v>
      </c>
      <c r="E55" s="29">
        <v>1.1235955056179775E-2</v>
      </c>
    </row>
    <row r="56" spans="2:5" ht="15" customHeight="1" x14ac:dyDescent="0.3">
      <c r="B56" s="73"/>
      <c r="C56" s="31" t="s">
        <v>22</v>
      </c>
      <c r="D56" s="30">
        <v>2</v>
      </c>
      <c r="E56" s="29">
        <v>2.247191011235955E-2</v>
      </c>
    </row>
    <row r="57" spans="2:5" ht="15" customHeight="1" x14ac:dyDescent="0.3">
      <c r="B57" s="73"/>
      <c r="C57" s="31" t="s">
        <v>21</v>
      </c>
      <c r="D57" s="30">
        <v>1</v>
      </c>
      <c r="E57" s="29">
        <v>1.1235955056179775E-2</v>
      </c>
    </row>
    <row r="58" spans="2:5" ht="15" customHeight="1" x14ac:dyDescent="0.3">
      <c r="B58" s="72"/>
      <c r="C58" s="28" t="s">
        <v>5</v>
      </c>
      <c r="D58" s="27">
        <v>34</v>
      </c>
      <c r="E58" s="26">
        <v>0.38202247191011235</v>
      </c>
    </row>
    <row r="59" spans="2:5" ht="15" customHeight="1" x14ac:dyDescent="0.3">
      <c r="B59" s="71" t="s">
        <v>86</v>
      </c>
      <c r="C59" s="31" t="s">
        <v>20</v>
      </c>
      <c r="D59" s="30">
        <v>1</v>
      </c>
      <c r="E59" s="29">
        <v>1.1235955056179775E-2</v>
      </c>
    </row>
    <row r="60" spans="2:5" ht="15" customHeight="1" x14ac:dyDescent="0.3">
      <c r="B60" s="73"/>
      <c r="C60" s="31" t="s">
        <v>16</v>
      </c>
      <c r="D60" s="30">
        <v>1</v>
      </c>
      <c r="E60" s="29">
        <v>1.1235955056179775E-2</v>
      </c>
    </row>
    <row r="61" spans="2:5" ht="15" customHeight="1" x14ac:dyDescent="0.3">
      <c r="B61" s="73"/>
      <c r="C61" s="31" t="s">
        <v>15</v>
      </c>
      <c r="D61" s="30">
        <v>1</v>
      </c>
      <c r="E61" s="29">
        <v>1.1235955056179775E-2</v>
      </c>
    </row>
    <row r="62" spans="2:5" ht="15" customHeight="1" x14ac:dyDescent="0.3">
      <c r="B62" s="72"/>
      <c r="C62" s="28" t="s">
        <v>5</v>
      </c>
      <c r="D62" s="27">
        <v>3</v>
      </c>
      <c r="E62" s="26">
        <v>3.3707865168539325E-2</v>
      </c>
    </row>
    <row r="63" spans="2:5" ht="15" customHeight="1" x14ac:dyDescent="0.3">
      <c r="B63" s="71" t="s">
        <v>85</v>
      </c>
      <c r="C63" s="31" t="s">
        <v>10</v>
      </c>
      <c r="D63" s="30">
        <v>1</v>
      </c>
      <c r="E63" s="29">
        <v>1.1235955056179775E-2</v>
      </c>
    </row>
    <row r="64" spans="2:5" ht="15" customHeight="1" x14ac:dyDescent="0.3">
      <c r="B64" s="73"/>
      <c r="C64" s="31" t="s">
        <v>25</v>
      </c>
      <c r="D64" s="30">
        <v>1</v>
      </c>
      <c r="E64" s="29">
        <v>1.1235955056179775E-2</v>
      </c>
    </row>
    <row r="65" spans="2:5" ht="15" customHeight="1" x14ac:dyDescent="0.3">
      <c r="B65" s="73"/>
      <c r="C65" s="31" t="s">
        <v>9</v>
      </c>
      <c r="D65" s="30">
        <v>1</v>
      </c>
      <c r="E65" s="29">
        <v>1.1235955056179775E-2</v>
      </c>
    </row>
    <row r="66" spans="2:5" ht="15" customHeight="1" x14ac:dyDescent="0.3">
      <c r="B66" s="73"/>
      <c r="C66" s="31" t="s">
        <v>20</v>
      </c>
      <c r="D66" s="30">
        <v>1</v>
      </c>
      <c r="E66" s="29">
        <v>1.1235955056179775E-2</v>
      </c>
    </row>
    <row r="67" spans="2:5" ht="15" customHeight="1" x14ac:dyDescent="0.3">
      <c r="B67" s="73"/>
      <c r="C67" s="31" t="s">
        <v>17</v>
      </c>
      <c r="D67" s="30">
        <v>1</v>
      </c>
      <c r="E67" s="29">
        <v>1.1235955056179775E-2</v>
      </c>
    </row>
    <row r="68" spans="2:5" ht="15" customHeight="1" x14ac:dyDescent="0.3">
      <c r="B68" s="73"/>
      <c r="C68" s="31" t="s">
        <v>19</v>
      </c>
      <c r="D68" s="30">
        <v>1</v>
      </c>
      <c r="E68" s="29">
        <v>1.1235955056179775E-2</v>
      </c>
    </row>
    <row r="69" spans="2:5" ht="15" customHeight="1" x14ac:dyDescent="0.3">
      <c r="B69" s="73"/>
      <c r="C69" s="31" t="s">
        <v>23</v>
      </c>
      <c r="D69" s="30">
        <v>1</v>
      </c>
      <c r="E69" s="29">
        <v>1.1235955056179775E-2</v>
      </c>
    </row>
    <row r="70" spans="2:5" ht="15" customHeight="1" x14ac:dyDescent="0.3">
      <c r="B70" s="73"/>
      <c r="C70" s="31" t="s">
        <v>24</v>
      </c>
      <c r="D70" s="30">
        <v>3</v>
      </c>
      <c r="E70" s="29">
        <v>3.3707865168539325E-2</v>
      </c>
    </row>
    <row r="71" spans="2:5" ht="15" customHeight="1" x14ac:dyDescent="0.3">
      <c r="B71" s="73"/>
      <c r="C71" s="31" t="s">
        <v>12</v>
      </c>
      <c r="D71" s="30">
        <v>1</v>
      </c>
      <c r="E71" s="29">
        <v>1.1235955056179775E-2</v>
      </c>
    </row>
    <row r="72" spans="2:5" ht="15" customHeight="1" x14ac:dyDescent="0.3">
      <c r="B72" s="73"/>
      <c r="C72" s="31" t="s">
        <v>18</v>
      </c>
      <c r="D72" s="30">
        <v>1</v>
      </c>
      <c r="E72" s="29">
        <v>1.1235955056179775E-2</v>
      </c>
    </row>
    <row r="73" spans="2:5" ht="15" customHeight="1" x14ac:dyDescent="0.3">
      <c r="B73" s="73"/>
      <c r="C73" s="31" t="s">
        <v>26</v>
      </c>
      <c r="D73" s="30">
        <v>1</v>
      </c>
      <c r="E73" s="29">
        <v>1.1235955056179775E-2</v>
      </c>
    </row>
    <row r="74" spans="2:5" ht="15" customHeight="1" x14ac:dyDescent="0.3">
      <c r="B74" s="73"/>
      <c r="C74" s="31" t="s">
        <v>15</v>
      </c>
      <c r="D74" s="30">
        <v>1</v>
      </c>
      <c r="E74" s="29">
        <v>1.1235955056179775E-2</v>
      </c>
    </row>
    <row r="75" spans="2:5" ht="15" customHeight="1" x14ac:dyDescent="0.3">
      <c r="B75" s="73"/>
      <c r="C75" s="31" t="s">
        <v>6</v>
      </c>
      <c r="D75" s="30">
        <v>1</v>
      </c>
      <c r="E75" s="29">
        <v>1.1235955056179775E-2</v>
      </c>
    </row>
    <row r="76" spans="2:5" ht="15" customHeight="1" x14ac:dyDescent="0.3">
      <c r="B76" s="73"/>
      <c r="C76" s="31" t="s">
        <v>21</v>
      </c>
      <c r="D76" s="30">
        <v>1</v>
      </c>
      <c r="E76" s="29">
        <v>1.1235955056179775E-2</v>
      </c>
    </row>
    <row r="77" spans="2:5" ht="15" customHeight="1" x14ac:dyDescent="0.3">
      <c r="B77" s="72"/>
      <c r="C77" s="28" t="s">
        <v>5</v>
      </c>
      <c r="D77" s="27">
        <v>16</v>
      </c>
      <c r="E77" s="26">
        <v>0.1797752808988764</v>
      </c>
    </row>
    <row r="78" spans="2:5" ht="15" customHeight="1" x14ac:dyDescent="0.3">
      <c r="B78" s="71" t="s">
        <v>84</v>
      </c>
      <c r="C78" s="31" t="s">
        <v>14</v>
      </c>
      <c r="D78" s="30">
        <v>1</v>
      </c>
      <c r="E78" s="29">
        <v>1.1235955056179775E-2</v>
      </c>
    </row>
    <row r="79" spans="2:5" ht="15" customHeight="1" x14ac:dyDescent="0.3">
      <c r="B79" s="73"/>
      <c r="C79" s="31" t="s">
        <v>24</v>
      </c>
      <c r="D79" s="30">
        <v>1</v>
      </c>
      <c r="E79" s="29">
        <v>1.1235955056179775E-2</v>
      </c>
    </row>
    <row r="80" spans="2:5" ht="15" customHeight="1" x14ac:dyDescent="0.3">
      <c r="B80" s="72"/>
      <c r="C80" s="28" t="s">
        <v>5</v>
      </c>
      <c r="D80" s="27">
        <v>2</v>
      </c>
      <c r="E80" s="26">
        <v>2.247191011235955E-2</v>
      </c>
    </row>
    <row r="81" spans="2:5" ht="15" customHeight="1" x14ac:dyDescent="0.3">
      <c r="B81" s="71" t="s">
        <v>83</v>
      </c>
      <c r="C81" s="31" t="s">
        <v>11</v>
      </c>
      <c r="D81" s="30">
        <v>1</v>
      </c>
      <c r="E81" s="29">
        <v>1.1235955056179775E-2</v>
      </c>
    </row>
    <row r="82" spans="2:5" ht="15" customHeight="1" x14ac:dyDescent="0.3">
      <c r="B82" s="72"/>
      <c r="C82" s="28" t="s">
        <v>5</v>
      </c>
      <c r="D82" s="27">
        <v>1</v>
      </c>
      <c r="E82" s="26">
        <v>1.1235955056179775E-2</v>
      </c>
    </row>
    <row r="83" spans="2:5" ht="15" customHeight="1" x14ac:dyDescent="0.3">
      <c r="B83" s="71" t="s">
        <v>132</v>
      </c>
      <c r="C83" s="31" t="s">
        <v>20</v>
      </c>
      <c r="D83" s="30">
        <v>1</v>
      </c>
      <c r="E83" s="29">
        <v>1.1235955056179775E-2</v>
      </c>
    </row>
    <row r="84" spans="2:5" ht="15" customHeight="1" x14ac:dyDescent="0.3">
      <c r="B84" s="72"/>
      <c r="C84" s="28" t="s">
        <v>5</v>
      </c>
      <c r="D84" s="27">
        <v>1</v>
      </c>
      <c r="E84" s="26">
        <v>1.1235955056179775E-2</v>
      </c>
    </row>
    <row r="85" spans="2:5" ht="15" customHeight="1" x14ac:dyDescent="0.3">
      <c r="B85" s="77" t="s">
        <v>5</v>
      </c>
      <c r="C85" s="78"/>
      <c r="D85" s="25">
        <v>89</v>
      </c>
      <c r="E85" s="24">
        <v>1</v>
      </c>
    </row>
    <row r="87" spans="2:5" ht="15" customHeight="1" x14ac:dyDescent="0.3">
      <c r="B87" s="3" t="s">
        <v>4</v>
      </c>
    </row>
    <row r="88" spans="2:5" ht="15" customHeight="1" x14ac:dyDescent="0.3">
      <c r="B88" s="5" t="s">
        <v>3</v>
      </c>
    </row>
    <row r="89" spans="2:5" ht="15" customHeight="1" x14ac:dyDescent="0.3">
      <c r="B89" s="4" t="s">
        <v>2</v>
      </c>
    </row>
    <row r="90" spans="2:5" ht="15" customHeight="1" x14ac:dyDescent="0.3">
      <c r="B90" s="3" t="s">
        <v>1</v>
      </c>
    </row>
    <row r="91" spans="2:5" ht="15" customHeight="1" x14ac:dyDescent="0.3">
      <c r="B91" s="3" t="s">
        <v>0</v>
      </c>
    </row>
  </sheetData>
  <mergeCells count="16">
    <mergeCell ref="B24:B32"/>
    <mergeCell ref="B7:E8"/>
    <mergeCell ref="B10:B11"/>
    <mergeCell ref="B12:B13"/>
    <mergeCell ref="B14:B15"/>
    <mergeCell ref="B16:B23"/>
    <mergeCell ref="B78:B80"/>
    <mergeCell ref="B81:B82"/>
    <mergeCell ref="B83:B84"/>
    <mergeCell ref="B85:C85"/>
    <mergeCell ref="B33:B34"/>
    <mergeCell ref="B35:B37"/>
    <mergeCell ref="B38:B42"/>
    <mergeCell ref="B43:B58"/>
    <mergeCell ref="B59:B62"/>
    <mergeCell ref="B63:B77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" manualBreakCount="1">
    <brk id="42" max="4" man="1"/>
  </rowBreaks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D20"/>
  <sheetViews>
    <sheetView showGridLines="0" zoomScaleNormal="100" zoomScaleSheetLayoutView="115" workbookViewId="0"/>
  </sheetViews>
  <sheetFormatPr baseColWidth="10" defaultColWidth="11.44140625" defaultRowHeight="14.4" x14ac:dyDescent="0.3"/>
  <cols>
    <col min="1" max="1" width="9.33203125" style="1" customWidth="1"/>
    <col min="2" max="2" width="21.6640625" style="1" customWidth="1"/>
    <col min="3" max="3" width="17.6640625" style="2" customWidth="1"/>
    <col min="4" max="4" width="17.6640625" style="1" customWidth="1"/>
    <col min="5" max="5" width="9.33203125" style="1" customWidth="1"/>
    <col min="6" max="6" width="5.6640625" style="1" customWidth="1"/>
    <col min="7" max="16384" width="11.44140625" style="1"/>
  </cols>
  <sheetData>
    <row r="1" spans="1:4" s="13" customFormat="1" ht="15" customHeight="1" x14ac:dyDescent="0.3">
      <c r="A1" s="57"/>
      <c r="C1" s="19"/>
    </row>
    <row r="2" spans="1:4" s="13" customFormat="1" ht="15" customHeight="1" x14ac:dyDescent="0.2">
      <c r="C2" s="19"/>
    </row>
    <row r="3" spans="1:4" s="13" customFormat="1" ht="15" customHeight="1" x14ac:dyDescent="0.2">
      <c r="C3" s="19"/>
    </row>
    <row r="4" spans="1:4" s="13" customFormat="1" ht="30" customHeight="1" x14ac:dyDescent="0.2">
      <c r="C4" s="19"/>
      <c r="D4" s="18"/>
    </row>
    <row r="5" spans="1:4" s="13" customFormat="1" ht="15" customHeight="1" x14ac:dyDescent="0.2">
      <c r="C5" s="19"/>
      <c r="D5" s="18"/>
    </row>
    <row r="6" spans="1:4" s="13" customFormat="1" ht="15" customHeight="1" x14ac:dyDescent="0.2">
      <c r="C6" s="19"/>
      <c r="D6" s="18"/>
    </row>
    <row r="7" spans="1:4" s="13" customFormat="1" ht="15" customHeight="1" x14ac:dyDescent="0.2">
      <c r="B7" s="70" t="s">
        <v>101</v>
      </c>
      <c r="C7" s="70"/>
      <c r="D7" s="70"/>
    </row>
    <row r="8" spans="1:4" s="13" customFormat="1" ht="15" customHeight="1" x14ac:dyDescent="0.2">
      <c r="B8" s="70"/>
      <c r="C8" s="70"/>
      <c r="D8" s="70"/>
    </row>
    <row r="9" spans="1:4" s="13" customFormat="1" ht="33" customHeight="1" x14ac:dyDescent="0.2">
      <c r="B9" s="70"/>
      <c r="C9" s="70"/>
      <c r="D9" s="70"/>
    </row>
    <row r="10" spans="1:4" s="13" customFormat="1" ht="4.5" customHeight="1" x14ac:dyDescent="0.2">
      <c r="B10" s="17"/>
      <c r="C10" s="17"/>
      <c r="D10" s="17"/>
    </row>
    <row r="11" spans="1:4" s="13" customFormat="1" ht="33" customHeight="1" x14ac:dyDescent="0.2">
      <c r="B11" s="16" t="s">
        <v>100</v>
      </c>
      <c r="C11" s="15" t="s">
        <v>28</v>
      </c>
      <c r="D11" s="14" t="s">
        <v>27</v>
      </c>
    </row>
    <row r="12" spans="1:4" ht="15" customHeight="1" x14ac:dyDescent="0.3">
      <c r="B12" s="11" t="s">
        <v>99</v>
      </c>
      <c r="C12" s="10">
        <v>62</v>
      </c>
      <c r="D12" s="9">
        <v>0.6966292134831461</v>
      </c>
    </row>
    <row r="13" spans="1:4" ht="15" customHeight="1" x14ac:dyDescent="0.3">
      <c r="B13" s="11" t="s">
        <v>98</v>
      </c>
      <c r="C13" s="10">
        <v>27</v>
      </c>
      <c r="D13" s="9">
        <v>0.30337078651685395</v>
      </c>
    </row>
    <row r="14" spans="1:4" x14ac:dyDescent="0.3">
      <c r="B14" s="8" t="s">
        <v>97</v>
      </c>
      <c r="C14" s="7">
        <v>89</v>
      </c>
      <c r="D14" s="6">
        <v>1</v>
      </c>
    </row>
    <row r="15" spans="1:4" s="12" customFormat="1" ht="15" x14ac:dyDescent="0.3">
      <c r="C15" s="46"/>
    </row>
    <row r="16" spans="1:4" s="12" customFormat="1" ht="15" x14ac:dyDescent="0.3">
      <c r="B16" s="3" t="s">
        <v>4</v>
      </c>
      <c r="C16" s="46"/>
    </row>
    <row r="17" spans="2:4" x14ac:dyDescent="0.3">
      <c r="B17" s="5" t="s">
        <v>3</v>
      </c>
      <c r="C17" s="45"/>
      <c r="D17" s="45"/>
    </row>
    <row r="18" spans="2:4" x14ac:dyDescent="0.3">
      <c r="B18" s="4" t="s">
        <v>2</v>
      </c>
      <c r="C18" s="44"/>
      <c r="D18" s="44"/>
    </row>
    <row r="19" spans="2:4" x14ac:dyDescent="0.3">
      <c r="B19" s="3" t="s">
        <v>1</v>
      </c>
    </row>
    <row r="20" spans="2:4" x14ac:dyDescent="0.3">
      <c r="B20" s="3" t="s">
        <v>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445"/>
  <sheetViews>
    <sheetView zoomScale="130" zoomScaleNormal="130" zoomScaleSheetLayoutView="100" workbookViewId="0">
      <selection activeCell="D57" sqref="D57"/>
    </sheetView>
  </sheetViews>
  <sheetFormatPr baseColWidth="10" defaultColWidth="35" defaultRowHeight="15" customHeight="1" x14ac:dyDescent="0.3"/>
  <cols>
    <col min="1" max="1" width="1" style="20" customWidth="1"/>
    <col min="2" max="2" width="22.88671875" style="21" customWidth="1"/>
    <col min="3" max="3" width="31.44140625" style="21" customWidth="1"/>
    <col min="4" max="4" width="14.33203125" style="21" customWidth="1"/>
    <col min="5" max="5" width="16.88671875" style="21" customWidth="1"/>
    <col min="6" max="16384" width="35" style="20"/>
  </cols>
  <sheetData>
    <row r="1" spans="1:5" s="39" customFormat="1" ht="12" customHeight="1" x14ac:dyDescent="0.2">
      <c r="B1" s="43"/>
      <c r="C1" s="42"/>
      <c r="D1" s="42"/>
      <c r="E1" s="42"/>
    </row>
    <row r="2" spans="1:5" s="39" customFormat="1" ht="15" customHeight="1" x14ac:dyDescent="0.2">
      <c r="C2" s="41"/>
    </row>
    <row r="3" spans="1:5" s="39" customFormat="1" ht="15" customHeight="1" x14ac:dyDescent="0.2">
      <c r="C3" s="41"/>
    </row>
    <row r="4" spans="1:5" s="39" customFormat="1" ht="30" customHeight="1" x14ac:dyDescent="0.2">
      <c r="C4" s="41"/>
      <c r="D4" s="40"/>
    </row>
    <row r="5" spans="1:5" s="39" customFormat="1" ht="15" customHeight="1" x14ac:dyDescent="0.2">
      <c r="C5" s="41"/>
      <c r="D5" s="40"/>
    </row>
    <row r="6" spans="1:5" s="36" customFormat="1" ht="24" customHeight="1" x14ac:dyDescent="0.2">
      <c r="B6" s="38"/>
      <c r="C6" s="32"/>
      <c r="D6" s="32"/>
      <c r="E6" s="32"/>
    </row>
    <row r="7" spans="1:5" s="36" customFormat="1" ht="26.25" customHeight="1" x14ac:dyDescent="0.25">
      <c r="A7" s="37"/>
      <c r="B7" s="76"/>
      <c r="C7" s="76"/>
      <c r="D7" s="76"/>
      <c r="E7" s="76"/>
    </row>
    <row r="8" spans="1:5" s="36" customFormat="1" ht="33" customHeight="1" x14ac:dyDescent="0.25">
      <c r="A8" s="37"/>
      <c r="B8" s="76"/>
      <c r="C8" s="76"/>
      <c r="D8" s="76"/>
      <c r="E8" s="76"/>
    </row>
    <row r="9" spans="1:5" s="13" customFormat="1" ht="40.5" customHeight="1" x14ac:dyDescent="0.2">
      <c r="B9" s="33" t="s">
        <v>29</v>
      </c>
      <c r="C9" s="35" t="s">
        <v>100</v>
      </c>
      <c r="D9" s="34" t="s">
        <v>28</v>
      </c>
      <c r="E9" s="33" t="s">
        <v>27</v>
      </c>
    </row>
    <row r="10" spans="1:5" ht="15" customHeight="1" x14ac:dyDescent="0.3">
      <c r="B10" s="71" t="s">
        <v>14</v>
      </c>
      <c r="C10" s="31" t="s">
        <v>103</v>
      </c>
      <c r="D10" s="30">
        <v>1</v>
      </c>
      <c r="E10" s="29">
        <v>1.1235955056179775E-2</v>
      </c>
    </row>
    <row r="11" spans="1:5" ht="15" customHeight="1" x14ac:dyDescent="0.3">
      <c r="B11" s="73"/>
      <c r="C11" s="31" t="s">
        <v>102</v>
      </c>
      <c r="D11" s="30">
        <v>1</v>
      </c>
      <c r="E11" s="29">
        <v>1.1235955056179775E-2</v>
      </c>
    </row>
    <row r="12" spans="1:5" ht="15" customHeight="1" x14ac:dyDescent="0.3">
      <c r="B12" s="72"/>
      <c r="C12" s="28" t="s">
        <v>5</v>
      </c>
      <c r="D12" s="27">
        <v>2</v>
      </c>
      <c r="E12" s="26">
        <v>2.247191011235955E-2</v>
      </c>
    </row>
    <row r="13" spans="1:5" ht="15" customHeight="1" x14ac:dyDescent="0.3">
      <c r="B13" s="73" t="s">
        <v>11</v>
      </c>
      <c r="C13" s="31" t="s">
        <v>102</v>
      </c>
      <c r="D13" s="30">
        <v>1</v>
      </c>
      <c r="E13" s="29">
        <v>1.1235955056179775E-2</v>
      </c>
    </row>
    <row r="14" spans="1:5" s="32" customFormat="1" ht="15" customHeight="1" x14ac:dyDescent="0.2">
      <c r="B14" s="72"/>
      <c r="C14" s="28" t="s">
        <v>5</v>
      </c>
      <c r="D14" s="27">
        <v>1</v>
      </c>
      <c r="E14" s="26">
        <v>1.1235955056179775E-2</v>
      </c>
    </row>
    <row r="15" spans="1:5" s="32" customFormat="1" ht="15" customHeight="1" x14ac:dyDescent="0.2">
      <c r="B15" s="73" t="s">
        <v>10</v>
      </c>
      <c r="C15" s="31" t="s">
        <v>102</v>
      </c>
      <c r="D15" s="30">
        <v>1</v>
      </c>
      <c r="E15" s="29">
        <v>1.1235955056179775E-2</v>
      </c>
    </row>
    <row r="16" spans="1:5" s="32" customFormat="1" ht="15" customHeight="1" x14ac:dyDescent="0.2">
      <c r="B16" s="72"/>
      <c r="C16" s="28" t="s">
        <v>5</v>
      </c>
      <c r="D16" s="27">
        <v>1</v>
      </c>
      <c r="E16" s="26">
        <v>1.1235955056179775E-2</v>
      </c>
    </row>
    <row r="17" spans="2:5" ht="15" customHeight="1" x14ac:dyDescent="0.3">
      <c r="B17" s="71" t="s">
        <v>25</v>
      </c>
      <c r="C17" s="31" t="s">
        <v>103</v>
      </c>
      <c r="D17" s="30">
        <v>9</v>
      </c>
      <c r="E17" s="29">
        <v>0.10112359550561797</v>
      </c>
    </row>
    <row r="18" spans="2:5" ht="15" customHeight="1" x14ac:dyDescent="0.3">
      <c r="B18" s="73"/>
      <c r="C18" s="31" t="s">
        <v>102</v>
      </c>
      <c r="D18" s="30">
        <v>1</v>
      </c>
      <c r="E18" s="29">
        <v>1.1235955056179775E-2</v>
      </c>
    </row>
    <row r="19" spans="2:5" ht="15" customHeight="1" x14ac:dyDescent="0.3">
      <c r="B19" s="72"/>
      <c r="C19" s="28" t="s">
        <v>5</v>
      </c>
      <c r="D19" s="27">
        <v>10</v>
      </c>
      <c r="E19" s="26">
        <v>0.11235955056179775</v>
      </c>
    </row>
    <row r="20" spans="2:5" ht="15" customHeight="1" x14ac:dyDescent="0.3">
      <c r="B20" s="71" t="s">
        <v>9</v>
      </c>
      <c r="C20" s="31" t="s">
        <v>103</v>
      </c>
      <c r="D20" s="30">
        <v>1</v>
      </c>
      <c r="E20" s="29">
        <v>1.1235955056179775E-2</v>
      </c>
    </row>
    <row r="21" spans="2:5" ht="15" customHeight="1" x14ac:dyDescent="0.3">
      <c r="B21" s="72"/>
      <c r="C21" s="28" t="s">
        <v>5</v>
      </c>
      <c r="D21" s="27">
        <v>1</v>
      </c>
      <c r="E21" s="26">
        <v>1.1235955056179775E-2</v>
      </c>
    </row>
    <row r="22" spans="2:5" ht="15" customHeight="1" x14ac:dyDescent="0.3">
      <c r="B22" s="71" t="s">
        <v>20</v>
      </c>
      <c r="C22" s="31" t="s">
        <v>103</v>
      </c>
      <c r="D22" s="30">
        <v>2</v>
      </c>
      <c r="E22" s="29">
        <v>2.247191011235955E-2</v>
      </c>
    </row>
    <row r="23" spans="2:5" ht="15" customHeight="1" x14ac:dyDescent="0.3">
      <c r="B23" s="73"/>
      <c r="C23" s="31" t="s">
        <v>102</v>
      </c>
      <c r="D23" s="30">
        <v>3</v>
      </c>
      <c r="E23" s="29">
        <v>3.3707865168539325E-2</v>
      </c>
    </row>
    <row r="24" spans="2:5" ht="15" customHeight="1" x14ac:dyDescent="0.3">
      <c r="B24" s="72"/>
      <c r="C24" s="28" t="s">
        <v>5</v>
      </c>
      <c r="D24" s="27">
        <v>5</v>
      </c>
      <c r="E24" s="26">
        <v>5.6179775280898875E-2</v>
      </c>
    </row>
    <row r="25" spans="2:5" ht="15" customHeight="1" x14ac:dyDescent="0.3">
      <c r="B25" s="71" t="s">
        <v>17</v>
      </c>
      <c r="C25" s="31" t="s">
        <v>103</v>
      </c>
      <c r="D25" s="30">
        <v>2</v>
      </c>
      <c r="E25" s="29">
        <v>2.247191011235955E-2</v>
      </c>
    </row>
    <row r="26" spans="2:5" ht="15" customHeight="1" x14ac:dyDescent="0.3">
      <c r="B26" s="73"/>
      <c r="C26" s="31" t="s">
        <v>102</v>
      </c>
      <c r="D26" s="30">
        <v>1</v>
      </c>
      <c r="E26" s="29">
        <v>1.1235955056179775E-2</v>
      </c>
    </row>
    <row r="27" spans="2:5" ht="15" customHeight="1" x14ac:dyDescent="0.3">
      <c r="B27" s="72"/>
      <c r="C27" s="28" t="s">
        <v>5</v>
      </c>
      <c r="D27" s="27">
        <v>3</v>
      </c>
      <c r="E27" s="26">
        <v>3.3707865168539325E-2</v>
      </c>
    </row>
    <row r="28" spans="2:5" ht="15" customHeight="1" x14ac:dyDescent="0.3">
      <c r="B28" s="71" t="s">
        <v>13</v>
      </c>
      <c r="C28" s="31" t="s">
        <v>103</v>
      </c>
      <c r="D28" s="30">
        <v>2</v>
      </c>
      <c r="E28" s="29">
        <v>2.247191011235955E-2</v>
      </c>
    </row>
    <row r="29" spans="2:5" ht="15" customHeight="1" x14ac:dyDescent="0.3">
      <c r="B29" s="72"/>
      <c r="C29" s="28" t="s">
        <v>5</v>
      </c>
      <c r="D29" s="27">
        <v>2</v>
      </c>
      <c r="E29" s="26">
        <v>2.247191011235955E-2</v>
      </c>
    </row>
    <row r="30" spans="2:5" ht="15" customHeight="1" x14ac:dyDescent="0.3">
      <c r="B30" s="71" t="s">
        <v>19</v>
      </c>
      <c r="C30" s="31" t="s">
        <v>103</v>
      </c>
      <c r="D30" s="30">
        <v>3</v>
      </c>
      <c r="E30" s="29">
        <v>3.3707865168539325E-2</v>
      </c>
    </row>
    <row r="31" spans="2:5" ht="15" customHeight="1" x14ac:dyDescent="0.3">
      <c r="B31" s="73"/>
      <c r="C31" s="31" t="s">
        <v>102</v>
      </c>
      <c r="D31" s="30">
        <v>2</v>
      </c>
      <c r="E31" s="29">
        <v>2.247191011235955E-2</v>
      </c>
    </row>
    <row r="32" spans="2:5" ht="15" customHeight="1" x14ac:dyDescent="0.3">
      <c r="B32" s="72"/>
      <c r="C32" s="28" t="s">
        <v>5</v>
      </c>
      <c r="D32" s="27">
        <v>5</v>
      </c>
      <c r="E32" s="26">
        <v>5.6179775280898875E-2</v>
      </c>
    </row>
    <row r="33" spans="2:5" ht="15" customHeight="1" x14ac:dyDescent="0.3">
      <c r="B33" s="71" t="s">
        <v>16</v>
      </c>
      <c r="C33" s="31" t="s">
        <v>103</v>
      </c>
      <c r="D33" s="30">
        <v>3</v>
      </c>
      <c r="E33" s="29">
        <v>3.3707865168539325E-2</v>
      </c>
    </row>
    <row r="34" spans="2:5" ht="15" customHeight="1" x14ac:dyDescent="0.3">
      <c r="B34" s="72"/>
      <c r="C34" s="28" t="s">
        <v>5</v>
      </c>
      <c r="D34" s="27">
        <v>3</v>
      </c>
      <c r="E34" s="26">
        <v>3.3707865168539325E-2</v>
      </c>
    </row>
    <row r="35" spans="2:5" ht="15" customHeight="1" x14ac:dyDescent="0.3">
      <c r="B35" s="71" t="s">
        <v>23</v>
      </c>
      <c r="C35" s="31" t="s">
        <v>103</v>
      </c>
      <c r="D35" s="30">
        <v>8</v>
      </c>
      <c r="E35" s="29">
        <v>8.98876404494382E-2</v>
      </c>
    </row>
    <row r="36" spans="2:5" ht="15" customHeight="1" x14ac:dyDescent="0.3">
      <c r="B36" s="72"/>
      <c r="C36" s="28" t="s">
        <v>5</v>
      </c>
      <c r="D36" s="27">
        <v>8</v>
      </c>
      <c r="E36" s="26">
        <v>8.98876404494382E-2</v>
      </c>
    </row>
    <row r="37" spans="2:5" ht="15" customHeight="1" x14ac:dyDescent="0.3">
      <c r="B37" s="71" t="s">
        <v>24</v>
      </c>
      <c r="C37" s="31" t="s">
        <v>103</v>
      </c>
      <c r="D37" s="30">
        <v>5</v>
      </c>
      <c r="E37" s="29">
        <v>5.6179775280898875E-2</v>
      </c>
    </row>
    <row r="38" spans="2:5" ht="15" customHeight="1" x14ac:dyDescent="0.3">
      <c r="B38" s="73"/>
      <c r="C38" s="31" t="s">
        <v>102</v>
      </c>
      <c r="D38" s="30">
        <v>5</v>
      </c>
      <c r="E38" s="29">
        <v>5.6179775280898875E-2</v>
      </c>
    </row>
    <row r="39" spans="2:5" ht="15" customHeight="1" x14ac:dyDescent="0.3">
      <c r="B39" s="72"/>
      <c r="C39" s="28" t="s">
        <v>5</v>
      </c>
      <c r="D39" s="27">
        <v>10</v>
      </c>
      <c r="E39" s="26">
        <v>0.11235955056179775</v>
      </c>
    </row>
    <row r="40" spans="2:5" ht="15" customHeight="1" x14ac:dyDescent="0.3">
      <c r="B40" s="73" t="s">
        <v>12</v>
      </c>
      <c r="C40" s="31" t="s">
        <v>102</v>
      </c>
      <c r="D40" s="30">
        <v>2</v>
      </c>
      <c r="E40" s="29">
        <v>2.247191011235955E-2</v>
      </c>
    </row>
    <row r="41" spans="2:5" ht="15" customHeight="1" x14ac:dyDescent="0.3">
      <c r="B41" s="72"/>
      <c r="C41" s="28" t="s">
        <v>5</v>
      </c>
      <c r="D41" s="27">
        <v>2</v>
      </c>
      <c r="E41" s="26">
        <v>2.247191011235955E-2</v>
      </c>
    </row>
    <row r="42" spans="2:5" ht="15" customHeight="1" x14ac:dyDescent="0.3">
      <c r="B42" s="71" t="s">
        <v>8</v>
      </c>
      <c r="C42" s="31" t="s">
        <v>103</v>
      </c>
      <c r="D42" s="30">
        <v>1</v>
      </c>
      <c r="E42" s="29">
        <v>1.1235955056179775E-2</v>
      </c>
    </row>
    <row r="43" spans="2:5" ht="15" customHeight="1" x14ac:dyDescent="0.3">
      <c r="B43" s="72"/>
      <c r="C43" s="28" t="s">
        <v>5</v>
      </c>
      <c r="D43" s="27">
        <v>1</v>
      </c>
      <c r="E43" s="26">
        <v>1.1235955056179775E-2</v>
      </c>
    </row>
    <row r="44" spans="2:5" ht="15" customHeight="1" x14ac:dyDescent="0.3">
      <c r="B44" s="71" t="s">
        <v>18</v>
      </c>
      <c r="C44" s="31" t="s">
        <v>103</v>
      </c>
      <c r="D44" s="30">
        <v>3</v>
      </c>
      <c r="E44" s="29">
        <v>3.3707865168539325E-2</v>
      </c>
    </row>
    <row r="45" spans="2:5" ht="15" customHeight="1" x14ac:dyDescent="0.3">
      <c r="B45" s="73"/>
      <c r="C45" s="31" t="s">
        <v>102</v>
      </c>
      <c r="D45" s="30">
        <v>1</v>
      </c>
      <c r="E45" s="29">
        <v>1.1235955056179775E-2</v>
      </c>
    </row>
    <row r="46" spans="2:5" ht="15" customHeight="1" x14ac:dyDescent="0.3">
      <c r="B46" s="72"/>
      <c r="C46" s="28" t="s">
        <v>5</v>
      </c>
      <c r="D46" s="27">
        <v>4</v>
      </c>
      <c r="E46" s="26">
        <v>4.49438202247191E-2</v>
      </c>
    </row>
    <row r="47" spans="2:5" ht="15" customHeight="1" x14ac:dyDescent="0.3">
      <c r="B47" s="71" t="s">
        <v>26</v>
      </c>
      <c r="C47" s="31" t="s">
        <v>103</v>
      </c>
      <c r="D47" s="30">
        <v>10</v>
      </c>
      <c r="E47" s="29">
        <v>0.11235955056179775</v>
      </c>
    </row>
    <row r="48" spans="2:5" ht="15" customHeight="1" x14ac:dyDescent="0.3">
      <c r="B48" s="73"/>
      <c r="C48" s="31" t="s">
        <v>102</v>
      </c>
      <c r="D48" s="30">
        <v>2</v>
      </c>
      <c r="E48" s="29">
        <v>2.247191011235955E-2</v>
      </c>
    </row>
    <row r="49" spans="2:5" ht="15" customHeight="1" x14ac:dyDescent="0.3">
      <c r="B49" s="72"/>
      <c r="C49" s="28" t="s">
        <v>5</v>
      </c>
      <c r="D49" s="27">
        <v>12</v>
      </c>
      <c r="E49" s="26">
        <v>0.1348314606741573</v>
      </c>
    </row>
    <row r="50" spans="2:5" ht="15" customHeight="1" x14ac:dyDescent="0.3">
      <c r="B50" s="71" t="s">
        <v>15</v>
      </c>
      <c r="C50" s="31" t="s">
        <v>103</v>
      </c>
      <c r="D50" s="30">
        <v>3</v>
      </c>
      <c r="E50" s="29">
        <v>3.3707865168539325E-2</v>
      </c>
    </row>
    <row r="51" spans="2:5" ht="15" customHeight="1" x14ac:dyDescent="0.3">
      <c r="B51" s="72"/>
      <c r="C51" s="28" t="s">
        <v>5</v>
      </c>
      <c r="D51" s="27">
        <v>3</v>
      </c>
      <c r="E51" s="26">
        <v>3.3707865168539325E-2</v>
      </c>
    </row>
    <row r="52" spans="2:5" ht="15" customHeight="1" x14ac:dyDescent="0.3">
      <c r="B52" s="73" t="s">
        <v>7</v>
      </c>
      <c r="C52" s="31" t="s">
        <v>102</v>
      </c>
      <c r="D52" s="30">
        <v>1</v>
      </c>
      <c r="E52" s="29">
        <v>1.1235955056179775E-2</v>
      </c>
    </row>
    <row r="53" spans="2:5" ht="15" customHeight="1" x14ac:dyDescent="0.3">
      <c r="B53" s="72"/>
      <c r="C53" s="28" t="s">
        <v>5</v>
      </c>
      <c r="D53" s="27">
        <v>1</v>
      </c>
      <c r="E53" s="26">
        <v>1.1235955056179775E-2</v>
      </c>
    </row>
    <row r="54" spans="2:5" ht="15" customHeight="1" x14ac:dyDescent="0.3">
      <c r="B54" s="71" t="s">
        <v>6</v>
      </c>
      <c r="C54" s="31" t="s">
        <v>103</v>
      </c>
      <c r="D54" s="30">
        <v>1</v>
      </c>
      <c r="E54" s="29">
        <v>1.1235955056179775E-2</v>
      </c>
    </row>
    <row r="55" spans="2:5" ht="15" customHeight="1" x14ac:dyDescent="0.3">
      <c r="B55" s="72"/>
      <c r="C55" s="28" t="s">
        <v>5</v>
      </c>
      <c r="D55" s="27">
        <v>1</v>
      </c>
      <c r="E55" s="26">
        <v>1.1235955056179775E-2</v>
      </c>
    </row>
    <row r="56" spans="2:5" ht="15" customHeight="1" x14ac:dyDescent="0.3">
      <c r="B56" s="71" t="s">
        <v>22</v>
      </c>
      <c r="C56" s="31" t="s">
        <v>103</v>
      </c>
      <c r="D56" s="30">
        <v>5</v>
      </c>
      <c r="E56" s="29">
        <v>5.6179775280898875E-2</v>
      </c>
    </row>
    <row r="57" spans="2:5" ht="15" customHeight="1" x14ac:dyDescent="0.3">
      <c r="B57" s="73"/>
      <c r="C57" s="31" t="s">
        <v>102</v>
      </c>
      <c r="D57" s="30">
        <v>2</v>
      </c>
      <c r="E57" s="29">
        <v>2.247191011235955E-2</v>
      </c>
    </row>
    <row r="58" spans="2:5" ht="15" customHeight="1" x14ac:dyDescent="0.3">
      <c r="B58" s="72"/>
      <c r="C58" s="28" t="s">
        <v>5</v>
      </c>
      <c r="D58" s="27">
        <v>7</v>
      </c>
      <c r="E58" s="26">
        <v>7.8651685393258425E-2</v>
      </c>
    </row>
    <row r="59" spans="2:5" ht="15" customHeight="1" x14ac:dyDescent="0.3">
      <c r="B59" s="71" t="s">
        <v>21</v>
      </c>
      <c r="C59" s="31" t="s">
        <v>103</v>
      </c>
      <c r="D59" s="30">
        <v>3</v>
      </c>
      <c r="E59" s="29">
        <v>3.3707865168539325E-2</v>
      </c>
    </row>
    <row r="60" spans="2:5" ht="15" customHeight="1" x14ac:dyDescent="0.3">
      <c r="B60" s="73"/>
      <c r="C60" s="31" t="s">
        <v>102</v>
      </c>
      <c r="D60" s="30">
        <v>4</v>
      </c>
      <c r="E60" s="29">
        <v>4.49438202247191E-2</v>
      </c>
    </row>
    <row r="61" spans="2:5" ht="15" customHeight="1" x14ac:dyDescent="0.3">
      <c r="B61" s="72"/>
      <c r="C61" s="28" t="s">
        <v>5</v>
      </c>
      <c r="D61" s="27">
        <v>7</v>
      </c>
      <c r="E61" s="26">
        <v>7.8651685393258425E-2</v>
      </c>
    </row>
    <row r="62" spans="2:5" ht="15" customHeight="1" x14ac:dyDescent="0.3">
      <c r="B62" s="77" t="s">
        <v>5</v>
      </c>
      <c r="C62" s="78"/>
      <c r="D62" s="25">
        <f>SUMIF(C10:C61,"TOTAL",D10:D61)</f>
        <v>89</v>
      </c>
      <c r="E62" s="24">
        <v>1</v>
      </c>
    </row>
    <row r="64" spans="2:5" ht="15" customHeight="1" x14ac:dyDescent="0.3">
      <c r="B64" s="3" t="s">
        <v>4</v>
      </c>
    </row>
    <row r="65" spans="2:2" ht="15" customHeight="1" x14ac:dyDescent="0.3">
      <c r="B65" s="5" t="s">
        <v>3</v>
      </c>
    </row>
    <row r="66" spans="2:2" ht="15" customHeight="1" x14ac:dyDescent="0.3">
      <c r="B66" s="4" t="s">
        <v>2</v>
      </c>
    </row>
    <row r="67" spans="2:2" ht="15" customHeight="1" x14ac:dyDescent="0.3">
      <c r="B67" s="3" t="s">
        <v>1</v>
      </c>
    </row>
    <row r="68" spans="2:2" ht="15" customHeight="1" x14ac:dyDescent="0.3">
      <c r="B68" s="3" t="s">
        <v>0</v>
      </c>
    </row>
    <row r="441" spans="2:2" s="21" customFormat="1" ht="15" customHeight="1" x14ac:dyDescent="0.3">
      <c r="B441" s="22"/>
    </row>
    <row r="442" spans="2:2" s="21" customFormat="1" ht="15" customHeight="1" x14ac:dyDescent="0.3">
      <c r="B442" s="23"/>
    </row>
    <row r="443" spans="2:2" s="21" customFormat="1" ht="15" customHeight="1" x14ac:dyDescent="0.3">
      <c r="B443" s="23"/>
    </row>
    <row r="444" spans="2:2" s="21" customFormat="1" ht="15" customHeight="1" x14ac:dyDescent="0.3">
      <c r="B444" s="22"/>
    </row>
    <row r="445" spans="2:2" s="21" customFormat="1" ht="15" customHeight="1" x14ac:dyDescent="0.3">
      <c r="B445" s="22"/>
    </row>
  </sheetData>
  <mergeCells count="23">
    <mergeCell ref="B7:E8"/>
    <mergeCell ref="B10:B12"/>
    <mergeCell ref="B13:B14"/>
    <mergeCell ref="B15:B16"/>
    <mergeCell ref="B28:B29"/>
    <mergeCell ref="B30:B32"/>
    <mergeCell ref="B33:B34"/>
    <mergeCell ref="B35:B36"/>
    <mergeCell ref="B17:B19"/>
    <mergeCell ref="B20:B21"/>
    <mergeCell ref="B22:B24"/>
    <mergeCell ref="B25:B27"/>
    <mergeCell ref="B42:B43"/>
    <mergeCell ref="B44:B46"/>
    <mergeCell ref="B47:B49"/>
    <mergeCell ref="B56:B58"/>
    <mergeCell ref="B37:B39"/>
    <mergeCell ref="B40:B41"/>
    <mergeCell ref="B59:B61"/>
    <mergeCell ref="B62:C62"/>
    <mergeCell ref="B50:B51"/>
    <mergeCell ref="B52:B53"/>
    <mergeCell ref="B54:B55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" manualBreakCount="1">
    <brk id="36" max="4" man="1"/>
  </rowBreaks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489"/>
  <sheetViews>
    <sheetView topLeftCell="A10" zoomScale="145" zoomScaleNormal="145" zoomScaleSheetLayoutView="100" workbookViewId="0"/>
  </sheetViews>
  <sheetFormatPr baseColWidth="10" defaultColWidth="35" defaultRowHeight="15" customHeight="1" x14ac:dyDescent="0.3"/>
  <cols>
    <col min="1" max="1" width="1" style="20" customWidth="1"/>
    <col min="2" max="2" width="22.88671875" style="21" customWidth="1"/>
    <col min="3" max="3" width="31.44140625" style="21" customWidth="1"/>
    <col min="4" max="4" width="14.33203125" style="21" customWidth="1"/>
    <col min="5" max="5" width="16.88671875" style="21" customWidth="1"/>
    <col min="6" max="16384" width="35" style="20"/>
  </cols>
  <sheetData>
    <row r="1" spans="1:5" s="39" customFormat="1" ht="12" customHeight="1" x14ac:dyDescent="0.2">
      <c r="B1" s="43"/>
      <c r="C1" s="42"/>
      <c r="D1" s="42"/>
      <c r="E1" s="42"/>
    </row>
    <row r="2" spans="1:5" s="39" customFormat="1" ht="15" customHeight="1" x14ac:dyDescent="0.2">
      <c r="C2" s="41"/>
    </row>
    <row r="3" spans="1:5" s="39" customFormat="1" ht="15" customHeight="1" x14ac:dyDescent="0.2">
      <c r="C3" s="41"/>
    </row>
    <row r="4" spans="1:5" s="39" customFormat="1" ht="30" customHeight="1" x14ac:dyDescent="0.2">
      <c r="C4" s="41"/>
      <c r="D4" s="40"/>
    </row>
    <row r="5" spans="1:5" s="39" customFormat="1" ht="15" customHeight="1" x14ac:dyDescent="0.2">
      <c r="C5" s="41"/>
      <c r="D5" s="40"/>
    </row>
    <row r="6" spans="1:5" s="36" customFormat="1" ht="24" customHeight="1" x14ac:dyDescent="0.2">
      <c r="B6" s="38"/>
      <c r="C6" s="32"/>
      <c r="D6" s="32"/>
      <c r="E6" s="32"/>
    </row>
    <row r="7" spans="1:5" s="36" customFormat="1" ht="26.25" customHeight="1" x14ac:dyDescent="0.25">
      <c r="A7" s="37"/>
      <c r="B7" s="76"/>
      <c r="C7" s="76"/>
      <c r="D7" s="76"/>
      <c r="E7" s="76"/>
    </row>
    <row r="8" spans="1:5" s="36" customFormat="1" ht="33" customHeight="1" x14ac:dyDescent="0.25">
      <c r="A8" s="37"/>
      <c r="B8" s="76"/>
      <c r="C8" s="76"/>
      <c r="D8" s="76"/>
      <c r="E8" s="76"/>
    </row>
    <row r="9" spans="1:5" s="13" customFormat="1" ht="40.5" customHeight="1" x14ac:dyDescent="0.2">
      <c r="B9" s="33" t="s">
        <v>100</v>
      </c>
      <c r="C9" s="35" t="s">
        <v>109</v>
      </c>
      <c r="D9" s="34" t="s">
        <v>28</v>
      </c>
      <c r="E9" s="33" t="s">
        <v>27</v>
      </c>
    </row>
    <row r="10" spans="1:5" ht="15" customHeight="1" x14ac:dyDescent="0.3">
      <c r="B10" s="71" t="s">
        <v>103</v>
      </c>
      <c r="C10" s="31" t="s">
        <v>108</v>
      </c>
      <c r="D10" s="30">
        <v>15</v>
      </c>
      <c r="E10" s="29">
        <v>0.16853932584269662</v>
      </c>
    </row>
    <row r="11" spans="1:5" ht="15" customHeight="1" x14ac:dyDescent="0.3">
      <c r="B11" s="73"/>
      <c r="C11" s="31" t="s">
        <v>107</v>
      </c>
      <c r="D11" s="30">
        <v>33</v>
      </c>
      <c r="E11" s="29">
        <v>0.3707865168539326</v>
      </c>
    </row>
    <row r="12" spans="1:5" ht="15" customHeight="1" x14ac:dyDescent="0.3">
      <c r="B12" s="73"/>
      <c r="C12" s="31" t="s">
        <v>106</v>
      </c>
      <c r="D12" s="30">
        <v>11</v>
      </c>
      <c r="E12" s="29">
        <v>0.12359550561797752</v>
      </c>
    </row>
    <row r="13" spans="1:5" ht="15" customHeight="1" x14ac:dyDescent="0.3">
      <c r="B13" s="73"/>
      <c r="C13" s="31" t="s">
        <v>105</v>
      </c>
      <c r="D13" s="30">
        <v>2</v>
      </c>
      <c r="E13" s="29">
        <v>2.247191011235955E-2</v>
      </c>
    </row>
    <row r="14" spans="1:5" ht="15" customHeight="1" x14ac:dyDescent="0.3">
      <c r="B14" s="72"/>
      <c r="C14" s="31" t="s">
        <v>104</v>
      </c>
      <c r="D14" s="30">
        <v>1</v>
      </c>
      <c r="E14" s="29">
        <v>1.1235955056179775E-2</v>
      </c>
    </row>
    <row r="15" spans="1:5" s="32" customFormat="1" ht="15" customHeight="1" x14ac:dyDescent="0.2">
      <c r="B15" s="71" t="s">
        <v>102</v>
      </c>
      <c r="C15" s="31" t="s">
        <v>108</v>
      </c>
      <c r="D15" s="30">
        <v>3</v>
      </c>
      <c r="E15" s="29">
        <v>3.3707865168539325E-2</v>
      </c>
    </row>
    <row r="16" spans="1:5" s="32" customFormat="1" ht="15" customHeight="1" x14ac:dyDescent="0.2">
      <c r="B16" s="73"/>
      <c r="C16" s="31" t="s">
        <v>107</v>
      </c>
      <c r="D16" s="30">
        <v>13</v>
      </c>
      <c r="E16" s="29">
        <v>0.14606741573033707</v>
      </c>
    </row>
    <row r="17" spans="2:5" s="32" customFormat="1" ht="15" customHeight="1" x14ac:dyDescent="0.2">
      <c r="B17" s="73"/>
      <c r="C17" s="31" t="s">
        <v>106</v>
      </c>
      <c r="D17" s="30">
        <v>7</v>
      </c>
      <c r="E17" s="29">
        <v>7.8651685393258425E-2</v>
      </c>
    </row>
    <row r="18" spans="2:5" s="32" customFormat="1" ht="15" customHeight="1" x14ac:dyDescent="0.2">
      <c r="B18" s="73"/>
      <c r="C18" s="31" t="s">
        <v>105</v>
      </c>
      <c r="D18" s="30">
        <v>2</v>
      </c>
      <c r="E18" s="29">
        <v>2.247191011235955E-2</v>
      </c>
    </row>
    <row r="19" spans="2:5" s="32" customFormat="1" ht="15" customHeight="1" x14ac:dyDescent="0.2">
      <c r="B19" s="72"/>
      <c r="C19" s="31" t="s">
        <v>104</v>
      </c>
      <c r="D19" s="30">
        <v>2</v>
      </c>
      <c r="E19" s="29">
        <v>2.247191011235955E-2</v>
      </c>
    </row>
    <row r="20" spans="2:5" ht="15" customHeight="1" x14ac:dyDescent="0.3">
      <c r="B20" s="77" t="s">
        <v>5</v>
      </c>
      <c r="C20" s="78"/>
      <c r="D20" s="25">
        <v>89</v>
      </c>
      <c r="E20" s="24">
        <v>1</v>
      </c>
    </row>
    <row r="22" spans="2:5" ht="15" customHeight="1" x14ac:dyDescent="0.3">
      <c r="B22" s="3" t="s">
        <v>4</v>
      </c>
    </row>
    <row r="23" spans="2:5" ht="15" customHeight="1" x14ac:dyDescent="0.3">
      <c r="B23" s="5" t="s">
        <v>3</v>
      </c>
    </row>
    <row r="24" spans="2:5" ht="15" customHeight="1" x14ac:dyDescent="0.3">
      <c r="B24" s="4" t="s">
        <v>2</v>
      </c>
    </row>
    <row r="25" spans="2:5" ht="15" customHeight="1" x14ac:dyDescent="0.3">
      <c r="B25" s="3" t="s">
        <v>1</v>
      </c>
    </row>
    <row r="26" spans="2:5" ht="15" customHeight="1" x14ac:dyDescent="0.3">
      <c r="B26" s="3" t="s">
        <v>0</v>
      </c>
    </row>
    <row r="485" spans="2:2" s="21" customFormat="1" ht="15" customHeight="1" x14ac:dyDescent="0.3">
      <c r="B485" s="22"/>
    </row>
    <row r="486" spans="2:2" s="21" customFormat="1" ht="15" customHeight="1" x14ac:dyDescent="0.3">
      <c r="B486" s="23"/>
    </row>
    <row r="487" spans="2:2" s="21" customFormat="1" ht="15" customHeight="1" x14ac:dyDescent="0.3">
      <c r="B487" s="23"/>
    </row>
    <row r="488" spans="2:2" s="21" customFormat="1" ht="15" customHeight="1" x14ac:dyDescent="0.3">
      <c r="B488" s="22"/>
    </row>
    <row r="489" spans="2:2" s="21" customFormat="1" ht="15" customHeight="1" x14ac:dyDescent="0.3">
      <c r="B489" s="22"/>
    </row>
  </sheetData>
  <mergeCells count="4">
    <mergeCell ref="B7:E8"/>
    <mergeCell ref="B10:B14"/>
    <mergeCell ref="B15:B19"/>
    <mergeCell ref="B20:C20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B1:D24"/>
  <sheetViews>
    <sheetView showGridLines="0" tabSelected="1" zoomScaleNormal="100" zoomScaleSheetLayoutView="115" workbookViewId="0">
      <selection activeCell="K18" sqref="K18"/>
    </sheetView>
  </sheetViews>
  <sheetFormatPr baseColWidth="10" defaultColWidth="11.44140625" defaultRowHeight="14.4" x14ac:dyDescent="0.3"/>
  <cols>
    <col min="1" max="1" width="9.33203125" style="1" customWidth="1"/>
    <col min="2" max="2" width="21.6640625" style="1" customWidth="1"/>
    <col min="3" max="3" width="17.6640625" style="2" customWidth="1"/>
    <col min="4" max="4" width="17.6640625" style="1" customWidth="1"/>
    <col min="5" max="5" width="9.33203125" style="1" customWidth="1"/>
    <col min="6" max="6" width="5.6640625" style="1" customWidth="1"/>
    <col min="7" max="16384" width="11.44140625" style="1"/>
  </cols>
  <sheetData>
    <row r="1" spans="2:4" s="13" customFormat="1" ht="15" customHeight="1" x14ac:dyDescent="0.2">
      <c r="C1" s="19"/>
    </row>
    <row r="2" spans="2:4" s="13" customFormat="1" ht="15" customHeight="1" x14ac:dyDescent="0.2">
      <c r="C2" s="19"/>
    </row>
    <row r="3" spans="2:4" s="13" customFormat="1" ht="15" customHeight="1" x14ac:dyDescent="0.2">
      <c r="C3" s="19"/>
    </row>
    <row r="4" spans="2:4" s="13" customFormat="1" ht="30" customHeight="1" x14ac:dyDescent="0.2">
      <c r="C4" s="19"/>
      <c r="D4" s="18"/>
    </row>
    <row r="5" spans="2:4" s="13" customFormat="1" ht="15" customHeight="1" x14ac:dyDescent="0.2">
      <c r="C5" s="19"/>
      <c r="D5" s="18"/>
    </row>
    <row r="6" spans="2:4" s="13" customFormat="1" ht="15" customHeight="1" x14ac:dyDescent="0.2">
      <c r="C6" s="19"/>
      <c r="D6" s="18"/>
    </row>
    <row r="7" spans="2:4" s="13" customFormat="1" ht="15" customHeight="1" x14ac:dyDescent="0.2">
      <c r="B7" s="70" t="s">
        <v>117</v>
      </c>
      <c r="C7" s="70"/>
      <c r="D7" s="70"/>
    </row>
    <row r="8" spans="2:4" s="13" customFormat="1" ht="15" customHeight="1" x14ac:dyDescent="0.2">
      <c r="B8" s="70"/>
      <c r="C8" s="70"/>
      <c r="D8" s="70"/>
    </row>
    <row r="9" spans="2:4" s="13" customFormat="1" ht="33" customHeight="1" x14ac:dyDescent="0.2">
      <c r="B9" s="70"/>
      <c r="C9" s="70"/>
      <c r="D9" s="70"/>
    </row>
    <row r="10" spans="2:4" s="13" customFormat="1" ht="4.5" customHeight="1" x14ac:dyDescent="0.2">
      <c r="B10" s="17"/>
      <c r="C10" s="17"/>
      <c r="D10" s="17"/>
    </row>
    <row r="11" spans="2:4" s="13" customFormat="1" ht="33" customHeight="1" x14ac:dyDescent="0.2">
      <c r="B11" s="16" t="s">
        <v>116</v>
      </c>
      <c r="C11" s="15" t="s">
        <v>28</v>
      </c>
      <c r="D11" s="14" t="s">
        <v>27</v>
      </c>
    </row>
    <row r="12" spans="2:4" ht="15" customHeight="1" x14ac:dyDescent="0.3">
      <c r="B12" s="11" t="s">
        <v>115</v>
      </c>
      <c r="C12" s="10">
        <v>68</v>
      </c>
      <c r="D12" s="9">
        <v>0.7640449438202247</v>
      </c>
    </row>
    <row r="13" spans="2:4" x14ac:dyDescent="0.3">
      <c r="B13" s="11" t="s">
        <v>114</v>
      </c>
      <c r="C13" s="10">
        <v>16</v>
      </c>
      <c r="D13" s="9">
        <v>0.1797752808988764</v>
      </c>
    </row>
    <row r="14" spans="2:4" s="12" customFormat="1" ht="15" x14ac:dyDescent="0.3">
      <c r="B14" s="11" t="s">
        <v>113</v>
      </c>
      <c r="C14" s="10">
        <v>2</v>
      </c>
      <c r="D14" s="9">
        <v>2.247191011235955E-2</v>
      </c>
    </row>
    <row r="15" spans="2:4" s="12" customFormat="1" ht="15" x14ac:dyDescent="0.3">
      <c r="B15" s="11" t="s">
        <v>112</v>
      </c>
      <c r="C15" s="10">
        <v>1</v>
      </c>
      <c r="D15" s="9">
        <v>1.1235955056179775E-2</v>
      </c>
    </row>
    <row r="16" spans="2:4" x14ac:dyDescent="0.3">
      <c r="B16" s="11" t="s">
        <v>111</v>
      </c>
      <c r="C16" s="10">
        <v>1</v>
      </c>
      <c r="D16" s="9">
        <v>1.1235955056179775E-2</v>
      </c>
    </row>
    <row r="17" spans="2:4" x14ac:dyDescent="0.3">
      <c r="B17" s="11" t="s">
        <v>110</v>
      </c>
      <c r="C17" s="10">
        <v>1</v>
      </c>
      <c r="D17" s="9">
        <v>1.1235955056179775E-2</v>
      </c>
    </row>
    <row r="18" spans="2:4" x14ac:dyDescent="0.3">
      <c r="B18" s="8" t="s">
        <v>5</v>
      </c>
      <c r="C18" s="7">
        <v>89</v>
      </c>
      <c r="D18" s="6">
        <v>1</v>
      </c>
    </row>
    <row r="19" spans="2:4" x14ac:dyDescent="0.3">
      <c r="B19" s="3"/>
    </row>
    <row r="20" spans="2:4" x14ac:dyDescent="0.3">
      <c r="B20" s="3" t="s">
        <v>4</v>
      </c>
    </row>
    <row r="21" spans="2:4" x14ac:dyDescent="0.3">
      <c r="B21" s="5" t="s">
        <v>3</v>
      </c>
    </row>
    <row r="22" spans="2:4" x14ac:dyDescent="0.3">
      <c r="B22" s="4" t="s">
        <v>2</v>
      </c>
    </row>
    <row r="23" spans="2:4" x14ac:dyDescent="0.3">
      <c r="B23" s="3" t="s">
        <v>1</v>
      </c>
    </row>
    <row r="24" spans="2:4" x14ac:dyDescent="0.3">
      <c r="B24" s="3" t="s">
        <v>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New Hampshire_Edomexgral</vt:lpstr>
      <vt:lpstr>New Hampshire_EDOMEX</vt:lpstr>
      <vt:lpstr>New Hampshire_Educagral</vt:lpstr>
      <vt:lpstr>New Hampshire_Eduedo</vt:lpstr>
      <vt:lpstr>New Hampshire_gengral</vt:lpstr>
      <vt:lpstr>New Hampshire_edomexgen</vt:lpstr>
      <vt:lpstr>New Hampshire_edadgen</vt:lpstr>
      <vt:lpstr>New Hampshire_ocupgral</vt:lpstr>
      <vt:lpstr>'New Hampshire_edadgen'!Área_de_impresión</vt:lpstr>
      <vt:lpstr>'New Hampshire_EDOMEX'!Área_de_impresión</vt:lpstr>
      <vt:lpstr>'New Hampshire_edomexgen'!Área_de_impresión</vt:lpstr>
      <vt:lpstr>'New Hampshire_Eduedo'!Área_de_impresión</vt:lpstr>
      <vt:lpstr>'New Hampshire_edadgen'!Títulos_a_imprimir</vt:lpstr>
      <vt:lpstr>'New Hampshire_EDOMEX'!Títulos_a_imprimir</vt:lpstr>
      <vt:lpstr>'New Hampshire_edomexgen'!Títulos_a_imprimir</vt:lpstr>
      <vt:lpstr>'New Hampshire_Edomexgral'!Títulos_a_imprimir</vt:lpstr>
      <vt:lpstr>'New Hampshire_Educagral'!Títulos_a_imprimir</vt:lpstr>
      <vt:lpstr>'New Hampshire_Eduedo'!Títulos_a_imprimir</vt:lpstr>
      <vt:lpstr>'New Hampshire_gengral'!Títulos_a_imprimir</vt:lpstr>
      <vt:lpstr>'New Hampshire_ocupgral'!Títulos_a_imprimir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García Ayala, Miguel Ángel</cp:lastModifiedBy>
  <dcterms:created xsi:type="dcterms:W3CDTF">2020-05-15T18:21:40Z</dcterms:created>
  <dcterms:modified xsi:type="dcterms:W3CDTF">2020-08-07T17:47:45Z</dcterms:modified>
</cp:coreProperties>
</file>