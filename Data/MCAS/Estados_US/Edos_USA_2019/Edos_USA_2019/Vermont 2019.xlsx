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0" r:id="rId1"/>
    <sheet name="Vermont_Edomexgral" sheetId="2" r:id="rId2"/>
    <sheet name="Vermont_EDOMEX" sheetId="12" r:id="rId3"/>
    <sheet name="Vermont_Educagral" sheetId="4" r:id="rId4"/>
    <sheet name="Vermont_Eduedo" sheetId="11" r:id="rId5"/>
    <sheet name="Vermont_gengral" sheetId="6" r:id="rId6"/>
    <sheet name="Vermont_edomexgen" sheetId="7" r:id="rId7"/>
    <sheet name="Vermont_edadgen" sheetId="8" r:id="rId8"/>
    <sheet name="Vermont_ocupgral" sheetId="9" r:id="rId9"/>
  </sheets>
  <definedNames>
    <definedName name="_xlnm._FilterDatabase" localSheetId="7" hidden="1">Vermont_edadgen!$B$9:$E$13</definedName>
    <definedName name="_xlnm._FilterDatabase" localSheetId="2" hidden="1">Vermont_EDOMEX!$B$9:$E$13</definedName>
    <definedName name="_xlnm._FilterDatabase" localSheetId="6" hidden="1">Vermont_edomexgen!$B$9:$E$9</definedName>
    <definedName name="_xlnm._FilterDatabase" localSheetId="1" hidden="1">Vermont_Edomexgral!$B$11:$D$12</definedName>
    <definedName name="_xlnm._FilterDatabase" localSheetId="3" hidden="1">Vermont_Educagral!$B$11:$D$12</definedName>
    <definedName name="_xlnm._FilterDatabase" localSheetId="4" hidden="1">Vermont_Eduedo!$B$9:$E$13</definedName>
    <definedName name="_xlnm._FilterDatabase" localSheetId="5" hidden="1">Vermont_gengral!$B$11:$D$12</definedName>
    <definedName name="_xlnm._FilterDatabase" localSheetId="8" hidden="1">Vermont_ocupgral!$B$11:$D$12</definedName>
    <definedName name="_xlnm.Print_Area" localSheetId="0">Índice!$A$1:$D$21</definedName>
    <definedName name="_xlnm.Print_Area" localSheetId="7">Vermont_edadgen!$A$1:$E$24</definedName>
    <definedName name="_xlnm.Print_Area" localSheetId="2">Vermont_EDOMEX!$A$1:$E$65</definedName>
    <definedName name="_xlnm.Print_Area" localSheetId="6">Vermont_edomexgen!$A$1:$E$45</definedName>
    <definedName name="_xlnm.Print_Area" localSheetId="4">Vermont_Eduedo!$A$1:$E$82</definedName>
    <definedName name="_xlnm.Print_Titles" localSheetId="7">Vermont_edadgen!$1:$9</definedName>
    <definedName name="_xlnm.Print_Titles" localSheetId="2">Vermont_EDOMEX!$1:$9</definedName>
    <definedName name="_xlnm.Print_Titles" localSheetId="6">Vermont_edomexgen!$1:$9</definedName>
    <definedName name="_xlnm.Print_Titles" localSheetId="1">Vermont_Edomexgral!$1:$11</definedName>
    <definedName name="_xlnm.Print_Titles" localSheetId="3">Vermont_Educagral!$1:$11</definedName>
    <definedName name="_xlnm.Print_Titles" localSheetId="4">Vermont_Eduedo!$1:$9</definedName>
    <definedName name="_xlnm.Print_Titles" localSheetId="5">Vermont_gengral!$1:$11</definedName>
    <definedName name="_xlnm.Print_Titles" localSheetId="8">Vermont_ocupgral!$1:$11</definedName>
  </definedNames>
  <calcPr calcId="152511"/>
</workbook>
</file>

<file path=xl/calcChain.xml><?xml version="1.0" encoding="utf-8"?>
<calcChain xmlns="http://schemas.openxmlformats.org/spreadsheetml/2006/main">
  <c r="D59" i="12" l="1"/>
  <c r="D39" i="7" l="1"/>
</calcChain>
</file>

<file path=xl/sharedStrings.xml><?xml version="1.0" encoding="utf-8"?>
<sst xmlns="http://schemas.openxmlformats.org/spreadsheetml/2006/main" count="322" uniqueCount="111">
  <si>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</si>
  <si>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</si>
  <si>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</si>
  <si>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</si>
  <si>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</si>
  <si>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</si>
  <si>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Nayarit</t>
  </si>
  <si>
    <t>Jalisco</t>
  </si>
  <si>
    <t>Colima</t>
  </si>
  <si>
    <t>Puebla</t>
  </si>
  <si>
    <t>Hidalgo</t>
  </si>
  <si>
    <t>Guerrero</t>
  </si>
  <si>
    <t>Estado de México</t>
  </si>
  <si>
    <t>Ciudad de México</t>
  </si>
  <si>
    <t>Oaxaca</t>
  </si>
  <si>
    <t>Veracruz</t>
  </si>
  <si>
    <t>Chiapas</t>
  </si>
  <si>
    <t>Tabasco</t>
  </si>
  <si>
    <t>Porcentaje de Matrículas</t>
  </si>
  <si>
    <t>Número de Matrículas</t>
  </si>
  <si>
    <t>Estado de Origen</t>
  </si>
  <si>
    <t>MATRÍCULAS CONSULARES DE ALTA SEGURIDAD EXPEDIDAS EN EL ESTADO DE VERMONT EN EE.UU. POR ESTADO DE LA REPÚBLICA MEXICANA DURANTE EL 2019</t>
  </si>
  <si>
    <t>Tlapacoyan</t>
  </si>
  <si>
    <t>Sayula de Alemán</t>
  </si>
  <si>
    <t>Playa Vicente</t>
  </si>
  <si>
    <t>Martínez de la Torre</t>
  </si>
  <si>
    <t>Isla</t>
  </si>
  <si>
    <t>Atzalan</t>
  </si>
  <si>
    <t>Altotonga</t>
  </si>
  <si>
    <t>Actopan</t>
  </si>
  <si>
    <t>Huimanguillo</t>
  </si>
  <si>
    <t>Comalcalco</t>
  </si>
  <si>
    <t>Cárdenas</t>
  </si>
  <si>
    <t>Hueytamalco</t>
  </si>
  <si>
    <t>Santa María Ipalapa</t>
  </si>
  <si>
    <t>San Pedro y San Pablo Teposcolula</t>
  </si>
  <si>
    <t>San Antonino Monte Verde</t>
  </si>
  <si>
    <t>Santiago Ixcuintla</t>
  </si>
  <si>
    <t>Guadalajara</t>
  </si>
  <si>
    <t>Pisaflores</t>
  </si>
  <si>
    <t>Jacala de Ledezma</t>
  </si>
  <si>
    <t>Tlapa de Comonfort</t>
  </si>
  <si>
    <t>Atlixtac</t>
  </si>
  <si>
    <t>Tlatlaya</t>
  </si>
  <si>
    <t>Tlalnepantla de Baz</t>
  </si>
  <si>
    <t>Naucalpan de Juárez</t>
  </si>
  <si>
    <t>Aculco</t>
  </si>
  <si>
    <t>Xochimilco</t>
  </si>
  <si>
    <t>Tlalpan</t>
  </si>
  <si>
    <t>Tláhuac</t>
  </si>
  <si>
    <t>Gustavo A. Madero</t>
  </si>
  <si>
    <t>Manzanillo</t>
  </si>
  <si>
    <t>Villaflores</t>
  </si>
  <si>
    <t>Siltepec</t>
  </si>
  <si>
    <t>Reforma</t>
  </si>
  <si>
    <t>Las Margaritas</t>
  </si>
  <si>
    <t>La Concordia</t>
  </si>
  <si>
    <t>Escuintla</t>
  </si>
  <si>
    <t>Comitán de Domínguez</t>
  </si>
  <si>
    <t>Municipio Origen</t>
  </si>
  <si>
    <t>Profesional Titulado</t>
  </si>
  <si>
    <t>2° Año de profesional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</si>
  <si>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</si>
  <si>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</si>
  <si>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</si>
  <si>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</si>
  <si>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</si>
  <si>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</si>
  <si>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</si>
  <si>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</si>
  <si>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</si>
  <si>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</si>
  <si>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</si>
  <si>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</si>
  <si>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</si>
  <si>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</si>
  <si>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</si>
  <si>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VERMONT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</si>
  <si>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</si>
  <si>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</si>
  <si>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</si>
  <si>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</si>
  <si>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VERMONT, POR GÉNERO 2019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</si>
  <si>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</si>
  <si>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</si>
  <si>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</si>
  <si>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</si>
  <si>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</si>
  <si>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</si>
  <si>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</si>
  <si>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Otro</t>
  </si>
  <si>
    <t>Obrero(a)</t>
  </si>
  <si>
    <t>Hogar</t>
  </si>
  <si>
    <t>Campesino(a)</t>
  </si>
  <si>
    <t>Empleado(a)</t>
  </si>
  <si>
    <t>Ocupación</t>
  </si>
  <si>
    <t>MATRÍCULAS CONSULARES DE ALTA SEGURIDAD EXPEDIDAS EN EE.UU A MEXICANOS EN EL ESTADO DE  VERMONT,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</si>
  <si>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</si>
  <si>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</si>
  <si>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</si>
  <si>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</si>
  <si>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</si>
  <si>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</si>
  <si>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</si>
  <si>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</si>
  <si>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</si>
  <si>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</si>
  <si>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</si>
  <si>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</si>
  <si>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Vermont en el 2019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</si>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</sst>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104775</xdr:rowOff>
    </xdr:from>
    <xdr:to>
      <xdr:col>5</xdr:col>
      <xdr:colOff>64422</xdr:colOff>
      <xdr:row>8</xdr:row>
      <xdr:rowOff>284070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8192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VERMONT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131379</xdr:rowOff>
    </xdr:from>
    <xdr:to>
      <xdr:col>4</xdr:col>
      <xdr:colOff>1005052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72155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114300</xdr:rowOff>
    </xdr:from>
    <xdr:to>
      <xdr:col>4</xdr:col>
      <xdr:colOff>512097</xdr:colOff>
      <xdr:row>8</xdr:row>
      <xdr:rowOff>293595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8288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VERMONT,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76200</xdr:rowOff>
    </xdr:from>
    <xdr:to>
      <xdr:col>4</xdr:col>
      <xdr:colOff>607347</xdr:colOff>
      <xdr:row>8</xdr:row>
      <xdr:rowOff>255495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907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610914</xdr:colOff>
      <xdr:row>7</xdr:row>
      <xdr:rowOff>144517</xdr:rowOff>
    </xdr:from>
    <xdr:to>
      <xdr:col>4</xdr:col>
      <xdr:colOff>1123011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604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144517</xdr:rowOff>
    </xdr:from>
    <xdr:to>
      <xdr:col>4</xdr:col>
      <xdr:colOff>971924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A2" zoomScaleNormal="100" zoomScaleSheetLayoutView="100" workbookViewId="0">
      <selection activeCell="L14" sqref="L14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7" t="s">
        <v>109</v>
      </c>
      <c r="B1" s="68"/>
      <c r="C1" s="68"/>
      <c r="D1" s="69"/>
    </row>
    <row r="2" spans="1:4" ht="18" x14ac:dyDescent="0.4">
      <c r="A2" s="48"/>
      <c r="B2" s="49"/>
      <c r="C2" s="49"/>
      <c r="D2" s="50"/>
    </row>
    <row r="3" spans="1:4" x14ac:dyDescent="0.4">
      <c r="A3" s="70" t="s">
        <v>97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1"/>
      <c r="B5" s="52"/>
      <c r="C5" s="52"/>
      <c r="D5" s="53"/>
    </row>
    <row r="6" spans="1:4" ht="18" x14ac:dyDescent="0.4">
      <c r="A6" s="66" t="s">
        <v>98</v>
      </c>
      <c r="B6" s="64"/>
      <c r="C6" s="64"/>
      <c r="D6" s="65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99</v>
      </c>
      <c r="B8" s="58"/>
      <c r="C8" s="58"/>
      <c r="D8" s="59"/>
    </row>
    <row r="9" spans="1:4" ht="18" x14ac:dyDescent="0.4">
      <c r="A9" s="57"/>
      <c r="B9" s="64" t="s">
        <v>100</v>
      </c>
      <c r="C9" s="64"/>
      <c r="D9" s="65"/>
    </row>
    <row r="10" spans="1:4" ht="18" x14ac:dyDescent="0.4">
      <c r="A10" s="57" t="s">
        <v>101</v>
      </c>
      <c r="B10" s="58"/>
      <c r="C10" s="58"/>
      <c r="D10" s="59"/>
    </row>
    <row r="11" spans="1:4" ht="18" x14ac:dyDescent="0.4">
      <c r="A11" s="57"/>
      <c r="B11" s="64" t="s">
        <v>102</v>
      </c>
      <c r="C11" s="64"/>
      <c r="D11" s="65"/>
    </row>
    <row r="12" spans="1:4" ht="18" x14ac:dyDescent="0.4">
      <c r="A12" s="57"/>
      <c r="B12" s="64" t="s">
        <v>103</v>
      </c>
      <c r="C12" s="64"/>
      <c r="D12" s="65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104</v>
      </c>
      <c r="B14" s="58"/>
      <c r="C14" s="58"/>
      <c r="D14" s="59"/>
    </row>
    <row r="15" spans="1:4" ht="18" x14ac:dyDescent="0.4">
      <c r="A15" s="57"/>
      <c r="B15" s="64" t="s">
        <v>105</v>
      </c>
      <c r="C15" s="64"/>
      <c r="D15" s="65"/>
    </row>
    <row r="16" spans="1:4" ht="18" x14ac:dyDescent="0.4">
      <c r="A16" s="57"/>
      <c r="B16" s="64" t="s">
        <v>106</v>
      </c>
      <c r="C16" s="64"/>
      <c r="D16" s="65"/>
    </row>
    <row r="17" spans="1:4" ht="18" x14ac:dyDescent="0.4">
      <c r="A17" s="57"/>
      <c r="B17" s="58"/>
      <c r="C17" s="58"/>
      <c r="D17" s="59"/>
    </row>
    <row r="18" spans="1:4" ht="18" x14ac:dyDescent="0.4">
      <c r="A18" s="66" t="s">
        <v>107</v>
      </c>
      <c r="B18" s="64"/>
      <c r="C18" s="64"/>
      <c r="D18" s="65"/>
    </row>
    <row r="19" spans="1:4" ht="18" x14ac:dyDescent="0.4">
      <c r="A19" s="57"/>
      <c r="B19" s="58"/>
      <c r="C19" s="58"/>
      <c r="D19" s="59"/>
    </row>
    <row r="20" spans="1:4" ht="18" x14ac:dyDescent="0.4">
      <c r="A20" s="66" t="s">
        <v>108</v>
      </c>
      <c r="B20" s="64"/>
      <c r="C20" s="64"/>
      <c r="D20" s="65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ermont_Edomexgral!A1" display="1. Por Estados de la República Mexicana"/>
    <hyperlink ref="B9" location="'New Jersey_EDOMEX'!A1" display="2.1 Por estado de la República Mexicana y municipio de origen"/>
    <hyperlink ref="B11:D11" location="Vermont_Educagral!A1" display="3.1 Educación general"/>
    <hyperlink ref="B12:D12" location="Vermont_Eduedo!A1" display="3.2 Por Estado de la República Mexicana"/>
    <hyperlink ref="B15:D15" location="Vermont_gengral!A1" display="4.1 Género General"/>
    <hyperlink ref="B16:D16" location="Vermont_edomexgen!A1" display="4.2 Por Estados de la República Mexicana"/>
    <hyperlink ref="A18:D18" location="Vermont_edadgen!A1" display="5. Por estructura de Edad"/>
    <hyperlink ref="A20:D20" location="Vermont_ocupgral!A1" display="6. Por Ocupación"/>
    <hyperlink ref="B9:D9" location="Vermon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30"/>
  <sheetViews>
    <sheetView showGridLines="0" topLeftCell="A17" zoomScaleNormal="100" zoomScaleSheetLayoutView="115" workbookViewId="0">
      <selection activeCell="A24" sqref="A24:XFD43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3" t="s">
        <v>21</v>
      </c>
      <c r="C7" s="73"/>
      <c r="D7" s="73"/>
    </row>
    <row r="8" spans="2:4" s="13" customFormat="1" ht="15" customHeight="1" x14ac:dyDescent="0.2">
      <c r="B8" s="73"/>
      <c r="C8" s="73"/>
      <c r="D8" s="73"/>
    </row>
    <row r="9" spans="2:4" s="13" customFormat="1" ht="33" customHeight="1" x14ac:dyDescent="0.2">
      <c r="B9" s="73"/>
      <c r="C9" s="73"/>
      <c r="D9" s="73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20</v>
      </c>
      <c r="C11" s="15" t="s">
        <v>19</v>
      </c>
      <c r="D11" s="14" t="s">
        <v>18</v>
      </c>
    </row>
    <row r="12" spans="2:4" ht="15" customHeight="1" x14ac:dyDescent="0.3">
      <c r="B12" s="11" t="s">
        <v>17</v>
      </c>
      <c r="C12" s="10">
        <v>44</v>
      </c>
      <c r="D12" s="9">
        <v>0.37606837606837606</v>
      </c>
    </row>
    <row r="13" spans="2:4" x14ac:dyDescent="0.3">
      <c r="B13" s="11" t="s">
        <v>16</v>
      </c>
      <c r="C13" s="10">
        <v>25</v>
      </c>
      <c r="D13" s="9">
        <v>0.21367521367521367</v>
      </c>
    </row>
    <row r="14" spans="2:4" s="12" customFormat="1" ht="15" x14ac:dyDescent="0.3">
      <c r="B14" s="11" t="s">
        <v>15</v>
      </c>
      <c r="C14" s="10">
        <v>20</v>
      </c>
      <c r="D14" s="9">
        <v>0.17094017094017094</v>
      </c>
    </row>
    <row r="15" spans="2:4" s="12" customFormat="1" ht="15" x14ac:dyDescent="0.3">
      <c r="B15" s="11" t="s">
        <v>14</v>
      </c>
      <c r="C15" s="10">
        <v>7</v>
      </c>
      <c r="D15" s="9">
        <v>5.9829059829059832E-2</v>
      </c>
    </row>
    <row r="16" spans="2:4" x14ac:dyDescent="0.3">
      <c r="B16" s="11" t="s">
        <v>13</v>
      </c>
      <c r="C16" s="10">
        <v>5</v>
      </c>
      <c r="D16" s="9">
        <v>4.2735042735042736E-2</v>
      </c>
    </row>
    <row r="17" spans="2:4" x14ac:dyDescent="0.3">
      <c r="B17" s="11" t="s">
        <v>12</v>
      </c>
      <c r="C17" s="10">
        <v>5</v>
      </c>
      <c r="D17" s="9">
        <v>4.2735042735042736E-2</v>
      </c>
    </row>
    <row r="18" spans="2:4" x14ac:dyDescent="0.3">
      <c r="B18" s="11" t="s">
        <v>11</v>
      </c>
      <c r="C18" s="10">
        <v>4</v>
      </c>
      <c r="D18" s="9">
        <v>3.4188034188034191E-2</v>
      </c>
    </row>
    <row r="19" spans="2:4" x14ac:dyDescent="0.3">
      <c r="B19" s="11" t="s">
        <v>10</v>
      </c>
      <c r="C19" s="10">
        <v>2</v>
      </c>
      <c r="D19" s="9">
        <v>1.7094017094017096E-2</v>
      </c>
    </row>
    <row r="20" spans="2:4" x14ac:dyDescent="0.3">
      <c r="B20" s="11" t="s">
        <v>9</v>
      </c>
      <c r="C20" s="10">
        <v>2</v>
      </c>
      <c r="D20" s="9">
        <v>1.7094017094017096E-2</v>
      </c>
    </row>
    <row r="21" spans="2:4" x14ac:dyDescent="0.3">
      <c r="B21" s="11" t="s">
        <v>8</v>
      </c>
      <c r="C21" s="10">
        <v>1</v>
      </c>
      <c r="D21" s="9">
        <v>8.5470085470085479E-3</v>
      </c>
    </row>
    <row r="22" spans="2:4" x14ac:dyDescent="0.3">
      <c r="B22" s="11" t="s">
        <v>7</v>
      </c>
      <c r="C22" s="10">
        <v>1</v>
      </c>
      <c r="D22" s="9">
        <v>8.5470085470085479E-3</v>
      </c>
    </row>
    <row r="23" spans="2:4" x14ac:dyDescent="0.3">
      <c r="B23" s="11" t="s">
        <v>6</v>
      </c>
      <c r="C23" s="10">
        <v>1</v>
      </c>
      <c r="D23" s="9">
        <v>8.5470085470085479E-3</v>
      </c>
    </row>
    <row r="24" spans="2:4" x14ac:dyDescent="0.3">
      <c r="B24" s="8" t="s">
        <v>5</v>
      </c>
      <c r="C24" s="7">
        <v>117</v>
      </c>
      <c r="D24" s="6">
        <v>1</v>
      </c>
    </row>
    <row r="26" spans="2:4" x14ac:dyDescent="0.3">
      <c r="B26" s="3" t="s">
        <v>4</v>
      </c>
    </row>
    <row r="27" spans="2:4" x14ac:dyDescent="0.3">
      <c r="B27" s="5" t="s">
        <v>3</v>
      </c>
    </row>
    <row r="28" spans="2:4" x14ac:dyDescent="0.3">
      <c r="B28" s="4" t="s">
        <v>2</v>
      </c>
    </row>
    <row r="29" spans="2:4" x14ac:dyDescent="0.3">
      <c r="B29" s="3" t="s">
        <v>1</v>
      </c>
    </row>
    <row r="30" spans="2:4" x14ac:dyDescent="0.3">
      <c r="B3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16" zoomScale="145" zoomScaleNormal="145" zoomScaleSheetLayoutView="100" workbookViewId="0">
      <selection activeCell="F9" sqref="F9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9"/>
      <c r="C7" s="79"/>
      <c r="D7" s="79"/>
      <c r="E7" s="79"/>
    </row>
    <row r="8" spans="1:5" s="36" customFormat="1" ht="33" customHeight="1" x14ac:dyDescent="0.25">
      <c r="A8" s="37"/>
      <c r="B8" s="79"/>
      <c r="C8" s="79"/>
      <c r="D8" s="79"/>
      <c r="E8" s="79"/>
    </row>
    <row r="9" spans="1:5" s="13" customFormat="1" ht="40.5" customHeight="1" x14ac:dyDescent="0.2">
      <c r="B9" s="33" t="s">
        <v>20</v>
      </c>
      <c r="C9" s="35" t="s">
        <v>59</v>
      </c>
      <c r="D9" s="34" t="s">
        <v>19</v>
      </c>
      <c r="E9" s="33" t="s">
        <v>18</v>
      </c>
    </row>
    <row r="10" spans="1:5" ht="15" customHeight="1" x14ac:dyDescent="0.3">
      <c r="B10" s="74" t="s">
        <v>16</v>
      </c>
      <c r="C10" s="31" t="s">
        <v>58</v>
      </c>
      <c r="D10" s="30">
        <v>6</v>
      </c>
      <c r="E10" s="29">
        <v>5.128205128205128E-2</v>
      </c>
    </row>
    <row r="11" spans="1:5" ht="15" customHeight="1" x14ac:dyDescent="0.3">
      <c r="B11" s="75"/>
      <c r="C11" s="31" t="s">
        <v>57</v>
      </c>
      <c r="D11" s="30">
        <v>1</v>
      </c>
      <c r="E11" s="29">
        <v>8.5470085470085479E-3</v>
      </c>
    </row>
    <row r="12" spans="1:5" ht="15" customHeight="1" x14ac:dyDescent="0.3">
      <c r="B12" s="75"/>
      <c r="C12" s="31" t="s">
        <v>56</v>
      </c>
      <c r="D12" s="30">
        <v>1</v>
      </c>
      <c r="E12" s="29">
        <v>8.5470085470085479E-3</v>
      </c>
    </row>
    <row r="13" spans="1:5" ht="15" customHeight="1" x14ac:dyDescent="0.3">
      <c r="B13" s="75"/>
      <c r="C13" s="31" t="s">
        <v>55</v>
      </c>
      <c r="D13" s="30">
        <v>12</v>
      </c>
      <c r="E13" s="29">
        <v>0.10256410256410256</v>
      </c>
    </row>
    <row r="14" spans="1:5" ht="15" customHeight="1" x14ac:dyDescent="0.3">
      <c r="B14" s="75"/>
      <c r="C14" s="31" t="s">
        <v>54</v>
      </c>
      <c r="D14" s="30">
        <v>1</v>
      </c>
      <c r="E14" s="29">
        <v>8.5470085470085479E-3</v>
      </c>
    </row>
    <row r="15" spans="1:5" s="32" customFormat="1" ht="15" customHeight="1" x14ac:dyDescent="0.2">
      <c r="B15" s="75"/>
      <c r="C15" s="31" t="s">
        <v>53</v>
      </c>
      <c r="D15" s="30">
        <v>2</v>
      </c>
      <c r="E15" s="29">
        <v>1.7094017094017096E-2</v>
      </c>
    </row>
    <row r="16" spans="1:5" s="32" customFormat="1" ht="15" customHeight="1" x14ac:dyDescent="0.2">
      <c r="B16" s="75"/>
      <c r="C16" s="31" t="s">
        <v>52</v>
      </c>
      <c r="D16" s="30">
        <v>2</v>
      </c>
      <c r="E16" s="29">
        <v>1.7094017094017096E-2</v>
      </c>
    </row>
    <row r="17" spans="2:5" s="32" customFormat="1" ht="15" customHeight="1" x14ac:dyDescent="0.2">
      <c r="B17" s="76"/>
      <c r="C17" s="28" t="s">
        <v>5</v>
      </c>
      <c r="D17" s="27">
        <v>25</v>
      </c>
      <c r="E17" s="26">
        <v>0.21367521367521367</v>
      </c>
    </row>
    <row r="18" spans="2:5" s="32" customFormat="1" ht="15" customHeight="1" x14ac:dyDescent="0.2">
      <c r="B18" s="74" t="s">
        <v>8</v>
      </c>
      <c r="C18" s="31" t="s">
        <v>51</v>
      </c>
      <c r="D18" s="30">
        <v>1</v>
      </c>
      <c r="E18" s="29">
        <v>8.5470085470085479E-3</v>
      </c>
    </row>
    <row r="19" spans="2:5" s="32" customFormat="1" ht="15" customHeight="1" x14ac:dyDescent="0.2">
      <c r="B19" s="76"/>
      <c r="C19" s="28" t="s">
        <v>5</v>
      </c>
      <c r="D19" s="27">
        <v>1</v>
      </c>
      <c r="E19" s="26">
        <v>8.5470085470085479E-3</v>
      </c>
    </row>
    <row r="20" spans="2:5" ht="15" customHeight="1" x14ac:dyDescent="0.3">
      <c r="B20" s="74" t="s">
        <v>13</v>
      </c>
      <c r="C20" s="31" t="s">
        <v>50</v>
      </c>
      <c r="D20" s="30">
        <v>1</v>
      </c>
      <c r="E20" s="29">
        <v>8.5470085470085479E-3</v>
      </c>
    </row>
    <row r="21" spans="2:5" ht="15" customHeight="1" x14ac:dyDescent="0.3">
      <c r="B21" s="75"/>
      <c r="C21" s="31" t="s">
        <v>49</v>
      </c>
      <c r="D21" s="30">
        <v>1</v>
      </c>
      <c r="E21" s="29">
        <v>8.5470085470085479E-3</v>
      </c>
    </row>
    <row r="22" spans="2:5" ht="15" customHeight="1" x14ac:dyDescent="0.3">
      <c r="B22" s="75"/>
      <c r="C22" s="31" t="s">
        <v>48</v>
      </c>
      <c r="D22" s="30">
        <v>1</v>
      </c>
      <c r="E22" s="29">
        <v>8.5470085470085479E-3</v>
      </c>
    </row>
    <row r="23" spans="2:5" ht="15" customHeight="1" x14ac:dyDescent="0.3">
      <c r="B23" s="75"/>
      <c r="C23" s="31" t="s">
        <v>47</v>
      </c>
      <c r="D23" s="30">
        <v>2</v>
      </c>
      <c r="E23" s="29">
        <v>1.7094017094017096E-2</v>
      </c>
    </row>
    <row r="24" spans="2:5" ht="15" customHeight="1" x14ac:dyDescent="0.3">
      <c r="B24" s="76"/>
      <c r="C24" s="28" t="s">
        <v>5</v>
      </c>
      <c r="D24" s="27">
        <v>5</v>
      </c>
      <c r="E24" s="26">
        <v>4.2735042735042736E-2</v>
      </c>
    </row>
    <row r="25" spans="2:5" ht="15" customHeight="1" x14ac:dyDescent="0.3">
      <c r="B25" s="74" t="s">
        <v>12</v>
      </c>
      <c r="C25" s="31" t="s">
        <v>46</v>
      </c>
      <c r="D25" s="30">
        <v>1</v>
      </c>
      <c r="E25" s="29">
        <v>8.5470085470085479E-3</v>
      </c>
    </row>
    <row r="26" spans="2:5" ht="15" customHeight="1" x14ac:dyDescent="0.3">
      <c r="B26" s="75"/>
      <c r="C26" s="31" t="s">
        <v>45</v>
      </c>
      <c r="D26" s="30">
        <v>1</v>
      </c>
      <c r="E26" s="29">
        <v>8.5470085470085479E-3</v>
      </c>
    </row>
    <row r="27" spans="2:5" ht="15" customHeight="1" x14ac:dyDescent="0.3">
      <c r="B27" s="75"/>
      <c r="C27" s="31" t="s">
        <v>44</v>
      </c>
      <c r="D27" s="30">
        <v>1</v>
      </c>
      <c r="E27" s="29">
        <v>8.5470085470085479E-3</v>
      </c>
    </row>
    <row r="28" spans="2:5" ht="15" customHeight="1" x14ac:dyDescent="0.3">
      <c r="B28" s="75"/>
      <c r="C28" s="31" t="s">
        <v>43</v>
      </c>
      <c r="D28" s="30">
        <v>2</v>
      </c>
      <c r="E28" s="29">
        <v>1.7094017094017096E-2</v>
      </c>
    </row>
    <row r="29" spans="2:5" ht="15" customHeight="1" x14ac:dyDescent="0.3">
      <c r="B29" s="76"/>
      <c r="C29" s="28" t="s">
        <v>5</v>
      </c>
      <c r="D29" s="27">
        <v>5</v>
      </c>
      <c r="E29" s="26">
        <v>4.2735042735042736E-2</v>
      </c>
    </row>
    <row r="30" spans="2:5" ht="15" customHeight="1" x14ac:dyDescent="0.3">
      <c r="B30" s="74" t="s">
        <v>11</v>
      </c>
      <c r="C30" s="31" t="s">
        <v>42</v>
      </c>
      <c r="D30" s="30">
        <v>3</v>
      </c>
      <c r="E30" s="29">
        <v>2.564102564102564E-2</v>
      </c>
    </row>
    <row r="31" spans="2:5" ht="15" customHeight="1" x14ac:dyDescent="0.3">
      <c r="B31" s="75"/>
      <c r="C31" s="31" t="s">
        <v>41</v>
      </c>
      <c r="D31" s="30">
        <v>1</v>
      </c>
      <c r="E31" s="29">
        <v>8.5470085470085479E-3</v>
      </c>
    </row>
    <row r="32" spans="2:5" ht="15" customHeight="1" x14ac:dyDescent="0.3">
      <c r="B32" s="76"/>
      <c r="C32" s="28" t="s">
        <v>5</v>
      </c>
      <c r="D32" s="27">
        <v>4</v>
      </c>
      <c r="E32" s="26">
        <v>3.4188034188034191E-2</v>
      </c>
    </row>
    <row r="33" spans="2:5" ht="15" customHeight="1" x14ac:dyDescent="0.3">
      <c r="B33" s="74" t="s">
        <v>10</v>
      </c>
      <c r="C33" s="31" t="s">
        <v>40</v>
      </c>
      <c r="D33" s="30">
        <v>1</v>
      </c>
      <c r="E33" s="29">
        <v>8.5470085470085479E-3</v>
      </c>
    </row>
    <row r="34" spans="2:5" ht="15" customHeight="1" x14ac:dyDescent="0.3">
      <c r="B34" s="75"/>
      <c r="C34" s="31" t="s">
        <v>39</v>
      </c>
      <c r="D34" s="30">
        <v>1</v>
      </c>
      <c r="E34" s="29">
        <v>8.5470085470085479E-3</v>
      </c>
    </row>
    <row r="35" spans="2:5" ht="15" customHeight="1" x14ac:dyDescent="0.3">
      <c r="B35" s="76"/>
      <c r="C35" s="28" t="s">
        <v>5</v>
      </c>
      <c r="D35" s="27">
        <v>2</v>
      </c>
      <c r="E35" s="26">
        <v>1.7094017094017096E-2</v>
      </c>
    </row>
    <row r="36" spans="2:5" ht="15" customHeight="1" x14ac:dyDescent="0.3">
      <c r="B36" s="74" t="s">
        <v>7</v>
      </c>
      <c r="C36" s="31" t="s">
        <v>38</v>
      </c>
      <c r="D36" s="30">
        <v>1</v>
      </c>
      <c r="E36" s="29">
        <v>8.5470085470085479E-3</v>
      </c>
    </row>
    <row r="37" spans="2:5" ht="15" customHeight="1" x14ac:dyDescent="0.3">
      <c r="B37" s="76"/>
      <c r="C37" s="28" t="s">
        <v>5</v>
      </c>
      <c r="D37" s="27">
        <v>1</v>
      </c>
      <c r="E37" s="26">
        <v>8.5470085470085479E-3</v>
      </c>
    </row>
    <row r="38" spans="2:5" ht="15" customHeight="1" x14ac:dyDescent="0.3">
      <c r="B38" s="74" t="s">
        <v>6</v>
      </c>
      <c r="C38" s="31" t="s">
        <v>37</v>
      </c>
      <c r="D38" s="30">
        <v>1</v>
      </c>
      <c r="E38" s="29">
        <v>8.5470085470085479E-3</v>
      </c>
    </row>
    <row r="39" spans="2:5" ht="15" customHeight="1" x14ac:dyDescent="0.3">
      <c r="B39" s="76"/>
      <c r="C39" s="28" t="s">
        <v>5</v>
      </c>
      <c r="D39" s="27">
        <v>1</v>
      </c>
      <c r="E39" s="26">
        <v>8.5470085470085479E-3</v>
      </c>
    </row>
    <row r="40" spans="2:5" ht="15" customHeight="1" x14ac:dyDescent="0.3">
      <c r="B40" s="74" t="s">
        <v>14</v>
      </c>
      <c r="C40" s="31" t="s">
        <v>36</v>
      </c>
      <c r="D40" s="30">
        <v>5</v>
      </c>
      <c r="E40" s="29">
        <v>4.2735042735042736E-2</v>
      </c>
    </row>
    <row r="41" spans="2:5" ht="15" customHeight="1" x14ac:dyDescent="0.3">
      <c r="B41" s="75"/>
      <c r="C41" s="31" t="s">
        <v>35</v>
      </c>
      <c r="D41" s="30">
        <v>1</v>
      </c>
      <c r="E41" s="29">
        <v>8.5470085470085479E-3</v>
      </c>
    </row>
    <row r="42" spans="2:5" ht="15" customHeight="1" x14ac:dyDescent="0.3">
      <c r="B42" s="75"/>
      <c r="C42" s="31" t="s">
        <v>34</v>
      </c>
      <c r="D42" s="30">
        <v>1</v>
      </c>
      <c r="E42" s="29">
        <v>8.5470085470085479E-3</v>
      </c>
    </row>
    <row r="43" spans="2:5" ht="15" customHeight="1" x14ac:dyDescent="0.3">
      <c r="B43" s="76"/>
      <c r="C43" s="28" t="s">
        <v>5</v>
      </c>
      <c r="D43" s="27">
        <v>7</v>
      </c>
      <c r="E43" s="26">
        <v>5.9829059829059832E-2</v>
      </c>
    </row>
    <row r="44" spans="2:5" ht="15" customHeight="1" x14ac:dyDescent="0.3">
      <c r="B44" s="74" t="s">
        <v>9</v>
      </c>
      <c r="C44" s="31" t="s">
        <v>33</v>
      </c>
      <c r="D44" s="30">
        <v>2</v>
      </c>
      <c r="E44" s="29">
        <v>1.7094017094017096E-2</v>
      </c>
    </row>
    <row r="45" spans="2:5" ht="15" customHeight="1" x14ac:dyDescent="0.3">
      <c r="B45" s="76"/>
      <c r="C45" s="28" t="s">
        <v>5</v>
      </c>
      <c r="D45" s="27">
        <v>2</v>
      </c>
      <c r="E45" s="26">
        <v>1.7094017094017096E-2</v>
      </c>
    </row>
    <row r="46" spans="2:5" ht="15" customHeight="1" x14ac:dyDescent="0.3">
      <c r="B46" s="74" t="s">
        <v>17</v>
      </c>
      <c r="C46" s="31" t="s">
        <v>32</v>
      </c>
      <c r="D46" s="30">
        <v>28</v>
      </c>
      <c r="E46" s="29">
        <v>0.23931623931623933</v>
      </c>
    </row>
    <row r="47" spans="2:5" ht="15" customHeight="1" x14ac:dyDescent="0.3">
      <c r="B47" s="75"/>
      <c r="C47" s="31" t="s">
        <v>31</v>
      </c>
      <c r="D47" s="30">
        <v>1</v>
      </c>
      <c r="E47" s="29">
        <v>8.5470085470085479E-3</v>
      </c>
    </row>
    <row r="48" spans="2:5" ht="15" customHeight="1" x14ac:dyDescent="0.3">
      <c r="B48" s="75"/>
      <c r="C48" s="31" t="s">
        <v>30</v>
      </c>
      <c r="D48" s="30">
        <v>15</v>
      </c>
      <c r="E48" s="29">
        <v>0.12820512820512819</v>
      </c>
    </row>
    <row r="49" spans="2:5" ht="15" customHeight="1" x14ac:dyDescent="0.3">
      <c r="B49" s="76"/>
      <c r="C49" s="28" t="s">
        <v>5</v>
      </c>
      <c r="D49" s="27">
        <v>44</v>
      </c>
      <c r="E49" s="26">
        <v>0.37606837606837606</v>
      </c>
    </row>
    <row r="50" spans="2:5" ht="15" customHeight="1" x14ac:dyDescent="0.3">
      <c r="B50" s="74" t="s">
        <v>15</v>
      </c>
      <c r="C50" s="31" t="s">
        <v>29</v>
      </c>
      <c r="D50" s="30">
        <v>2</v>
      </c>
      <c r="E50" s="29">
        <v>1.7094017094017096E-2</v>
      </c>
    </row>
    <row r="51" spans="2:5" ht="15" customHeight="1" x14ac:dyDescent="0.3">
      <c r="B51" s="75"/>
      <c r="C51" s="31" t="s">
        <v>28</v>
      </c>
      <c r="D51" s="30">
        <v>9</v>
      </c>
      <c r="E51" s="29">
        <v>7.6923076923076927E-2</v>
      </c>
    </row>
    <row r="52" spans="2:5" ht="15" customHeight="1" x14ac:dyDescent="0.3">
      <c r="B52" s="75"/>
      <c r="C52" s="31" t="s">
        <v>27</v>
      </c>
      <c r="D52" s="30">
        <v>4</v>
      </c>
      <c r="E52" s="29">
        <v>3.4188034188034191E-2</v>
      </c>
    </row>
    <row r="53" spans="2:5" ht="15" customHeight="1" x14ac:dyDescent="0.3">
      <c r="B53" s="75"/>
      <c r="C53" s="31" t="s">
        <v>26</v>
      </c>
      <c r="D53" s="30">
        <v>1</v>
      </c>
      <c r="E53" s="29">
        <v>8.5470085470085479E-3</v>
      </c>
    </row>
    <row r="54" spans="2:5" ht="15" customHeight="1" x14ac:dyDescent="0.3">
      <c r="B54" s="75"/>
      <c r="C54" s="31" t="s">
        <v>25</v>
      </c>
      <c r="D54" s="30">
        <v>1</v>
      </c>
      <c r="E54" s="29">
        <v>8.5470085470085479E-3</v>
      </c>
    </row>
    <row r="55" spans="2:5" ht="15" customHeight="1" x14ac:dyDescent="0.3">
      <c r="B55" s="75"/>
      <c r="C55" s="31" t="s">
        <v>24</v>
      </c>
      <c r="D55" s="30">
        <v>1</v>
      </c>
      <c r="E55" s="29">
        <v>8.5470085470085479E-3</v>
      </c>
    </row>
    <row r="56" spans="2:5" ht="15" customHeight="1" x14ac:dyDescent="0.3">
      <c r="B56" s="75"/>
      <c r="C56" s="31" t="s">
        <v>23</v>
      </c>
      <c r="D56" s="30">
        <v>1</v>
      </c>
      <c r="E56" s="29">
        <v>8.5470085470085479E-3</v>
      </c>
    </row>
    <row r="57" spans="2:5" ht="15" customHeight="1" x14ac:dyDescent="0.3">
      <c r="B57" s="75"/>
      <c r="C57" s="31" t="s">
        <v>22</v>
      </c>
      <c r="D57" s="30">
        <v>1</v>
      </c>
      <c r="E57" s="29">
        <v>8.5470085470085479E-3</v>
      </c>
    </row>
    <row r="58" spans="2:5" ht="15" customHeight="1" x14ac:dyDescent="0.3">
      <c r="B58" s="76"/>
      <c r="C58" s="28" t="s">
        <v>5</v>
      </c>
      <c r="D58" s="27">
        <v>20</v>
      </c>
      <c r="E58" s="26">
        <v>0.17094017094017094</v>
      </c>
    </row>
    <row r="59" spans="2:5" ht="15" customHeight="1" x14ac:dyDescent="0.3">
      <c r="B59" s="77" t="s">
        <v>5</v>
      </c>
      <c r="C59" s="78"/>
      <c r="D59" s="25">
        <f>SUMIF(C$10:C58,"Total",D$10:D58)</f>
        <v>117</v>
      </c>
      <c r="E59" s="24">
        <v>1</v>
      </c>
    </row>
    <row r="61" spans="2:5" ht="15" customHeight="1" x14ac:dyDescent="0.3">
      <c r="B61" s="3" t="s">
        <v>4</v>
      </c>
    </row>
    <row r="62" spans="2:5" ht="15" customHeight="1" x14ac:dyDescent="0.3">
      <c r="B62" s="5" t="s">
        <v>3</v>
      </c>
    </row>
    <row r="63" spans="2:5" ht="15" customHeight="1" x14ac:dyDescent="0.3">
      <c r="B63" s="4" t="s">
        <v>2</v>
      </c>
    </row>
    <row r="64" spans="2:5" ht="15" customHeight="1" x14ac:dyDescent="0.3">
      <c r="B64" s="3" t="s">
        <v>1</v>
      </c>
    </row>
    <row r="65" spans="2:2" ht="15" customHeight="1" x14ac:dyDescent="0.3">
      <c r="B65" s="3" t="s">
        <v>0</v>
      </c>
    </row>
    <row r="484" spans="1:2" s="21" customFormat="1" ht="15" customHeight="1" x14ac:dyDescent="0.3">
      <c r="A484" s="20"/>
      <c r="B484" s="22"/>
    </row>
    <row r="485" spans="1:2" s="21" customFormat="1" ht="15" customHeight="1" x14ac:dyDescent="0.3">
      <c r="A485" s="20"/>
      <c r="B485" s="23"/>
    </row>
    <row r="486" spans="1:2" s="21" customFormat="1" ht="15" customHeight="1" x14ac:dyDescent="0.3">
      <c r="A486" s="20"/>
      <c r="B486" s="23"/>
    </row>
    <row r="487" spans="1:2" s="21" customFormat="1" ht="15" customHeight="1" x14ac:dyDescent="0.3">
      <c r="A487" s="20"/>
      <c r="B487" s="22"/>
    </row>
    <row r="488" spans="1:2" s="21" customFormat="1" ht="15" customHeight="1" x14ac:dyDescent="0.3">
      <c r="A488" s="20"/>
      <c r="B488" s="22"/>
    </row>
  </sheetData>
  <mergeCells count="14">
    <mergeCell ref="B30:B32"/>
    <mergeCell ref="B7:E8"/>
    <mergeCell ref="B10:B17"/>
    <mergeCell ref="B18:B19"/>
    <mergeCell ref="B20:B24"/>
    <mergeCell ref="B25:B29"/>
    <mergeCell ref="B50:B58"/>
    <mergeCell ref="B59:C59"/>
    <mergeCell ref="B33:B35"/>
    <mergeCell ref="B36:B37"/>
    <mergeCell ref="B38:B39"/>
    <mergeCell ref="B40:B43"/>
    <mergeCell ref="B44:B45"/>
    <mergeCell ref="B46:B4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4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3" t="s">
        <v>77</v>
      </c>
      <c r="C7" s="73"/>
      <c r="D7" s="73"/>
    </row>
    <row r="8" spans="2:4" s="13" customFormat="1" ht="15" customHeight="1" x14ac:dyDescent="0.2">
      <c r="B8" s="73"/>
      <c r="C8" s="73"/>
      <c r="D8" s="73"/>
    </row>
    <row r="9" spans="2:4" s="13" customFormat="1" ht="33" customHeight="1" x14ac:dyDescent="0.2">
      <c r="B9" s="73"/>
      <c r="C9" s="73"/>
      <c r="D9" s="73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76</v>
      </c>
      <c r="C11" s="15" t="s">
        <v>19</v>
      </c>
      <c r="D11" s="14" t="s">
        <v>18</v>
      </c>
    </row>
    <row r="12" spans="2:4" ht="15" customHeight="1" x14ac:dyDescent="0.3">
      <c r="B12" s="11" t="s">
        <v>75</v>
      </c>
      <c r="C12" s="10">
        <v>1</v>
      </c>
      <c r="D12" s="9">
        <v>8.5470085470085479E-3</v>
      </c>
    </row>
    <row r="13" spans="2:4" x14ac:dyDescent="0.3">
      <c r="B13" s="11" t="s">
        <v>74</v>
      </c>
      <c r="C13" s="10">
        <v>1</v>
      </c>
      <c r="D13" s="9">
        <v>8.5470085470085479E-3</v>
      </c>
    </row>
    <row r="14" spans="2:4" s="12" customFormat="1" ht="15" x14ac:dyDescent="0.3">
      <c r="B14" s="11" t="s">
        <v>73</v>
      </c>
      <c r="C14" s="10">
        <v>3</v>
      </c>
      <c r="D14" s="9">
        <v>2.564102564102564E-2</v>
      </c>
    </row>
    <row r="15" spans="2:4" s="12" customFormat="1" ht="15" x14ac:dyDescent="0.3">
      <c r="B15" s="11" t="s">
        <v>72</v>
      </c>
      <c r="C15" s="10">
        <v>3</v>
      </c>
      <c r="D15" s="9">
        <v>2.564102564102564E-2</v>
      </c>
    </row>
    <row r="16" spans="2:4" x14ac:dyDescent="0.3">
      <c r="B16" s="11" t="s">
        <v>71</v>
      </c>
      <c r="C16" s="10">
        <v>3</v>
      </c>
      <c r="D16" s="9">
        <v>2.564102564102564E-2</v>
      </c>
    </row>
    <row r="17" spans="2:4" x14ac:dyDescent="0.3">
      <c r="B17" s="11" t="s">
        <v>70</v>
      </c>
      <c r="C17" s="10">
        <v>2</v>
      </c>
      <c r="D17" s="9">
        <v>1.7094017094017096E-2</v>
      </c>
    </row>
    <row r="18" spans="2:4" x14ac:dyDescent="0.3">
      <c r="B18" s="11" t="s">
        <v>69</v>
      </c>
      <c r="C18" s="10">
        <v>1</v>
      </c>
      <c r="D18" s="9">
        <v>8.5470085470085479E-3</v>
      </c>
    </row>
    <row r="19" spans="2:4" x14ac:dyDescent="0.3">
      <c r="B19" s="11" t="s">
        <v>68</v>
      </c>
      <c r="C19" s="10">
        <v>14</v>
      </c>
      <c r="D19" s="9">
        <v>0.11965811965811966</v>
      </c>
    </row>
    <row r="20" spans="2:4" x14ac:dyDescent="0.3">
      <c r="B20" s="11" t="s">
        <v>67</v>
      </c>
      <c r="C20" s="10">
        <v>1</v>
      </c>
      <c r="D20" s="9">
        <v>8.5470085470085479E-3</v>
      </c>
    </row>
    <row r="21" spans="2:4" x14ac:dyDescent="0.3">
      <c r="B21" s="11" t="s">
        <v>66</v>
      </c>
      <c r="C21" s="10">
        <v>5</v>
      </c>
      <c r="D21" s="9">
        <v>4.2735042735042736E-2</v>
      </c>
    </row>
    <row r="22" spans="2:4" x14ac:dyDescent="0.3">
      <c r="B22" s="11" t="s">
        <v>65</v>
      </c>
      <c r="C22" s="10">
        <v>7</v>
      </c>
      <c r="D22" s="9">
        <v>5.9829059829059832E-2</v>
      </c>
    </row>
    <row r="23" spans="2:4" x14ac:dyDescent="0.3">
      <c r="B23" s="11" t="s">
        <v>64</v>
      </c>
      <c r="C23" s="10">
        <v>38</v>
      </c>
      <c r="D23" s="9">
        <v>0.3247863247863248</v>
      </c>
    </row>
    <row r="24" spans="2:4" x14ac:dyDescent="0.3">
      <c r="B24" s="11" t="s">
        <v>63</v>
      </c>
      <c r="C24" s="10">
        <v>6</v>
      </c>
      <c r="D24" s="9">
        <v>5.128205128205128E-2</v>
      </c>
    </row>
    <row r="25" spans="2:4" x14ac:dyDescent="0.3">
      <c r="B25" s="11" t="s">
        <v>62</v>
      </c>
      <c r="C25" s="10">
        <v>25</v>
      </c>
      <c r="D25" s="9">
        <v>0.21367521367521367</v>
      </c>
    </row>
    <row r="26" spans="2:4" x14ac:dyDescent="0.3">
      <c r="B26" s="11" t="s">
        <v>61</v>
      </c>
      <c r="C26" s="10">
        <v>1</v>
      </c>
      <c r="D26" s="9">
        <v>8.5470085470085479E-3</v>
      </c>
    </row>
    <row r="27" spans="2:4" x14ac:dyDescent="0.3">
      <c r="B27" s="11" t="s">
        <v>60</v>
      </c>
      <c r="C27" s="10">
        <v>6</v>
      </c>
      <c r="D27" s="9">
        <v>5.128205128205128E-2</v>
      </c>
    </row>
    <row r="28" spans="2:4" x14ac:dyDescent="0.3">
      <c r="B28" s="8" t="s">
        <v>5</v>
      </c>
      <c r="C28" s="7">
        <v>117</v>
      </c>
      <c r="D28" s="6">
        <v>1</v>
      </c>
    </row>
    <row r="30" spans="2:4" x14ac:dyDescent="0.3">
      <c r="B30" s="3" t="s">
        <v>4</v>
      </c>
    </row>
    <row r="31" spans="2:4" x14ac:dyDescent="0.3">
      <c r="B31" s="5" t="s">
        <v>3</v>
      </c>
    </row>
    <row r="32" spans="2:4" x14ac:dyDescent="0.3">
      <c r="B32" s="4" t="s">
        <v>2</v>
      </c>
    </row>
    <row r="33" spans="2:2" x14ac:dyDescent="0.3">
      <c r="B33" s="3" t="s">
        <v>1</v>
      </c>
    </row>
    <row r="34" spans="2:2" x14ac:dyDescent="0.3">
      <c r="B34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2"/>
  <sheetViews>
    <sheetView topLeftCell="A67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9"/>
      <c r="C7" s="79"/>
      <c r="D7" s="79"/>
      <c r="E7" s="79"/>
    </row>
    <row r="8" spans="1:5" s="36" customFormat="1" ht="33" customHeight="1" x14ac:dyDescent="0.25">
      <c r="A8" s="37"/>
      <c r="B8" s="79"/>
      <c r="C8" s="79"/>
      <c r="D8" s="79"/>
      <c r="E8" s="79"/>
    </row>
    <row r="9" spans="1:5" s="13" customFormat="1" ht="40.5" customHeight="1" x14ac:dyDescent="0.2">
      <c r="B9" s="33" t="s">
        <v>76</v>
      </c>
      <c r="C9" s="35" t="s">
        <v>20</v>
      </c>
      <c r="D9" s="34" t="s">
        <v>19</v>
      </c>
      <c r="E9" s="33" t="s">
        <v>18</v>
      </c>
    </row>
    <row r="10" spans="1:5" ht="15" customHeight="1" x14ac:dyDescent="0.3">
      <c r="B10" s="74" t="s">
        <v>75</v>
      </c>
      <c r="C10" s="31" t="s">
        <v>17</v>
      </c>
      <c r="D10" s="30">
        <v>1</v>
      </c>
      <c r="E10" s="29">
        <v>8.5470085470085479E-3</v>
      </c>
    </row>
    <row r="11" spans="1:5" ht="15" customHeight="1" x14ac:dyDescent="0.3">
      <c r="B11" s="76"/>
      <c r="C11" s="28" t="s">
        <v>5</v>
      </c>
      <c r="D11" s="27">
        <v>1</v>
      </c>
      <c r="E11" s="26">
        <v>8.5470085470085479E-3</v>
      </c>
    </row>
    <row r="12" spans="1:5" ht="15" customHeight="1" x14ac:dyDescent="0.3">
      <c r="B12" s="74" t="s">
        <v>74</v>
      </c>
      <c r="C12" s="31" t="s">
        <v>16</v>
      </c>
      <c r="D12" s="30">
        <v>1</v>
      </c>
      <c r="E12" s="29">
        <v>8.5470085470085479E-3</v>
      </c>
    </row>
    <row r="13" spans="1:5" ht="15" customHeight="1" x14ac:dyDescent="0.3">
      <c r="B13" s="76"/>
      <c r="C13" s="28" t="s">
        <v>5</v>
      </c>
      <c r="D13" s="27">
        <v>1</v>
      </c>
      <c r="E13" s="26">
        <v>8.5470085470085479E-3</v>
      </c>
    </row>
    <row r="14" spans="1:5" ht="15" customHeight="1" x14ac:dyDescent="0.3">
      <c r="B14" s="74" t="s">
        <v>73</v>
      </c>
      <c r="C14" s="31" t="s">
        <v>16</v>
      </c>
      <c r="D14" s="30">
        <v>1</v>
      </c>
      <c r="E14" s="29">
        <v>8.5470085470085479E-3</v>
      </c>
    </row>
    <row r="15" spans="1:5" s="32" customFormat="1" ht="15" customHeight="1" x14ac:dyDescent="0.3">
      <c r="A15" s="20"/>
      <c r="B15" s="75"/>
      <c r="C15" s="31" t="s">
        <v>9</v>
      </c>
      <c r="D15" s="30">
        <v>1</v>
      </c>
      <c r="E15" s="29">
        <v>8.5470085470085479E-3</v>
      </c>
    </row>
    <row r="16" spans="1:5" s="32" customFormat="1" ht="15" customHeight="1" x14ac:dyDescent="0.3">
      <c r="A16" s="20"/>
      <c r="B16" s="75"/>
      <c r="C16" s="31" t="s">
        <v>17</v>
      </c>
      <c r="D16" s="30">
        <v>1</v>
      </c>
      <c r="E16" s="29">
        <v>8.5470085470085479E-3</v>
      </c>
    </row>
    <row r="17" spans="1:5" s="32" customFormat="1" ht="15" customHeight="1" x14ac:dyDescent="0.3">
      <c r="A17" s="20"/>
      <c r="B17" s="76"/>
      <c r="C17" s="28" t="s">
        <v>5</v>
      </c>
      <c r="D17" s="27">
        <v>3</v>
      </c>
      <c r="E17" s="26">
        <v>2.564102564102564E-2</v>
      </c>
    </row>
    <row r="18" spans="1:5" s="32" customFormat="1" ht="15" customHeight="1" x14ac:dyDescent="0.3">
      <c r="A18" s="20"/>
      <c r="B18" s="74" t="s">
        <v>72</v>
      </c>
      <c r="C18" s="31" t="s">
        <v>16</v>
      </c>
      <c r="D18" s="30">
        <v>1</v>
      </c>
      <c r="E18" s="29">
        <v>8.5470085470085479E-3</v>
      </c>
    </row>
    <row r="19" spans="1:5" s="32" customFormat="1" ht="15" customHeight="1" x14ac:dyDescent="0.3">
      <c r="A19" s="20"/>
      <c r="B19" s="75"/>
      <c r="C19" s="31" t="s">
        <v>15</v>
      </c>
      <c r="D19" s="30">
        <v>2</v>
      </c>
      <c r="E19" s="29">
        <v>1.7094017094017096E-2</v>
      </c>
    </row>
    <row r="20" spans="1:5" ht="15" customHeight="1" x14ac:dyDescent="0.3">
      <c r="B20" s="76"/>
      <c r="C20" s="28" t="s">
        <v>5</v>
      </c>
      <c r="D20" s="27">
        <v>3</v>
      </c>
      <c r="E20" s="26">
        <v>2.564102564102564E-2</v>
      </c>
    </row>
    <row r="21" spans="1:5" ht="15" customHeight="1" x14ac:dyDescent="0.3">
      <c r="B21" s="74" t="s">
        <v>71</v>
      </c>
      <c r="C21" s="31" t="s">
        <v>17</v>
      </c>
      <c r="D21" s="30">
        <v>2</v>
      </c>
      <c r="E21" s="29">
        <v>1.7094017094017096E-2</v>
      </c>
    </row>
    <row r="22" spans="1:5" ht="15" customHeight="1" x14ac:dyDescent="0.3">
      <c r="B22" s="75"/>
      <c r="C22" s="31" t="s">
        <v>15</v>
      </c>
      <c r="D22" s="30">
        <v>1</v>
      </c>
      <c r="E22" s="29">
        <v>8.5470085470085479E-3</v>
      </c>
    </row>
    <row r="23" spans="1:5" ht="15" customHeight="1" x14ac:dyDescent="0.3">
      <c r="B23" s="76"/>
      <c r="C23" s="28" t="s">
        <v>5</v>
      </c>
      <c r="D23" s="27">
        <v>3</v>
      </c>
      <c r="E23" s="26">
        <v>2.564102564102564E-2</v>
      </c>
    </row>
    <row r="24" spans="1:5" ht="15" customHeight="1" x14ac:dyDescent="0.3">
      <c r="B24" s="74" t="s">
        <v>70</v>
      </c>
      <c r="C24" s="31" t="s">
        <v>16</v>
      </c>
      <c r="D24" s="30">
        <v>1</v>
      </c>
      <c r="E24" s="29">
        <v>8.5470085470085479E-3</v>
      </c>
    </row>
    <row r="25" spans="1:5" ht="15" customHeight="1" x14ac:dyDescent="0.3">
      <c r="B25" s="75"/>
      <c r="C25" s="31" t="s">
        <v>15</v>
      </c>
      <c r="D25" s="30">
        <v>1</v>
      </c>
      <c r="E25" s="29">
        <v>8.5470085470085479E-3</v>
      </c>
    </row>
    <row r="26" spans="1:5" ht="15" customHeight="1" x14ac:dyDescent="0.3">
      <c r="B26" s="76"/>
      <c r="C26" s="28" t="s">
        <v>5</v>
      </c>
      <c r="D26" s="27">
        <v>2</v>
      </c>
      <c r="E26" s="26">
        <v>1.7094017094017096E-2</v>
      </c>
    </row>
    <row r="27" spans="1:5" ht="15" customHeight="1" x14ac:dyDescent="0.3">
      <c r="B27" s="74" t="s">
        <v>69</v>
      </c>
      <c r="C27" s="31" t="s">
        <v>16</v>
      </c>
      <c r="D27" s="30">
        <v>1</v>
      </c>
      <c r="E27" s="29">
        <v>8.5470085470085479E-3</v>
      </c>
    </row>
    <row r="28" spans="1:5" ht="15" customHeight="1" x14ac:dyDescent="0.3">
      <c r="B28" s="76"/>
      <c r="C28" s="28" t="s">
        <v>5</v>
      </c>
      <c r="D28" s="27">
        <v>1</v>
      </c>
      <c r="E28" s="26">
        <v>8.5470085470085479E-3</v>
      </c>
    </row>
    <row r="29" spans="1:5" ht="15" customHeight="1" x14ac:dyDescent="0.3">
      <c r="B29" s="74" t="s">
        <v>68</v>
      </c>
      <c r="C29" s="31" t="s">
        <v>16</v>
      </c>
      <c r="D29" s="30">
        <v>4</v>
      </c>
      <c r="E29" s="29">
        <v>3.4188034188034191E-2</v>
      </c>
    </row>
    <row r="30" spans="1:5" ht="15" customHeight="1" x14ac:dyDescent="0.3">
      <c r="B30" s="75"/>
      <c r="C30" s="31" t="s">
        <v>11</v>
      </c>
      <c r="D30" s="30">
        <v>1</v>
      </c>
      <c r="E30" s="29">
        <v>8.5470085470085479E-3</v>
      </c>
    </row>
    <row r="31" spans="1:5" ht="15" customHeight="1" x14ac:dyDescent="0.3">
      <c r="B31" s="75"/>
      <c r="C31" s="31" t="s">
        <v>17</v>
      </c>
      <c r="D31" s="30">
        <v>5</v>
      </c>
      <c r="E31" s="29">
        <v>4.2735042735042736E-2</v>
      </c>
    </row>
    <row r="32" spans="1:5" ht="15" customHeight="1" x14ac:dyDescent="0.3">
      <c r="B32" s="75"/>
      <c r="C32" s="31" t="s">
        <v>15</v>
      </c>
      <c r="D32" s="30">
        <v>4</v>
      </c>
      <c r="E32" s="29">
        <v>3.4188034188034191E-2</v>
      </c>
    </row>
    <row r="33" spans="2:5" ht="15" customHeight="1" x14ac:dyDescent="0.3">
      <c r="B33" s="76"/>
      <c r="C33" s="28" t="s">
        <v>5</v>
      </c>
      <c r="D33" s="27">
        <v>14</v>
      </c>
      <c r="E33" s="26">
        <v>0.11965811965811966</v>
      </c>
    </row>
    <row r="34" spans="2:5" ht="15" customHeight="1" x14ac:dyDescent="0.3">
      <c r="B34" s="74" t="s">
        <v>67</v>
      </c>
      <c r="C34" s="31" t="s">
        <v>17</v>
      </c>
      <c r="D34" s="30">
        <v>1</v>
      </c>
      <c r="E34" s="29">
        <v>8.5470085470085479E-3</v>
      </c>
    </row>
    <row r="35" spans="2:5" ht="15" customHeight="1" x14ac:dyDescent="0.3">
      <c r="B35" s="76"/>
      <c r="C35" s="28" t="s">
        <v>5</v>
      </c>
      <c r="D35" s="27">
        <v>1</v>
      </c>
      <c r="E35" s="26">
        <v>8.5470085470085479E-3</v>
      </c>
    </row>
    <row r="36" spans="2:5" ht="15" customHeight="1" x14ac:dyDescent="0.3">
      <c r="B36" s="74" t="s">
        <v>66</v>
      </c>
      <c r="C36" s="31" t="s">
        <v>16</v>
      </c>
      <c r="D36" s="30">
        <v>3</v>
      </c>
      <c r="E36" s="29">
        <v>2.564102564102564E-2</v>
      </c>
    </row>
    <row r="37" spans="2:5" ht="15" customHeight="1" x14ac:dyDescent="0.3">
      <c r="B37" s="75"/>
      <c r="C37" s="31" t="s">
        <v>17</v>
      </c>
      <c r="D37" s="30">
        <v>1</v>
      </c>
      <c r="E37" s="29">
        <v>8.5470085470085479E-3</v>
      </c>
    </row>
    <row r="38" spans="2:5" ht="15" customHeight="1" x14ac:dyDescent="0.3">
      <c r="B38" s="75"/>
      <c r="C38" s="31" t="s">
        <v>15</v>
      </c>
      <c r="D38" s="30">
        <v>1</v>
      </c>
      <c r="E38" s="29">
        <v>8.5470085470085479E-3</v>
      </c>
    </row>
    <row r="39" spans="2:5" ht="15" customHeight="1" x14ac:dyDescent="0.3">
      <c r="B39" s="76"/>
      <c r="C39" s="28" t="s">
        <v>5</v>
      </c>
      <c r="D39" s="27">
        <v>5</v>
      </c>
      <c r="E39" s="26">
        <v>4.2735042735042736E-2</v>
      </c>
    </row>
    <row r="40" spans="2:5" ht="15" customHeight="1" x14ac:dyDescent="0.3">
      <c r="B40" s="74" t="s">
        <v>65</v>
      </c>
      <c r="C40" s="31" t="s">
        <v>16</v>
      </c>
      <c r="D40" s="30">
        <v>2</v>
      </c>
      <c r="E40" s="29">
        <v>1.7094017094017096E-2</v>
      </c>
    </row>
    <row r="41" spans="2:5" ht="15" customHeight="1" x14ac:dyDescent="0.3">
      <c r="B41" s="75"/>
      <c r="C41" s="31" t="s">
        <v>10</v>
      </c>
      <c r="D41" s="30">
        <v>1</v>
      </c>
      <c r="E41" s="29">
        <v>8.5470085470085479E-3</v>
      </c>
    </row>
    <row r="42" spans="2:5" ht="15" customHeight="1" x14ac:dyDescent="0.3">
      <c r="B42" s="75"/>
      <c r="C42" s="31" t="s">
        <v>14</v>
      </c>
      <c r="D42" s="30">
        <v>1</v>
      </c>
      <c r="E42" s="29">
        <v>8.5470085470085479E-3</v>
      </c>
    </row>
    <row r="43" spans="2:5" ht="15" customHeight="1" x14ac:dyDescent="0.3">
      <c r="B43" s="75"/>
      <c r="C43" s="31" t="s">
        <v>17</v>
      </c>
      <c r="D43" s="30">
        <v>2</v>
      </c>
      <c r="E43" s="29">
        <v>1.7094017094017096E-2</v>
      </c>
    </row>
    <row r="44" spans="2:5" ht="15" customHeight="1" x14ac:dyDescent="0.3">
      <c r="B44" s="75"/>
      <c r="C44" s="31" t="s">
        <v>15</v>
      </c>
      <c r="D44" s="30">
        <v>1</v>
      </c>
      <c r="E44" s="29">
        <v>8.5470085470085479E-3</v>
      </c>
    </row>
    <row r="45" spans="2:5" ht="15" customHeight="1" x14ac:dyDescent="0.3">
      <c r="B45" s="76"/>
      <c r="C45" s="28" t="s">
        <v>5</v>
      </c>
      <c r="D45" s="27">
        <v>7</v>
      </c>
      <c r="E45" s="26">
        <v>5.9829059829059832E-2</v>
      </c>
    </row>
    <row r="46" spans="2:5" ht="15" customHeight="1" x14ac:dyDescent="0.3">
      <c r="B46" s="74" t="s">
        <v>64</v>
      </c>
      <c r="C46" s="31" t="s">
        <v>16</v>
      </c>
      <c r="D46" s="30">
        <v>8</v>
      </c>
      <c r="E46" s="29">
        <v>6.8376068376068383E-2</v>
      </c>
    </row>
    <row r="47" spans="2:5" ht="15" customHeight="1" x14ac:dyDescent="0.3">
      <c r="B47" s="75"/>
      <c r="C47" s="31" t="s">
        <v>8</v>
      </c>
      <c r="D47" s="30">
        <v>1</v>
      </c>
      <c r="E47" s="29">
        <v>8.5470085470085479E-3</v>
      </c>
    </row>
    <row r="48" spans="2:5" ht="15" customHeight="1" x14ac:dyDescent="0.3">
      <c r="B48" s="75"/>
      <c r="C48" s="31" t="s">
        <v>13</v>
      </c>
      <c r="D48" s="30">
        <v>1</v>
      </c>
      <c r="E48" s="29">
        <v>8.5470085470085479E-3</v>
      </c>
    </row>
    <row r="49" spans="2:5" ht="15" customHeight="1" x14ac:dyDescent="0.3">
      <c r="B49" s="75"/>
      <c r="C49" s="31" t="s">
        <v>12</v>
      </c>
      <c r="D49" s="30">
        <v>4</v>
      </c>
      <c r="E49" s="29">
        <v>3.4188034188034191E-2</v>
      </c>
    </row>
    <row r="50" spans="2:5" ht="15" customHeight="1" x14ac:dyDescent="0.3">
      <c r="B50" s="75"/>
      <c r="C50" s="31" t="s">
        <v>11</v>
      </c>
      <c r="D50" s="30">
        <v>1</v>
      </c>
      <c r="E50" s="29">
        <v>8.5470085470085479E-3</v>
      </c>
    </row>
    <row r="51" spans="2:5" ht="15" customHeight="1" x14ac:dyDescent="0.3">
      <c r="B51" s="75"/>
      <c r="C51" s="31" t="s">
        <v>10</v>
      </c>
      <c r="D51" s="30">
        <v>1</v>
      </c>
      <c r="E51" s="29">
        <v>8.5470085470085479E-3</v>
      </c>
    </row>
    <row r="52" spans="2:5" ht="15" customHeight="1" x14ac:dyDescent="0.3">
      <c r="B52" s="75"/>
      <c r="C52" s="31" t="s">
        <v>14</v>
      </c>
      <c r="D52" s="30">
        <v>5</v>
      </c>
      <c r="E52" s="29">
        <v>4.2735042735042736E-2</v>
      </c>
    </row>
    <row r="53" spans="2:5" ht="15" customHeight="1" x14ac:dyDescent="0.3">
      <c r="B53" s="75"/>
      <c r="C53" s="31" t="s">
        <v>9</v>
      </c>
      <c r="D53" s="30">
        <v>1</v>
      </c>
      <c r="E53" s="29">
        <v>8.5470085470085479E-3</v>
      </c>
    </row>
    <row r="54" spans="2:5" ht="15" customHeight="1" x14ac:dyDescent="0.3">
      <c r="B54" s="75"/>
      <c r="C54" s="31" t="s">
        <v>17</v>
      </c>
      <c r="D54" s="30">
        <v>11</v>
      </c>
      <c r="E54" s="29">
        <v>9.4017094017094016E-2</v>
      </c>
    </row>
    <row r="55" spans="2:5" ht="15" customHeight="1" x14ac:dyDescent="0.3">
      <c r="B55" s="75"/>
      <c r="C55" s="31" t="s">
        <v>15</v>
      </c>
      <c r="D55" s="30">
        <v>5</v>
      </c>
      <c r="E55" s="29">
        <v>4.2735042735042736E-2</v>
      </c>
    </row>
    <row r="56" spans="2:5" ht="15" customHeight="1" x14ac:dyDescent="0.3">
      <c r="B56" s="76"/>
      <c r="C56" s="28" t="s">
        <v>5</v>
      </c>
      <c r="D56" s="27">
        <v>38</v>
      </c>
      <c r="E56" s="26">
        <v>0.3247863247863248</v>
      </c>
    </row>
    <row r="57" spans="2:5" ht="15" customHeight="1" x14ac:dyDescent="0.3">
      <c r="B57" s="74" t="s">
        <v>63</v>
      </c>
      <c r="C57" s="31" t="s">
        <v>11</v>
      </c>
      <c r="D57" s="30">
        <v>1</v>
      </c>
      <c r="E57" s="29">
        <v>8.5470085470085479E-3</v>
      </c>
    </row>
    <row r="58" spans="2:5" ht="15" customHeight="1" x14ac:dyDescent="0.3">
      <c r="B58" s="75"/>
      <c r="C58" s="31" t="s">
        <v>17</v>
      </c>
      <c r="D58" s="30">
        <v>4</v>
      </c>
      <c r="E58" s="29">
        <v>3.4188034188034191E-2</v>
      </c>
    </row>
    <row r="59" spans="2:5" ht="15" customHeight="1" x14ac:dyDescent="0.3">
      <c r="B59" s="75"/>
      <c r="C59" s="31" t="s">
        <v>15</v>
      </c>
      <c r="D59" s="30">
        <v>1</v>
      </c>
      <c r="E59" s="29">
        <v>8.5470085470085479E-3</v>
      </c>
    </row>
    <row r="60" spans="2:5" ht="15" customHeight="1" x14ac:dyDescent="0.3">
      <c r="B60" s="76"/>
      <c r="C60" s="28" t="s">
        <v>5</v>
      </c>
      <c r="D60" s="27">
        <v>6</v>
      </c>
      <c r="E60" s="26">
        <v>5.128205128205128E-2</v>
      </c>
    </row>
    <row r="61" spans="2:5" ht="15" customHeight="1" x14ac:dyDescent="0.3">
      <c r="B61" s="74" t="s">
        <v>62</v>
      </c>
      <c r="C61" s="31" t="s">
        <v>16</v>
      </c>
      <c r="D61" s="30">
        <v>2</v>
      </c>
      <c r="E61" s="29">
        <v>1.7094017094017096E-2</v>
      </c>
    </row>
    <row r="62" spans="2:5" ht="15" customHeight="1" x14ac:dyDescent="0.3">
      <c r="B62" s="75"/>
      <c r="C62" s="31" t="s">
        <v>13</v>
      </c>
      <c r="D62" s="30">
        <v>2</v>
      </c>
      <c r="E62" s="29">
        <v>1.7094017094017096E-2</v>
      </c>
    </row>
    <row r="63" spans="2:5" ht="15" customHeight="1" x14ac:dyDescent="0.3">
      <c r="B63" s="75"/>
      <c r="C63" s="31" t="s">
        <v>11</v>
      </c>
      <c r="D63" s="30">
        <v>1</v>
      </c>
      <c r="E63" s="29">
        <v>8.5470085470085479E-3</v>
      </c>
    </row>
    <row r="64" spans="2:5" ht="15" customHeight="1" x14ac:dyDescent="0.3">
      <c r="B64" s="75"/>
      <c r="C64" s="31" t="s">
        <v>14</v>
      </c>
      <c r="D64" s="30">
        <v>1</v>
      </c>
      <c r="E64" s="29">
        <v>8.5470085470085479E-3</v>
      </c>
    </row>
    <row r="65" spans="2:5" ht="15" customHeight="1" x14ac:dyDescent="0.3">
      <c r="B65" s="75"/>
      <c r="C65" s="31" t="s">
        <v>17</v>
      </c>
      <c r="D65" s="30">
        <v>16</v>
      </c>
      <c r="E65" s="29">
        <v>0.13675213675213677</v>
      </c>
    </row>
    <row r="66" spans="2:5" ht="15" customHeight="1" x14ac:dyDescent="0.3">
      <c r="B66" s="75"/>
      <c r="C66" s="31" t="s">
        <v>15</v>
      </c>
      <c r="D66" s="30">
        <v>3</v>
      </c>
      <c r="E66" s="29">
        <v>2.564102564102564E-2</v>
      </c>
    </row>
    <row r="67" spans="2:5" ht="15" customHeight="1" x14ac:dyDescent="0.3">
      <c r="B67" s="76"/>
      <c r="C67" s="28" t="s">
        <v>5</v>
      </c>
      <c r="D67" s="27">
        <v>25</v>
      </c>
      <c r="E67" s="26">
        <v>0.21367521367521367</v>
      </c>
    </row>
    <row r="68" spans="2:5" ht="15" customHeight="1" x14ac:dyDescent="0.3">
      <c r="B68" s="74" t="s">
        <v>61</v>
      </c>
      <c r="C68" s="31" t="s">
        <v>12</v>
      </c>
      <c r="D68" s="30">
        <v>1</v>
      </c>
      <c r="E68" s="29">
        <v>8.5470085470085479E-3</v>
      </c>
    </row>
    <row r="69" spans="2:5" ht="15" customHeight="1" x14ac:dyDescent="0.3">
      <c r="B69" s="76"/>
      <c r="C69" s="28" t="s">
        <v>5</v>
      </c>
      <c r="D69" s="27">
        <v>1</v>
      </c>
      <c r="E69" s="26">
        <v>8.5470085470085479E-3</v>
      </c>
    </row>
    <row r="70" spans="2:5" ht="15" customHeight="1" x14ac:dyDescent="0.3">
      <c r="B70" s="74" t="s">
        <v>110</v>
      </c>
      <c r="C70" s="31" t="s">
        <v>16</v>
      </c>
      <c r="D70" s="30">
        <v>1</v>
      </c>
      <c r="E70" s="29">
        <v>8.5470085470085479E-3</v>
      </c>
    </row>
    <row r="71" spans="2:5" ht="15" customHeight="1" x14ac:dyDescent="0.3">
      <c r="B71" s="75"/>
      <c r="C71" s="31" t="s">
        <v>13</v>
      </c>
      <c r="D71" s="30">
        <v>2</v>
      </c>
      <c r="E71" s="29">
        <v>1.7094017094017096E-2</v>
      </c>
    </row>
    <row r="72" spans="2:5" ht="15" customHeight="1" x14ac:dyDescent="0.3">
      <c r="B72" s="75"/>
      <c r="C72" s="31" t="s">
        <v>7</v>
      </c>
      <c r="D72" s="30">
        <v>1</v>
      </c>
      <c r="E72" s="29">
        <v>8.5470085470085479E-3</v>
      </c>
    </row>
    <row r="73" spans="2:5" ht="15" customHeight="1" x14ac:dyDescent="0.3">
      <c r="B73" s="75"/>
      <c r="C73" s="31" t="s">
        <v>6</v>
      </c>
      <c r="D73" s="30">
        <v>1</v>
      </c>
      <c r="E73" s="29">
        <v>8.5470085470085479E-3</v>
      </c>
    </row>
    <row r="74" spans="2:5" ht="15" customHeight="1" x14ac:dyDescent="0.3">
      <c r="B74" s="75"/>
      <c r="C74" s="31" t="s">
        <v>15</v>
      </c>
      <c r="D74" s="30">
        <v>1</v>
      </c>
      <c r="E74" s="29">
        <v>8.5470085470085479E-3</v>
      </c>
    </row>
    <row r="75" spans="2:5" ht="15" customHeight="1" x14ac:dyDescent="0.3">
      <c r="B75" s="76"/>
      <c r="C75" s="28" t="s">
        <v>5</v>
      </c>
      <c r="D75" s="27">
        <v>6</v>
      </c>
      <c r="E75" s="26">
        <v>5.128205128205128E-2</v>
      </c>
    </row>
    <row r="76" spans="2:5" ht="15" customHeight="1" x14ac:dyDescent="0.3">
      <c r="B76" s="77" t="s">
        <v>5</v>
      </c>
      <c r="C76" s="78"/>
      <c r="D76" s="25">
        <v>117</v>
      </c>
      <c r="E76" s="24">
        <v>1</v>
      </c>
    </row>
    <row r="78" spans="2:5" ht="15" customHeight="1" x14ac:dyDescent="0.3">
      <c r="B78" s="3" t="s">
        <v>4</v>
      </c>
    </row>
    <row r="79" spans="2:5" ht="15" customHeight="1" x14ac:dyDescent="0.3">
      <c r="B79" s="5" t="s">
        <v>3</v>
      </c>
    </row>
    <row r="80" spans="2:5" ht="15" customHeight="1" x14ac:dyDescent="0.3">
      <c r="B80" s="4" t="s">
        <v>2</v>
      </c>
    </row>
    <row r="81" spans="2:2" ht="15" customHeight="1" x14ac:dyDescent="0.3">
      <c r="B81" s="3" t="s">
        <v>1</v>
      </c>
    </row>
    <row r="82" spans="2:2" ht="15" customHeight="1" x14ac:dyDescent="0.3">
      <c r="B82" s="3" t="s">
        <v>0</v>
      </c>
    </row>
  </sheetData>
  <mergeCells count="18">
    <mergeCell ref="B21:B23"/>
    <mergeCell ref="B24:B26"/>
    <mergeCell ref="B27:B28"/>
    <mergeCell ref="B29:B33"/>
    <mergeCell ref="B34:B35"/>
    <mergeCell ref="B7:E8"/>
    <mergeCell ref="B10:B11"/>
    <mergeCell ref="B12:B13"/>
    <mergeCell ref="B14:B17"/>
    <mergeCell ref="B18:B20"/>
    <mergeCell ref="B68:B69"/>
    <mergeCell ref="B70:B75"/>
    <mergeCell ref="B76:C76"/>
    <mergeCell ref="B36:B39"/>
    <mergeCell ref="B40:B45"/>
    <mergeCell ref="B46:B56"/>
    <mergeCell ref="B57:B60"/>
    <mergeCell ref="B61:B6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2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3" t="s">
        <v>82</v>
      </c>
      <c r="C7" s="73"/>
      <c r="D7" s="73"/>
    </row>
    <row r="8" spans="2:4" s="13" customFormat="1" ht="15" customHeight="1" x14ac:dyDescent="0.2">
      <c r="B8" s="73"/>
      <c r="C8" s="73"/>
      <c r="D8" s="73"/>
    </row>
    <row r="9" spans="2:4" s="13" customFormat="1" ht="33" customHeight="1" x14ac:dyDescent="0.2">
      <c r="B9" s="73"/>
      <c r="C9" s="73"/>
      <c r="D9" s="73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81</v>
      </c>
      <c r="C11" s="15" t="s">
        <v>19</v>
      </c>
      <c r="D11" s="14" t="s">
        <v>18</v>
      </c>
    </row>
    <row r="12" spans="2:4" ht="15" customHeight="1" x14ac:dyDescent="0.3">
      <c r="B12" s="11" t="s">
        <v>80</v>
      </c>
      <c r="C12" s="10">
        <v>101</v>
      </c>
      <c r="D12" s="9">
        <v>0.86324786324786329</v>
      </c>
    </row>
    <row r="13" spans="2:4" ht="15" customHeight="1" x14ac:dyDescent="0.3">
      <c r="B13" s="11" t="s">
        <v>79</v>
      </c>
      <c r="C13" s="10">
        <v>16</v>
      </c>
      <c r="D13" s="9">
        <v>0.13675213675213677</v>
      </c>
    </row>
    <row r="14" spans="2:4" x14ac:dyDescent="0.3">
      <c r="B14" s="8" t="s">
        <v>78</v>
      </c>
      <c r="C14" s="7">
        <v>117</v>
      </c>
      <c r="D14" s="6">
        <v>1</v>
      </c>
    </row>
    <row r="15" spans="2:4" s="12" customFormat="1" ht="15" x14ac:dyDescent="0.3">
      <c r="C15" s="46"/>
    </row>
    <row r="16" spans="2:4" s="12" customFormat="1" ht="15" x14ac:dyDescent="0.3">
      <c r="B16" s="3" t="s">
        <v>4</v>
      </c>
      <c r="C16" s="46"/>
    </row>
    <row r="17" spans="2:4" x14ac:dyDescent="0.3">
      <c r="B17" s="5" t="s">
        <v>3</v>
      </c>
      <c r="C17" s="45"/>
      <c r="D17" s="45"/>
    </row>
    <row r="18" spans="2:4" x14ac:dyDescent="0.3">
      <c r="B18" s="4" t="s">
        <v>2</v>
      </c>
      <c r="C18" s="44"/>
      <c r="D18" s="44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22"/>
  <sheetViews>
    <sheetView topLeftCell="A4" zoomScale="120" zoomScaleNormal="120" zoomScaleSheetLayoutView="100" workbookViewId="0">
      <selection activeCell="E34" sqref="E34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9"/>
      <c r="C7" s="79"/>
      <c r="D7" s="79"/>
      <c r="E7" s="79"/>
    </row>
    <row r="8" spans="1:5" s="36" customFormat="1" ht="33" customHeight="1" x14ac:dyDescent="0.25">
      <c r="A8" s="37"/>
      <c r="B8" s="79"/>
      <c r="C8" s="79"/>
      <c r="D8" s="79"/>
      <c r="E8" s="79"/>
    </row>
    <row r="9" spans="1:5" s="13" customFormat="1" ht="40.5" customHeight="1" x14ac:dyDescent="0.2">
      <c r="B9" s="33" t="s">
        <v>20</v>
      </c>
      <c r="C9" s="35" t="s">
        <v>81</v>
      </c>
      <c r="D9" s="34" t="s">
        <v>19</v>
      </c>
      <c r="E9" s="33" t="s">
        <v>18</v>
      </c>
    </row>
    <row r="10" spans="1:5" ht="15" customHeight="1" x14ac:dyDescent="0.3">
      <c r="B10" s="74" t="s">
        <v>16</v>
      </c>
      <c r="C10" s="31" t="s">
        <v>84</v>
      </c>
      <c r="D10" s="30">
        <v>23</v>
      </c>
      <c r="E10" s="29">
        <v>0.19658119658119658</v>
      </c>
    </row>
    <row r="11" spans="1:5" ht="15" customHeight="1" x14ac:dyDescent="0.3">
      <c r="B11" s="75"/>
      <c r="C11" s="31" t="s">
        <v>83</v>
      </c>
      <c r="D11" s="30">
        <v>2</v>
      </c>
      <c r="E11" s="29">
        <v>1.7094017094017096E-2</v>
      </c>
    </row>
    <row r="12" spans="1:5" ht="15" customHeight="1" x14ac:dyDescent="0.3">
      <c r="B12" s="76"/>
      <c r="C12" s="28" t="s">
        <v>5</v>
      </c>
      <c r="D12" s="27">
        <v>25</v>
      </c>
      <c r="E12" s="26">
        <v>0.21367521367521367</v>
      </c>
    </row>
    <row r="13" spans="1:5" ht="15" customHeight="1" x14ac:dyDescent="0.3">
      <c r="B13" s="74" t="s">
        <v>8</v>
      </c>
      <c r="C13" s="31" t="s">
        <v>84</v>
      </c>
      <c r="D13" s="30">
        <v>1</v>
      </c>
      <c r="E13" s="29">
        <v>8.5470085470085479E-3</v>
      </c>
    </row>
    <row r="14" spans="1:5" ht="15" customHeight="1" x14ac:dyDescent="0.3">
      <c r="B14" s="76"/>
      <c r="C14" s="28" t="s">
        <v>5</v>
      </c>
      <c r="D14" s="27">
        <v>1</v>
      </c>
      <c r="E14" s="26">
        <v>8.5470085470085479E-3</v>
      </c>
    </row>
    <row r="15" spans="1:5" ht="15" customHeight="1" x14ac:dyDescent="0.3">
      <c r="B15" s="74" t="s">
        <v>13</v>
      </c>
      <c r="C15" s="31" t="s">
        <v>84</v>
      </c>
      <c r="D15" s="30">
        <v>4</v>
      </c>
      <c r="E15" s="29">
        <v>3.4188034188034191E-2</v>
      </c>
    </row>
    <row r="16" spans="1:5" ht="15" customHeight="1" x14ac:dyDescent="0.3">
      <c r="B16" s="75"/>
      <c r="C16" s="31" t="s">
        <v>83</v>
      </c>
      <c r="D16" s="30">
        <v>1</v>
      </c>
      <c r="E16" s="29">
        <v>8.5470085470085479E-3</v>
      </c>
    </row>
    <row r="17" spans="2:5" ht="15" customHeight="1" x14ac:dyDescent="0.3">
      <c r="B17" s="76"/>
      <c r="C17" s="28" t="s">
        <v>5</v>
      </c>
      <c r="D17" s="27">
        <v>5</v>
      </c>
      <c r="E17" s="26">
        <v>4.2735042735042736E-2</v>
      </c>
    </row>
    <row r="18" spans="2:5" ht="15" customHeight="1" x14ac:dyDescent="0.3">
      <c r="B18" s="74" t="s">
        <v>12</v>
      </c>
      <c r="C18" s="31" t="s">
        <v>84</v>
      </c>
      <c r="D18" s="30">
        <v>3</v>
      </c>
      <c r="E18" s="29">
        <v>2.564102564102564E-2</v>
      </c>
    </row>
    <row r="19" spans="2:5" ht="15" customHeight="1" x14ac:dyDescent="0.3">
      <c r="B19" s="75"/>
      <c r="C19" s="31" t="s">
        <v>83</v>
      </c>
      <c r="D19" s="30">
        <v>2</v>
      </c>
      <c r="E19" s="29">
        <v>1.7094017094017096E-2</v>
      </c>
    </row>
    <row r="20" spans="2:5" ht="15" customHeight="1" x14ac:dyDescent="0.3">
      <c r="B20" s="76"/>
      <c r="C20" s="28" t="s">
        <v>5</v>
      </c>
      <c r="D20" s="27">
        <v>5</v>
      </c>
      <c r="E20" s="26">
        <v>4.2735042735042736E-2</v>
      </c>
    </row>
    <row r="21" spans="2:5" ht="15" customHeight="1" x14ac:dyDescent="0.3">
      <c r="B21" s="74" t="s">
        <v>11</v>
      </c>
      <c r="C21" s="31" t="s">
        <v>84</v>
      </c>
      <c r="D21" s="30">
        <v>4</v>
      </c>
      <c r="E21" s="29">
        <v>3.4188034188034191E-2</v>
      </c>
    </row>
    <row r="22" spans="2:5" ht="15" customHeight="1" x14ac:dyDescent="0.3">
      <c r="B22" s="76"/>
      <c r="C22" s="28" t="s">
        <v>5</v>
      </c>
      <c r="D22" s="27">
        <v>4</v>
      </c>
      <c r="E22" s="26">
        <v>3.4188034188034191E-2</v>
      </c>
    </row>
    <row r="23" spans="2:5" ht="15" customHeight="1" x14ac:dyDescent="0.3">
      <c r="B23" s="74" t="s">
        <v>10</v>
      </c>
      <c r="C23" s="31" t="s">
        <v>84</v>
      </c>
      <c r="D23" s="30">
        <v>2</v>
      </c>
      <c r="E23" s="29">
        <v>1.7094017094017096E-2</v>
      </c>
    </row>
    <row r="24" spans="2:5" ht="15" customHeight="1" x14ac:dyDescent="0.3">
      <c r="B24" s="76"/>
      <c r="C24" s="28" t="s">
        <v>5</v>
      </c>
      <c r="D24" s="27">
        <v>2</v>
      </c>
      <c r="E24" s="26">
        <v>1.7094017094017096E-2</v>
      </c>
    </row>
    <row r="25" spans="2:5" ht="15" customHeight="1" x14ac:dyDescent="0.3">
      <c r="B25" s="74" t="s">
        <v>7</v>
      </c>
      <c r="C25" s="31" t="s">
        <v>84</v>
      </c>
      <c r="D25" s="30">
        <v>1</v>
      </c>
      <c r="E25" s="29">
        <v>8.5470085470085479E-3</v>
      </c>
    </row>
    <row r="26" spans="2:5" ht="15" customHeight="1" x14ac:dyDescent="0.3">
      <c r="B26" s="76"/>
      <c r="C26" s="28" t="s">
        <v>5</v>
      </c>
      <c r="D26" s="27">
        <v>1</v>
      </c>
      <c r="E26" s="26">
        <v>8.5470085470085479E-3</v>
      </c>
    </row>
    <row r="27" spans="2:5" ht="15" customHeight="1" x14ac:dyDescent="0.3">
      <c r="B27" s="75" t="s">
        <v>6</v>
      </c>
      <c r="C27" s="31" t="s">
        <v>83</v>
      </c>
      <c r="D27" s="30">
        <v>1</v>
      </c>
      <c r="E27" s="29">
        <v>8.5470085470085479E-3</v>
      </c>
    </row>
    <row r="28" spans="2:5" ht="15" customHeight="1" x14ac:dyDescent="0.3">
      <c r="B28" s="76"/>
      <c r="C28" s="28" t="s">
        <v>5</v>
      </c>
      <c r="D28" s="27">
        <v>1</v>
      </c>
      <c r="E28" s="26">
        <v>8.5470085470085479E-3</v>
      </c>
    </row>
    <row r="29" spans="2:5" ht="15" customHeight="1" x14ac:dyDescent="0.3">
      <c r="B29" s="74" t="s">
        <v>14</v>
      </c>
      <c r="C29" s="31" t="s">
        <v>84</v>
      </c>
      <c r="D29" s="30">
        <v>7</v>
      </c>
      <c r="E29" s="29">
        <v>5.9829059829059832E-2</v>
      </c>
    </row>
    <row r="30" spans="2:5" ht="15" customHeight="1" x14ac:dyDescent="0.3">
      <c r="B30" s="76"/>
      <c r="C30" s="28" t="s">
        <v>5</v>
      </c>
      <c r="D30" s="27">
        <v>7</v>
      </c>
      <c r="E30" s="26">
        <v>5.9829059829059832E-2</v>
      </c>
    </row>
    <row r="31" spans="2:5" ht="15" customHeight="1" x14ac:dyDescent="0.3">
      <c r="B31" s="74" t="s">
        <v>9</v>
      </c>
      <c r="C31" s="31" t="s">
        <v>84</v>
      </c>
      <c r="D31" s="30">
        <v>2</v>
      </c>
      <c r="E31" s="29">
        <v>1.7094017094017096E-2</v>
      </c>
    </row>
    <row r="32" spans="2:5" ht="15" customHeight="1" x14ac:dyDescent="0.3">
      <c r="B32" s="76"/>
      <c r="C32" s="28" t="s">
        <v>5</v>
      </c>
      <c r="D32" s="27">
        <v>2</v>
      </c>
      <c r="E32" s="26">
        <v>1.7094017094017096E-2</v>
      </c>
    </row>
    <row r="33" spans="2:5" ht="15" customHeight="1" x14ac:dyDescent="0.3">
      <c r="B33" s="74" t="s">
        <v>17</v>
      </c>
      <c r="C33" s="31" t="s">
        <v>84</v>
      </c>
      <c r="D33" s="30">
        <v>36</v>
      </c>
      <c r="E33" s="29">
        <v>0.30769230769230771</v>
      </c>
    </row>
    <row r="34" spans="2:5" ht="15" customHeight="1" x14ac:dyDescent="0.3">
      <c r="B34" s="75"/>
      <c r="C34" s="31" t="s">
        <v>83</v>
      </c>
      <c r="D34" s="30">
        <v>8</v>
      </c>
      <c r="E34" s="29">
        <v>6.8376068376068383E-2</v>
      </c>
    </row>
    <row r="35" spans="2:5" ht="15" customHeight="1" x14ac:dyDescent="0.3">
      <c r="B35" s="76"/>
      <c r="C35" s="28" t="s">
        <v>5</v>
      </c>
      <c r="D35" s="27">
        <v>44</v>
      </c>
      <c r="E35" s="26">
        <v>0.37606837606837606</v>
      </c>
    </row>
    <row r="36" spans="2:5" ht="15" customHeight="1" x14ac:dyDescent="0.3">
      <c r="B36" s="74" t="s">
        <v>15</v>
      </c>
      <c r="C36" s="31" t="s">
        <v>84</v>
      </c>
      <c r="D36" s="30">
        <v>18</v>
      </c>
      <c r="E36" s="29">
        <v>0.15384615384615385</v>
      </c>
    </row>
    <row r="37" spans="2:5" ht="15" customHeight="1" x14ac:dyDescent="0.3">
      <c r="B37" s="75"/>
      <c r="C37" s="31" t="s">
        <v>83</v>
      </c>
      <c r="D37" s="30">
        <v>2</v>
      </c>
      <c r="E37" s="29">
        <v>1.7094017094017096E-2</v>
      </c>
    </row>
    <row r="38" spans="2:5" ht="15" customHeight="1" x14ac:dyDescent="0.3">
      <c r="B38" s="76"/>
      <c r="C38" s="28" t="s">
        <v>5</v>
      </c>
      <c r="D38" s="27">
        <v>20</v>
      </c>
      <c r="E38" s="26">
        <v>0.17094017094017094</v>
      </c>
    </row>
    <row r="39" spans="2:5" ht="15" customHeight="1" x14ac:dyDescent="0.3">
      <c r="B39" s="77" t="s">
        <v>5</v>
      </c>
      <c r="C39" s="78"/>
      <c r="D39" s="25">
        <f>SUMIF(C10:C38,"TOTAL",D10:D38)</f>
        <v>117</v>
      </c>
      <c r="E39" s="24">
        <v>1</v>
      </c>
    </row>
    <row r="41" spans="2:5" ht="15" customHeight="1" x14ac:dyDescent="0.3">
      <c r="B41" s="3" t="s">
        <v>4</v>
      </c>
    </row>
    <row r="42" spans="2:5" ht="15" customHeight="1" x14ac:dyDescent="0.3">
      <c r="B42" s="5" t="s">
        <v>3</v>
      </c>
    </row>
    <row r="43" spans="2:5" ht="15" customHeight="1" x14ac:dyDescent="0.3">
      <c r="B43" s="4" t="s">
        <v>2</v>
      </c>
    </row>
    <row r="44" spans="2:5" ht="15" customHeight="1" x14ac:dyDescent="0.3">
      <c r="B44" s="3" t="s">
        <v>1</v>
      </c>
    </row>
    <row r="45" spans="2:5" ht="15" customHeight="1" x14ac:dyDescent="0.3">
      <c r="B45" s="3" t="s">
        <v>0</v>
      </c>
    </row>
    <row r="418" spans="2:2" s="21" customFormat="1" ht="15" customHeight="1" x14ac:dyDescent="0.3">
      <c r="B418" s="22"/>
    </row>
    <row r="419" spans="2:2" s="21" customFormat="1" ht="15" customHeight="1" x14ac:dyDescent="0.3">
      <c r="B419" s="23"/>
    </row>
    <row r="420" spans="2:2" s="21" customFormat="1" ht="15" customHeight="1" x14ac:dyDescent="0.3">
      <c r="B420" s="23"/>
    </row>
    <row r="421" spans="2:2" s="21" customFormat="1" ht="15" customHeight="1" x14ac:dyDescent="0.3">
      <c r="B421" s="22"/>
    </row>
    <row r="422" spans="2:2" s="21" customFormat="1" ht="15" customHeight="1" x14ac:dyDescent="0.3">
      <c r="B422" s="22"/>
    </row>
  </sheetData>
  <mergeCells count="14">
    <mergeCell ref="B7:E8"/>
    <mergeCell ref="B18:B20"/>
    <mergeCell ref="B21:B22"/>
    <mergeCell ref="B23:B24"/>
    <mergeCell ref="B10:B12"/>
    <mergeCell ref="B13:B14"/>
    <mergeCell ref="B15:B17"/>
    <mergeCell ref="B29:B30"/>
    <mergeCell ref="B31:B32"/>
    <mergeCell ref="B36:B38"/>
    <mergeCell ref="B25:B26"/>
    <mergeCell ref="B27:B28"/>
    <mergeCell ref="B39:C39"/>
    <mergeCell ref="B33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24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79"/>
      <c r="C7" s="79"/>
      <c r="D7" s="79"/>
      <c r="E7" s="79"/>
    </row>
    <row r="8" spans="1:5" s="36" customFormat="1" ht="33" customHeight="1" x14ac:dyDescent="0.25">
      <c r="A8" s="37"/>
      <c r="B8" s="79"/>
      <c r="C8" s="79"/>
      <c r="D8" s="79"/>
      <c r="E8" s="79"/>
    </row>
    <row r="9" spans="1:5" s="13" customFormat="1" ht="40.5" customHeight="1" x14ac:dyDescent="0.2">
      <c r="B9" s="33" t="s">
        <v>81</v>
      </c>
      <c r="C9" s="35" t="s">
        <v>89</v>
      </c>
      <c r="D9" s="34" t="s">
        <v>19</v>
      </c>
      <c r="E9" s="33" t="s">
        <v>18</v>
      </c>
    </row>
    <row r="10" spans="1:5" ht="15" customHeight="1" x14ac:dyDescent="0.3">
      <c r="B10" s="74" t="s">
        <v>84</v>
      </c>
      <c r="C10" s="31" t="s">
        <v>88</v>
      </c>
      <c r="D10" s="30">
        <v>53</v>
      </c>
      <c r="E10" s="29">
        <v>0.45299145299145299</v>
      </c>
    </row>
    <row r="11" spans="1:5" ht="15" customHeight="1" x14ac:dyDescent="0.3">
      <c r="B11" s="75"/>
      <c r="C11" s="31" t="s">
        <v>87</v>
      </c>
      <c r="D11" s="30">
        <v>26</v>
      </c>
      <c r="E11" s="29">
        <v>0.22222222222222221</v>
      </c>
    </row>
    <row r="12" spans="1:5" ht="15" customHeight="1" x14ac:dyDescent="0.3">
      <c r="B12" s="75"/>
      <c r="C12" s="31" t="s">
        <v>86</v>
      </c>
      <c r="D12" s="30">
        <v>14</v>
      </c>
      <c r="E12" s="29">
        <v>0.11965811965811966</v>
      </c>
    </row>
    <row r="13" spans="1:5" ht="15" customHeight="1" x14ac:dyDescent="0.3">
      <c r="B13" s="76"/>
      <c r="C13" s="31" t="s">
        <v>85</v>
      </c>
      <c r="D13" s="30">
        <v>8</v>
      </c>
      <c r="E13" s="29">
        <v>6.8376068376068383E-2</v>
      </c>
    </row>
    <row r="14" spans="1:5" ht="15" customHeight="1" x14ac:dyDescent="0.3">
      <c r="B14" s="74" t="s">
        <v>83</v>
      </c>
      <c r="C14" s="31" t="s">
        <v>88</v>
      </c>
      <c r="D14" s="30">
        <v>7</v>
      </c>
      <c r="E14" s="29">
        <v>5.9829059829059832E-2</v>
      </c>
    </row>
    <row r="15" spans="1:5" s="32" customFormat="1" ht="15" customHeight="1" x14ac:dyDescent="0.2">
      <c r="B15" s="75"/>
      <c r="C15" s="31" t="s">
        <v>87</v>
      </c>
      <c r="D15" s="30">
        <v>7</v>
      </c>
      <c r="E15" s="29">
        <v>5.9829059829059832E-2</v>
      </c>
    </row>
    <row r="16" spans="1:5" s="32" customFormat="1" ht="15" customHeight="1" x14ac:dyDescent="0.2">
      <c r="B16" s="75"/>
      <c r="C16" s="31" t="s">
        <v>86</v>
      </c>
      <c r="D16" s="30">
        <v>1</v>
      </c>
      <c r="E16" s="29">
        <v>8.5470085470085479E-3</v>
      </c>
    </row>
    <row r="17" spans="2:5" s="32" customFormat="1" ht="15" customHeight="1" x14ac:dyDescent="0.2">
      <c r="B17" s="76"/>
      <c r="C17" s="31" t="s">
        <v>85</v>
      </c>
      <c r="D17" s="30">
        <v>1</v>
      </c>
      <c r="E17" s="29">
        <v>8.5470085470085479E-3</v>
      </c>
    </row>
    <row r="18" spans="2:5" s="32" customFormat="1" ht="15" customHeight="1" x14ac:dyDescent="0.2">
      <c r="B18" s="77" t="s">
        <v>5</v>
      </c>
      <c r="C18" s="78"/>
      <c r="D18" s="25">
        <v>117</v>
      </c>
      <c r="E18" s="24">
        <v>1</v>
      </c>
    </row>
    <row r="19" spans="2:5" s="32" customFormat="1" ht="15" customHeight="1" x14ac:dyDescent="0.2">
      <c r="B19" s="3"/>
    </row>
    <row r="20" spans="2:5" ht="15" customHeight="1" x14ac:dyDescent="0.3">
      <c r="B20" s="3" t="s">
        <v>4</v>
      </c>
    </row>
    <row r="21" spans="2:5" ht="15" customHeight="1" x14ac:dyDescent="0.3">
      <c r="B21" s="5" t="s">
        <v>3</v>
      </c>
    </row>
    <row r="22" spans="2:5" ht="15" customHeight="1" x14ac:dyDescent="0.3">
      <c r="B22" s="4" t="s">
        <v>2</v>
      </c>
    </row>
    <row r="23" spans="2:5" ht="15" customHeight="1" x14ac:dyDescent="0.3">
      <c r="B23" s="3" t="s">
        <v>1</v>
      </c>
    </row>
    <row r="24" spans="2:5" ht="15" customHeight="1" x14ac:dyDescent="0.3">
      <c r="B24" s="3" t="s">
        <v>0</v>
      </c>
    </row>
    <row r="485" spans="2:2" s="21" customFormat="1" ht="15" customHeight="1" x14ac:dyDescent="0.3">
      <c r="B485" s="22"/>
    </row>
    <row r="486" spans="2:2" s="21" customFormat="1" ht="15" customHeight="1" x14ac:dyDescent="0.3">
      <c r="B486" s="23"/>
    </row>
    <row r="487" spans="2:2" s="21" customFormat="1" ht="15" customHeight="1" x14ac:dyDescent="0.3">
      <c r="B487" s="23"/>
    </row>
    <row r="488" spans="2:2" s="21" customFormat="1" ht="15" customHeight="1" x14ac:dyDescent="0.3">
      <c r="B488" s="22"/>
    </row>
    <row r="489" spans="2:2" s="21" customFormat="1" ht="15" customHeight="1" x14ac:dyDescent="0.3">
      <c r="B489" s="22"/>
    </row>
  </sheetData>
  <mergeCells count="4">
    <mergeCell ref="B7:E8"/>
    <mergeCell ref="B10:B13"/>
    <mergeCell ref="B14:B17"/>
    <mergeCell ref="B18:C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3"/>
  <sheetViews>
    <sheetView showGridLines="0" tabSelected="1" zoomScaleNormal="100" zoomScaleSheetLayoutView="115" workbookViewId="0">
      <selection activeCell="K20" sqref="K20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3" t="s">
        <v>96</v>
      </c>
      <c r="C7" s="73"/>
      <c r="D7" s="73"/>
    </row>
    <row r="8" spans="2:4" s="13" customFormat="1" ht="15" customHeight="1" x14ac:dyDescent="0.2">
      <c r="B8" s="73"/>
      <c r="C8" s="73"/>
      <c r="D8" s="73"/>
    </row>
    <row r="9" spans="2:4" s="13" customFormat="1" ht="33" customHeight="1" x14ac:dyDescent="0.2">
      <c r="B9" s="73"/>
      <c r="C9" s="73"/>
      <c r="D9" s="73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95</v>
      </c>
      <c r="C11" s="15" t="s">
        <v>19</v>
      </c>
      <c r="D11" s="14" t="s">
        <v>18</v>
      </c>
    </row>
    <row r="12" spans="2:4" ht="15" customHeight="1" x14ac:dyDescent="0.3">
      <c r="B12" s="11" t="s">
        <v>94</v>
      </c>
      <c r="C12" s="10">
        <v>104</v>
      </c>
      <c r="D12" s="9">
        <v>0.88888888888888884</v>
      </c>
    </row>
    <row r="13" spans="2:4" x14ac:dyDescent="0.3">
      <c r="B13" s="11" t="s">
        <v>93</v>
      </c>
      <c r="C13" s="10">
        <v>10</v>
      </c>
      <c r="D13" s="9">
        <v>8.5470085470085472E-2</v>
      </c>
    </row>
    <row r="14" spans="2:4" s="12" customFormat="1" ht="15" x14ac:dyDescent="0.3">
      <c r="B14" s="11" t="s">
        <v>92</v>
      </c>
      <c r="C14" s="10">
        <v>1</v>
      </c>
      <c r="D14" s="9">
        <v>8.5470085470085479E-3</v>
      </c>
    </row>
    <row r="15" spans="2:4" s="12" customFormat="1" ht="15" x14ac:dyDescent="0.3">
      <c r="B15" s="11" t="s">
        <v>91</v>
      </c>
      <c r="C15" s="10">
        <v>1</v>
      </c>
      <c r="D15" s="9">
        <v>8.5470085470085479E-3</v>
      </c>
    </row>
    <row r="16" spans="2:4" x14ac:dyDescent="0.3">
      <c r="B16" s="11" t="s">
        <v>90</v>
      </c>
      <c r="C16" s="10">
        <v>1</v>
      </c>
      <c r="D16" s="9">
        <v>8.5470085470085479E-3</v>
      </c>
    </row>
    <row r="17" spans="2:4" x14ac:dyDescent="0.3">
      <c r="B17" s="8" t="s">
        <v>5</v>
      </c>
      <c r="C17" s="7">
        <v>117</v>
      </c>
      <c r="D17" s="6">
        <v>1</v>
      </c>
    </row>
    <row r="18" spans="2:4" x14ac:dyDescent="0.3">
      <c r="B18" s="3"/>
    </row>
    <row r="19" spans="2:4" x14ac:dyDescent="0.3">
      <c r="B19" s="3" t="s">
        <v>4</v>
      </c>
    </row>
    <row r="20" spans="2:4" x14ac:dyDescent="0.3">
      <c r="B20" s="5" t="s">
        <v>3</v>
      </c>
    </row>
    <row r="21" spans="2:4" x14ac:dyDescent="0.3">
      <c r="B21" s="4" t="s">
        <v>2</v>
      </c>
    </row>
    <row r="22" spans="2:4" x14ac:dyDescent="0.3">
      <c r="B22" s="3" t="s">
        <v>1</v>
      </c>
    </row>
    <row r="23" spans="2:4" x14ac:dyDescent="0.3">
      <c r="B23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Vermont_Edomexgral</vt:lpstr>
      <vt:lpstr>Vermont_EDOMEX</vt:lpstr>
      <vt:lpstr>Vermont_Educagral</vt:lpstr>
      <vt:lpstr>Vermont_Eduedo</vt:lpstr>
      <vt:lpstr>Vermont_gengral</vt:lpstr>
      <vt:lpstr>Vermont_edomexgen</vt:lpstr>
      <vt:lpstr>Vermont_edadgen</vt:lpstr>
      <vt:lpstr>Vermont_ocupgral</vt:lpstr>
      <vt:lpstr>Índice!Área_de_impresión</vt:lpstr>
      <vt:lpstr>Vermont_edadgen!Área_de_impresión</vt:lpstr>
      <vt:lpstr>Vermont_EDOMEX!Área_de_impresión</vt:lpstr>
      <vt:lpstr>Vermont_edomexgen!Área_de_impresión</vt:lpstr>
      <vt:lpstr>Vermont_Eduedo!Área_de_impresión</vt:lpstr>
      <vt:lpstr>Vermont_edadgen!Títulos_a_imprimir</vt:lpstr>
      <vt:lpstr>Vermont_EDOMEX!Títulos_a_imprimir</vt:lpstr>
      <vt:lpstr>Vermont_edomexgen!Títulos_a_imprimir</vt:lpstr>
      <vt:lpstr>Vermont_Edomexgral!Títulos_a_imprimir</vt:lpstr>
      <vt:lpstr>Vermont_Educagral!Títulos_a_imprimir</vt:lpstr>
      <vt:lpstr>Vermont_Eduedo!Títulos_a_imprimir</vt:lpstr>
      <vt:lpstr>Vermont_gengral!Títulos_a_imprimir</vt:lpstr>
      <vt:lpstr>Vermont_ocupgral!Títulos_a_imprimir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2020-05-18T09:27:24Z</dcterms:created>
  <dcterms:modified xsi:type="dcterms:W3CDTF">2020-08-07T19:01:15Z</dcterms:modified>
</cp:coreProperties>
</file>