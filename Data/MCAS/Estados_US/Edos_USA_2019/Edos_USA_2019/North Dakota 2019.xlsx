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tabRatio="772" firstSheet="3" activeTab="8"/>
  </bookViews>
  <sheets>
    <sheet name="Índice" sheetId="1" r:id="rId1"/>
    <sheet name="North Dakota_Edomexgral" sheetId="2" r:id="rId2"/>
    <sheet name="North Dakota_EDOMEX" sheetId="11" r:id="rId3"/>
    <sheet name="North Dakota_Educagral" sheetId="4" r:id="rId4"/>
    <sheet name="North Dakota_Eduedo " sheetId="10" r:id="rId5"/>
    <sheet name="North Dakota_gengral" sheetId="6" r:id="rId6"/>
    <sheet name="North Dakota_edomexgen" sheetId="7" r:id="rId7"/>
    <sheet name="North Dakota_edadgen" sheetId="8" r:id="rId8"/>
    <sheet name="North Dakota_ocupgral" sheetId="9" r:id="rId9"/>
  </sheets>
  <definedNames>
    <definedName name="_xlnm._FilterDatabase" localSheetId="7" hidden="1">'North Dakota_edadgen'!$B$9:$E$13</definedName>
    <definedName name="_xlnm._FilterDatabase" localSheetId="2" hidden="1">'North Dakota_EDOMEX'!$B$9:$E$13</definedName>
    <definedName name="_xlnm._FilterDatabase" localSheetId="6" hidden="1">'North Dakota_edomexgen'!$B$9:$E$12</definedName>
    <definedName name="_xlnm._FilterDatabase" localSheetId="1" hidden="1">'North Dakota_Edomexgral'!$B$11:$D$12</definedName>
    <definedName name="_xlnm._FilterDatabase" localSheetId="3" hidden="1">'North Dakota_Educagral'!$B$11:$D$12</definedName>
    <definedName name="_xlnm._FilterDatabase" localSheetId="4" hidden="1">'North Dakota_Eduedo '!$B$9:$E$13</definedName>
    <definedName name="_xlnm._FilterDatabase" localSheetId="5" hidden="1">'North Dakota_gengral'!$B$11:$D$12</definedName>
    <definedName name="_xlnm._FilterDatabase" localSheetId="8" hidden="1">'North Dakota_ocupgral'!$B$11:$D$12</definedName>
    <definedName name="_xlnm.Print_Area" localSheetId="7">'North Dakota_edadgen'!$A$1:$E$28</definedName>
    <definedName name="_xlnm.Print_Area" localSheetId="2">'North Dakota_EDOMEX'!$A$1:$E$129</definedName>
    <definedName name="_xlnm.Print_Area" localSheetId="6">'North Dakota_edomexgen'!$A$1:$E$83</definedName>
    <definedName name="_xlnm.Print_Area" localSheetId="4">'North Dakota_Eduedo '!$A$1:$E$103</definedName>
    <definedName name="_xlnm.Print_Titles" localSheetId="7">'North Dakota_edadgen'!$1:$9</definedName>
    <definedName name="_xlnm.Print_Titles" localSheetId="2">'North Dakota_EDOMEX'!$1:$9</definedName>
    <definedName name="_xlnm.Print_Titles" localSheetId="6">'North Dakota_edomexgen'!$1:$9</definedName>
    <definedName name="_xlnm.Print_Titles" localSheetId="1">'North Dakota_Edomexgral'!$1:$11</definedName>
    <definedName name="_xlnm.Print_Titles" localSheetId="3">'North Dakota_Educagral'!$1:$11</definedName>
    <definedName name="_xlnm.Print_Titles" localSheetId="4">'North Dakota_Eduedo '!$1:$9</definedName>
    <definedName name="_xlnm.Print_Titles" localSheetId="5">'North Dakota_gengral'!$1:$11</definedName>
    <definedName name="_xlnm.Print_Titles" localSheetId="8">'North Dakota_ocupgral'!$1:$11</definedName>
  </definedNames>
  <calcPr calcId="152511"/>
</workbook>
</file>

<file path=xl/calcChain.xml><?xml version="1.0" encoding="utf-8"?>
<calcChain xmlns="http://schemas.openxmlformats.org/spreadsheetml/2006/main">
  <c r="D123" i="11" l="1"/>
  <c r="D77" i="7" l="1"/>
</calcChain>
</file>

<file path=xl/sharedStrings.xml><?xml version="1.0" encoding="utf-8"?>
<sst xmlns="http://schemas.openxmlformats.org/spreadsheetml/2006/main" count="495" uniqueCount="179">
  <si>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</si>
  <si>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</si>
  <si>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</si>
  <si>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</si>
  <si>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</si>
  <si>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</si>
  <si>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</si>
  <si>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</si>
  <si>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</si>
  <si>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</si>
  <si>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</si>
  <si>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</si>
  <si>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</si>
  <si>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</si>
  <si>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</si>
  <si>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</si>
  <si>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</si>
  <si>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</si>
  <si>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Zacatecas</t>
  </si>
  <si>
    <t>San Luis Potosí</t>
  </si>
  <si>
    <t>Querétaro</t>
  </si>
  <si>
    <t>Chiapas</t>
  </si>
  <si>
    <t>Campeche</t>
  </si>
  <si>
    <t>Tamaulipas</t>
  </si>
  <si>
    <t>Sinaloa</t>
  </si>
  <si>
    <t>Quintana Roo</t>
  </si>
  <si>
    <t>Puebla</t>
  </si>
  <si>
    <t>Aguascalientes</t>
  </si>
  <si>
    <t>Sonora</t>
  </si>
  <si>
    <t>Nuevo León</t>
  </si>
  <si>
    <t>Nayarit</t>
  </si>
  <si>
    <t>Coahuila</t>
  </si>
  <si>
    <t>Veracruz</t>
  </si>
  <si>
    <t>Estado de México</t>
  </si>
  <si>
    <t>Chihuahua</t>
  </si>
  <si>
    <t>Baja California</t>
  </si>
  <si>
    <t>Michoacán</t>
  </si>
  <si>
    <t>Guerrero</t>
  </si>
  <si>
    <t>Durango</t>
  </si>
  <si>
    <t>Oaxaca</t>
  </si>
  <si>
    <t>Ciudad de México</t>
  </si>
  <si>
    <t>Jalisco</t>
  </si>
  <si>
    <t>Guanajuato</t>
  </si>
  <si>
    <t>Porcentaje de Matrículas</t>
  </si>
  <si>
    <t>Número de Matrículas</t>
  </si>
  <si>
    <t>Estado de Origen</t>
  </si>
  <si>
    <t>MATRÍCULAS CONSULARES DE ALTA SEGURIDAD EXPEDIDAS EN EL ESTADO DE NORTH DAKOTA EN EE.UU. POR ESTADO DE LA REPÚBLICA MEXICANA DURANTE EL 2019</t>
  </si>
  <si>
    <t>Tepetongo</t>
  </si>
  <si>
    <t>Tierra Blanca</t>
  </si>
  <si>
    <t>Tecolutla</t>
  </si>
  <si>
    <t>Minatitlán</t>
  </si>
  <si>
    <t>Atlahuilco</t>
  </si>
  <si>
    <t>Reynosa</t>
  </si>
  <si>
    <t>Nuevo Laredo</t>
  </si>
  <si>
    <t>Santa Ana</t>
  </si>
  <si>
    <t>Hermosillo</t>
  </si>
  <si>
    <t>Cajeme</t>
  </si>
  <si>
    <t>Salvador Alvarado</t>
  </si>
  <si>
    <t>Ahome</t>
  </si>
  <si>
    <t>Matehuala</t>
  </si>
  <si>
    <t>Othón P. Blanco</t>
  </si>
  <si>
    <t>Benito Juárez</t>
  </si>
  <si>
    <t>San Juan del Río</t>
  </si>
  <si>
    <t>Huaquechula</t>
  </si>
  <si>
    <t>Santiago Pinotepa Nacional</t>
  </si>
  <si>
    <t>Santa María Colotepec</t>
  </si>
  <si>
    <t>Santa María Atzompa</t>
  </si>
  <si>
    <t>San Pedro Mixtepec - Distr. 22 -</t>
  </si>
  <si>
    <t>San Juan Teposcolula</t>
  </si>
  <si>
    <t>San Francisco Cahuacuá</t>
  </si>
  <si>
    <t>San Antonino Monte Verde</t>
  </si>
  <si>
    <t>Pluma Hidalgo</t>
  </si>
  <si>
    <t>Monterrey</t>
  </si>
  <si>
    <t>Los Aldamas</t>
  </si>
  <si>
    <t>General Terán</t>
  </si>
  <si>
    <t>Tepic</t>
  </si>
  <si>
    <t>Santiago Ixcuintla</t>
  </si>
  <si>
    <t>Compostela</t>
  </si>
  <si>
    <t>Yurécuaro</t>
  </si>
  <si>
    <t>Uruapan</t>
  </si>
  <si>
    <t>Contepec</t>
  </si>
  <si>
    <t>Coalcomán de Vázquez Pallares</t>
  </si>
  <si>
    <t>Buenavista</t>
  </si>
  <si>
    <t>Apatzingán</t>
  </si>
  <si>
    <t>Aguililla</t>
  </si>
  <si>
    <t>Villa Hidalgo</t>
  </si>
  <si>
    <t>Tonalá</t>
  </si>
  <si>
    <t>San Pedro Tlaquepaque</t>
  </si>
  <si>
    <t>Tlajomulco de Zúñiga</t>
  </si>
  <si>
    <t>San Julián</t>
  </si>
  <si>
    <t>Jamay</t>
  </si>
  <si>
    <t>Ixtlahuacán de los Membrillos</t>
  </si>
  <si>
    <t>Guadalajara</t>
  </si>
  <si>
    <t>Degollado</t>
  </si>
  <si>
    <t>Ayotlán</t>
  </si>
  <si>
    <t>Zirándaro</t>
  </si>
  <si>
    <t>Leonardo Bravo</t>
  </si>
  <si>
    <t>Cuetzala del Progreso</t>
  </si>
  <si>
    <t>Coyuca de Benítez</t>
  </si>
  <si>
    <t>Arcelia</t>
  </si>
  <si>
    <t>Salamanca</t>
  </si>
  <si>
    <t>Romita</t>
  </si>
  <si>
    <t>Pénjamo</t>
  </si>
  <si>
    <t>León</t>
  </si>
  <si>
    <t>Irapuato</t>
  </si>
  <si>
    <t>Celaya</t>
  </si>
  <si>
    <t>Apaseo el Alto</t>
  </si>
  <si>
    <t>Texcoco</t>
  </si>
  <si>
    <t>Temascalapa</t>
  </si>
  <si>
    <t>Nezahualcóyotl</t>
  </si>
  <si>
    <t>Amecameca</t>
  </si>
  <si>
    <t>Tlalpan</t>
  </si>
  <si>
    <t>Tláhuac</t>
  </si>
  <si>
    <t>Miguel Hidalgo</t>
  </si>
  <si>
    <t>Iztacalco</t>
  </si>
  <si>
    <t>Cuauhtémoc</t>
  </si>
  <si>
    <t>Azcapotzalco</t>
  </si>
  <si>
    <t>Álvaro Obregón</t>
  </si>
  <si>
    <t>Saltillo</t>
  </si>
  <si>
    <t>Monclova</t>
  </si>
  <si>
    <t>Allende</t>
  </si>
  <si>
    <t>Hidalgo del Parral</t>
  </si>
  <si>
    <t>Comitán de Domínguez</t>
  </si>
  <si>
    <t>Tijuana</t>
  </si>
  <si>
    <t>Mexicali</t>
  </si>
  <si>
    <t>Calvillo</t>
  </si>
  <si>
    <t>Municipio Origen</t>
  </si>
  <si>
    <t>Posgrado [Maestría]</t>
  </si>
  <si>
    <t>Profesional Titulado</t>
  </si>
  <si>
    <t>Profesional pasante</t>
  </si>
  <si>
    <t>3°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</si>
  <si>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</si>
  <si>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</si>
  <si>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</si>
  <si>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</si>
  <si>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</si>
  <si>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</si>
  <si>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</si>
  <si>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</si>
  <si>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</si>
  <si>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</si>
  <si>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4° Primaria</t>
  </si>
  <si>
    <t>3° Primaria</t>
  </si>
  <si>
    <t>1° Primaria</t>
  </si>
  <si>
    <t>Nivel de Estudios</t>
  </si>
  <si>
    <t>MATRÍCULAS CONSULARES EXPEDIDAS EN EL ESTADO DE NORTH DAKOTA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</si>
  <si>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</si>
  <si>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</si>
  <si>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</si>
  <si>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</si>
  <si>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NORTH DAKOTA, POR GÉNERO 2019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</si>
  <si>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</si>
  <si>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</si>
  <si>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</si>
  <si>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</si>
  <si>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</si>
  <si>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</si>
  <si>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</si>
  <si>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</si>
  <si>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</si>
  <si>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</si>
  <si>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Jardinero(a)</t>
  </si>
  <si>
    <t>Comerciante</t>
  </si>
  <si>
    <t>Cocinero(a)</t>
  </si>
  <si>
    <t>Chofer</t>
  </si>
  <si>
    <t>Cajero(a)</t>
  </si>
  <si>
    <t>Otro</t>
  </si>
  <si>
    <t>Obrero(a)</t>
  </si>
  <si>
    <t>Estudiante</t>
  </si>
  <si>
    <t>Hogar</t>
  </si>
  <si>
    <t>Empleado(a)</t>
  </si>
  <si>
    <t>Ocupación</t>
  </si>
  <si>
    <t>MATRÍCULAS CONSULARES DE ALTA SEGURIDAD EXPEDIDAS EN EE.UU A MEXICANOS EN EL ESTADO DE  NORTH DAKOTA, POR PERFIL OCUPACIONAL 2019</t>
  </si>
  <si>
    <t>Matrículas consulares expedidas a mexicanos  en el estado de North Dakota  en el 2019</t>
  </si>
  <si>
    <t>Profesional titulado</t>
  </si>
  <si>
    <t>Capacitación técnica</t>
  </si>
  <si>
    <t>Guadalupe Victoria</t>
  </si>
  <si>
    <t>Mezquital</t>
  </si>
  <si>
    <t>Rodeo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</si>
</sst>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8" fillId="0" borderId="0"/>
  </cellStyleXfs>
  <cellXfs count="83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0" fontId="19" fillId="0" borderId="0" xfId="0" applyFont="1" applyBorder="1"/>
    <xf numFmtId="0" fontId="19" fillId="0" borderId="0" xfId="0" applyFont="1" applyBorder="1" applyAlignment="1">
      <alignment vertical="top"/>
    </xf>
    <xf numFmtId="164" fontId="10" fillId="5" borderId="9" xfId="0" applyNumberFormat="1" applyFont="1" applyFill="1" applyBorder="1" applyAlignment="1">
      <alignment horizontal="right" vertical="center" wrapText="1"/>
    </xf>
    <xf numFmtId="3" fontId="10" fillId="5" borderId="9" xfId="0" applyNumberFormat="1" applyFont="1" applyFill="1" applyBorder="1" applyAlignment="1">
      <alignment horizontal="right" vertical="center" wrapText="1"/>
    </xf>
    <xf numFmtId="165" fontId="10" fillId="6" borderId="9" xfId="1" applyNumberFormat="1" applyFont="1" applyFill="1" applyBorder="1" applyAlignment="1">
      <alignment vertical="center" wrapText="1"/>
    </xf>
    <xf numFmtId="3" fontId="10" fillId="6" borderId="9" xfId="3" applyNumberFormat="1" applyFont="1" applyFill="1" applyBorder="1" applyAlignment="1">
      <alignment horizontal="right" vertical="center" wrapText="1"/>
    </xf>
    <xf numFmtId="49" fontId="10" fillId="6" borderId="9" xfId="3" applyNumberFormat="1" applyFont="1" applyFill="1" applyBorder="1" applyAlignment="1">
      <alignment vertical="center" wrapText="1"/>
    </xf>
    <xf numFmtId="164" fontId="20" fillId="3" borderId="9" xfId="3" applyNumberFormat="1" applyFont="1" applyFill="1" applyBorder="1" applyAlignment="1">
      <alignment horizontal="right" vertical="center" wrapText="1"/>
    </xf>
    <xf numFmtId="166" fontId="20" fillId="3" borderId="9" xfId="3" applyNumberFormat="1" applyFont="1" applyFill="1" applyBorder="1" applyAlignment="1">
      <alignment horizontal="right" vertical="center" wrapText="1"/>
    </xf>
    <xf numFmtId="49" fontId="20" fillId="3" borderId="9" xfId="3" applyNumberFormat="1" applyFont="1" applyFill="1" applyBorder="1" applyAlignment="1">
      <alignment vertical="center" wrapText="1"/>
    </xf>
    <xf numFmtId="0" fontId="21" fillId="3" borderId="0" xfId="0" applyFont="1" applyFill="1"/>
    <xf numFmtId="0" fontId="22" fillId="2" borderId="10" xfId="4" applyFont="1" applyFill="1" applyBorder="1" applyAlignment="1">
      <alignment horizontal="center" vertical="center" wrapText="1"/>
    </xf>
    <xf numFmtId="1" fontId="22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3" fillId="3" borderId="0" xfId="0" applyFont="1" applyFill="1" applyAlignment="1"/>
    <xf numFmtId="0" fontId="21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1" fillId="3" borderId="0" xfId="0" applyFont="1" applyFill="1" applyBorder="1"/>
    <xf numFmtId="0" fontId="21" fillId="3" borderId="0" xfId="0" applyFont="1" applyFill="1" applyBorder="1" applyAlignment="1">
      <alignment vertical="center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justify" vertical="center"/>
    </xf>
    <xf numFmtId="3" fontId="13" fillId="3" borderId="0" xfId="0" applyNumberFormat="1" applyFont="1" applyFill="1"/>
    <xf numFmtId="3" fontId="10" fillId="4" borderId="9" xfId="0" applyNumberFormat="1" applyFont="1" applyFill="1" applyBorder="1" applyAlignment="1">
      <alignment horizontal="right" vertical="center" wrapText="1"/>
    </xf>
    <xf numFmtId="164" fontId="10" fillId="4" borderId="9" xfId="0" applyNumberFormat="1" applyFont="1" applyFill="1" applyBorder="1" applyAlignment="1">
      <alignment horizontal="right" vertical="center" wrapText="1"/>
    </xf>
    <xf numFmtId="0" fontId="5" fillId="0" borderId="0" xfId="2" applyFont="1" applyBorder="1" applyAlignment="1">
      <alignment horizontal="left"/>
    </xf>
    <xf numFmtId="0" fontId="5" fillId="0" borderId="4" xfId="2" applyFont="1" applyBorder="1" applyAlignment="1">
      <alignment horizontal="left"/>
    </xf>
    <xf numFmtId="0" fontId="5" fillId="0" borderId="5" xfId="2" applyFont="1" applyBorder="1" applyAlignment="1">
      <alignment horizontal="left"/>
    </xf>
    <xf numFmtId="0" fontId="6" fillId="2" borderId="8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20" fillId="3" borderId="10" xfId="3" applyNumberFormat="1" applyFont="1" applyFill="1" applyBorder="1" applyAlignment="1">
      <alignment horizontal="center" vertical="center" wrapText="1"/>
    </xf>
    <xf numFmtId="49" fontId="20" fillId="3" borderId="15" xfId="3" applyNumberFormat="1" applyFont="1" applyFill="1" applyBorder="1" applyAlignment="1">
      <alignment horizontal="center" vertical="center" wrapText="1"/>
    </xf>
    <xf numFmtId="49" fontId="20" fillId="3" borderId="14" xfId="3" applyNumberFormat="1" applyFont="1" applyFill="1" applyBorder="1" applyAlignment="1">
      <alignment horizontal="center" vertic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49" fontId="10" fillId="4" borderId="12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  <xf numFmtId="49" fontId="10" fillId="5" borderId="13" xfId="0" applyNumberFormat="1" applyFont="1" applyFill="1" applyBorder="1" applyAlignment="1">
      <alignment horizontal="center" vertical="center" wrapText="1"/>
    </xf>
    <xf numFmtId="49" fontId="10" fillId="5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2562171" y="400379"/>
          <a:ext cx="48352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286000" y="2980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114300</xdr:rowOff>
    </xdr:from>
    <xdr:to>
      <xdr:col>5</xdr:col>
      <xdr:colOff>102522</xdr:colOff>
      <xdr:row>8</xdr:row>
      <xdr:rowOff>114301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6383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NORTH DAKOTA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630619</xdr:colOff>
      <xdr:row>7</xdr:row>
      <xdr:rowOff>157655</xdr:rowOff>
    </xdr:from>
    <xdr:to>
      <xdr:col>4</xdr:col>
      <xdr:colOff>1116723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69294" y="1900730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8</xdr:row>
      <xdr:rowOff>28575</xdr:rowOff>
    </xdr:from>
    <xdr:to>
      <xdr:col>5</xdr:col>
      <xdr:colOff>92997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19700" y="17430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NORTH DAKOTA,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7</xdr:row>
      <xdr:rowOff>144517</xdr:rowOff>
    </xdr:from>
    <xdr:to>
      <xdr:col>4</xdr:col>
      <xdr:colOff>1024476</xdr:colOff>
      <xdr:row>7</xdr:row>
      <xdr:rowOff>335018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150069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314325</xdr:colOff>
      <xdr:row>7</xdr:row>
      <xdr:rowOff>171450</xdr:rowOff>
    </xdr:from>
    <xdr:to>
      <xdr:col>5</xdr:col>
      <xdr:colOff>207297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43450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NORTH DAKOTA,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433551</xdr:colOff>
      <xdr:row>7</xdr:row>
      <xdr:rowOff>124810</xdr:rowOff>
    </xdr:from>
    <xdr:to>
      <xdr:col>4</xdr:col>
      <xdr:colOff>945648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71241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NORTH DAKOTA,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532087</xdr:colOff>
      <xdr:row>7</xdr:row>
      <xdr:rowOff>131379</xdr:rowOff>
    </xdr:from>
    <xdr:to>
      <xdr:col>4</xdr:col>
      <xdr:colOff>1044184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9777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7</xdr:row>
      <xdr:rowOff>133350</xdr:rowOff>
    </xdr:from>
    <xdr:to>
      <xdr:col>5</xdr:col>
      <xdr:colOff>131097</xdr:colOff>
      <xdr:row>8</xdr:row>
      <xdr:rowOff>133351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6573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21"/>
  <sheetViews>
    <sheetView showGridLines="0" view="pageBreakPreview" topLeftCell="D2" zoomScaleNormal="100" zoomScaleSheetLayoutView="100" workbookViewId="0">
      <selection activeCell="I13" sqref="I13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8" t="s">
        <v>173</v>
      </c>
      <c r="B1" s="69"/>
      <c r="C1" s="69"/>
      <c r="D1" s="70"/>
    </row>
    <row r="2" spans="1:4" ht="18" x14ac:dyDescent="0.4">
      <c r="A2" s="16"/>
      <c r="B2" s="15"/>
      <c r="C2" s="15"/>
      <c r="D2" s="14"/>
    </row>
    <row r="3" spans="1:4" x14ac:dyDescent="0.4">
      <c r="A3" s="71" t="s">
        <v>11</v>
      </c>
      <c r="B3" s="72"/>
      <c r="C3" s="72"/>
      <c r="D3" s="73"/>
    </row>
    <row r="4" spans="1:4" x14ac:dyDescent="0.4">
      <c r="A4" s="71"/>
      <c r="B4" s="72"/>
      <c r="C4" s="72"/>
      <c r="D4" s="73"/>
    </row>
    <row r="5" spans="1:4" ht="18" x14ac:dyDescent="0.4">
      <c r="A5" s="13"/>
      <c r="B5" s="12"/>
      <c r="C5" s="12"/>
      <c r="D5" s="11"/>
    </row>
    <row r="6" spans="1:4" ht="18" x14ac:dyDescent="0.4">
      <c r="A6" s="67" t="s">
        <v>10</v>
      </c>
      <c r="B6" s="65"/>
      <c r="C6" s="65"/>
      <c r="D6" s="66"/>
    </row>
    <row r="7" spans="1:4" ht="18" x14ac:dyDescent="0.4">
      <c r="A7" s="10"/>
      <c r="B7" s="9"/>
      <c r="C7" s="9"/>
      <c r="D7" s="8"/>
    </row>
    <row r="8" spans="1:4" ht="18" x14ac:dyDescent="0.4">
      <c r="A8" s="7" t="s">
        <v>9</v>
      </c>
      <c r="B8" s="6"/>
      <c r="C8" s="6"/>
      <c r="D8" s="5"/>
    </row>
    <row r="9" spans="1:4" ht="18" x14ac:dyDescent="0.4">
      <c r="A9" s="7"/>
      <c r="B9" s="65" t="s">
        <v>8</v>
      </c>
      <c r="C9" s="65"/>
      <c r="D9" s="66"/>
    </row>
    <row r="10" spans="1:4" ht="18" x14ac:dyDescent="0.4">
      <c r="A10" s="7" t="s">
        <v>7</v>
      </c>
      <c r="B10" s="6"/>
      <c r="C10" s="6"/>
      <c r="D10" s="5"/>
    </row>
    <row r="11" spans="1:4" ht="18" x14ac:dyDescent="0.4">
      <c r="A11" s="7"/>
      <c r="B11" s="65" t="s">
        <v>6</v>
      </c>
      <c r="C11" s="65"/>
      <c r="D11" s="66"/>
    </row>
    <row r="12" spans="1:4" ht="18" x14ac:dyDescent="0.4">
      <c r="A12" s="7"/>
      <c r="B12" s="65" t="s">
        <v>5</v>
      </c>
      <c r="C12" s="65"/>
      <c r="D12" s="66"/>
    </row>
    <row r="13" spans="1:4" ht="18" x14ac:dyDescent="0.4">
      <c r="A13" s="7"/>
      <c r="B13" s="6"/>
      <c r="C13" s="6"/>
      <c r="D13" s="5"/>
    </row>
    <row r="14" spans="1:4" ht="18" x14ac:dyDescent="0.4">
      <c r="A14" s="7" t="s">
        <v>4</v>
      </c>
      <c r="B14" s="6"/>
      <c r="C14" s="6"/>
      <c r="D14" s="5"/>
    </row>
    <row r="15" spans="1:4" ht="18" x14ac:dyDescent="0.4">
      <c r="A15" s="7"/>
      <c r="B15" s="65" t="s">
        <v>3</v>
      </c>
      <c r="C15" s="65"/>
      <c r="D15" s="66"/>
    </row>
    <row r="16" spans="1:4" ht="18" x14ac:dyDescent="0.4">
      <c r="A16" s="7"/>
      <c r="B16" s="65" t="s">
        <v>2</v>
      </c>
      <c r="C16" s="65"/>
      <c r="D16" s="66"/>
    </row>
    <row r="17" spans="1:4" ht="18" x14ac:dyDescent="0.4">
      <c r="A17" s="7"/>
      <c r="B17" s="6"/>
      <c r="C17" s="6"/>
      <c r="D17" s="5"/>
    </row>
    <row r="18" spans="1:4" ht="18" x14ac:dyDescent="0.4">
      <c r="A18" s="67" t="s">
        <v>1</v>
      </c>
      <c r="B18" s="65"/>
      <c r="C18" s="65"/>
      <c r="D18" s="66"/>
    </row>
    <row r="19" spans="1:4" ht="18" x14ac:dyDescent="0.4">
      <c r="A19" s="7"/>
      <c r="B19" s="6"/>
      <c r="C19" s="6"/>
      <c r="D19" s="5"/>
    </row>
    <row r="20" spans="1:4" ht="18" x14ac:dyDescent="0.4">
      <c r="A20" s="67" t="s">
        <v>0</v>
      </c>
      <c r="B20" s="65"/>
      <c r="C20" s="65"/>
      <c r="D20" s="66"/>
    </row>
    <row r="21" spans="1:4" ht="18.600000000000001" thickBot="1" x14ac:dyDescent="0.45">
      <c r="A21" s="4"/>
      <c r="B21" s="3"/>
      <c r="C21" s="3"/>
      <c r="D21" s="2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orth Dakota_Edomexgral'!A1" display="1. Por Estados de la República Mexicana"/>
    <hyperlink ref="B9" location="'New Jersey_EDOMEX'!A1" display="2.1 Por estado de la República Mexicana y municipio de origen"/>
    <hyperlink ref="B11:D11" location="'North Dakota_Educagral'!A1" display="3.1 Educación general"/>
    <hyperlink ref="B12:D12" location="'North Dakota_Eduedo '!A1" display="3.2 Por Estado de la República Mexicana"/>
    <hyperlink ref="B15:D15" location="'North Dakota_gengral'!A1" display="4.1 Género General"/>
    <hyperlink ref="B16:D16" location="'North Dakota_edomexgen'!A1" display="4.2 Por Estados de la República Mexicana"/>
    <hyperlink ref="A18:D18" location="'North Dakota_edadgen'!A1" display="5. Por estructura de Edad"/>
    <hyperlink ref="A20:D20" location="'North Dakota_ocupgral'!A1" display="6. Por Ocupación"/>
    <hyperlink ref="B9:D9" location="'North Dakota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43"/>
  <sheetViews>
    <sheetView showGridLines="0" topLeftCell="A22" zoomScaleNormal="100" zoomScaleSheetLayoutView="115" workbookViewId="0">
      <selection activeCell="A37" sqref="A37:XFD43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46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45</v>
      </c>
      <c r="C11" s="31" t="s">
        <v>44</v>
      </c>
      <c r="D11" s="30" t="s">
        <v>43</v>
      </c>
    </row>
    <row r="12" spans="2:4" ht="15" customHeight="1" x14ac:dyDescent="0.3">
      <c r="B12" s="27" t="s">
        <v>42</v>
      </c>
      <c r="C12" s="26">
        <v>14</v>
      </c>
      <c r="D12" s="25">
        <v>0.11965811965811966</v>
      </c>
    </row>
    <row r="13" spans="2:4" x14ac:dyDescent="0.3">
      <c r="B13" s="27" t="s">
        <v>41</v>
      </c>
      <c r="C13" s="26">
        <v>14</v>
      </c>
      <c r="D13" s="25">
        <v>0.11965811965811966</v>
      </c>
    </row>
    <row r="14" spans="2:4" s="28" customFormat="1" ht="15" x14ac:dyDescent="0.3">
      <c r="B14" s="27" t="s">
        <v>40</v>
      </c>
      <c r="C14" s="26">
        <v>11</v>
      </c>
      <c r="D14" s="25">
        <v>9.4017094017094016E-2</v>
      </c>
    </row>
    <row r="15" spans="2:4" s="28" customFormat="1" ht="15" x14ac:dyDescent="0.3">
      <c r="B15" s="27" t="s">
        <v>39</v>
      </c>
      <c r="C15" s="26">
        <v>11</v>
      </c>
      <c r="D15" s="25">
        <v>9.4017094017094016E-2</v>
      </c>
    </row>
    <row r="16" spans="2:4" x14ac:dyDescent="0.3">
      <c r="B16" s="27" t="s">
        <v>38</v>
      </c>
      <c r="C16" s="26">
        <v>10</v>
      </c>
      <c r="D16" s="25">
        <v>8.5470085470085472E-2</v>
      </c>
    </row>
    <row r="17" spans="2:4" x14ac:dyDescent="0.3">
      <c r="B17" s="27" t="s">
        <v>37</v>
      </c>
      <c r="C17" s="26">
        <v>7</v>
      </c>
      <c r="D17" s="25">
        <v>5.9829059829059832E-2</v>
      </c>
    </row>
    <row r="18" spans="2:4" x14ac:dyDescent="0.3">
      <c r="B18" s="27" t="s">
        <v>36</v>
      </c>
      <c r="C18" s="26">
        <v>7</v>
      </c>
      <c r="D18" s="25">
        <v>5.9829059829059832E-2</v>
      </c>
    </row>
    <row r="19" spans="2:4" x14ac:dyDescent="0.3">
      <c r="B19" s="27" t="s">
        <v>35</v>
      </c>
      <c r="C19" s="26">
        <v>4</v>
      </c>
      <c r="D19" s="25">
        <v>3.4188034188034191E-2</v>
      </c>
    </row>
    <row r="20" spans="2:4" x14ac:dyDescent="0.3">
      <c r="B20" s="27" t="s">
        <v>34</v>
      </c>
      <c r="C20" s="26">
        <v>4</v>
      </c>
      <c r="D20" s="25">
        <v>3.4188034188034191E-2</v>
      </c>
    </row>
    <row r="21" spans="2:4" x14ac:dyDescent="0.3">
      <c r="B21" s="27" t="s">
        <v>33</v>
      </c>
      <c r="C21" s="26">
        <v>4</v>
      </c>
      <c r="D21" s="25">
        <v>3.4188034188034191E-2</v>
      </c>
    </row>
    <row r="22" spans="2:4" x14ac:dyDescent="0.3">
      <c r="B22" s="27" t="s">
        <v>32</v>
      </c>
      <c r="C22" s="26">
        <v>4</v>
      </c>
      <c r="D22" s="25">
        <v>3.4188034188034191E-2</v>
      </c>
    </row>
    <row r="23" spans="2:4" x14ac:dyDescent="0.3">
      <c r="B23" s="27" t="s">
        <v>31</v>
      </c>
      <c r="C23" s="26">
        <v>3</v>
      </c>
      <c r="D23" s="25">
        <v>2.564102564102564E-2</v>
      </c>
    </row>
    <row r="24" spans="2:4" x14ac:dyDescent="0.3">
      <c r="B24" s="27" t="s">
        <v>30</v>
      </c>
      <c r="C24" s="26">
        <v>3</v>
      </c>
      <c r="D24" s="25">
        <v>2.564102564102564E-2</v>
      </c>
    </row>
    <row r="25" spans="2:4" x14ac:dyDescent="0.3">
      <c r="B25" s="27" t="s">
        <v>29</v>
      </c>
      <c r="C25" s="26">
        <v>3</v>
      </c>
      <c r="D25" s="25">
        <v>2.564102564102564E-2</v>
      </c>
    </row>
    <row r="26" spans="2:4" x14ac:dyDescent="0.3">
      <c r="B26" s="27" t="s">
        <v>28</v>
      </c>
      <c r="C26" s="26">
        <v>3</v>
      </c>
      <c r="D26" s="25">
        <v>2.564102564102564E-2</v>
      </c>
    </row>
    <row r="27" spans="2:4" x14ac:dyDescent="0.3">
      <c r="B27" s="27" t="s">
        <v>27</v>
      </c>
      <c r="C27" s="26">
        <v>2</v>
      </c>
      <c r="D27" s="25">
        <v>1.7094017094017096E-2</v>
      </c>
    </row>
    <row r="28" spans="2:4" x14ac:dyDescent="0.3">
      <c r="B28" s="27" t="s">
        <v>26</v>
      </c>
      <c r="C28" s="26">
        <v>2</v>
      </c>
      <c r="D28" s="25">
        <v>1.7094017094017096E-2</v>
      </c>
    </row>
    <row r="29" spans="2:4" x14ac:dyDescent="0.3">
      <c r="B29" s="27" t="s">
        <v>25</v>
      </c>
      <c r="C29" s="26">
        <v>2</v>
      </c>
      <c r="D29" s="25">
        <v>1.7094017094017096E-2</v>
      </c>
    </row>
    <row r="30" spans="2:4" x14ac:dyDescent="0.3">
      <c r="B30" s="27" t="s">
        <v>24</v>
      </c>
      <c r="C30" s="26">
        <v>2</v>
      </c>
      <c r="D30" s="25">
        <v>1.7094017094017096E-2</v>
      </c>
    </row>
    <row r="31" spans="2:4" x14ac:dyDescent="0.3">
      <c r="B31" s="27" t="s">
        <v>23</v>
      </c>
      <c r="C31" s="26">
        <v>2</v>
      </c>
      <c r="D31" s="25">
        <v>1.7094017094017096E-2</v>
      </c>
    </row>
    <row r="32" spans="2:4" x14ac:dyDescent="0.3">
      <c r="B32" s="27" t="s">
        <v>22</v>
      </c>
      <c r="C32" s="26">
        <v>1</v>
      </c>
      <c r="D32" s="25">
        <v>8.5470085470085479E-3</v>
      </c>
    </row>
    <row r="33" spans="2:4" x14ac:dyDescent="0.3">
      <c r="B33" s="27" t="s">
        <v>21</v>
      </c>
      <c r="C33" s="26">
        <v>1</v>
      </c>
      <c r="D33" s="25">
        <v>8.5470085470085479E-3</v>
      </c>
    </row>
    <row r="34" spans="2:4" x14ac:dyDescent="0.3">
      <c r="B34" s="27" t="s">
        <v>20</v>
      </c>
      <c r="C34" s="26">
        <v>1</v>
      </c>
      <c r="D34" s="25">
        <v>8.5470085470085479E-3</v>
      </c>
    </row>
    <row r="35" spans="2:4" x14ac:dyDescent="0.3">
      <c r="B35" s="27" t="s">
        <v>19</v>
      </c>
      <c r="C35" s="26">
        <v>1</v>
      </c>
      <c r="D35" s="25">
        <v>8.5470085470085479E-3</v>
      </c>
    </row>
    <row r="36" spans="2:4" x14ac:dyDescent="0.3">
      <c r="B36" s="27" t="s">
        <v>18</v>
      </c>
      <c r="C36" s="26">
        <v>1</v>
      </c>
      <c r="D36" s="25">
        <v>8.5470085470085479E-3</v>
      </c>
    </row>
    <row r="37" spans="2:4" x14ac:dyDescent="0.3">
      <c r="B37" s="24" t="s">
        <v>17</v>
      </c>
      <c r="C37" s="23">
        <v>117</v>
      </c>
      <c r="D37" s="22">
        <v>1</v>
      </c>
    </row>
    <row r="39" spans="2:4" x14ac:dyDescent="0.3">
      <c r="B39" s="19" t="s">
        <v>16</v>
      </c>
    </row>
    <row r="40" spans="2:4" x14ac:dyDescent="0.3">
      <c r="B40" s="21" t="s">
        <v>15</v>
      </c>
    </row>
    <row r="41" spans="2:4" x14ac:dyDescent="0.3">
      <c r="B41" s="20" t="s">
        <v>14</v>
      </c>
    </row>
    <row r="42" spans="2:4" x14ac:dyDescent="0.3">
      <c r="B42" s="19" t="s">
        <v>13</v>
      </c>
    </row>
    <row r="43" spans="2:4" x14ac:dyDescent="0.3">
      <c r="B43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88"/>
  <sheetViews>
    <sheetView topLeftCell="A103" zoomScaleNormal="100" zoomScaleSheetLayoutView="100" workbookViewId="0">
      <selection activeCell="D123" sqref="D123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5" customFormat="1" ht="12" customHeight="1" x14ac:dyDescent="0.2">
      <c r="B1" s="59"/>
      <c r="C1" s="58"/>
      <c r="D1" s="58"/>
      <c r="E1" s="58"/>
    </row>
    <row r="2" spans="1:5" s="55" customFormat="1" ht="15" customHeight="1" x14ac:dyDescent="0.2">
      <c r="C2" s="57"/>
    </row>
    <row r="3" spans="1:5" s="55" customFormat="1" ht="15" customHeight="1" x14ac:dyDescent="0.2">
      <c r="C3" s="57"/>
    </row>
    <row r="4" spans="1:5" s="55" customFormat="1" ht="30" customHeight="1" x14ac:dyDescent="0.2">
      <c r="C4" s="57"/>
      <c r="D4" s="56"/>
    </row>
    <row r="5" spans="1:5" s="55" customFormat="1" ht="15" customHeight="1" x14ac:dyDescent="0.2">
      <c r="C5" s="57"/>
      <c r="D5" s="56"/>
    </row>
    <row r="6" spans="1:5" s="52" customFormat="1" ht="24" customHeight="1" x14ac:dyDescent="0.2">
      <c r="B6" s="54"/>
      <c r="C6" s="48"/>
      <c r="D6" s="48"/>
      <c r="E6" s="48"/>
    </row>
    <row r="7" spans="1:5" s="52" customFormat="1" ht="26.25" customHeight="1" x14ac:dyDescent="0.25">
      <c r="A7" s="53"/>
      <c r="B7" s="80"/>
      <c r="C7" s="80"/>
      <c r="D7" s="80"/>
      <c r="E7" s="80"/>
    </row>
    <row r="8" spans="1:5" s="52" customFormat="1" ht="33" customHeight="1" x14ac:dyDescent="0.25">
      <c r="A8" s="53"/>
      <c r="B8" s="80"/>
      <c r="C8" s="80"/>
      <c r="D8" s="80"/>
      <c r="E8" s="80"/>
    </row>
    <row r="9" spans="1:5" s="29" customFormat="1" ht="40.5" customHeight="1" x14ac:dyDescent="0.2">
      <c r="B9" s="49" t="s">
        <v>45</v>
      </c>
      <c r="C9" s="51" t="s">
        <v>126</v>
      </c>
      <c r="D9" s="50" t="s">
        <v>44</v>
      </c>
      <c r="E9" s="49" t="s">
        <v>43</v>
      </c>
    </row>
    <row r="10" spans="1:5" ht="15" customHeight="1" x14ac:dyDescent="0.3">
      <c r="B10" s="75" t="s">
        <v>27</v>
      </c>
      <c r="C10" s="47" t="s">
        <v>27</v>
      </c>
      <c r="D10" s="46">
        <v>1</v>
      </c>
      <c r="E10" s="45">
        <v>8.5470085470085479E-3</v>
      </c>
    </row>
    <row r="11" spans="1:5" ht="15" customHeight="1" x14ac:dyDescent="0.3">
      <c r="B11" s="76"/>
      <c r="C11" s="47" t="s">
        <v>125</v>
      </c>
      <c r="D11" s="46">
        <v>1</v>
      </c>
      <c r="E11" s="45">
        <v>8.5470085470085479E-3</v>
      </c>
    </row>
    <row r="12" spans="1:5" ht="15" customHeight="1" x14ac:dyDescent="0.3">
      <c r="B12" s="77"/>
      <c r="C12" s="44" t="s">
        <v>17</v>
      </c>
      <c r="D12" s="43">
        <v>2</v>
      </c>
      <c r="E12" s="42">
        <v>1.7094017094017096E-2</v>
      </c>
    </row>
    <row r="13" spans="1:5" ht="15" customHeight="1" x14ac:dyDescent="0.3">
      <c r="B13" s="75" t="s">
        <v>35</v>
      </c>
      <c r="C13" s="47" t="s">
        <v>124</v>
      </c>
      <c r="D13" s="46">
        <v>3</v>
      </c>
      <c r="E13" s="45">
        <v>2.564102564102564E-2</v>
      </c>
    </row>
    <row r="14" spans="1:5" ht="15" customHeight="1" x14ac:dyDescent="0.3">
      <c r="B14" s="76"/>
      <c r="C14" s="47" t="s">
        <v>123</v>
      </c>
      <c r="D14" s="46">
        <v>1</v>
      </c>
      <c r="E14" s="45">
        <v>8.5470085470085479E-3</v>
      </c>
    </row>
    <row r="15" spans="1:5" s="48" customFormat="1" ht="15" customHeight="1" x14ac:dyDescent="0.2">
      <c r="B15" s="77"/>
      <c r="C15" s="44" t="s">
        <v>17</v>
      </c>
      <c r="D15" s="43">
        <v>4</v>
      </c>
      <c r="E15" s="42">
        <v>3.4188034188034191E-2</v>
      </c>
    </row>
    <row r="16" spans="1:5" s="48" customFormat="1" ht="15" customHeight="1" x14ac:dyDescent="0.2">
      <c r="B16" s="75" t="s">
        <v>22</v>
      </c>
      <c r="C16" s="47" t="s">
        <v>22</v>
      </c>
      <c r="D16" s="46">
        <v>1</v>
      </c>
      <c r="E16" s="45">
        <v>8.5470085470085479E-3</v>
      </c>
    </row>
    <row r="17" spans="2:5" s="48" customFormat="1" ht="15" customHeight="1" x14ac:dyDescent="0.2">
      <c r="B17" s="77"/>
      <c r="C17" s="44" t="s">
        <v>17</v>
      </c>
      <c r="D17" s="43">
        <v>1</v>
      </c>
      <c r="E17" s="42">
        <v>8.5470085470085479E-3</v>
      </c>
    </row>
    <row r="18" spans="2:5" s="48" customFormat="1" ht="15" customHeight="1" x14ac:dyDescent="0.2">
      <c r="B18" s="75" t="s">
        <v>21</v>
      </c>
      <c r="C18" s="47" t="s">
        <v>122</v>
      </c>
      <c r="D18" s="46">
        <v>1</v>
      </c>
      <c r="E18" s="45">
        <v>8.5470085470085479E-3</v>
      </c>
    </row>
    <row r="19" spans="2:5" s="48" customFormat="1" ht="15" customHeight="1" x14ac:dyDescent="0.2">
      <c r="B19" s="77"/>
      <c r="C19" s="44" t="s">
        <v>17</v>
      </c>
      <c r="D19" s="43">
        <v>1</v>
      </c>
      <c r="E19" s="42">
        <v>8.5470085470085479E-3</v>
      </c>
    </row>
    <row r="20" spans="2:5" ht="15" customHeight="1" x14ac:dyDescent="0.3">
      <c r="B20" s="75" t="s">
        <v>34</v>
      </c>
      <c r="C20" s="47" t="s">
        <v>115</v>
      </c>
      <c r="D20" s="46">
        <v>3</v>
      </c>
      <c r="E20" s="45">
        <v>2.564102564102564E-2</v>
      </c>
    </row>
    <row r="21" spans="2:5" ht="15" customHeight="1" x14ac:dyDescent="0.3">
      <c r="B21" s="76"/>
      <c r="C21" s="47" t="s">
        <v>121</v>
      </c>
      <c r="D21" s="46">
        <v>1</v>
      </c>
      <c r="E21" s="45">
        <v>8.5470085470085479E-3</v>
      </c>
    </row>
    <row r="22" spans="2:5" ht="15" customHeight="1" x14ac:dyDescent="0.3">
      <c r="B22" s="77"/>
      <c r="C22" s="44" t="s">
        <v>17</v>
      </c>
      <c r="D22" s="43">
        <v>4</v>
      </c>
      <c r="E22" s="42">
        <v>3.4188034188034191E-2</v>
      </c>
    </row>
    <row r="23" spans="2:5" ht="15" customHeight="1" x14ac:dyDescent="0.3">
      <c r="B23" s="75" t="s">
        <v>31</v>
      </c>
      <c r="C23" s="47" t="s">
        <v>120</v>
      </c>
      <c r="D23" s="46">
        <v>1</v>
      </c>
      <c r="E23" s="45">
        <v>8.5470085470085479E-3</v>
      </c>
    </row>
    <row r="24" spans="2:5" ht="15" customHeight="1" x14ac:dyDescent="0.3">
      <c r="B24" s="76"/>
      <c r="C24" s="47" t="s">
        <v>119</v>
      </c>
      <c r="D24" s="46">
        <v>1</v>
      </c>
      <c r="E24" s="45">
        <v>8.5470085470085479E-3</v>
      </c>
    </row>
    <row r="25" spans="2:5" ht="15" customHeight="1" x14ac:dyDescent="0.3">
      <c r="B25" s="76"/>
      <c r="C25" s="47" t="s">
        <v>118</v>
      </c>
      <c r="D25" s="46">
        <v>1</v>
      </c>
      <c r="E25" s="45">
        <v>8.5470085470085479E-3</v>
      </c>
    </row>
    <row r="26" spans="2:5" ht="15" customHeight="1" x14ac:dyDescent="0.3">
      <c r="B26" s="77"/>
      <c r="C26" s="44" t="s">
        <v>17</v>
      </c>
      <c r="D26" s="43">
        <v>3</v>
      </c>
      <c r="E26" s="42">
        <v>2.564102564102564E-2</v>
      </c>
    </row>
    <row r="27" spans="2:5" ht="15" customHeight="1" x14ac:dyDescent="0.3">
      <c r="B27" s="75" t="s">
        <v>40</v>
      </c>
      <c r="C27" s="47" t="s">
        <v>117</v>
      </c>
      <c r="D27" s="46">
        <v>1</v>
      </c>
      <c r="E27" s="45">
        <v>8.5470085470085479E-3</v>
      </c>
    </row>
    <row r="28" spans="2:5" ht="15" customHeight="1" x14ac:dyDescent="0.3">
      <c r="B28" s="76"/>
      <c r="C28" s="47" t="s">
        <v>116</v>
      </c>
      <c r="D28" s="46">
        <v>1</v>
      </c>
      <c r="E28" s="45">
        <v>8.5470085470085479E-3</v>
      </c>
    </row>
    <row r="29" spans="2:5" ht="15" customHeight="1" x14ac:dyDescent="0.3">
      <c r="B29" s="76"/>
      <c r="C29" s="47" t="s">
        <v>115</v>
      </c>
      <c r="D29" s="46">
        <v>1</v>
      </c>
      <c r="E29" s="45">
        <v>8.5470085470085479E-3</v>
      </c>
    </row>
    <row r="30" spans="2:5" ht="15" customHeight="1" x14ac:dyDescent="0.3">
      <c r="B30" s="76"/>
      <c r="C30" s="47" t="s">
        <v>114</v>
      </c>
      <c r="D30" s="46">
        <v>3</v>
      </c>
      <c r="E30" s="45">
        <v>2.564102564102564E-2</v>
      </c>
    </row>
    <row r="31" spans="2:5" ht="15" customHeight="1" x14ac:dyDescent="0.3">
      <c r="B31" s="76"/>
      <c r="C31" s="47" t="s">
        <v>113</v>
      </c>
      <c r="D31" s="46">
        <v>2</v>
      </c>
      <c r="E31" s="45">
        <v>1.7094017094017096E-2</v>
      </c>
    </row>
    <row r="32" spans="2:5" ht="15" customHeight="1" x14ac:dyDescent="0.3">
      <c r="B32" s="76"/>
      <c r="C32" s="47" t="s">
        <v>112</v>
      </c>
      <c r="D32" s="46">
        <v>2</v>
      </c>
      <c r="E32" s="45">
        <v>1.7094017094017096E-2</v>
      </c>
    </row>
    <row r="33" spans="2:5" ht="15" customHeight="1" x14ac:dyDescent="0.3">
      <c r="B33" s="76"/>
      <c r="C33" s="47" t="s">
        <v>111</v>
      </c>
      <c r="D33" s="46">
        <v>1</v>
      </c>
      <c r="E33" s="45">
        <v>8.5470085470085479E-3</v>
      </c>
    </row>
    <row r="34" spans="2:5" ht="15" customHeight="1" x14ac:dyDescent="0.3">
      <c r="B34" s="77"/>
      <c r="C34" s="44" t="s">
        <v>17</v>
      </c>
      <c r="D34" s="43">
        <v>11</v>
      </c>
      <c r="E34" s="42">
        <v>9.4017094017094016E-2</v>
      </c>
    </row>
    <row r="35" spans="2:5" ht="15" customHeight="1" x14ac:dyDescent="0.3">
      <c r="B35" s="75" t="s">
        <v>38</v>
      </c>
      <c r="C35" s="47" t="s">
        <v>38</v>
      </c>
      <c r="D35" s="46">
        <v>4</v>
      </c>
      <c r="E35" s="45">
        <v>3.4188034188034191E-2</v>
      </c>
    </row>
    <row r="36" spans="2:5" ht="15" customHeight="1" x14ac:dyDescent="0.3">
      <c r="B36" s="76"/>
      <c r="C36" s="47" t="s">
        <v>176</v>
      </c>
      <c r="D36" s="46">
        <v>4</v>
      </c>
      <c r="E36" s="45">
        <v>3.4188034188034191E-2</v>
      </c>
    </row>
    <row r="37" spans="2:5" ht="15" customHeight="1" x14ac:dyDescent="0.3">
      <c r="B37" s="76"/>
      <c r="C37" s="47" t="s">
        <v>177</v>
      </c>
      <c r="D37" s="46">
        <v>1</v>
      </c>
      <c r="E37" s="45">
        <v>8.5470085470085479E-3</v>
      </c>
    </row>
    <row r="38" spans="2:5" ht="15" customHeight="1" x14ac:dyDescent="0.3">
      <c r="B38" s="76"/>
      <c r="C38" s="47" t="s">
        <v>178</v>
      </c>
      <c r="D38" s="46">
        <v>1</v>
      </c>
      <c r="E38" s="45">
        <v>8.5470085470085479E-3</v>
      </c>
    </row>
    <row r="39" spans="2:5" ht="15" customHeight="1" x14ac:dyDescent="0.3">
      <c r="B39" s="77"/>
      <c r="C39" s="44" t="s">
        <v>17</v>
      </c>
      <c r="D39" s="43">
        <v>10</v>
      </c>
      <c r="E39" s="42">
        <v>8.5470085470085472E-2</v>
      </c>
    </row>
    <row r="40" spans="2:5" ht="15" customHeight="1" x14ac:dyDescent="0.3">
      <c r="B40" s="75" t="s">
        <v>33</v>
      </c>
      <c r="C40" s="47" t="s">
        <v>110</v>
      </c>
      <c r="D40" s="46">
        <v>1</v>
      </c>
      <c r="E40" s="45">
        <v>8.5470085470085479E-3</v>
      </c>
    </row>
    <row r="41" spans="2:5" ht="15" customHeight="1" x14ac:dyDescent="0.3">
      <c r="B41" s="76"/>
      <c r="C41" s="47" t="s">
        <v>109</v>
      </c>
      <c r="D41" s="46">
        <v>1</v>
      </c>
      <c r="E41" s="45">
        <v>8.5470085470085479E-3</v>
      </c>
    </row>
    <row r="42" spans="2:5" ht="15" customHeight="1" x14ac:dyDescent="0.3">
      <c r="B42" s="76"/>
      <c r="C42" s="47" t="s">
        <v>108</v>
      </c>
      <c r="D42" s="46">
        <v>1</v>
      </c>
      <c r="E42" s="45">
        <v>8.5470085470085479E-3</v>
      </c>
    </row>
    <row r="43" spans="2:5" ht="15" customHeight="1" x14ac:dyDescent="0.3">
      <c r="B43" s="76"/>
      <c r="C43" s="47" t="s">
        <v>107</v>
      </c>
      <c r="D43" s="46">
        <v>1</v>
      </c>
      <c r="E43" s="45">
        <v>8.5470085470085479E-3</v>
      </c>
    </row>
    <row r="44" spans="2:5" ht="15" customHeight="1" x14ac:dyDescent="0.3">
      <c r="B44" s="77"/>
      <c r="C44" s="44" t="s">
        <v>17</v>
      </c>
      <c r="D44" s="43">
        <v>4</v>
      </c>
      <c r="E44" s="42">
        <v>3.4188034188034191E-2</v>
      </c>
    </row>
    <row r="45" spans="2:5" ht="15" customHeight="1" x14ac:dyDescent="0.3">
      <c r="B45" s="75" t="s">
        <v>42</v>
      </c>
      <c r="C45" s="47" t="s">
        <v>106</v>
      </c>
      <c r="D45" s="46">
        <v>1</v>
      </c>
      <c r="E45" s="45">
        <v>8.5470085470085479E-3</v>
      </c>
    </row>
    <row r="46" spans="2:5" ht="15" customHeight="1" x14ac:dyDescent="0.3">
      <c r="B46" s="76"/>
      <c r="C46" s="47" t="s">
        <v>105</v>
      </c>
      <c r="D46" s="46">
        <v>2</v>
      </c>
      <c r="E46" s="45">
        <v>1.7094017094017096E-2</v>
      </c>
    </row>
    <row r="47" spans="2:5" ht="15" customHeight="1" x14ac:dyDescent="0.3">
      <c r="B47" s="76"/>
      <c r="C47" s="47" t="s">
        <v>42</v>
      </c>
      <c r="D47" s="46">
        <v>1</v>
      </c>
      <c r="E47" s="45">
        <v>8.5470085470085479E-3</v>
      </c>
    </row>
    <row r="48" spans="2:5" ht="15" customHeight="1" x14ac:dyDescent="0.3">
      <c r="B48" s="76"/>
      <c r="C48" s="47" t="s">
        <v>104</v>
      </c>
      <c r="D48" s="46">
        <v>1</v>
      </c>
      <c r="E48" s="45">
        <v>8.5470085470085479E-3</v>
      </c>
    </row>
    <row r="49" spans="2:5" ht="15" customHeight="1" x14ac:dyDescent="0.3">
      <c r="B49" s="76"/>
      <c r="C49" s="47" t="s">
        <v>103</v>
      </c>
      <c r="D49" s="46">
        <v>5</v>
      </c>
      <c r="E49" s="45">
        <v>4.2735042735042736E-2</v>
      </c>
    </row>
    <row r="50" spans="2:5" ht="15" customHeight="1" x14ac:dyDescent="0.3">
      <c r="B50" s="76"/>
      <c r="C50" s="47" t="s">
        <v>102</v>
      </c>
      <c r="D50" s="46">
        <v>1</v>
      </c>
      <c r="E50" s="45">
        <v>8.5470085470085479E-3</v>
      </c>
    </row>
    <row r="51" spans="2:5" ht="15" customHeight="1" x14ac:dyDescent="0.3">
      <c r="B51" s="76"/>
      <c r="C51" s="47" t="s">
        <v>101</v>
      </c>
      <c r="D51" s="46">
        <v>2</v>
      </c>
      <c r="E51" s="45">
        <v>1.7094017094017096E-2</v>
      </c>
    </row>
    <row r="52" spans="2:5" ht="15" customHeight="1" x14ac:dyDescent="0.3">
      <c r="B52" s="76"/>
      <c r="C52" s="47" t="s">
        <v>100</v>
      </c>
      <c r="D52" s="46">
        <v>1</v>
      </c>
      <c r="E52" s="45">
        <v>8.5470085470085479E-3</v>
      </c>
    </row>
    <row r="53" spans="2:5" ht="15" customHeight="1" x14ac:dyDescent="0.3">
      <c r="B53" s="77"/>
      <c r="C53" s="44" t="s">
        <v>17</v>
      </c>
      <c r="D53" s="43">
        <v>14</v>
      </c>
      <c r="E53" s="42">
        <v>0.11965811965811966</v>
      </c>
    </row>
    <row r="54" spans="2:5" ht="15" customHeight="1" x14ac:dyDescent="0.3">
      <c r="B54" s="75" t="s">
        <v>37</v>
      </c>
      <c r="C54" s="47" t="s">
        <v>99</v>
      </c>
      <c r="D54" s="46">
        <v>2</v>
      </c>
      <c r="E54" s="45">
        <v>1.7094017094017096E-2</v>
      </c>
    </row>
    <row r="55" spans="2:5" ht="15" customHeight="1" x14ac:dyDescent="0.3">
      <c r="B55" s="76"/>
      <c r="C55" s="47" t="s">
        <v>98</v>
      </c>
      <c r="D55" s="46">
        <v>1</v>
      </c>
      <c r="E55" s="45">
        <v>8.5470085470085479E-3</v>
      </c>
    </row>
    <row r="56" spans="2:5" ht="15" customHeight="1" x14ac:dyDescent="0.3">
      <c r="B56" s="76"/>
      <c r="C56" s="47" t="s">
        <v>97</v>
      </c>
      <c r="D56" s="46">
        <v>2</v>
      </c>
      <c r="E56" s="45">
        <v>1.7094017094017096E-2</v>
      </c>
    </row>
    <row r="57" spans="2:5" ht="15" customHeight="1" x14ac:dyDescent="0.3">
      <c r="B57" s="76"/>
      <c r="C57" s="47" t="s">
        <v>96</v>
      </c>
      <c r="D57" s="46">
        <v>1</v>
      </c>
      <c r="E57" s="45">
        <v>8.5470085470085479E-3</v>
      </c>
    </row>
    <row r="58" spans="2:5" ht="15" customHeight="1" x14ac:dyDescent="0.3">
      <c r="B58" s="76"/>
      <c r="C58" s="47" t="s">
        <v>95</v>
      </c>
      <c r="D58" s="46">
        <v>1</v>
      </c>
      <c r="E58" s="45">
        <v>8.5470085470085479E-3</v>
      </c>
    </row>
    <row r="59" spans="2:5" ht="15" customHeight="1" x14ac:dyDescent="0.3">
      <c r="B59" s="77"/>
      <c r="C59" s="44" t="s">
        <v>17</v>
      </c>
      <c r="D59" s="43">
        <v>7</v>
      </c>
      <c r="E59" s="42">
        <v>5.9829059829059832E-2</v>
      </c>
    </row>
    <row r="60" spans="2:5" ht="15" customHeight="1" x14ac:dyDescent="0.3">
      <c r="B60" s="75" t="s">
        <v>41</v>
      </c>
      <c r="C60" s="47" t="s">
        <v>94</v>
      </c>
      <c r="D60" s="46">
        <v>2</v>
      </c>
      <c r="E60" s="45">
        <v>1.7094017094017096E-2</v>
      </c>
    </row>
    <row r="61" spans="2:5" ht="15" customHeight="1" x14ac:dyDescent="0.3">
      <c r="B61" s="76"/>
      <c r="C61" s="47" t="s">
        <v>93</v>
      </c>
      <c r="D61" s="46">
        <v>1</v>
      </c>
      <c r="E61" s="45">
        <v>8.5470085470085479E-3</v>
      </c>
    </row>
    <row r="62" spans="2:5" ht="15" customHeight="1" x14ac:dyDescent="0.3">
      <c r="B62" s="76"/>
      <c r="C62" s="47" t="s">
        <v>92</v>
      </c>
      <c r="D62" s="46">
        <v>3</v>
      </c>
      <c r="E62" s="45">
        <v>2.564102564102564E-2</v>
      </c>
    </row>
    <row r="63" spans="2:5" ht="15" customHeight="1" x14ac:dyDescent="0.3">
      <c r="B63" s="76"/>
      <c r="C63" s="47" t="s">
        <v>91</v>
      </c>
      <c r="D63" s="46">
        <v>1</v>
      </c>
      <c r="E63" s="45">
        <v>8.5470085470085479E-3</v>
      </c>
    </row>
    <row r="64" spans="2:5" ht="15" customHeight="1" x14ac:dyDescent="0.3">
      <c r="B64" s="76"/>
      <c r="C64" s="47" t="s">
        <v>90</v>
      </c>
      <c r="D64" s="46">
        <v>1</v>
      </c>
      <c r="E64" s="45">
        <v>8.5470085470085479E-3</v>
      </c>
    </row>
    <row r="65" spans="2:5" ht="15" customHeight="1" x14ac:dyDescent="0.3">
      <c r="B65" s="76"/>
      <c r="C65" s="47" t="s">
        <v>89</v>
      </c>
      <c r="D65" s="46">
        <v>1</v>
      </c>
      <c r="E65" s="45">
        <v>8.5470085470085479E-3</v>
      </c>
    </row>
    <row r="66" spans="2:5" ht="15" customHeight="1" x14ac:dyDescent="0.3">
      <c r="B66" s="76"/>
      <c r="C66" s="47" t="s">
        <v>88</v>
      </c>
      <c r="D66" s="46">
        <v>1</v>
      </c>
      <c r="E66" s="45">
        <v>8.5470085470085479E-3</v>
      </c>
    </row>
    <row r="67" spans="2:5" ht="15" customHeight="1" x14ac:dyDescent="0.3">
      <c r="B67" s="76"/>
      <c r="C67" s="47" t="s">
        <v>87</v>
      </c>
      <c r="D67" s="46">
        <v>1</v>
      </c>
      <c r="E67" s="45">
        <v>8.5470085470085479E-3</v>
      </c>
    </row>
    <row r="68" spans="2:5" ht="15" customHeight="1" x14ac:dyDescent="0.3">
      <c r="B68" s="76"/>
      <c r="C68" s="47" t="s">
        <v>86</v>
      </c>
      <c r="D68" s="46">
        <v>1</v>
      </c>
      <c r="E68" s="45">
        <v>8.5470085470085479E-3</v>
      </c>
    </row>
    <row r="69" spans="2:5" ht="15" customHeight="1" x14ac:dyDescent="0.3">
      <c r="B69" s="76"/>
      <c r="C69" s="47" t="s">
        <v>85</v>
      </c>
      <c r="D69" s="46">
        <v>2</v>
      </c>
      <c r="E69" s="45">
        <v>1.7094017094017096E-2</v>
      </c>
    </row>
    <row r="70" spans="2:5" ht="15" customHeight="1" x14ac:dyDescent="0.3">
      <c r="B70" s="77"/>
      <c r="C70" s="44" t="s">
        <v>17</v>
      </c>
      <c r="D70" s="43">
        <v>14</v>
      </c>
      <c r="E70" s="42">
        <v>0.11965811965811966</v>
      </c>
    </row>
    <row r="71" spans="2:5" ht="15" customHeight="1" x14ac:dyDescent="0.3">
      <c r="B71" s="75" t="s">
        <v>36</v>
      </c>
      <c r="C71" s="47" t="s">
        <v>84</v>
      </c>
      <c r="D71" s="46">
        <v>1</v>
      </c>
      <c r="E71" s="45">
        <v>8.5470085470085479E-3</v>
      </c>
    </row>
    <row r="72" spans="2:5" ht="15" customHeight="1" x14ac:dyDescent="0.3">
      <c r="B72" s="76"/>
      <c r="C72" s="47" t="s">
        <v>83</v>
      </c>
      <c r="D72" s="46">
        <v>1</v>
      </c>
      <c r="E72" s="45">
        <v>8.5470085470085479E-3</v>
      </c>
    </row>
    <row r="73" spans="2:5" ht="15" customHeight="1" x14ac:dyDescent="0.3">
      <c r="B73" s="76"/>
      <c r="C73" s="47" t="s">
        <v>82</v>
      </c>
      <c r="D73" s="46">
        <v>1</v>
      </c>
      <c r="E73" s="45">
        <v>8.5470085470085479E-3</v>
      </c>
    </row>
    <row r="74" spans="2:5" ht="15" customHeight="1" x14ac:dyDescent="0.3">
      <c r="B74" s="76"/>
      <c r="C74" s="47" t="s">
        <v>81</v>
      </c>
      <c r="D74" s="46">
        <v>1</v>
      </c>
      <c r="E74" s="45">
        <v>8.5470085470085479E-3</v>
      </c>
    </row>
    <row r="75" spans="2:5" ht="15" customHeight="1" x14ac:dyDescent="0.3">
      <c r="B75" s="76"/>
      <c r="C75" s="47" t="s">
        <v>80</v>
      </c>
      <c r="D75" s="46">
        <v>1</v>
      </c>
      <c r="E75" s="45">
        <v>8.5470085470085479E-3</v>
      </c>
    </row>
    <row r="76" spans="2:5" ht="15" customHeight="1" x14ac:dyDescent="0.3">
      <c r="B76" s="76"/>
      <c r="C76" s="47" t="s">
        <v>79</v>
      </c>
      <c r="D76" s="46">
        <v>1</v>
      </c>
      <c r="E76" s="45">
        <v>8.5470085470085479E-3</v>
      </c>
    </row>
    <row r="77" spans="2:5" ht="15" customHeight="1" x14ac:dyDescent="0.3">
      <c r="B77" s="76"/>
      <c r="C77" s="47" t="s">
        <v>78</v>
      </c>
      <c r="D77" s="46">
        <v>1</v>
      </c>
      <c r="E77" s="45">
        <v>8.5470085470085479E-3</v>
      </c>
    </row>
    <row r="78" spans="2:5" ht="15" customHeight="1" x14ac:dyDescent="0.3">
      <c r="B78" s="77"/>
      <c r="C78" s="44" t="s">
        <v>17</v>
      </c>
      <c r="D78" s="43">
        <v>7</v>
      </c>
      <c r="E78" s="42">
        <v>5.9829059829059832E-2</v>
      </c>
    </row>
    <row r="79" spans="2:5" ht="15" customHeight="1" x14ac:dyDescent="0.3">
      <c r="B79" s="75" t="s">
        <v>30</v>
      </c>
      <c r="C79" s="47" t="s">
        <v>77</v>
      </c>
      <c r="D79" s="46">
        <v>1</v>
      </c>
      <c r="E79" s="45">
        <v>8.5470085470085479E-3</v>
      </c>
    </row>
    <row r="80" spans="2:5" ht="15" customHeight="1" x14ac:dyDescent="0.3">
      <c r="B80" s="76"/>
      <c r="C80" s="47" t="s">
        <v>76</v>
      </c>
      <c r="D80" s="46">
        <v>1</v>
      </c>
      <c r="E80" s="45">
        <v>8.5470085470085479E-3</v>
      </c>
    </row>
    <row r="81" spans="2:5" ht="15" customHeight="1" x14ac:dyDescent="0.3">
      <c r="B81" s="76"/>
      <c r="C81" s="47" t="s">
        <v>75</v>
      </c>
      <c r="D81" s="46">
        <v>1</v>
      </c>
      <c r="E81" s="45">
        <v>8.5470085470085479E-3</v>
      </c>
    </row>
    <row r="82" spans="2:5" ht="15" customHeight="1" x14ac:dyDescent="0.3">
      <c r="B82" s="77"/>
      <c r="C82" s="44" t="s">
        <v>17</v>
      </c>
      <c r="D82" s="43">
        <v>3</v>
      </c>
      <c r="E82" s="42">
        <v>2.564102564102564E-2</v>
      </c>
    </row>
    <row r="83" spans="2:5" ht="15" customHeight="1" x14ac:dyDescent="0.3">
      <c r="B83" s="75" t="s">
        <v>29</v>
      </c>
      <c r="C83" s="47" t="s">
        <v>74</v>
      </c>
      <c r="D83" s="46">
        <v>1</v>
      </c>
      <c r="E83" s="45">
        <v>8.5470085470085479E-3</v>
      </c>
    </row>
    <row r="84" spans="2:5" ht="15" customHeight="1" x14ac:dyDescent="0.3">
      <c r="B84" s="76"/>
      <c r="C84" s="47" t="s">
        <v>73</v>
      </c>
      <c r="D84" s="46">
        <v>1</v>
      </c>
      <c r="E84" s="45">
        <v>8.5470085470085479E-3</v>
      </c>
    </row>
    <row r="85" spans="2:5" ht="15" customHeight="1" x14ac:dyDescent="0.3">
      <c r="B85" s="76"/>
      <c r="C85" s="47" t="s">
        <v>72</v>
      </c>
      <c r="D85" s="46">
        <v>1</v>
      </c>
      <c r="E85" s="45">
        <v>8.5470085470085479E-3</v>
      </c>
    </row>
    <row r="86" spans="2:5" ht="15" customHeight="1" x14ac:dyDescent="0.3">
      <c r="B86" s="77"/>
      <c r="C86" s="44" t="s">
        <v>17</v>
      </c>
      <c r="D86" s="43">
        <v>3</v>
      </c>
      <c r="E86" s="42">
        <v>2.564102564102564E-2</v>
      </c>
    </row>
    <row r="87" spans="2:5" ht="15" customHeight="1" x14ac:dyDescent="0.3">
      <c r="B87" s="75" t="s">
        <v>39</v>
      </c>
      <c r="C87" s="47" t="s">
        <v>71</v>
      </c>
      <c r="D87" s="46">
        <v>1</v>
      </c>
      <c r="E87" s="45">
        <v>8.5470085470085479E-3</v>
      </c>
    </row>
    <row r="88" spans="2:5" ht="15" customHeight="1" x14ac:dyDescent="0.3">
      <c r="B88" s="76"/>
      <c r="C88" s="47" t="s">
        <v>70</v>
      </c>
      <c r="D88" s="46">
        <v>3</v>
      </c>
      <c r="E88" s="45">
        <v>2.564102564102564E-2</v>
      </c>
    </row>
    <row r="89" spans="2:5" ht="15" customHeight="1" x14ac:dyDescent="0.3">
      <c r="B89" s="76"/>
      <c r="C89" s="47" t="s">
        <v>69</v>
      </c>
      <c r="D89" s="46">
        <v>1</v>
      </c>
      <c r="E89" s="45">
        <v>8.5470085470085479E-3</v>
      </c>
    </row>
    <row r="90" spans="2:5" ht="15" customHeight="1" x14ac:dyDescent="0.3">
      <c r="B90" s="76"/>
      <c r="C90" s="47" t="s">
        <v>68</v>
      </c>
      <c r="D90" s="46">
        <v>1</v>
      </c>
      <c r="E90" s="45">
        <v>8.5470085470085479E-3</v>
      </c>
    </row>
    <row r="91" spans="2:5" ht="15" customHeight="1" x14ac:dyDescent="0.3">
      <c r="B91" s="76"/>
      <c r="C91" s="47" t="s">
        <v>67</v>
      </c>
      <c r="D91" s="46">
        <v>1</v>
      </c>
      <c r="E91" s="45">
        <v>8.5470085470085479E-3</v>
      </c>
    </row>
    <row r="92" spans="2:5" ht="15" customHeight="1" x14ac:dyDescent="0.3">
      <c r="B92" s="76"/>
      <c r="C92" s="47" t="s">
        <v>66</v>
      </c>
      <c r="D92" s="46">
        <v>1</v>
      </c>
      <c r="E92" s="45">
        <v>8.5470085470085479E-3</v>
      </c>
    </row>
    <row r="93" spans="2:5" ht="15" customHeight="1" x14ac:dyDescent="0.3">
      <c r="B93" s="76"/>
      <c r="C93" s="47" t="s">
        <v>65</v>
      </c>
      <c r="D93" s="46">
        <v>2</v>
      </c>
      <c r="E93" s="45">
        <v>1.7094017094017096E-2</v>
      </c>
    </row>
    <row r="94" spans="2:5" ht="15" customHeight="1" x14ac:dyDescent="0.3">
      <c r="B94" s="76"/>
      <c r="C94" s="47" t="s">
        <v>64</v>
      </c>
      <c r="D94" s="46">
        <v>1</v>
      </c>
      <c r="E94" s="45">
        <v>8.5470085470085479E-3</v>
      </c>
    </row>
    <row r="95" spans="2:5" ht="15" customHeight="1" x14ac:dyDescent="0.3">
      <c r="B95" s="77"/>
      <c r="C95" s="44" t="s">
        <v>17</v>
      </c>
      <c r="D95" s="43">
        <v>11</v>
      </c>
      <c r="E95" s="42">
        <v>9.4017094017094016E-2</v>
      </c>
    </row>
    <row r="96" spans="2:5" ht="15" customHeight="1" x14ac:dyDescent="0.3">
      <c r="B96" s="75" t="s">
        <v>26</v>
      </c>
      <c r="C96" s="47" t="s">
        <v>63</v>
      </c>
      <c r="D96" s="46">
        <v>1</v>
      </c>
      <c r="E96" s="45">
        <v>8.5470085470085479E-3</v>
      </c>
    </row>
    <row r="97" spans="2:5" ht="15" customHeight="1" x14ac:dyDescent="0.3">
      <c r="B97" s="76"/>
      <c r="C97" s="47" t="s">
        <v>26</v>
      </c>
      <c r="D97" s="46">
        <v>1</v>
      </c>
      <c r="E97" s="45">
        <v>8.5470085470085479E-3</v>
      </c>
    </row>
    <row r="98" spans="2:5" ht="15" customHeight="1" x14ac:dyDescent="0.3">
      <c r="B98" s="77"/>
      <c r="C98" s="44" t="s">
        <v>17</v>
      </c>
      <c r="D98" s="43">
        <v>2</v>
      </c>
      <c r="E98" s="42">
        <v>1.7094017094017096E-2</v>
      </c>
    </row>
    <row r="99" spans="2:5" ht="15" customHeight="1" x14ac:dyDescent="0.3">
      <c r="B99" s="75" t="s">
        <v>20</v>
      </c>
      <c r="C99" s="47" t="s">
        <v>62</v>
      </c>
      <c r="D99" s="46">
        <v>1</v>
      </c>
      <c r="E99" s="45">
        <v>8.5470085470085479E-3</v>
      </c>
    </row>
    <row r="100" spans="2:5" ht="15" customHeight="1" x14ac:dyDescent="0.3">
      <c r="B100" s="77"/>
      <c r="C100" s="44" t="s">
        <v>17</v>
      </c>
      <c r="D100" s="43">
        <v>1</v>
      </c>
      <c r="E100" s="42">
        <v>8.5470085470085479E-3</v>
      </c>
    </row>
    <row r="101" spans="2:5" ht="15" customHeight="1" x14ac:dyDescent="0.3">
      <c r="B101" s="75" t="s">
        <v>25</v>
      </c>
      <c r="C101" s="47" t="s">
        <v>61</v>
      </c>
      <c r="D101" s="46">
        <v>1</v>
      </c>
      <c r="E101" s="45">
        <v>8.5470085470085479E-3</v>
      </c>
    </row>
    <row r="102" spans="2:5" ht="15" customHeight="1" x14ac:dyDescent="0.3">
      <c r="B102" s="76"/>
      <c r="C102" s="47" t="s">
        <v>60</v>
      </c>
      <c r="D102" s="46">
        <v>1</v>
      </c>
      <c r="E102" s="45">
        <v>8.5470085470085479E-3</v>
      </c>
    </row>
    <row r="103" spans="2:5" ht="15" customHeight="1" x14ac:dyDescent="0.3">
      <c r="B103" s="77"/>
      <c r="C103" s="44" t="s">
        <v>17</v>
      </c>
      <c r="D103" s="43">
        <v>2</v>
      </c>
      <c r="E103" s="42">
        <v>1.7094017094017096E-2</v>
      </c>
    </row>
    <row r="104" spans="2:5" ht="15" customHeight="1" x14ac:dyDescent="0.3">
      <c r="B104" s="75" t="s">
        <v>19</v>
      </c>
      <c r="C104" s="47" t="s">
        <v>59</v>
      </c>
      <c r="D104" s="46">
        <v>1</v>
      </c>
      <c r="E104" s="45">
        <v>8.5470085470085479E-3</v>
      </c>
    </row>
    <row r="105" spans="2:5" ht="15" customHeight="1" x14ac:dyDescent="0.3">
      <c r="B105" s="77"/>
      <c r="C105" s="44" t="s">
        <v>17</v>
      </c>
      <c r="D105" s="43">
        <v>1</v>
      </c>
      <c r="E105" s="42">
        <v>8.5470085470085479E-3</v>
      </c>
    </row>
    <row r="106" spans="2:5" ht="15" customHeight="1" x14ac:dyDescent="0.3">
      <c r="B106" s="75" t="s">
        <v>24</v>
      </c>
      <c r="C106" s="47" t="s">
        <v>58</v>
      </c>
      <c r="D106" s="46">
        <v>1</v>
      </c>
      <c r="E106" s="45">
        <v>8.5470085470085479E-3</v>
      </c>
    </row>
    <row r="107" spans="2:5" ht="15" customHeight="1" x14ac:dyDescent="0.3">
      <c r="B107" s="76"/>
      <c r="C107" s="47" t="s">
        <v>57</v>
      </c>
      <c r="D107" s="46">
        <v>1</v>
      </c>
      <c r="E107" s="45">
        <v>8.5470085470085479E-3</v>
      </c>
    </row>
    <row r="108" spans="2:5" ht="15" customHeight="1" x14ac:dyDescent="0.3">
      <c r="B108" s="77"/>
      <c r="C108" s="44" t="s">
        <v>17</v>
      </c>
      <c r="D108" s="43">
        <v>2</v>
      </c>
      <c r="E108" s="42">
        <v>1.7094017094017096E-2</v>
      </c>
    </row>
    <row r="109" spans="2:5" ht="15" customHeight="1" x14ac:dyDescent="0.3">
      <c r="B109" s="75" t="s">
        <v>28</v>
      </c>
      <c r="C109" s="47" t="s">
        <v>56</v>
      </c>
      <c r="D109" s="46">
        <v>1</v>
      </c>
      <c r="E109" s="45">
        <v>8.5470085470085479E-3</v>
      </c>
    </row>
    <row r="110" spans="2:5" ht="15" customHeight="1" x14ac:dyDescent="0.3">
      <c r="B110" s="76"/>
      <c r="C110" s="47" t="s">
        <v>55</v>
      </c>
      <c r="D110" s="46">
        <v>1</v>
      </c>
      <c r="E110" s="45">
        <v>8.5470085470085479E-3</v>
      </c>
    </row>
    <row r="111" spans="2:5" ht="15" customHeight="1" x14ac:dyDescent="0.3">
      <c r="B111" s="76"/>
      <c r="C111" s="47" t="s">
        <v>54</v>
      </c>
      <c r="D111" s="46">
        <v>1</v>
      </c>
      <c r="E111" s="45">
        <v>8.5470085470085479E-3</v>
      </c>
    </row>
    <row r="112" spans="2:5" ht="15" customHeight="1" x14ac:dyDescent="0.3">
      <c r="B112" s="77"/>
      <c r="C112" s="44" t="s">
        <v>17</v>
      </c>
      <c r="D112" s="43">
        <v>3</v>
      </c>
      <c r="E112" s="42">
        <v>2.564102564102564E-2</v>
      </c>
    </row>
    <row r="113" spans="2:5" ht="15" customHeight="1" x14ac:dyDescent="0.3">
      <c r="B113" s="75" t="s">
        <v>23</v>
      </c>
      <c r="C113" s="47" t="s">
        <v>53</v>
      </c>
      <c r="D113" s="46">
        <v>1</v>
      </c>
      <c r="E113" s="45">
        <v>8.5470085470085479E-3</v>
      </c>
    </row>
    <row r="114" spans="2:5" ht="15" customHeight="1" x14ac:dyDescent="0.3">
      <c r="B114" s="76"/>
      <c r="C114" s="47" t="s">
        <v>52</v>
      </c>
      <c r="D114" s="46">
        <v>1</v>
      </c>
      <c r="E114" s="45">
        <v>8.5470085470085479E-3</v>
      </c>
    </row>
    <row r="115" spans="2:5" ht="15" customHeight="1" x14ac:dyDescent="0.3">
      <c r="B115" s="77"/>
      <c r="C115" s="44" t="s">
        <v>17</v>
      </c>
      <c r="D115" s="43">
        <v>2</v>
      </c>
      <c r="E115" s="42">
        <v>1.7094017094017096E-2</v>
      </c>
    </row>
    <row r="116" spans="2:5" ht="15" customHeight="1" x14ac:dyDescent="0.3">
      <c r="B116" s="75" t="s">
        <v>32</v>
      </c>
      <c r="C116" s="47" t="s">
        <v>51</v>
      </c>
      <c r="D116" s="46">
        <v>1</v>
      </c>
      <c r="E116" s="45">
        <v>8.5470085470085479E-3</v>
      </c>
    </row>
    <row r="117" spans="2:5" ht="15" customHeight="1" x14ac:dyDescent="0.3">
      <c r="B117" s="76"/>
      <c r="C117" s="47" t="s">
        <v>50</v>
      </c>
      <c r="D117" s="46">
        <v>1</v>
      </c>
      <c r="E117" s="45">
        <v>8.5470085470085479E-3</v>
      </c>
    </row>
    <row r="118" spans="2:5" ht="15" customHeight="1" x14ac:dyDescent="0.3">
      <c r="B118" s="76"/>
      <c r="C118" s="47" t="s">
        <v>49</v>
      </c>
      <c r="D118" s="46">
        <v>1</v>
      </c>
      <c r="E118" s="45">
        <v>8.5470085470085479E-3</v>
      </c>
    </row>
    <row r="119" spans="2:5" ht="15" customHeight="1" x14ac:dyDescent="0.3">
      <c r="B119" s="76"/>
      <c r="C119" s="47" t="s">
        <v>48</v>
      </c>
      <c r="D119" s="46">
        <v>1</v>
      </c>
      <c r="E119" s="45">
        <v>8.5470085470085479E-3</v>
      </c>
    </row>
    <row r="120" spans="2:5" ht="15" customHeight="1" x14ac:dyDescent="0.3">
      <c r="B120" s="77"/>
      <c r="C120" s="44" t="s">
        <v>17</v>
      </c>
      <c r="D120" s="43">
        <v>4</v>
      </c>
      <c r="E120" s="42">
        <v>3.4188034188034191E-2</v>
      </c>
    </row>
    <row r="121" spans="2:5" ht="15" customHeight="1" x14ac:dyDescent="0.3">
      <c r="B121" s="75" t="s">
        <v>18</v>
      </c>
      <c r="C121" s="47" t="s">
        <v>47</v>
      </c>
      <c r="D121" s="46">
        <v>1</v>
      </c>
      <c r="E121" s="45">
        <v>8.5470085470085479E-3</v>
      </c>
    </row>
    <row r="122" spans="2:5" ht="15" customHeight="1" x14ac:dyDescent="0.3">
      <c r="B122" s="77"/>
      <c r="C122" s="44" t="s">
        <v>17</v>
      </c>
      <c r="D122" s="43">
        <v>1</v>
      </c>
      <c r="E122" s="42">
        <v>8.5470085470085479E-3</v>
      </c>
    </row>
    <row r="123" spans="2:5" ht="15" customHeight="1" x14ac:dyDescent="0.3">
      <c r="B123" s="78" t="s">
        <v>17</v>
      </c>
      <c r="C123" s="79"/>
      <c r="D123" s="63">
        <f>SUMIF(C$10:C122,"Total",D$10:D122)</f>
        <v>117</v>
      </c>
      <c r="E123" s="64">
        <v>1</v>
      </c>
    </row>
    <row r="125" spans="2:5" ht="15" customHeight="1" x14ac:dyDescent="0.3">
      <c r="B125" s="19" t="s">
        <v>16</v>
      </c>
    </row>
    <row r="126" spans="2:5" ht="15" customHeight="1" x14ac:dyDescent="0.3">
      <c r="B126" s="21" t="s">
        <v>15</v>
      </c>
    </row>
    <row r="127" spans="2:5" ht="15" customHeight="1" x14ac:dyDescent="0.3">
      <c r="B127" s="20" t="s">
        <v>14</v>
      </c>
    </row>
    <row r="128" spans="2:5" ht="15" customHeight="1" x14ac:dyDescent="0.3">
      <c r="B128" s="19" t="s">
        <v>13</v>
      </c>
    </row>
    <row r="129" spans="2:2" ht="15" customHeight="1" x14ac:dyDescent="0.3">
      <c r="B129" s="19" t="s">
        <v>12</v>
      </c>
    </row>
    <row r="484" spans="1:2" s="37" customFormat="1" ht="15" customHeight="1" x14ac:dyDescent="0.3">
      <c r="A484" s="36"/>
      <c r="B484" s="38"/>
    </row>
    <row r="485" spans="1:2" s="37" customFormat="1" ht="15" customHeight="1" x14ac:dyDescent="0.3">
      <c r="A485" s="36"/>
      <c r="B485" s="39"/>
    </row>
    <row r="486" spans="1:2" s="37" customFormat="1" ht="15" customHeight="1" x14ac:dyDescent="0.3">
      <c r="A486" s="36"/>
      <c r="B486" s="39"/>
    </row>
    <row r="487" spans="1:2" s="37" customFormat="1" ht="15" customHeight="1" x14ac:dyDescent="0.3">
      <c r="A487" s="36"/>
      <c r="B487" s="38"/>
    </row>
    <row r="488" spans="1:2" s="37" customFormat="1" ht="15" customHeight="1" x14ac:dyDescent="0.3">
      <c r="A488" s="36"/>
      <c r="B488" s="38"/>
    </row>
  </sheetData>
  <mergeCells count="27">
    <mergeCell ref="B20:B22"/>
    <mergeCell ref="B7:E8"/>
    <mergeCell ref="B10:B12"/>
    <mergeCell ref="B13:B15"/>
    <mergeCell ref="B16:B17"/>
    <mergeCell ref="B18:B19"/>
    <mergeCell ref="B96:B98"/>
    <mergeCell ref="B23:B26"/>
    <mergeCell ref="B27:B34"/>
    <mergeCell ref="B35:B39"/>
    <mergeCell ref="B40:B44"/>
    <mergeCell ref="B45:B53"/>
    <mergeCell ref="B54:B59"/>
    <mergeCell ref="B60:B70"/>
    <mergeCell ref="B71:B78"/>
    <mergeCell ref="B79:B82"/>
    <mergeCell ref="B83:B86"/>
    <mergeCell ref="B87:B95"/>
    <mergeCell ref="B116:B120"/>
    <mergeCell ref="B121:B122"/>
    <mergeCell ref="B123:C123"/>
    <mergeCell ref="B99:B100"/>
    <mergeCell ref="B101:B103"/>
    <mergeCell ref="B104:B105"/>
    <mergeCell ref="B106:B108"/>
    <mergeCell ref="B109:B112"/>
    <mergeCell ref="B113:B11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4" max="4" man="1"/>
    <brk id="86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35"/>
  <sheetViews>
    <sheetView showGridLines="0" topLeftCell="A5" zoomScaleNormal="100" zoomScaleSheetLayoutView="115" workbookViewId="0">
      <selection activeCell="D29" sqref="D29"/>
    </sheetView>
  </sheetViews>
  <sheetFormatPr baseColWidth="10" defaultColWidth="11.44140625" defaultRowHeight="14.4" x14ac:dyDescent="0.3"/>
  <cols>
    <col min="1" max="1" width="9.33203125" style="17" customWidth="1"/>
    <col min="2" max="2" width="30.554687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145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144</v>
      </c>
      <c r="C11" s="31" t="s">
        <v>44</v>
      </c>
      <c r="D11" s="30" t="s">
        <v>43</v>
      </c>
    </row>
    <row r="12" spans="2:4" ht="15" customHeight="1" x14ac:dyDescent="0.3">
      <c r="B12" s="27" t="s">
        <v>143</v>
      </c>
      <c r="C12" s="26">
        <v>1</v>
      </c>
      <c r="D12" s="25">
        <v>8.5470085470085479E-3</v>
      </c>
    </row>
    <row r="13" spans="2:4" x14ac:dyDescent="0.3">
      <c r="B13" s="27" t="s">
        <v>142</v>
      </c>
      <c r="C13" s="26">
        <v>1</v>
      </c>
      <c r="D13" s="25">
        <v>8.5470085470085479E-3</v>
      </c>
    </row>
    <row r="14" spans="2:4" s="28" customFormat="1" ht="15" x14ac:dyDescent="0.3">
      <c r="B14" s="27" t="s">
        <v>141</v>
      </c>
      <c r="C14" s="26">
        <v>1</v>
      </c>
      <c r="D14" s="25">
        <v>8.5470085470085479E-3</v>
      </c>
    </row>
    <row r="15" spans="2:4" s="28" customFormat="1" ht="15" x14ac:dyDescent="0.3">
      <c r="B15" s="27" t="s">
        <v>140</v>
      </c>
      <c r="C15" s="26">
        <v>6</v>
      </c>
      <c r="D15" s="25">
        <v>5.128205128205128E-2</v>
      </c>
    </row>
    <row r="16" spans="2:4" x14ac:dyDescent="0.3">
      <c r="B16" s="27" t="s">
        <v>139</v>
      </c>
      <c r="C16" s="26">
        <v>29</v>
      </c>
      <c r="D16" s="25">
        <v>0.24786324786324787</v>
      </c>
    </row>
    <row r="17" spans="2:4" x14ac:dyDescent="0.3">
      <c r="B17" s="27" t="s">
        <v>138</v>
      </c>
      <c r="C17" s="26">
        <v>1</v>
      </c>
      <c r="D17" s="25">
        <v>8.5470085470085479E-3</v>
      </c>
    </row>
    <row r="18" spans="2:4" x14ac:dyDescent="0.3">
      <c r="B18" s="27" t="s">
        <v>137</v>
      </c>
      <c r="C18" s="26">
        <v>2</v>
      </c>
      <c r="D18" s="25">
        <v>1.7094017094017096E-2</v>
      </c>
    </row>
    <row r="19" spans="2:4" x14ac:dyDescent="0.3">
      <c r="B19" s="27" t="s">
        <v>136</v>
      </c>
      <c r="C19" s="26">
        <v>2</v>
      </c>
      <c r="D19" s="25">
        <v>1.7094017094017096E-2</v>
      </c>
    </row>
    <row r="20" spans="2:4" x14ac:dyDescent="0.3">
      <c r="B20" s="27" t="s">
        <v>135</v>
      </c>
      <c r="C20" s="26">
        <v>36</v>
      </c>
      <c r="D20" s="25">
        <v>0.30769230769230771</v>
      </c>
    </row>
    <row r="21" spans="2:4" x14ac:dyDescent="0.3">
      <c r="B21" s="27" t="s">
        <v>134</v>
      </c>
      <c r="C21" s="26">
        <v>1</v>
      </c>
      <c r="D21" s="25">
        <v>8.5470085470085479E-3</v>
      </c>
    </row>
    <row r="22" spans="2:4" x14ac:dyDescent="0.3">
      <c r="B22" s="27" t="s">
        <v>133</v>
      </c>
      <c r="C22" s="26">
        <v>9</v>
      </c>
      <c r="D22" s="25">
        <v>7.6923076923076927E-2</v>
      </c>
    </row>
    <row r="23" spans="2:4" x14ac:dyDescent="0.3">
      <c r="B23" s="27" t="s">
        <v>132</v>
      </c>
      <c r="C23" s="26">
        <v>19</v>
      </c>
      <c r="D23" s="25">
        <v>0.1623931623931624</v>
      </c>
    </row>
    <row r="24" spans="2:4" x14ac:dyDescent="0.3">
      <c r="B24" s="27" t="s">
        <v>131</v>
      </c>
      <c r="C24" s="26">
        <v>1</v>
      </c>
      <c r="D24" s="25">
        <v>8.5470085470085479E-3</v>
      </c>
    </row>
    <row r="25" spans="2:4" x14ac:dyDescent="0.3">
      <c r="B25" s="27" t="s">
        <v>130</v>
      </c>
      <c r="C25" s="26">
        <v>1</v>
      </c>
      <c r="D25" s="25">
        <v>8.5470085470085479E-3</v>
      </c>
    </row>
    <row r="26" spans="2:4" x14ac:dyDescent="0.3">
      <c r="B26" s="27" t="s">
        <v>129</v>
      </c>
      <c r="C26" s="26">
        <v>3</v>
      </c>
      <c r="D26" s="25">
        <v>2.564102564102564E-2</v>
      </c>
    </row>
    <row r="27" spans="2:4" x14ac:dyDescent="0.3">
      <c r="B27" s="27" t="s">
        <v>128</v>
      </c>
      <c r="C27" s="26">
        <v>2</v>
      </c>
      <c r="D27" s="25">
        <v>1.7094017094017096E-2</v>
      </c>
    </row>
    <row r="28" spans="2:4" x14ac:dyDescent="0.3">
      <c r="B28" s="27" t="s">
        <v>127</v>
      </c>
      <c r="C28" s="26">
        <v>2</v>
      </c>
      <c r="D28" s="25">
        <v>1.7094017094017096E-2</v>
      </c>
    </row>
    <row r="29" spans="2:4" x14ac:dyDescent="0.3">
      <c r="B29" s="24" t="s">
        <v>17</v>
      </c>
      <c r="C29" s="23">
        <v>117</v>
      </c>
      <c r="D29" s="22">
        <v>1</v>
      </c>
    </row>
    <row r="31" spans="2:4" x14ac:dyDescent="0.3">
      <c r="B31" s="19" t="s">
        <v>16</v>
      </c>
    </row>
    <row r="32" spans="2:4" x14ac:dyDescent="0.3">
      <c r="B32" s="21" t="s">
        <v>15</v>
      </c>
    </row>
    <row r="33" spans="2:2" x14ac:dyDescent="0.3">
      <c r="B33" s="20" t="s">
        <v>14</v>
      </c>
    </row>
    <row r="34" spans="2:2" x14ac:dyDescent="0.3">
      <c r="B34" s="19" t="s">
        <v>13</v>
      </c>
    </row>
    <row r="35" spans="2:2" x14ac:dyDescent="0.3">
      <c r="B35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03"/>
  <sheetViews>
    <sheetView topLeftCell="A81" zoomScale="145" zoomScaleNormal="145" zoomScaleSheetLayoutView="100" workbookViewId="0">
      <selection activeCell="D99" sqref="D99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5" customFormat="1" ht="12" customHeight="1" x14ac:dyDescent="0.2">
      <c r="B1" s="59"/>
      <c r="C1" s="58"/>
      <c r="D1" s="58"/>
      <c r="E1" s="58"/>
    </row>
    <row r="2" spans="1:5" s="55" customFormat="1" ht="15" customHeight="1" x14ac:dyDescent="0.2">
      <c r="C2" s="57"/>
    </row>
    <row r="3" spans="1:5" s="55" customFormat="1" ht="15" customHeight="1" x14ac:dyDescent="0.2">
      <c r="C3" s="57"/>
    </row>
    <row r="4" spans="1:5" s="55" customFormat="1" ht="30" customHeight="1" x14ac:dyDescent="0.2">
      <c r="C4" s="57"/>
      <c r="D4" s="56"/>
    </row>
    <row r="5" spans="1:5" s="55" customFormat="1" ht="15" customHeight="1" x14ac:dyDescent="0.2">
      <c r="C5" s="57"/>
      <c r="D5" s="56"/>
    </row>
    <row r="6" spans="1:5" s="52" customFormat="1" ht="24" customHeight="1" x14ac:dyDescent="0.2">
      <c r="B6" s="54"/>
      <c r="C6" s="48"/>
      <c r="D6" s="48"/>
      <c r="E6" s="48"/>
    </row>
    <row r="7" spans="1:5" s="52" customFormat="1" ht="26.25" customHeight="1" x14ac:dyDescent="0.25">
      <c r="A7" s="53"/>
      <c r="B7" s="80"/>
      <c r="C7" s="80"/>
      <c r="D7" s="80"/>
      <c r="E7" s="80"/>
    </row>
    <row r="8" spans="1:5" s="52" customFormat="1" ht="33" customHeight="1" x14ac:dyDescent="0.25">
      <c r="A8" s="53"/>
      <c r="B8" s="80"/>
      <c r="C8" s="80"/>
      <c r="D8" s="80"/>
      <c r="E8" s="80"/>
    </row>
    <row r="9" spans="1:5" s="29" customFormat="1" ht="40.5" customHeight="1" x14ac:dyDescent="0.2">
      <c r="B9" s="49" t="s">
        <v>144</v>
      </c>
      <c r="C9" s="51" t="s">
        <v>45</v>
      </c>
      <c r="D9" s="50" t="s">
        <v>44</v>
      </c>
      <c r="E9" s="49" t="s">
        <v>43</v>
      </c>
    </row>
    <row r="10" spans="1:5" ht="15" customHeight="1" x14ac:dyDescent="0.3">
      <c r="B10" s="75" t="s">
        <v>143</v>
      </c>
      <c r="C10" s="47" t="s">
        <v>34</v>
      </c>
      <c r="D10" s="46">
        <v>1</v>
      </c>
      <c r="E10" s="45">
        <v>8.5470085470085479E-3</v>
      </c>
    </row>
    <row r="11" spans="1:5" ht="15" customHeight="1" x14ac:dyDescent="0.3">
      <c r="B11" s="77"/>
      <c r="C11" s="44" t="s">
        <v>17</v>
      </c>
      <c r="D11" s="43">
        <v>1</v>
      </c>
      <c r="E11" s="42">
        <v>8.5470085470085479E-3</v>
      </c>
    </row>
    <row r="12" spans="1:5" ht="15" customHeight="1" x14ac:dyDescent="0.3">
      <c r="B12" s="75" t="s">
        <v>142</v>
      </c>
      <c r="C12" s="47" t="s">
        <v>27</v>
      </c>
      <c r="D12" s="46">
        <v>1</v>
      </c>
      <c r="E12" s="45">
        <v>8.5470085470085479E-3</v>
      </c>
    </row>
    <row r="13" spans="1:5" ht="15" customHeight="1" x14ac:dyDescent="0.3">
      <c r="B13" s="77"/>
      <c r="C13" s="44" t="s">
        <v>17</v>
      </c>
      <c r="D13" s="43">
        <v>1</v>
      </c>
      <c r="E13" s="42">
        <v>8.5470085470085479E-3</v>
      </c>
    </row>
    <row r="14" spans="1:5" ht="15" customHeight="1" x14ac:dyDescent="0.3">
      <c r="B14" s="75" t="s">
        <v>141</v>
      </c>
      <c r="C14" s="47" t="s">
        <v>30</v>
      </c>
      <c r="D14" s="46">
        <v>1</v>
      </c>
      <c r="E14" s="45">
        <v>8.5470085470085479E-3</v>
      </c>
    </row>
    <row r="15" spans="1:5" s="48" customFormat="1" ht="15" customHeight="1" x14ac:dyDescent="0.3">
      <c r="A15" s="36"/>
      <c r="B15" s="77"/>
      <c r="C15" s="44" t="s">
        <v>17</v>
      </c>
      <c r="D15" s="43">
        <v>1</v>
      </c>
      <c r="E15" s="42">
        <v>8.5470085470085479E-3</v>
      </c>
    </row>
    <row r="16" spans="1:5" s="48" customFormat="1" ht="15" customHeight="1" x14ac:dyDescent="0.3">
      <c r="A16" s="36"/>
      <c r="B16" s="75" t="s">
        <v>140</v>
      </c>
      <c r="C16" s="47" t="s">
        <v>31</v>
      </c>
      <c r="D16" s="46">
        <v>1</v>
      </c>
      <c r="E16" s="45">
        <v>8.5470085470085479E-3</v>
      </c>
    </row>
    <row r="17" spans="1:5" s="48" customFormat="1" ht="15" customHeight="1" x14ac:dyDescent="0.3">
      <c r="A17" s="36"/>
      <c r="B17" s="76"/>
      <c r="C17" s="47" t="s">
        <v>33</v>
      </c>
      <c r="D17" s="46">
        <v>1</v>
      </c>
      <c r="E17" s="45">
        <v>8.5470085470085479E-3</v>
      </c>
    </row>
    <row r="18" spans="1:5" s="48" customFormat="1" ht="15" customHeight="1" x14ac:dyDescent="0.3">
      <c r="A18" s="36"/>
      <c r="B18" s="76"/>
      <c r="C18" s="47" t="s">
        <v>37</v>
      </c>
      <c r="D18" s="46">
        <v>1</v>
      </c>
      <c r="E18" s="45">
        <v>8.5470085470085479E-3</v>
      </c>
    </row>
    <row r="19" spans="1:5" s="48" customFormat="1" ht="15" customHeight="1" x14ac:dyDescent="0.3">
      <c r="A19" s="36"/>
      <c r="B19" s="76"/>
      <c r="C19" s="47" t="s">
        <v>36</v>
      </c>
      <c r="D19" s="46">
        <v>2</v>
      </c>
      <c r="E19" s="45">
        <v>1.7094017094017096E-2</v>
      </c>
    </row>
    <row r="20" spans="1:5" ht="15" customHeight="1" x14ac:dyDescent="0.3">
      <c r="B20" s="76"/>
      <c r="C20" s="47" t="s">
        <v>32</v>
      </c>
      <c r="D20" s="46">
        <v>1</v>
      </c>
      <c r="E20" s="45">
        <v>8.5470085470085479E-3</v>
      </c>
    </row>
    <row r="21" spans="1:5" ht="15" customHeight="1" x14ac:dyDescent="0.3">
      <c r="B21" s="77"/>
      <c r="C21" s="44" t="s">
        <v>17</v>
      </c>
      <c r="D21" s="43">
        <v>6</v>
      </c>
      <c r="E21" s="42">
        <v>5.128205128205128E-2</v>
      </c>
    </row>
    <row r="22" spans="1:5" ht="15" customHeight="1" x14ac:dyDescent="0.3">
      <c r="B22" s="75" t="s">
        <v>139</v>
      </c>
      <c r="C22" s="47" t="s">
        <v>27</v>
      </c>
      <c r="D22" s="46">
        <v>1</v>
      </c>
      <c r="E22" s="45">
        <v>8.5470085470085479E-3</v>
      </c>
    </row>
    <row r="23" spans="1:5" ht="15" customHeight="1" x14ac:dyDescent="0.3">
      <c r="B23" s="76"/>
      <c r="C23" s="47" t="s">
        <v>21</v>
      </c>
      <c r="D23" s="46">
        <v>1</v>
      </c>
      <c r="E23" s="45">
        <v>8.5470085470085479E-3</v>
      </c>
    </row>
    <row r="24" spans="1:5" ht="15" customHeight="1" x14ac:dyDescent="0.3">
      <c r="B24" s="76"/>
      <c r="C24" s="47" t="s">
        <v>34</v>
      </c>
      <c r="D24" s="46">
        <v>1</v>
      </c>
      <c r="E24" s="45">
        <v>8.5470085470085479E-3</v>
      </c>
    </row>
    <row r="25" spans="1:5" ht="15" customHeight="1" x14ac:dyDescent="0.3">
      <c r="B25" s="76"/>
      <c r="C25" s="47" t="s">
        <v>40</v>
      </c>
      <c r="D25" s="46">
        <v>3</v>
      </c>
      <c r="E25" s="45">
        <v>2.564102564102564E-2</v>
      </c>
    </row>
    <row r="26" spans="1:5" ht="15" customHeight="1" x14ac:dyDescent="0.3">
      <c r="B26" s="76"/>
      <c r="C26" s="47" t="s">
        <v>33</v>
      </c>
      <c r="D26" s="46">
        <v>1</v>
      </c>
      <c r="E26" s="45">
        <v>8.5470085470085479E-3</v>
      </c>
    </row>
    <row r="27" spans="1:5" ht="15" customHeight="1" x14ac:dyDescent="0.3">
      <c r="B27" s="76"/>
      <c r="C27" s="47" t="s">
        <v>42</v>
      </c>
      <c r="D27" s="46">
        <v>7</v>
      </c>
      <c r="E27" s="45">
        <v>5.9829059829059832E-2</v>
      </c>
    </row>
    <row r="28" spans="1:5" ht="15" customHeight="1" x14ac:dyDescent="0.3">
      <c r="B28" s="76"/>
      <c r="C28" s="47" t="s">
        <v>37</v>
      </c>
      <c r="D28" s="46">
        <v>4</v>
      </c>
      <c r="E28" s="45">
        <v>3.4188034188034191E-2</v>
      </c>
    </row>
    <row r="29" spans="1:5" ht="15" customHeight="1" x14ac:dyDescent="0.3">
      <c r="B29" s="76"/>
      <c r="C29" s="47" t="s">
        <v>41</v>
      </c>
      <c r="D29" s="46">
        <v>4</v>
      </c>
      <c r="E29" s="45">
        <v>3.4188034188034191E-2</v>
      </c>
    </row>
    <row r="30" spans="1:5" ht="15" customHeight="1" x14ac:dyDescent="0.3">
      <c r="B30" s="76"/>
      <c r="C30" s="47" t="s">
        <v>36</v>
      </c>
      <c r="D30" s="46">
        <v>2</v>
      </c>
      <c r="E30" s="45">
        <v>1.7094017094017096E-2</v>
      </c>
    </row>
    <row r="31" spans="1:5" ht="15" customHeight="1" x14ac:dyDescent="0.3">
      <c r="B31" s="76"/>
      <c r="C31" s="47" t="s">
        <v>39</v>
      </c>
      <c r="D31" s="46">
        <v>3</v>
      </c>
      <c r="E31" s="45">
        <v>2.564102564102564E-2</v>
      </c>
    </row>
    <row r="32" spans="1:5" ht="15" customHeight="1" x14ac:dyDescent="0.3">
      <c r="B32" s="76"/>
      <c r="C32" s="47" t="s">
        <v>23</v>
      </c>
      <c r="D32" s="46">
        <v>1</v>
      </c>
      <c r="E32" s="45">
        <v>8.5470085470085479E-3</v>
      </c>
    </row>
    <row r="33" spans="2:5" ht="15" customHeight="1" x14ac:dyDescent="0.3">
      <c r="B33" s="76"/>
      <c r="C33" s="47" t="s">
        <v>32</v>
      </c>
      <c r="D33" s="46">
        <v>1</v>
      </c>
      <c r="E33" s="45">
        <v>8.5470085470085479E-3</v>
      </c>
    </row>
    <row r="34" spans="2:5" ht="15" customHeight="1" x14ac:dyDescent="0.3">
      <c r="B34" s="77"/>
      <c r="C34" s="44" t="s">
        <v>17</v>
      </c>
      <c r="D34" s="43">
        <v>29</v>
      </c>
      <c r="E34" s="42">
        <v>0.24786324786324787</v>
      </c>
    </row>
    <row r="35" spans="2:5" ht="15" customHeight="1" x14ac:dyDescent="0.3">
      <c r="B35" s="75" t="s">
        <v>138</v>
      </c>
      <c r="C35" s="47" t="s">
        <v>32</v>
      </c>
      <c r="D35" s="46">
        <v>1</v>
      </c>
      <c r="E35" s="45">
        <v>8.5470085470085479E-3</v>
      </c>
    </row>
    <row r="36" spans="2:5" ht="15" customHeight="1" x14ac:dyDescent="0.3">
      <c r="B36" s="77"/>
      <c r="C36" s="44" t="s">
        <v>17</v>
      </c>
      <c r="D36" s="43">
        <v>1</v>
      </c>
      <c r="E36" s="42">
        <v>8.5470085470085479E-3</v>
      </c>
    </row>
    <row r="37" spans="2:5" ht="15" customHeight="1" x14ac:dyDescent="0.3">
      <c r="B37" s="75" t="s">
        <v>137</v>
      </c>
      <c r="C37" s="47" t="s">
        <v>38</v>
      </c>
      <c r="D37" s="46">
        <v>1</v>
      </c>
      <c r="E37" s="45">
        <v>8.5470085470085479E-3</v>
      </c>
    </row>
    <row r="38" spans="2:5" ht="15" customHeight="1" x14ac:dyDescent="0.3">
      <c r="B38" s="76"/>
      <c r="C38" s="47" t="s">
        <v>42</v>
      </c>
      <c r="D38" s="46">
        <v>1</v>
      </c>
      <c r="E38" s="45">
        <v>8.5470085470085479E-3</v>
      </c>
    </row>
    <row r="39" spans="2:5" ht="15" customHeight="1" x14ac:dyDescent="0.3">
      <c r="B39" s="77"/>
      <c r="C39" s="44" t="s">
        <v>17</v>
      </c>
      <c r="D39" s="43">
        <v>2</v>
      </c>
      <c r="E39" s="42">
        <v>1.7094017094017096E-2</v>
      </c>
    </row>
    <row r="40" spans="2:5" ht="15" customHeight="1" x14ac:dyDescent="0.3">
      <c r="B40" s="75" t="s">
        <v>136</v>
      </c>
      <c r="C40" s="47" t="s">
        <v>35</v>
      </c>
      <c r="D40" s="46">
        <v>1</v>
      </c>
      <c r="E40" s="45">
        <v>8.5470085470085479E-3</v>
      </c>
    </row>
    <row r="41" spans="2:5" ht="15" customHeight="1" x14ac:dyDescent="0.3">
      <c r="B41" s="76"/>
      <c r="C41" s="47" t="s">
        <v>32</v>
      </c>
      <c r="D41" s="46">
        <v>1</v>
      </c>
      <c r="E41" s="45">
        <v>8.5470085470085479E-3</v>
      </c>
    </row>
    <row r="42" spans="2:5" ht="15" customHeight="1" x14ac:dyDescent="0.3">
      <c r="B42" s="77"/>
      <c r="C42" s="44" t="s">
        <v>17</v>
      </c>
      <c r="D42" s="43">
        <v>2</v>
      </c>
      <c r="E42" s="42">
        <v>1.7094017094017096E-2</v>
      </c>
    </row>
    <row r="43" spans="2:5" ht="15" customHeight="1" x14ac:dyDescent="0.3">
      <c r="B43" s="75" t="s">
        <v>135</v>
      </c>
      <c r="C43" s="47" t="s">
        <v>31</v>
      </c>
      <c r="D43" s="46">
        <v>1</v>
      </c>
      <c r="E43" s="45">
        <v>8.5470085470085479E-3</v>
      </c>
    </row>
    <row r="44" spans="2:5" ht="15" customHeight="1" x14ac:dyDescent="0.3">
      <c r="B44" s="76"/>
      <c r="C44" s="47" t="s">
        <v>40</v>
      </c>
      <c r="D44" s="46">
        <v>2</v>
      </c>
      <c r="E44" s="45">
        <v>1.7094017094017096E-2</v>
      </c>
    </row>
    <row r="45" spans="2:5" ht="15" customHeight="1" x14ac:dyDescent="0.3">
      <c r="B45" s="76"/>
      <c r="C45" s="47" t="s">
        <v>38</v>
      </c>
      <c r="D45" s="46">
        <v>6</v>
      </c>
      <c r="E45" s="45">
        <v>5.128205128205128E-2</v>
      </c>
    </row>
    <row r="46" spans="2:5" ht="15" customHeight="1" x14ac:dyDescent="0.3">
      <c r="B46" s="76"/>
      <c r="C46" s="47" t="s">
        <v>33</v>
      </c>
      <c r="D46" s="46">
        <v>1</v>
      </c>
      <c r="E46" s="45">
        <v>8.5470085470085479E-3</v>
      </c>
    </row>
    <row r="47" spans="2:5" ht="15" customHeight="1" x14ac:dyDescent="0.3">
      <c r="B47" s="76"/>
      <c r="C47" s="47" t="s">
        <v>42</v>
      </c>
      <c r="D47" s="46">
        <v>4</v>
      </c>
      <c r="E47" s="45">
        <v>3.4188034188034191E-2</v>
      </c>
    </row>
    <row r="48" spans="2:5" ht="15" customHeight="1" x14ac:dyDescent="0.3">
      <c r="B48" s="76"/>
      <c r="C48" s="47" t="s">
        <v>37</v>
      </c>
      <c r="D48" s="46">
        <v>1</v>
      </c>
      <c r="E48" s="45">
        <v>8.5470085470085479E-3</v>
      </c>
    </row>
    <row r="49" spans="2:5" ht="15" customHeight="1" x14ac:dyDescent="0.3">
      <c r="B49" s="76"/>
      <c r="C49" s="47" t="s">
        <v>41</v>
      </c>
      <c r="D49" s="46">
        <v>7</v>
      </c>
      <c r="E49" s="45">
        <v>5.9829059829059832E-2</v>
      </c>
    </row>
    <row r="50" spans="2:5" ht="15" customHeight="1" x14ac:dyDescent="0.3">
      <c r="B50" s="76"/>
      <c r="C50" s="47" t="s">
        <v>36</v>
      </c>
      <c r="D50" s="46">
        <v>2</v>
      </c>
      <c r="E50" s="45">
        <v>1.7094017094017096E-2</v>
      </c>
    </row>
    <row r="51" spans="2:5" ht="15" customHeight="1" x14ac:dyDescent="0.3">
      <c r="B51" s="76"/>
      <c r="C51" s="47" t="s">
        <v>30</v>
      </c>
      <c r="D51" s="46">
        <v>2</v>
      </c>
      <c r="E51" s="45">
        <v>1.7094017094017096E-2</v>
      </c>
    </row>
    <row r="52" spans="2:5" ht="15" customHeight="1" x14ac:dyDescent="0.3">
      <c r="B52" s="76"/>
      <c r="C52" s="47" t="s">
        <v>29</v>
      </c>
      <c r="D52" s="46">
        <v>1</v>
      </c>
      <c r="E52" s="45">
        <v>8.5470085470085479E-3</v>
      </c>
    </row>
    <row r="53" spans="2:5" ht="15" customHeight="1" x14ac:dyDescent="0.3">
      <c r="B53" s="76"/>
      <c r="C53" s="47" t="s">
        <v>39</v>
      </c>
      <c r="D53" s="46">
        <v>5</v>
      </c>
      <c r="E53" s="45">
        <v>4.2735042735042736E-2</v>
      </c>
    </row>
    <row r="54" spans="2:5" ht="15" customHeight="1" x14ac:dyDescent="0.3">
      <c r="B54" s="76"/>
      <c r="C54" s="47" t="s">
        <v>26</v>
      </c>
      <c r="D54" s="46">
        <v>1</v>
      </c>
      <c r="E54" s="45">
        <v>8.5470085470085479E-3</v>
      </c>
    </row>
    <row r="55" spans="2:5" ht="15" customHeight="1" x14ac:dyDescent="0.3">
      <c r="B55" s="76"/>
      <c r="C55" s="47" t="s">
        <v>20</v>
      </c>
      <c r="D55" s="46">
        <v>1</v>
      </c>
      <c r="E55" s="45">
        <v>8.5470085470085479E-3</v>
      </c>
    </row>
    <row r="56" spans="2:5" ht="15" customHeight="1" x14ac:dyDescent="0.3">
      <c r="B56" s="76"/>
      <c r="C56" s="47" t="s">
        <v>28</v>
      </c>
      <c r="D56" s="46">
        <v>1</v>
      </c>
      <c r="E56" s="45">
        <v>8.5470085470085479E-3</v>
      </c>
    </row>
    <row r="57" spans="2:5" ht="15" customHeight="1" x14ac:dyDescent="0.3">
      <c r="B57" s="76"/>
      <c r="C57" s="47" t="s">
        <v>18</v>
      </c>
      <c r="D57" s="46">
        <v>1</v>
      </c>
      <c r="E57" s="45">
        <v>8.5470085470085479E-3</v>
      </c>
    </row>
    <row r="58" spans="2:5" ht="15" customHeight="1" x14ac:dyDescent="0.3">
      <c r="B58" s="77"/>
      <c r="C58" s="44" t="s">
        <v>17</v>
      </c>
      <c r="D58" s="43">
        <v>36</v>
      </c>
      <c r="E58" s="42">
        <v>0.30769230769230771</v>
      </c>
    </row>
    <row r="59" spans="2:5" ht="15" customHeight="1" x14ac:dyDescent="0.3">
      <c r="B59" s="75" t="s">
        <v>175</v>
      </c>
      <c r="C59" s="47" t="s">
        <v>22</v>
      </c>
      <c r="D59" s="46">
        <v>1</v>
      </c>
      <c r="E59" s="45">
        <v>8.5470085470085479E-3</v>
      </c>
    </row>
    <row r="60" spans="2:5" ht="15" customHeight="1" x14ac:dyDescent="0.3">
      <c r="B60" s="77"/>
      <c r="C60" s="44" t="s">
        <v>17</v>
      </c>
      <c r="D60" s="43">
        <v>1</v>
      </c>
      <c r="E60" s="42">
        <v>8.5470085470085479E-3</v>
      </c>
    </row>
    <row r="61" spans="2:5" ht="15" customHeight="1" x14ac:dyDescent="0.3">
      <c r="B61" s="75" t="s">
        <v>133</v>
      </c>
      <c r="C61" s="47" t="s">
        <v>35</v>
      </c>
      <c r="D61" s="46">
        <v>2</v>
      </c>
      <c r="E61" s="45">
        <v>1.7094017094017096E-2</v>
      </c>
    </row>
    <row r="62" spans="2:5" ht="15" customHeight="1" x14ac:dyDescent="0.3">
      <c r="B62" s="76"/>
      <c r="C62" s="47" t="s">
        <v>31</v>
      </c>
      <c r="D62" s="46">
        <v>1</v>
      </c>
      <c r="E62" s="45">
        <v>8.5470085470085479E-3</v>
      </c>
    </row>
    <row r="63" spans="2:5" ht="15" customHeight="1" x14ac:dyDescent="0.3">
      <c r="B63" s="76"/>
      <c r="C63" s="47" t="s">
        <v>40</v>
      </c>
      <c r="D63" s="46">
        <v>1</v>
      </c>
      <c r="E63" s="45">
        <v>8.5470085470085479E-3</v>
      </c>
    </row>
    <row r="64" spans="2:5" ht="15" customHeight="1" x14ac:dyDescent="0.3">
      <c r="B64" s="76"/>
      <c r="C64" s="47" t="s">
        <v>33</v>
      </c>
      <c r="D64" s="46">
        <v>1</v>
      </c>
      <c r="E64" s="45">
        <v>8.5470085470085479E-3</v>
      </c>
    </row>
    <row r="65" spans="2:5" ht="15" customHeight="1" x14ac:dyDescent="0.3">
      <c r="B65" s="76"/>
      <c r="C65" s="47" t="s">
        <v>41</v>
      </c>
      <c r="D65" s="46">
        <v>1</v>
      </c>
      <c r="E65" s="45">
        <v>8.5470085470085479E-3</v>
      </c>
    </row>
    <row r="66" spans="2:5" ht="15" customHeight="1" x14ac:dyDescent="0.3">
      <c r="B66" s="76"/>
      <c r="C66" s="47" t="s">
        <v>39</v>
      </c>
      <c r="D66" s="46">
        <v>1</v>
      </c>
      <c r="E66" s="45">
        <v>8.5470085470085479E-3</v>
      </c>
    </row>
    <row r="67" spans="2:5" ht="15" customHeight="1" x14ac:dyDescent="0.3">
      <c r="B67" s="76"/>
      <c r="C67" s="47" t="s">
        <v>19</v>
      </c>
      <c r="D67" s="46">
        <v>1</v>
      </c>
      <c r="E67" s="45">
        <v>8.5470085470085479E-3</v>
      </c>
    </row>
    <row r="68" spans="2:5" ht="15" customHeight="1" x14ac:dyDescent="0.3">
      <c r="B68" s="76"/>
      <c r="C68" s="47" t="s">
        <v>23</v>
      </c>
      <c r="D68" s="46">
        <v>1</v>
      </c>
      <c r="E68" s="45">
        <v>8.5470085470085479E-3</v>
      </c>
    </row>
    <row r="69" spans="2:5" ht="15" customHeight="1" x14ac:dyDescent="0.3">
      <c r="B69" s="77"/>
      <c r="C69" s="44" t="s">
        <v>17</v>
      </c>
      <c r="D69" s="43">
        <v>9</v>
      </c>
      <c r="E69" s="42">
        <v>7.6923076923076927E-2</v>
      </c>
    </row>
    <row r="70" spans="2:5" ht="15" customHeight="1" x14ac:dyDescent="0.3">
      <c r="B70" s="75" t="s">
        <v>132</v>
      </c>
      <c r="C70" s="47" t="s">
        <v>35</v>
      </c>
      <c r="D70" s="46">
        <v>1</v>
      </c>
      <c r="E70" s="45">
        <v>8.5470085470085479E-3</v>
      </c>
    </row>
    <row r="71" spans="2:5" ht="15" customHeight="1" x14ac:dyDescent="0.3">
      <c r="B71" s="76"/>
      <c r="C71" s="47" t="s">
        <v>34</v>
      </c>
      <c r="D71" s="46">
        <v>1</v>
      </c>
      <c r="E71" s="45">
        <v>8.5470085470085479E-3</v>
      </c>
    </row>
    <row r="72" spans="2:5" ht="15" customHeight="1" x14ac:dyDescent="0.3">
      <c r="B72" s="76"/>
      <c r="C72" s="47" t="s">
        <v>40</v>
      </c>
      <c r="D72" s="46">
        <v>3</v>
      </c>
      <c r="E72" s="45">
        <v>2.564102564102564E-2</v>
      </c>
    </row>
    <row r="73" spans="2:5" ht="15" customHeight="1" x14ac:dyDescent="0.3">
      <c r="B73" s="76"/>
      <c r="C73" s="47" t="s">
        <v>42</v>
      </c>
      <c r="D73" s="46">
        <v>2</v>
      </c>
      <c r="E73" s="45">
        <v>1.7094017094017096E-2</v>
      </c>
    </row>
    <row r="74" spans="2:5" ht="15" customHeight="1" x14ac:dyDescent="0.3">
      <c r="B74" s="76"/>
      <c r="C74" s="47" t="s">
        <v>37</v>
      </c>
      <c r="D74" s="46">
        <v>1</v>
      </c>
      <c r="E74" s="45">
        <v>8.5470085470085479E-3</v>
      </c>
    </row>
    <row r="75" spans="2:5" ht="15" customHeight="1" x14ac:dyDescent="0.3">
      <c r="B75" s="76"/>
      <c r="C75" s="47" t="s">
        <v>41</v>
      </c>
      <c r="D75" s="46">
        <v>1</v>
      </c>
      <c r="E75" s="45">
        <v>8.5470085470085479E-3</v>
      </c>
    </row>
    <row r="76" spans="2:5" ht="15" customHeight="1" x14ac:dyDescent="0.3">
      <c r="B76" s="76"/>
      <c r="C76" s="47" t="s">
        <v>36</v>
      </c>
      <c r="D76" s="46">
        <v>1</v>
      </c>
      <c r="E76" s="45">
        <v>8.5470085470085479E-3</v>
      </c>
    </row>
    <row r="77" spans="2:5" ht="15" customHeight="1" x14ac:dyDescent="0.3">
      <c r="B77" s="76"/>
      <c r="C77" s="47" t="s">
        <v>29</v>
      </c>
      <c r="D77" s="46">
        <v>2</v>
      </c>
      <c r="E77" s="45">
        <v>1.7094017094017096E-2</v>
      </c>
    </row>
    <row r="78" spans="2:5" ht="15" customHeight="1" x14ac:dyDescent="0.3">
      <c r="B78" s="76"/>
      <c r="C78" s="47" t="s">
        <v>39</v>
      </c>
      <c r="D78" s="46">
        <v>1</v>
      </c>
      <c r="E78" s="45">
        <v>8.5470085470085479E-3</v>
      </c>
    </row>
    <row r="79" spans="2:5" ht="15" customHeight="1" x14ac:dyDescent="0.3">
      <c r="B79" s="76"/>
      <c r="C79" s="47" t="s">
        <v>26</v>
      </c>
      <c r="D79" s="46">
        <v>1</v>
      </c>
      <c r="E79" s="45">
        <v>8.5470085470085479E-3</v>
      </c>
    </row>
    <row r="80" spans="2:5" ht="15" customHeight="1" x14ac:dyDescent="0.3">
      <c r="B80" s="76"/>
      <c r="C80" s="47" t="s">
        <v>25</v>
      </c>
      <c r="D80" s="46">
        <v>2</v>
      </c>
      <c r="E80" s="45">
        <v>1.7094017094017096E-2</v>
      </c>
    </row>
    <row r="81" spans="2:5" ht="15" customHeight="1" x14ac:dyDescent="0.3">
      <c r="B81" s="76"/>
      <c r="C81" s="47" t="s">
        <v>24</v>
      </c>
      <c r="D81" s="46">
        <v>1</v>
      </c>
      <c r="E81" s="45">
        <v>8.5470085470085479E-3</v>
      </c>
    </row>
    <row r="82" spans="2:5" ht="15" customHeight="1" x14ac:dyDescent="0.3">
      <c r="B82" s="76"/>
      <c r="C82" s="47" t="s">
        <v>28</v>
      </c>
      <c r="D82" s="46">
        <v>2</v>
      </c>
      <c r="E82" s="45">
        <v>1.7094017094017096E-2</v>
      </c>
    </row>
    <row r="83" spans="2:5" ht="15" customHeight="1" x14ac:dyDescent="0.3">
      <c r="B83" s="77"/>
      <c r="C83" s="44" t="s">
        <v>17</v>
      </c>
      <c r="D83" s="43">
        <v>19</v>
      </c>
      <c r="E83" s="42">
        <v>0.1623931623931624</v>
      </c>
    </row>
    <row r="84" spans="2:5" ht="15" customHeight="1" x14ac:dyDescent="0.3">
      <c r="B84" s="75" t="s">
        <v>131</v>
      </c>
      <c r="C84" s="47" t="s">
        <v>24</v>
      </c>
      <c r="D84" s="46">
        <v>1</v>
      </c>
      <c r="E84" s="45">
        <v>8.5470085470085479E-3</v>
      </c>
    </row>
    <row r="85" spans="2:5" ht="15" customHeight="1" x14ac:dyDescent="0.3">
      <c r="B85" s="77"/>
      <c r="C85" s="44" t="s">
        <v>17</v>
      </c>
      <c r="D85" s="43">
        <v>1</v>
      </c>
      <c r="E85" s="42">
        <v>8.5470085470085479E-3</v>
      </c>
    </row>
    <row r="86" spans="2:5" ht="15" customHeight="1" x14ac:dyDescent="0.3">
      <c r="B86" s="75" t="s">
        <v>130</v>
      </c>
      <c r="C86" s="47" t="s">
        <v>38</v>
      </c>
      <c r="D86" s="46">
        <v>1</v>
      </c>
      <c r="E86" s="45">
        <v>8.5470085470085479E-3</v>
      </c>
    </row>
    <row r="87" spans="2:5" ht="15" customHeight="1" x14ac:dyDescent="0.3">
      <c r="B87" s="77"/>
      <c r="C87" s="44" t="s">
        <v>17</v>
      </c>
      <c r="D87" s="43">
        <v>1</v>
      </c>
      <c r="E87" s="42">
        <v>8.5470085470085479E-3</v>
      </c>
    </row>
    <row r="88" spans="2:5" ht="15" customHeight="1" x14ac:dyDescent="0.3">
      <c r="B88" s="75" t="s">
        <v>129</v>
      </c>
      <c r="C88" s="47" t="s">
        <v>40</v>
      </c>
      <c r="D88" s="46">
        <v>1</v>
      </c>
      <c r="E88" s="45">
        <v>8.5470085470085479E-3</v>
      </c>
    </row>
    <row r="89" spans="2:5" ht="15" customHeight="1" x14ac:dyDescent="0.3">
      <c r="B89" s="76"/>
      <c r="C89" s="47" t="s">
        <v>38</v>
      </c>
      <c r="D89" s="46">
        <v>2</v>
      </c>
      <c r="E89" s="45">
        <v>1.7094017094017096E-2</v>
      </c>
    </row>
    <row r="90" spans="2:5" ht="15" customHeight="1" x14ac:dyDescent="0.3">
      <c r="B90" s="77"/>
      <c r="C90" s="44" t="s">
        <v>17</v>
      </c>
      <c r="D90" s="43">
        <v>3</v>
      </c>
      <c r="E90" s="42">
        <v>2.564102564102564E-2</v>
      </c>
    </row>
    <row r="91" spans="2:5" ht="15" customHeight="1" x14ac:dyDescent="0.3">
      <c r="B91" s="75" t="s">
        <v>174</v>
      </c>
      <c r="C91" s="47" t="s">
        <v>40</v>
      </c>
      <c r="D91" s="46">
        <v>1</v>
      </c>
      <c r="E91" s="45">
        <v>8.5470085470085479E-3</v>
      </c>
    </row>
    <row r="92" spans="2:5" ht="15" customHeight="1" x14ac:dyDescent="0.3">
      <c r="B92" s="76"/>
      <c r="C92" s="47" t="s">
        <v>39</v>
      </c>
      <c r="D92" s="46">
        <v>1</v>
      </c>
      <c r="E92" s="45">
        <v>8.5470085470085479E-3</v>
      </c>
    </row>
    <row r="93" spans="2:5" ht="15" customHeight="1" x14ac:dyDescent="0.3">
      <c r="B93" s="77"/>
      <c r="C93" s="44" t="s">
        <v>17</v>
      </c>
      <c r="D93" s="43">
        <v>2</v>
      </c>
      <c r="E93" s="42">
        <v>1.7094017094017096E-2</v>
      </c>
    </row>
    <row r="94" spans="2:5" ht="15" customHeight="1" x14ac:dyDescent="0.3">
      <c r="B94" s="75" t="s">
        <v>127</v>
      </c>
      <c r="C94" s="47" t="s">
        <v>34</v>
      </c>
      <c r="D94" s="46">
        <v>1</v>
      </c>
      <c r="E94" s="45">
        <v>8.5470085470085479E-3</v>
      </c>
    </row>
    <row r="95" spans="2:5" ht="15" customHeight="1" x14ac:dyDescent="0.3">
      <c r="B95" s="76"/>
      <c r="C95" s="47" t="s">
        <v>41</v>
      </c>
      <c r="D95" s="46">
        <v>1</v>
      </c>
      <c r="E95" s="45">
        <v>8.5470085470085479E-3</v>
      </c>
    </row>
    <row r="96" spans="2:5" ht="15" customHeight="1" x14ac:dyDescent="0.3">
      <c r="B96" s="77"/>
      <c r="C96" s="44" t="s">
        <v>17</v>
      </c>
      <c r="D96" s="43">
        <v>2</v>
      </c>
      <c r="E96" s="42">
        <v>1.7094017094017096E-2</v>
      </c>
    </row>
    <row r="97" spans="2:5" ht="15" customHeight="1" x14ac:dyDescent="0.3">
      <c r="B97" s="81" t="s">
        <v>17</v>
      </c>
      <c r="C97" s="82"/>
      <c r="D97" s="41">
        <v>117</v>
      </c>
      <c r="E97" s="40">
        <v>1</v>
      </c>
    </row>
    <row r="99" spans="2:5" ht="15" customHeight="1" x14ac:dyDescent="0.3">
      <c r="B99" s="19" t="s">
        <v>16</v>
      </c>
    </row>
    <row r="100" spans="2:5" ht="15" customHeight="1" x14ac:dyDescent="0.3">
      <c r="B100" s="21" t="s">
        <v>15</v>
      </c>
    </row>
    <row r="101" spans="2:5" ht="15" customHeight="1" x14ac:dyDescent="0.3">
      <c r="B101" s="20" t="s">
        <v>14</v>
      </c>
    </row>
    <row r="102" spans="2:5" ht="15" customHeight="1" x14ac:dyDescent="0.3">
      <c r="B102" s="19" t="s">
        <v>13</v>
      </c>
    </row>
    <row r="103" spans="2:5" ht="15" customHeight="1" x14ac:dyDescent="0.3">
      <c r="B103" s="19" t="s">
        <v>12</v>
      </c>
    </row>
  </sheetData>
  <mergeCells count="19">
    <mergeCell ref="B22:B34"/>
    <mergeCell ref="B35:B36"/>
    <mergeCell ref="B37:B39"/>
    <mergeCell ref="B40:B42"/>
    <mergeCell ref="B43:B58"/>
    <mergeCell ref="B7:E8"/>
    <mergeCell ref="B10:B11"/>
    <mergeCell ref="B12:B13"/>
    <mergeCell ref="B14:B15"/>
    <mergeCell ref="B16:B21"/>
    <mergeCell ref="B59:B60"/>
    <mergeCell ref="B61:B69"/>
    <mergeCell ref="B97:C97"/>
    <mergeCell ref="B70:B83"/>
    <mergeCell ref="B84:B85"/>
    <mergeCell ref="B86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2" max="4" man="1"/>
    <brk id="85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150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149</v>
      </c>
      <c r="C11" s="31" t="s">
        <v>44</v>
      </c>
      <c r="D11" s="30" t="s">
        <v>43</v>
      </c>
    </row>
    <row r="12" spans="2:4" ht="15" customHeight="1" x14ac:dyDescent="0.3">
      <c r="B12" s="27" t="s">
        <v>148</v>
      </c>
      <c r="C12" s="26">
        <v>72</v>
      </c>
      <c r="D12" s="25">
        <v>0.61538461538461542</v>
      </c>
    </row>
    <row r="13" spans="2:4" ht="15" customHeight="1" x14ac:dyDescent="0.3">
      <c r="B13" s="27" t="s">
        <v>147</v>
      </c>
      <c r="C13" s="26">
        <v>45</v>
      </c>
      <c r="D13" s="25">
        <v>0.38461538461538464</v>
      </c>
    </row>
    <row r="14" spans="2:4" x14ac:dyDescent="0.3">
      <c r="B14" s="24" t="s">
        <v>146</v>
      </c>
      <c r="C14" s="23">
        <v>117</v>
      </c>
      <c r="D14" s="22">
        <v>1</v>
      </c>
    </row>
    <row r="15" spans="2:4" s="28" customFormat="1" ht="15" x14ac:dyDescent="0.3">
      <c r="C15" s="62"/>
    </row>
    <row r="16" spans="2:4" s="28" customFormat="1" ht="15" x14ac:dyDescent="0.3">
      <c r="B16" s="19" t="s">
        <v>16</v>
      </c>
      <c r="C16" s="62"/>
    </row>
    <row r="17" spans="2:4" x14ac:dyDescent="0.3">
      <c r="B17" s="21" t="s">
        <v>15</v>
      </c>
      <c r="C17" s="61"/>
      <c r="D17" s="61"/>
    </row>
    <row r="18" spans="2:4" x14ac:dyDescent="0.3">
      <c r="B18" s="20" t="s">
        <v>14</v>
      </c>
      <c r="C18" s="60"/>
      <c r="D18" s="60"/>
    </row>
    <row r="19" spans="2:4" x14ac:dyDescent="0.3">
      <c r="B19" s="19" t="s">
        <v>13</v>
      </c>
    </row>
    <row r="20" spans="2:4" x14ac:dyDescent="0.3">
      <c r="B20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60"/>
  <sheetViews>
    <sheetView topLeftCell="A52" zoomScale="120" zoomScaleNormal="120" zoomScaleSheetLayoutView="100" workbookViewId="0">
      <selection activeCell="F72" sqref="F72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5" customFormat="1" ht="12" customHeight="1" x14ac:dyDescent="0.2">
      <c r="B1" s="59"/>
      <c r="C1" s="58"/>
      <c r="D1" s="58"/>
      <c r="E1" s="58"/>
    </row>
    <row r="2" spans="1:5" s="55" customFormat="1" ht="15" customHeight="1" x14ac:dyDescent="0.2">
      <c r="C2" s="57"/>
    </row>
    <row r="3" spans="1:5" s="55" customFormat="1" ht="15" customHeight="1" x14ac:dyDescent="0.2">
      <c r="C3" s="57"/>
    </row>
    <row r="4" spans="1:5" s="55" customFormat="1" ht="30" customHeight="1" x14ac:dyDescent="0.2">
      <c r="C4" s="57"/>
      <c r="D4" s="56"/>
    </row>
    <row r="5" spans="1:5" s="55" customFormat="1" ht="15" customHeight="1" x14ac:dyDescent="0.2">
      <c r="C5" s="57"/>
      <c r="D5" s="56"/>
    </row>
    <row r="6" spans="1:5" s="52" customFormat="1" ht="24" customHeight="1" x14ac:dyDescent="0.2">
      <c r="B6" s="54"/>
      <c r="C6" s="48"/>
      <c r="D6" s="48"/>
      <c r="E6" s="48"/>
    </row>
    <row r="7" spans="1:5" s="52" customFormat="1" ht="26.25" customHeight="1" x14ac:dyDescent="0.25">
      <c r="A7" s="53"/>
      <c r="B7" s="80"/>
      <c r="C7" s="80"/>
      <c r="D7" s="80"/>
      <c r="E7" s="80"/>
    </row>
    <row r="8" spans="1:5" s="52" customFormat="1" ht="33" customHeight="1" x14ac:dyDescent="0.25">
      <c r="A8" s="53"/>
      <c r="B8" s="80"/>
      <c r="C8" s="80"/>
      <c r="D8" s="80"/>
      <c r="E8" s="80"/>
    </row>
    <row r="9" spans="1:5" s="29" customFormat="1" ht="40.5" customHeight="1" x14ac:dyDescent="0.2">
      <c r="B9" s="49" t="s">
        <v>45</v>
      </c>
      <c r="C9" s="51" t="s">
        <v>149</v>
      </c>
      <c r="D9" s="50" t="s">
        <v>44</v>
      </c>
      <c r="E9" s="49" t="s">
        <v>43</v>
      </c>
    </row>
    <row r="10" spans="1:5" ht="15" customHeight="1" x14ac:dyDescent="0.3">
      <c r="B10" s="75" t="s">
        <v>27</v>
      </c>
      <c r="C10" s="47" t="s">
        <v>152</v>
      </c>
      <c r="D10" s="46">
        <v>2</v>
      </c>
      <c r="E10" s="45">
        <v>1.7094017094017096E-2</v>
      </c>
    </row>
    <row r="11" spans="1:5" ht="15" customHeight="1" x14ac:dyDescent="0.3">
      <c r="B11" s="77"/>
      <c r="C11" s="44" t="s">
        <v>17</v>
      </c>
      <c r="D11" s="43">
        <v>2</v>
      </c>
      <c r="E11" s="42">
        <v>1.7094017094017096E-2</v>
      </c>
    </row>
    <row r="12" spans="1:5" ht="15" customHeight="1" x14ac:dyDescent="0.3">
      <c r="B12" s="75" t="s">
        <v>35</v>
      </c>
      <c r="C12" s="47" t="s">
        <v>152</v>
      </c>
      <c r="D12" s="46">
        <v>2</v>
      </c>
      <c r="E12" s="45">
        <v>1.7094017094017096E-2</v>
      </c>
    </row>
    <row r="13" spans="1:5" ht="15" customHeight="1" x14ac:dyDescent="0.3">
      <c r="B13" s="76"/>
      <c r="C13" s="47" t="s">
        <v>151</v>
      </c>
      <c r="D13" s="46">
        <v>2</v>
      </c>
      <c r="E13" s="45">
        <v>1.7094017094017096E-2</v>
      </c>
    </row>
    <row r="14" spans="1:5" s="48" customFormat="1" ht="15" customHeight="1" x14ac:dyDescent="0.2">
      <c r="B14" s="77"/>
      <c r="C14" s="44" t="s">
        <v>17</v>
      </c>
      <c r="D14" s="43">
        <v>4</v>
      </c>
      <c r="E14" s="42">
        <v>3.4188034188034191E-2</v>
      </c>
    </row>
    <row r="15" spans="1:5" s="48" customFormat="1" ht="15" customHeight="1" x14ac:dyDescent="0.2">
      <c r="B15" s="75" t="s">
        <v>22</v>
      </c>
      <c r="C15" s="47" t="s">
        <v>152</v>
      </c>
      <c r="D15" s="46">
        <v>1</v>
      </c>
      <c r="E15" s="45">
        <v>8.5470085470085479E-3</v>
      </c>
    </row>
    <row r="16" spans="1:5" ht="15" customHeight="1" x14ac:dyDescent="0.3">
      <c r="B16" s="77"/>
      <c r="C16" s="44" t="s">
        <v>17</v>
      </c>
      <c r="D16" s="43">
        <v>1</v>
      </c>
      <c r="E16" s="42">
        <v>8.5470085470085479E-3</v>
      </c>
    </row>
    <row r="17" spans="2:5" ht="15" customHeight="1" x14ac:dyDescent="0.3">
      <c r="B17" s="75" t="s">
        <v>21</v>
      </c>
      <c r="C17" s="47" t="s">
        <v>152</v>
      </c>
      <c r="D17" s="46">
        <v>1</v>
      </c>
      <c r="E17" s="45">
        <v>8.5470085470085479E-3</v>
      </c>
    </row>
    <row r="18" spans="2:5" ht="15" customHeight="1" x14ac:dyDescent="0.3">
      <c r="B18" s="77"/>
      <c r="C18" s="44" t="s">
        <v>17</v>
      </c>
      <c r="D18" s="43">
        <v>1</v>
      </c>
      <c r="E18" s="42">
        <v>8.5470085470085479E-3</v>
      </c>
    </row>
    <row r="19" spans="2:5" ht="15" customHeight="1" x14ac:dyDescent="0.3">
      <c r="B19" s="75" t="s">
        <v>34</v>
      </c>
      <c r="C19" s="47" t="s">
        <v>152</v>
      </c>
      <c r="D19" s="46">
        <v>2</v>
      </c>
      <c r="E19" s="45">
        <v>1.7094017094017096E-2</v>
      </c>
    </row>
    <row r="20" spans="2:5" ht="15" customHeight="1" x14ac:dyDescent="0.3">
      <c r="B20" s="76"/>
      <c r="C20" s="47" t="s">
        <v>151</v>
      </c>
      <c r="D20" s="46">
        <v>2</v>
      </c>
      <c r="E20" s="45">
        <v>1.7094017094017096E-2</v>
      </c>
    </row>
    <row r="21" spans="2:5" ht="15" customHeight="1" x14ac:dyDescent="0.3">
      <c r="B21" s="77"/>
      <c r="C21" s="44" t="s">
        <v>17</v>
      </c>
      <c r="D21" s="43">
        <v>4</v>
      </c>
      <c r="E21" s="42">
        <v>3.4188034188034191E-2</v>
      </c>
    </row>
    <row r="22" spans="2:5" ht="15" customHeight="1" x14ac:dyDescent="0.3">
      <c r="B22" s="75" t="s">
        <v>31</v>
      </c>
      <c r="C22" s="47" t="s">
        <v>152</v>
      </c>
      <c r="D22" s="46">
        <v>1</v>
      </c>
      <c r="E22" s="45">
        <v>8.5470085470085479E-3</v>
      </c>
    </row>
    <row r="23" spans="2:5" ht="15" customHeight="1" x14ac:dyDescent="0.3">
      <c r="B23" s="76"/>
      <c r="C23" s="47" t="s">
        <v>151</v>
      </c>
      <c r="D23" s="46">
        <v>2</v>
      </c>
      <c r="E23" s="45">
        <v>1.7094017094017096E-2</v>
      </c>
    </row>
    <row r="24" spans="2:5" ht="15" customHeight="1" x14ac:dyDescent="0.3">
      <c r="B24" s="77"/>
      <c r="C24" s="44" t="s">
        <v>17</v>
      </c>
      <c r="D24" s="43">
        <v>3</v>
      </c>
      <c r="E24" s="42">
        <v>2.564102564102564E-2</v>
      </c>
    </row>
    <row r="25" spans="2:5" ht="15" customHeight="1" x14ac:dyDescent="0.3">
      <c r="B25" s="75" t="s">
        <v>40</v>
      </c>
      <c r="C25" s="47" t="s">
        <v>152</v>
      </c>
      <c r="D25" s="46">
        <v>6</v>
      </c>
      <c r="E25" s="45">
        <v>5.128205128205128E-2</v>
      </c>
    </row>
    <row r="26" spans="2:5" ht="15" customHeight="1" x14ac:dyDescent="0.3">
      <c r="B26" s="76"/>
      <c r="C26" s="47" t="s">
        <v>151</v>
      </c>
      <c r="D26" s="46">
        <v>5</v>
      </c>
      <c r="E26" s="45">
        <v>4.2735042735042736E-2</v>
      </c>
    </row>
    <row r="27" spans="2:5" ht="15" customHeight="1" x14ac:dyDescent="0.3">
      <c r="B27" s="77"/>
      <c r="C27" s="44" t="s">
        <v>17</v>
      </c>
      <c r="D27" s="43">
        <v>11</v>
      </c>
      <c r="E27" s="42">
        <v>9.4017094017094016E-2</v>
      </c>
    </row>
    <row r="28" spans="2:5" ht="15" customHeight="1" x14ac:dyDescent="0.3">
      <c r="B28" s="75" t="s">
        <v>38</v>
      </c>
      <c r="C28" s="47" t="s">
        <v>152</v>
      </c>
      <c r="D28" s="46">
        <v>7</v>
      </c>
      <c r="E28" s="45">
        <v>5.9829059829059832E-2</v>
      </c>
    </row>
    <row r="29" spans="2:5" ht="15" customHeight="1" x14ac:dyDescent="0.3">
      <c r="B29" s="76"/>
      <c r="C29" s="47" t="s">
        <v>151</v>
      </c>
      <c r="D29" s="46">
        <v>3</v>
      </c>
      <c r="E29" s="45">
        <v>2.564102564102564E-2</v>
      </c>
    </row>
    <row r="30" spans="2:5" ht="15" customHeight="1" x14ac:dyDescent="0.3">
      <c r="B30" s="77"/>
      <c r="C30" s="44" t="s">
        <v>17</v>
      </c>
      <c r="D30" s="43">
        <v>10</v>
      </c>
      <c r="E30" s="42">
        <v>8.5470085470085472E-2</v>
      </c>
    </row>
    <row r="31" spans="2:5" ht="15" customHeight="1" x14ac:dyDescent="0.3">
      <c r="B31" s="75" t="s">
        <v>33</v>
      </c>
      <c r="C31" s="47" t="s">
        <v>152</v>
      </c>
      <c r="D31" s="46">
        <v>3</v>
      </c>
      <c r="E31" s="45">
        <v>2.564102564102564E-2</v>
      </c>
    </row>
    <row r="32" spans="2:5" ht="15" customHeight="1" x14ac:dyDescent="0.3">
      <c r="B32" s="76"/>
      <c r="C32" s="47" t="s">
        <v>151</v>
      </c>
      <c r="D32" s="46">
        <v>1</v>
      </c>
      <c r="E32" s="45">
        <v>8.5470085470085479E-3</v>
      </c>
    </row>
    <row r="33" spans="2:5" ht="15" customHeight="1" x14ac:dyDescent="0.3">
      <c r="B33" s="77"/>
      <c r="C33" s="44" t="s">
        <v>17</v>
      </c>
      <c r="D33" s="43">
        <v>4</v>
      </c>
      <c r="E33" s="42">
        <v>3.4188034188034191E-2</v>
      </c>
    </row>
    <row r="34" spans="2:5" ht="15" customHeight="1" x14ac:dyDescent="0.3">
      <c r="B34" s="75" t="s">
        <v>42</v>
      </c>
      <c r="C34" s="47" t="s">
        <v>152</v>
      </c>
      <c r="D34" s="46">
        <v>9</v>
      </c>
      <c r="E34" s="45">
        <v>7.6923076923076927E-2</v>
      </c>
    </row>
    <row r="35" spans="2:5" ht="15" customHeight="1" x14ac:dyDescent="0.3">
      <c r="B35" s="76"/>
      <c r="C35" s="47" t="s">
        <v>151</v>
      </c>
      <c r="D35" s="46">
        <v>5</v>
      </c>
      <c r="E35" s="45">
        <v>4.2735042735042736E-2</v>
      </c>
    </row>
    <row r="36" spans="2:5" ht="15" customHeight="1" x14ac:dyDescent="0.3">
      <c r="B36" s="77"/>
      <c r="C36" s="44" t="s">
        <v>17</v>
      </c>
      <c r="D36" s="43">
        <v>14</v>
      </c>
      <c r="E36" s="42">
        <v>0.11965811965811966</v>
      </c>
    </row>
    <row r="37" spans="2:5" ht="15" customHeight="1" x14ac:dyDescent="0.3">
      <c r="B37" s="75" t="s">
        <v>37</v>
      </c>
      <c r="C37" s="47" t="s">
        <v>152</v>
      </c>
      <c r="D37" s="46">
        <v>4</v>
      </c>
      <c r="E37" s="45">
        <v>3.4188034188034191E-2</v>
      </c>
    </row>
    <row r="38" spans="2:5" ht="15" customHeight="1" x14ac:dyDescent="0.3">
      <c r="B38" s="76"/>
      <c r="C38" s="47" t="s">
        <v>151</v>
      </c>
      <c r="D38" s="46">
        <v>3</v>
      </c>
      <c r="E38" s="45">
        <v>2.564102564102564E-2</v>
      </c>
    </row>
    <row r="39" spans="2:5" ht="15" customHeight="1" x14ac:dyDescent="0.3">
      <c r="B39" s="77"/>
      <c r="C39" s="44" t="s">
        <v>17</v>
      </c>
      <c r="D39" s="43">
        <v>7</v>
      </c>
      <c r="E39" s="42">
        <v>5.9829059829059832E-2</v>
      </c>
    </row>
    <row r="40" spans="2:5" ht="15" customHeight="1" x14ac:dyDescent="0.3">
      <c r="B40" s="75" t="s">
        <v>41</v>
      </c>
      <c r="C40" s="47" t="s">
        <v>152</v>
      </c>
      <c r="D40" s="46">
        <v>8</v>
      </c>
      <c r="E40" s="45">
        <v>6.8376068376068383E-2</v>
      </c>
    </row>
    <row r="41" spans="2:5" ht="15" customHeight="1" x14ac:dyDescent="0.3">
      <c r="B41" s="76"/>
      <c r="C41" s="47" t="s">
        <v>151</v>
      </c>
      <c r="D41" s="46">
        <v>6</v>
      </c>
      <c r="E41" s="45">
        <v>5.128205128205128E-2</v>
      </c>
    </row>
    <row r="42" spans="2:5" ht="15" customHeight="1" x14ac:dyDescent="0.3">
      <c r="B42" s="77"/>
      <c r="C42" s="44" t="s">
        <v>17</v>
      </c>
      <c r="D42" s="43">
        <v>14</v>
      </c>
      <c r="E42" s="42">
        <v>0.11965811965811966</v>
      </c>
    </row>
    <row r="43" spans="2:5" ht="15" customHeight="1" x14ac:dyDescent="0.3">
      <c r="B43" s="75" t="s">
        <v>36</v>
      </c>
      <c r="C43" s="47" t="s">
        <v>152</v>
      </c>
      <c r="D43" s="46">
        <v>5</v>
      </c>
      <c r="E43" s="45">
        <v>4.2735042735042736E-2</v>
      </c>
    </row>
    <row r="44" spans="2:5" ht="15" customHeight="1" x14ac:dyDescent="0.3">
      <c r="B44" s="76"/>
      <c r="C44" s="47" t="s">
        <v>151</v>
      </c>
      <c r="D44" s="46">
        <v>2</v>
      </c>
      <c r="E44" s="45">
        <v>1.7094017094017096E-2</v>
      </c>
    </row>
    <row r="45" spans="2:5" ht="15" customHeight="1" x14ac:dyDescent="0.3">
      <c r="B45" s="77"/>
      <c r="C45" s="44" t="s">
        <v>17</v>
      </c>
      <c r="D45" s="43">
        <v>7</v>
      </c>
      <c r="E45" s="42">
        <v>5.9829059829059832E-2</v>
      </c>
    </row>
    <row r="46" spans="2:5" ht="15" customHeight="1" x14ac:dyDescent="0.3">
      <c r="B46" s="75" t="s">
        <v>30</v>
      </c>
      <c r="C46" s="47" t="s">
        <v>152</v>
      </c>
      <c r="D46" s="46">
        <v>2</v>
      </c>
      <c r="E46" s="45">
        <v>1.7094017094017096E-2</v>
      </c>
    </row>
    <row r="47" spans="2:5" ht="15" customHeight="1" x14ac:dyDescent="0.3">
      <c r="B47" s="76"/>
      <c r="C47" s="47" t="s">
        <v>151</v>
      </c>
      <c r="D47" s="46">
        <v>1</v>
      </c>
      <c r="E47" s="45">
        <v>8.5470085470085479E-3</v>
      </c>
    </row>
    <row r="48" spans="2:5" ht="15" customHeight="1" x14ac:dyDescent="0.3">
      <c r="B48" s="77"/>
      <c r="C48" s="44" t="s">
        <v>17</v>
      </c>
      <c r="D48" s="43">
        <v>3</v>
      </c>
      <c r="E48" s="42">
        <v>2.564102564102564E-2</v>
      </c>
    </row>
    <row r="49" spans="2:5" ht="15" customHeight="1" x14ac:dyDescent="0.3">
      <c r="B49" s="75" t="s">
        <v>29</v>
      </c>
      <c r="C49" s="47" t="s">
        <v>152</v>
      </c>
      <c r="D49" s="46">
        <v>1</v>
      </c>
      <c r="E49" s="45">
        <v>8.5470085470085479E-3</v>
      </c>
    </row>
    <row r="50" spans="2:5" ht="15" customHeight="1" x14ac:dyDescent="0.3">
      <c r="B50" s="76"/>
      <c r="C50" s="47" t="s">
        <v>151</v>
      </c>
      <c r="D50" s="46">
        <v>2</v>
      </c>
      <c r="E50" s="45">
        <v>1.7094017094017096E-2</v>
      </c>
    </row>
    <row r="51" spans="2:5" ht="15" customHeight="1" x14ac:dyDescent="0.3">
      <c r="B51" s="77"/>
      <c r="C51" s="44" t="s">
        <v>17</v>
      </c>
      <c r="D51" s="43">
        <v>3</v>
      </c>
      <c r="E51" s="42">
        <v>2.564102564102564E-2</v>
      </c>
    </row>
    <row r="52" spans="2:5" ht="15" customHeight="1" x14ac:dyDescent="0.3">
      <c r="B52" s="75" t="s">
        <v>39</v>
      </c>
      <c r="C52" s="47" t="s">
        <v>152</v>
      </c>
      <c r="D52" s="46">
        <v>9</v>
      </c>
      <c r="E52" s="45">
        <v>7.6923076923076927E-2</v>
      </c>
    </row>
    <row r="53" spans="2:5" ht="15" customHeight="1" x14ac:dyDescent="0.3">
      <c r="B53" s="76"/>
      <c r="C53" s="47" t="s">
        <v>151</v>
      </c>
      <c r="D53" s="46">
        <v>2</v>
      </c>
      <c r="E53" s="45">
        <v>1.7094017094017096E-2</v>
      </c>
    </row>
    <row r="54" spans="2:5" ht="15" customHeight="1" x14ac:dyDescent="0.3">
      <c r="B54" s="77"/>
      <c r="C54" s="44" t="s">
        <v>17</v>
      </c>
      <c r="D54" s="43">
        <v>11</v>
      </c>
      <c r="E54" s="42">
        <v>9.4017094017094016E-2</v>
      </c>
    </row>
    <row r="55" spans="2:5" ht="15" customHeight="1" x14ac:dyDescent="0.3">
      <c r="B55" s="75" t="s">
        <v>26</v>
      </c>
      <c r="C55" s="47" t="s">
        <v>152</v>
      </c>
      <c r="D55" s="46">
        <v>1</v>
      </c>
      <c r="E55" s="45">
        <v>8.5470085470085479E-3</v>
      </c>
    </row>
    <row r="56" spans="2:5" ht="15" customHeight="1" x14ac:dyDescent="0.3">
      <c r="B56" s="76"/>
      <c r="C56" s="47" t="s">
        <v>151</v>
      </c>
      <c r="D56" s="46">
        <v>1</v>
      </c>
      <c r="E56" s="45">
        <v>8.5470085470085479E-3</v>
      </c>
    </row>
    <row r="57" spans="2:5" ht="15" customHeight="1" x14ac:dyDescent="0.3">
      <c r="B57" s="77"/>
      <c r="C57" s="44" t="s">
        <v>17</v>
      </c>
      <c r="D57" s="43">
        <v>2</v>
      </c>
      <c r="E57" s="42">
        <v>1.7094017094017096E-2</v>
      </c>
    </row>
    <row r="58" spans="2:5" ht="15" customHeight="1" x14ac:dyDescent="0.3">
      <c r="B58" s="76" t="s">
        <v>20</v>
      </c>
      <c r="C58" s="47" t="s">
        <v>151</v>
      </c>
      <c r="D58" s="46">
        <v>1</v>
      </c>
      <c r="E58" s="45">
        <v>8.5470085470085479E-3</v>
      </c>
    </row>
    <row r="59" spans="2:5" ht="15" customHeight="1" x14ac:dyDescent="0.3">
      <c r="B59" s="77"/>
      <c r="C59" s="44" t="s">
        <v>17</v>
      </c>
      <c r="D59" s="43">
        <v>1</v>
      </c>
      <c r="E59" s="42">
        <v>8.5470085470085479E-3</v>
      </c>
    </row>
    <row r="60" spans="2:5" ht="15" customHeight="1" x14ac:dyDescent="0.3">
      <c r="B60" s="75" t="s">
        <v>25</v>
      </c>
      <c r="C60" s="47" t="s">
        <v>152</v>
      </c>
      <c r="D60" s="46">
        <v>2</v>
      </c>
      <c r="E60" s="45">
        <v>1.7094017094017096E-2</v>
      </c>
    </row>
    <row r="61" spans="2:5" ht="15" customHeight="1" x14ac:dyDescent="0.3">
      <c r="B61" s="77"/>
      <c r="C61" s="44" t="s">
        <v>17</v>
      </c>
      <c r="D61" s="43">
        <v>2</v>
      </c>
      <c r="E61" s="42">
        <v>1.7094017094017096E-2</v>
      </c>
    </row>
    <row r="62" spans="2:5" ht="15" customHeight="1" x14ac:dyDescent="0.3">
      <c r="B62" s="76" t="s">
        <v>19</v>
      </c>
      <c r="C62" s="47" t="s">
        <v>151</v>
      </c>
      <c r="D62" s="46">
        <v>1</v>
      </c>
      <c r="E62" s="45">
        <v>8.5470085470085479E-3</v>
      </c>
    </row>
    <row r="63" spans="2:5" ht="15" customHeight="1" x14ac:dyDescent="0.3">
      <c r="B63" s="77"/>
      <c r="C63" s="44" t="s">
        <v>17</v>
      </c>
      <c r="D63" s="43">
        <v>1</v>
      </c>
      <c r="E63" s="42">
        <v>8.5470085470085479E-3</v>
      </c>
    </row>
    <row r="64" spans="2:5" ht="15" customHeight="1" x14ac:dyDescent="0.3">
      <c r="B64" s="75" t="s">
        <v>24</v>
      </c>
      <c r="C64" s="47" t="s">
        <v>152</v>
      </c>
      <c r="D64" s="46">
        <v>2</v>
      </c>
      <c r="E64" s="45">
        <v>1.7094017094017096E-2</v>
      </c>
    </row>
    <row r="65" spans="2:5" ht="15" customHeight="1" x14ac:dyDescent="0.3">
      <c r="B65" s="77"/>
      <c r="C65" s="44" t="s">
        <v>17</v>
      </c>
      <c r="D65" s="43">
        <v>2</v>
      </c>
      <c r="E65" s="42">
        <v>1.7094017094017096E-2</v>
      </c>
    </row>
    <row r="66" spans="2:5" ht="15" customHeight="1" x14ac:dyDescent="0.3">
      <c r="B66" s="75" t="s">
        <v>28</v>
      </c>
      <c r="C66" s="47" t="s">
        <v>152</v>
      </c>
      <c r="D66" s="46">
        <v>1</v>
      </c>
      <c r="E66" s="45">
        <v>8.5470085470085479E-3</v>
      </c>
    </row>
    <row r="67" spans="2:5" ht="15" customHeight="1" x14ac:dyDescent="0.3">
      <c r="B67" s="76"/>
      <c r="C67" s="47" t="s">
        <v>151</v>
      </c>
      <c r="D67" s="46">
        <v>2</v>
      </c>
      <c r="E67" s="45">
        <v>1.7094017094017096E-2</v>
      </c>
    </row>
    <row r="68" spans="2:5" ht="15" customHeight="1" x14ac:dyDescent="0.3">
      <c r="B68" s="77"/>
      <c r="C68" s="44" t="s">
        <v>17</v>
      </c>
      <c r="D68" s="43">
        <v>3</v>
      </c>
      <c r="E68" s="42">
        <v>2.564102564102564E-2</v>
      </c>
    </row>
    <row r="69" spans="2:5" ht="15" customHeight="1" x14ac:dyDescent="0.3">
      <c r="B69" s="75" t="s">
        <v>23</v>
      </c>
      <c r="C69" s="47" t="s">
        <v>152</v>
      </c>
      <c r="D69" s="46">
        <v>1</v>
      </c>
      <c r="E69" s="45">
        <v>8.5470085470085479E-3</v>
      </c>
    </row>
    <row r="70" spans="2:5" ht="15" customHeight="1" x14ac:dyDescent="0.3">
      <c r="B70" s="76"/>
      <c r="C70" s="47" t="s">
        <v>151</v>
      </c>
      <c r="D70" s="46">
        <v>1</v>
      </c>
      <c r="E70" s="45">
        <v>8.5470085470085479E-3</v>
      </c>
    </row>
    <row r="71" spans="2:5" ht="15" customHeight="1" x14ac:dyDescent="0.3">
      <c r="B71" s="77"/>
      <c r="C71" s="44" t="s">
        <v>17</v>
      </c>
      <c r="D71" s="43">
        <v>2</v>
      </c>
      <c r="E71" s="42">
        <v>1.7094017094017096E-2</v>
      </c>
    </row>
    <row r="72" spans="2:5" ht="15" customHeight="1" x14ac:dyDescent="0.3">
      <c r="B72" s="75" t="s">
        <v>32</v>
      </c>
      <c r="C72" s="47" t="s">
        <v>152</v>
      </c>
      <c r="D72" s="46">
        <v>2</v>
      </c>
      <c r="E72" s="45">
        <v>1.7094017094017096E-2</v>
      </c>
    </row>
    <row r="73" spans="2:5" ht="15" customHeight="1" x14ac:dyDescent="0.3">
      <c r="B73" s="76"/>
      <c r="C73" s="47" t="s">
        <v>151</v>
      </c>
      <c r="D73" s="46">
        <v>2</v>
      </c>
      <c r="E73" s="45">
        <v>1.7094017094017096E-2</v>
      </c>
    </row>
    <row r="74" spans="2:5" ht="15" customHeight="1" x14ac:dyDescent="0.3">
      <c r="B74" s="77"/>
      <c r="C74" s="44" t="s">
        <v>17</v>
      </c>
      <c r="D74" s="43">
        <v>4</v>
      </c>
      <c r="E74" s="42">
        <v>3.4188034188034191E-2</v>
      </c>
    </row>
    <row r="75" spans="2:5" ht="15" customHeight="1" x14ac:dyDescent="0.3">
      <c r="B75" s="76" t="s">
        <v>18</v>
      </c>
      <c r="C75" s="47" t="s">
        <v>151</v>
      </c>
      <c r="D75" s="46">
        <v>1</v>
      </c>
      <c r="E75" s="45">
        <v>8.5470085470085479E-3</v>
      </c>
    </row>
    <row r="76" spans="2:5" ht="15" customHeight="1" x14ac:dyDescent="0.3">
      <c r="B76" s="77"/>
      <c r="C76" s="44" t="s">
        <v>17</v>
      </c>
      <c r="D76" s="43">
        <v>1</v>
      </c>
      <c r="E76" s="42">
        <v>8.5470085470085479E-3</v>
      </c>
    </row>
    <row r="77" spans="2:5" ht="15" customHeight="1" x14ac:dyDescent="0.3">
      <c r="B77" s="81" t="s">
        <v>17</v>
      </c>
      <c r="C77" s="82"/>
      <c r="D77" s="41">
        <f>SUMIF(C10:C76,"TOTAL",D10:D76)</f>
        <v>117</v>
      </c>
      <c r="E77" s="40">
        <v>1</v>
      </c>
    </row>
    <row r="79" spans="2:5" ht="15" customHeight="1" x14ac:dyDescent="0.3">
      <c r="B79" s="19" t="s">
        <v>16</v>
      </c>
    </row>
    <row r="80" spans="2:5" ht="15" customHeight="1" x14ac:dyDescent="0.3">
      <c r="B80" s="21" t="s">
        <v>15</v>
      </c>
    </row>
    <row r="81" spans="2:2" ht="15" customHeight="1" x14ac:dyDescent="0.3">
      <c r="B81" s="20" t="s">
        <v>14</v>
      </c>
    </row>
    <row r="82" spans="2:2" ht="15" customHeight="1" x14ac:dyDescent="0.3">
      <c r="B82" s="19" t="s">
        <v>13</v>
      </c>
    </row>
    <row r="83" spans="2:2" ht="15" customHeight="1" x14ac:dyDescent="0.3">
      <c r="B83" s="19" t="s">
        <v>12</v>
      </c>
    </row>
    <row r="456" spans="2:2" s="37" customFormat="1" ht="15" customHeight="1" x14ac:dyDescent="0.3">
      <c r="B456" s="38"/>
    </row>
    <row r="457" spans="2:2" s="37" customFormat="1" ht="15" customHeight="1" x14ac:dyDescent="0.3">
      <c r="B457" s="39"/>
    </row>
    <row r="458" spans="2:2" s="37" customFormat="1" ht="15" customHeight="1" x14ac:dyDescent="0.3">
      <c r="B458" s="39"/>
    </row>
    <row r="459" spans="2:2" s="37" customFormat="1" ht="15" customHeight="1" x14ac:dyDescent="0.3">
      <c r="B459" s="38"/>
    </row>
    <row r="460" spans="2:2" s="37" customFormat="1" ht="15" customHeight="1" x14ac:dyDescent="0.3">
      <c r="B460" s="38"/>
    </row>
  </sheetData>
  <mergeCells count="27">
    <mergeCell ref="B7:E8"/>
    <mergeCell ref="B10:B11"/>
    <mergeCell ref="B12:B14"/>
    <mergeCell ref="B15:B16"/>
    <mergeCell ref="B28:B30"/>
    <mergeCell ref="B31:B33"/>
    <mergeCell ref="B34:B36"/>
    <mergeCell ref="B37:B39"/>
    <mergeCell ref="B17:B18"/>
    <mergeCell ref="B19:B21"/>
    <mergeCell ref="B22:B24"/>
    <mergeCell ref="B25:B27"/>
    <mergeCell ref="B52:B54"/>
    <mergeCell ref="B55:B57"/>
    <mergeCell ref="B58:B59"/>
    <mergeCell ref="B60:B61"/>
    <mergeCell ref="B72:B74"/>
    <mergeCell ref="B40:B42"/>
    <mergeCell ref="B43:B45"/>
    <mergeCell ref="B46:B48"/>
    <mergeCell ref="B49:B51"/>
    <mergeCell ref="B75:B76"/>
    <mergeCell ref="B77:C77"/>
    <mergeCell ref="B62:B63"/>
    <mergeCell ref="B64:B65"/>
    <mergeCell ref="B66:B68"/>
    <mergeCell ref="B69:B7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39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10" zoomScale="145" zoomScaleNormal="145" zoomScaleSheetLayoutView="100" workbookViewId="0"/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5" customFormat="1" ht="12" customHeight="1" x14ac:dyDescent="0.2">
      <c r="B1" s="59"/>
      <c r="C1" s="58"/>
      <c r="D1" s="58"/>
      <c r="E1" s="58"/>
    </row>
    <row r="2" spans="1:5" s="55" customFormat="1" ht="15" customHeight="1" x14ac:dyDescent="0.2">
      <c r="C2" s="57"/>
    </row>
    <row r="3" spans="1:5" s="55" customFormat="1" ht="15" customHeight="1" x14ac:dyDescent="0.2">
      <c r="C3" s="57"/>
    </row>
    <row r="4" spans="1:5" s="55" customFormat="1" ht="30" customHeight="1" x14ac:dyDescent="0.2">
      <c r="C4" s="57"/>
      <c r="D4" s="56"/>
    </row>
    <row r="5" spans="1:5" s="55" customFormat="1" ht="15" customHeight="1" x14ac:dyDescent="0.2">
      <c r="C5" s="57"/>
      <c r="D5" s="56"/>
    </row>
    <row r="6" spans="1:5" s="52" customFormat="1" ht="24" customHeight="1" x14ac:dyDescent="0.2">
      <c r="B6" s="54"/>
      <c r="C6" s="48"/>
      <c r="D6" s="48"/>
      <c r="E6" s="48"/>
    </row>
    <row r="7" spans="1:5" s="52" customFormat="1" ht="26.25" customHeight="1" x14ac:dyDescent="0.25">
      <c r="A7" s="53"/>
      <c r="B7" s="80"/>
      <c r="C7" s="80"/>
      <c r="D7" s="80"/>
      <c r="E7" s="80"/>
    </row>
    <row r="8" spans="1:5" s="52" customFormat="1" ht="33" customHeight="1" x14ac:dyDescent="0.25">
      <c r="A8" s="53"/>
      <c r="B8" s="80"/>
      <c r="C8" s="80"/>
      <c r="D8" s="80"/>
      <c r="E8" s="80"/>
    </row>
    <row r="9" spans="1:5" s="29" customFormat="1" ht="40.5" customHeight="1" x14ac:dyDescent="0.2">
      <c r="B9" s="49" t="s">
        <v>149</v>
      </c>
      <c r="C9" s="51" t="s">
        <v>160</v>
      </c>
      <c r="D9" s="50" t="s">
        <v>44</v>
      </c>
      <c r="E9" s="49" t="s">
        <v>43</v>
      </c>
    </row>
    <row r="10" spans="1:5" ht="15" customHeight="1" x14ac:dyDescent="0.3">
      <c r="B10" s="75" t="s">
        <v>152</v>
      </c>
      <c r="C10" s="47" t="s">
        <v>159</v>
      </c>
      <c r="D10" s="46">
        <v>1</v>
      </c>
      <c r="E10" s="45">
        <v>8.5470085470085479E-3</v>
      </c>
    </row>
    <row r="11" spans="1:5" ht="15" customHeight="1" x14ac:dyDescent="0.3">
      <c r="B11" s="76"/>
      <c r="C11" s="47" t="s">
        <v>158</v>
      </c>
      <c r="D11" s="46">
        <v>2</v>
      </c>
      <c r="E11" s="45">
        <v>1.7094017094017096E-2</v>
      </c>
    </row>
    <row r="12" spans="1:5" ht="15" customHeight="1" x14ac:dyDescent="0.3">
      <c r="B12" s="76"/>
      <c r="C12" s="47" t="s">
        <v>157</v>
      </c>
      <c r="D12" s="46">
        <v>15</v>
      </c>
      <c r="E12" s="45">
        <v>0.12820512820512819</v>
      </c>
    </row>
    <row r="13" spans="1:5" ht="15" customHeight="1" x14ac:dyDescent="0.3">
      <c r="B13" s="76"/>
      <c r="C13" s="47" t="s">
        <v>156</v>
      </c>
      <c r="D13" s="46">
        <v>29</v>
      </c>
      <c r="E13" s="45">
        <v>0.24786324786324787</v>
      </c>
    </row>
    <row r="14" spans="1:5" ht="15" customHeight="1" x14ac:dyDescent="0.3">
      <c r="B14" s="76"/>
      <c r="C14" s="47" t="s">
        <v>155</v>
      </c>
      <c r="D14" s="46">
        <v>18</v>
      </c>
      <c r="E14" s="45">
        <v>0.15384615384615385</v>
      </c>
    </row>
    <row r="15" spans="1:5" s="48" customFormat="1" ht="15" customHeight="1" x14ac:dyDescent="0.2">
      <c r="B15" s="77"/>
      <c r="C15" s="47" t="s">
        <v>154</v>
      </c>
      <c r="D15" s="46">
        <v>7</v>
      </c>
      <c r="E15" s="45">
        <v>5.9829059829059832E-2</v>
      </c>
    </row>
    <row r="16" spans="1:5" s="48" customFormat="1" ht="15" customHeight="1" x14ac:dyDescent="0.2">
      <c r="B16" s="75" t="s">
        <v>151</v>
      </c>
      <c r="C16" s="47" t="s">
        <v>158</v>
      </c>
      <c r="D16" s="46">
        <v>2</v>
      </c>
      <c r="E16" s="45">
        <v>1.7094017094017096E-2</v>
      </c>
    </row>
    <row r="17" spans="2:5" s="48" customFormat="1" ht="15" customHeight="1" x14ac:dyDescent="0.2">
      <c r="B17" s="76"/>
      <c r="C17" s="47" t="s">
        <v>157</v>
      </c>
      <c r="D17" s="46">
        <v>5</v>
      </c>
      <c r="E17" s="45">
        <v>4.2735042735042736E-2</v>
      </c>
    </row>
    <row r="18" spans="2:5" s="48" customFormat="1" ht="15" customHeight="1" x14ac:dyDescent="0.2">
      <c r="B18" s="76"/>
      <c r="C18" s="47" t="s">
        <v>156</v>
      </c>
      <c r="D18" s="46">
        <v>16</v>
      </c>
      <c r="E18" s="45">
        <v>0.13675213675213677</v>
      </c>
    </row>
    <row r="19" spans="2:5" s="48" customFormat="1" ht="15" customHeight="1" x14ac:dyDescent="0.2">
      <c r="B19" s="76"/>
      <c r="C19" s="47" t="s">
        <v>155</v>
      </c>
      <c r="D19" s="46">
        <v>14</v>
      </c>
      <c r="E19" s="45">
        <v>0.11965811965811966</v>
      </c>
    </row>
    <row r="20" spans="2:5" ht="15" customHeight="1" x14ac:dyDescent="0.3">
      <c r="B20" s="76"/>
      <c r="C20" s="47" t="s">
        <v>154</v>
      </c>
      <c r="D20" s="46">
        <v>7</v>
      </c>
      <c r="E20" s="45">
        <v>5.9829059829059832E-2</v>
      </c>
    </row>
    <row r="21" spans="2:5" ht="15" customHeight="1" x14ac:dyDescent="0.3">
      <c r="B21" s="77"/>
      <c r="C21" s="47" t="s">
        <v>153</v>
      </c>
      <c r="D21" s="46">
        <v>1</v>
      </c>
      <c r="E21" s="45">
        <v>8.5470085470085479E-3</v>
      </c>
    </row>
    <row r="22" spans="2:5" ht="15" customHeight="1" x14ac:dyDescent="0.3">
      <c r="B22" s="81" t="s">
        <v>17</v>
      </c>
      <c r="C22" s="82"/>
      <c r="D22" s="41">
        <v>117</v>
      </c>
      <c r="E22" s="40">
        <v>1</v>
      </c>
    </row>
    <row r="24" spans="2:5" ht="15" customHeight="1" x14ac:dyDescent="0.3">
      <c r="B24" s="19" t="s">
        <v>16</v>
      </c>
    </row>
    <row r="25" spans="2:5" ht="15" customHeight="1" x14ac:dyDescent="0.3">
      <c r="B25" s="21" t="s">
        <v>15</v>
      </c>
    </row>
    <row r="26" spans="2:5" ht="15" customHeight="1" x14ac:dyDescent="0.3">
      <c r="B26" s="20" t="s">
        <v>14</v>
      </c>
    </row>
    <row r="27" spans="2:5" ht="15" customHeight="1" x14ac:dyDescent="0.3">
      <c r="B27" s="19" t="s">
        <v>13</v>
      </c>
    </row>
    <row r="28" spans="2:5" ht="15" customHeight="1" x14ac:dyDescent="0.3">
      <c r="B28" s="19" t="s">
        <v>12</v>
      </c>
    </row>
    <row r="485" spans="2:2" s="37" customFormat="1" ht="15" customHeight="1" x14ac:dyDescent="0.3">
      <c r="B485" s="38"/>
    </row>
    <row r="486" spans="2:2" s="37" customFormat="1" ht="15" customHeight="1" x14ac:dyDescent="0.3">
      <c r="B486" s="39"/>
    </row>
    <row r="487" spans="2:2" s="37" customFormat="1" ht="15" customHeight="1" x14ac:dyDescent="0.3">
      <c r="B487" s="39"/>
    </row>
    <row r="488" spans="2:2" s="37" customFormat="1" ht="15" customHeight="1" x14ac:dyDescent="0.3">
      <c r="B488" s="38"/>
    </row>
    <row r="489" spans="2:2" s="37" customFormat="1" ht="15" customHeight="1" x14ac:dyDescent="0.3">
      <c r="B489" s="38"/>
    </row>
  </sheetData>
  <mergeCells count="4">
    <mergeCell ref="B7:E8"/>
    <mergeCell ref="B10:B15"/>
    <mergeCell ref="B16:B21"/>
    <mergeCell ref="B22:C2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28"/>
  <sheetViews>
    <sheetView showGridLines="0" tabSelected="1" zoomScaleNormal="100" zoomScaleSheetLayoutView="115" workbookViewId="0"/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172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171</v>
      </c>
      <c r="C11" s="31" t="s">
        <v>44</v>
      </c>
      <c r="D11" s="30" t="s">
        <v>43</v>
      </c>
    </row>
    <row r="12" spans="2:4" ht="15" customHeight="1" x14ac:dyDescent="0.3">
      <c r="B12" s="27" t="s">
        <v>170</v>
      </c>
      <c r="C12" s="26">
        <v>71</v>
      </c>
      <c r="D12" s="25">
        <v>0.60683760683760679</v>
      </c>
    </row>
    <row r="13" spans="2:4" x14ac:dyDescent="0.3">
      <c r="B13" s="27" t="s">
        <v>169</v>
      </c>
      <c r="C13" s="26">
        <v>28</v>
      </c>
      <c r="D13" s="25">
        <v>0.23931623931623933</v>
      </c>
    </row>
    <row r="14" spans="2:4" s="28" customFormat="1" ht="15" x14ac:dyDescent="0.3">
      <c r="B14" s="27" t="s">
        <v>168</v>
      </c>
      <c r="C14" s="26">
        <v>6</v>
      </c>
      <c r="D14" s="25">
        <v>5.128205128205128E-2</v>
      </c>
    </row>
    <row r="15" spans="2:4" s="28" customFormat="1" ht="15" x14ac:dyDescent="0.3">
      <c r="B15" s="27" t="s">
        <v>167</v>
      </c>
      <c r="C15" s="26">
        <v>5</v>
      </c>
      <c r="D15" s="25">
        <v>4.2735042735042736E-2</v>
      </c>
    </row>
    <row r="16" spans="2:4" x14ac:dyDescent="0.3">
      <c r="B16" s="27" t="s">
        <v>166</v>
      </c>
      <c r="C16" s="26">
        <v>2</v>
      </c>
      <c r="D16" s="25">
        <v>1.7094017094017096E-2</v>
      </c>
    </row>
    <row r="17" spans="2:4" x14ac:dyDescent="0.3">
      <c r="B17" s="27" t="s">
        <v>165</v>
      </c>
      <c r="C17" s="26">
        <v>1</v>
      </c>
      <c r="D17" s="25">
        <v>8.5470085470085479E-3</v>
      </c>
    </row>
    <row r="18" spans="2:4" x14ac:dyDescent="0.3">
      <c r="B18" s="27" t="s">
        <v>164</v>
      </c>
      <c r="C18" s="26">
        <v>1</v>
      </c>
      <c r="D18" s="25">
        <v>8.5470085470085479E-3</v>
      </c>
    </row>
    <row r="19" spans="2:4" x14ac:dyDescent="0.3">
      <c r="B19" s="27" t="s">
        <v>163</v>
      </c>
      <c r="C19" s="26">
        <v>1</v>
      </c>
      <c r="D19" s="25">
        <v>8.5470085470085479E-3</v>
      </c>
    </row>
    <row r="20" spans="2:4" x14ac:dyDescent="0.3">
      <c r="B20" s="27" t="s">
        <v>162</v>
      </c>
      <c r="C20" s="26">
        <v>1</v>
      </c>
      <c r="D20" s="25">
        <v>8.5470085470085479E-3</v>
      </c>
    </row>
    <row r="21" spans="2:4" x14ac:dyDescent="0.3">
      <c r="B21" s="27" t="s">
        <v>161</v>
      </c>
      <c r="C21" s="26">
        <v>1</v>
      </c>
      <c r="D21" s="25">
        <v>8.5470085470085479E-3</v>
      </c>
    </row>
    <row r="22" spans="2:4" x14ac:dyDescent="0.3">
      <c r="B22" s="24" t="s">
        <v>17</v>
      </c>
      <c r="C22" s="23">
        <v>117</v>
      </c>
      <c r="D22" s="22">
        <v>1</v>
      </c>
    </row>
    <row r="24" spans="2:4" x14ac:dyDescent="0.3">
      <c r="B24" s="19" t="s">
        <v>16</v>
      </c>
    </row>
    <row r="25" spans="2:4" x14ac:dyDescent="0.3">
      <c r="B25" s="21" t="s">
        <v>15</v>
      </c>
    </row>
    <row r="26" spans="2:4" x14ac:dyDescent="0.3">
      <c r="B26" s="20" t="s">
        <v>14</v>
      </c>
    </row>
    <row r="27" spans="2:4" x14ac:dyDescent="0.3">
      <c r="B27" s="19" t="s">
        <v>13</v>
      </c>
    </row>
    <row r="28" spans="2:4" x14ac:dyDescent="0.3">
      <c r="B28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North Dakota_Edomexgral</vt:lpstr>
      <vt:lpstr>North Dakota_EDOMEX</vt:lpstr>
      <vt:lpstr>North Dakota_Educagral</vt:lpstr>
      <vt:lpstr>North Dakota_Eduedo </vt:lpstr>
      <vt:lpstr>North Dakota_gengral</vt:lpstr>
      <vt:lpstr>North Dakota_edomexgen</vt:lpstr>
      <vt:lpstr>North Dakota_edadgen</vt:lpstr>
      <vt:lpstr>North Dakota_ocupgral</vt:lpstr>
      <vt:lpstr>'North Dakota_edadgen'!Área_de_impresión</vt:lpstr>
      <vt:lpstr>'North Dakota_EDOMEX'!Área_de_impresión</vt:lpstr>
      <vt:lpstr>'North Dakota_edomexgen'!Área_de_impresión</vt:lpstr>
      <vt:lpstr>'North Dakota_Eduedo '!Área_de_impresión</vt:lpstr>
      <vt:lpstr>'North Dakota_edadgen'!Títulos_a_imprimir</vt:lpstr>
      <vt:lpstr>'North Dakota_EDOMEX'!Títulos_a_imprimir</vt:lpstr>
      <vt:lpstr>'North Dakota_edomexgen'!Títulos_a_imprimir</vt:lpstr>
      <vt:lpstr>'North Dakota_Edomexgral'!Títulos_a_imprimir</vt:lpstr>
      <vt:lpstr>'North Dakota_Educagral'!Títulos_a_imprimir</vt:lpstr>
      <vt:lpstr>'North Dakota_Eduedo '!Títulos_a_imprimir</vt:lpstr>
      <vt:lpstr>'North Dakota_gengral'!Títulos_a_imprimir</vt:lpstr>
      <vt:lpstr>'North Dakota_ocupgral'!Títulos_a_imprimir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2020-05-15T19:50:27Z</dcterms:created>
  <dcterms:modified xsi:type="dcterms:W3CDTF">2020-08-07T18:17:11Z</dcterms:modified>
</cp:coreProperties>
</file>