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5" activeTab="8"/>
  </bookViews>
  <sheets>
    <sheet name="Índice" sheetId="10" r:id="rId1"/>
    <sheet name="Rhode Island_Edomexgral" sheetId="2" r:id="rId2"/>
    <sheet name="Rhode Island_EDOMEX" sheetId="12" r:id="rId3"/>
    <sheet name="Rhode Island_Educagral" sheetId="4" r:id="rId4"/>
    <sheet name="Rhode Island_Eduedo" sheetId="11" r:id="rId5"/>
    <sheet name="Rhode Island_gengral" sheetId="6" r:id="rId6"/>
    <sheet name="Rhode Island_edomexgen" sheetId="7" r:id="rId7"/>
    <sheet name="Rhode Island_edadgen" sheetId="8" r:id="rId8"/>
    <sheet name="Rhode Island_ocupgral" sheetId="9" r:id="rId9"/>
  </sheets>
  <definedNames>
    <definedName name="_xlnm._FilterDatabase" localSheetId="7" hidden="1">'Rhode Island_edadgen'!$B$9:$E$13</definedName>
    <definedName name="_xlnm._FilterDatabase" localSheetId="2" hidden="1">'Rhode Island_EDOMEX'!$B$9:$E$13</definedName>
    <definedName name="_xlnm._FilterDatabase" localSheetId="6" hidden="1">'Rhode Island_edomexgen'!$B$9:$E$11</definedName>
    <definedName name="_xlnm._FilterDatabase" localSheetId="1" hidden="1">'Rhode Island_Edomexgral'!$B$11:$D$12</definedName>
    <definedName name="_xlnm._FilterDatabase" localSheetId="3" hidden="1">'Rhode Island_Educagral'!$B$11:$D$12</definedName>
    <definedName name="_xlnm._FilterDatabase" localSheetId="4" hidden="1">'Rhode Island_Eduedo'!$B$9:$E$13</definedName>
    <definedName name="_xlnm._FilterDatabase" localSheetId="5" hidden="1">'Rhode Island_gengral'!$B$11:$D$12</definedName>
    <definedName name="_xlnm._FilterDatabase" localSheetId="8" hidden="1">'Rhode Island_ocupgral'!$B$11:$D$12</definedName>
    <definedName name="_xlnm.Print_Area" localSheetId="7">'Rhode Island_edadgen'!$A$1:$E$26</definedName>
    <definedName name="_xlnm.Print_Area" localSheetId="2">'Rhode Island_EDOMEX'!$A$1:$E$126</definedName>
    <definedName name="_xlnm.Print_Area" localSheetId="6">'Rhode Island_edomexgen'!$A$1:$E$74</definedName>
    <definedName name="_xlnm.Print_Area" localSheetId="4">'Rhode Island_Eduedo'!$A$1:$E$107</definedName>
    <definedName name="_xlnm.Print_Titles" localSheetId="7">'Rhode Island_edadgen'!$1:$9</definedName>
    <definedName name="_xlnm.Print_Titles" localSheetId="2">'Rhode Island_EDOMEX'!$1:$9</definedName>
    <definedName name="_xlnm.Print_Titles" localSheetId="6">'Rhode Island_edomexgen'!$1:$9</definedName>
    <definedName name="_xlnm.Print_Titles" localSheetId="1">'Rhode Island_Edomexgral'!$1:$11</definedName>
    <definedName name="_xlnm.Print_Titles" localSheetId="3">'Rhode Island_Educagral'!$1:$11</definedName>
    <definedName name="_xlnm.Print_Titles" localSheetId="4">'Rhode Island_Eduedo'!$1:$9</definedName>
    <definedName name="_xlnm.Print_Titles" localSheetId="5">'Rhode Island_gengral'!$1:$11</definedName>
    <definedName name="_xlnm.Print_Titles" localSheetId="8">'Rhode Island_ocupgral'!$1:$11</definedName>
  </definedNames>
  <calcPr calcId="152511"/>
</workbook>
</file>

<file path=xl/calcChain.xml><?xml version="1.0" encoding="utf-8"?>
<calcChain xmlns="http://schemas.openxmlformats.org/spreadsheetml/2006/main">
  <c r="D120" i="12" l="1"/>
  <c r="D68" i="7" l="1"/>
</calcChain>
</file>

<file path=xl/sharedStrings.xml><?xml version="1.0" encoding="utf-8"?>
<sst xmlns="http://schemas.openxmlformats.org/spreadsheetml/2006/main" count="468" uniqueCount="173">
  <si>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</si>
  <si>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</si>
  <si>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</si>
  <si>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</si>
  <si>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</si>
  <si>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</si>
  <si>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Zacatecas</t>
  </si>
  <si>
    <t>Yucatán</t>
  </si>
  <si>
    <t>Tabasco</t>
  </si>
  <si>
    <t>Sonora</t>
  </si>
  <si>
    <t>Nayarit</t>
  </si>
  <si>
    <t>Aguascalientes</t>
  </si>
  <si>
    <t>Nuevo León</t>
  </si>
  <si>
    <t>Guanajuato</t>
  </si>
  <si>
    <t>Tlaxcala</t>
  </si>
  <si>
    <t>Tamaulipas</t>
  </si>
  <si>
    <t>San Luis Potosí</t>
  </si>
  <si>
    <t>Oaxaca</t>
  </si>
  <si>
    <t>Jalisco</t>
  </si>
  <si>
    <t>Estado de México</t>
  </si>
  <si>
    <t>Querétaro</t>
  </si>
  <si>
    <t>Chiapas</t>
  </si>
  <si>
    <t>Michoacán</t>
  </si>
  <si>
    <t>Veracruz</t>
  </si>
  <si>
    <t>Puebla</t>
  </si>
  <si>
    <t>Ciudad de México</t>
  </si>
  <si>
    <t>Guerrero</t>
  </si>
  <si>
    <t>Hidalgo</t>
  </si>
  <si>
    <t>Porcentaje de Matrículas</t>
  </si>
  <si>
    <t>Número de Matrículas</t>
  </si>
  <si>
    <t>Estado de Origen</t>
  </si>
  <si>
    <t>MATRÍCULAS CONSULARES DE ALTA SEGURIDAD EXPEDIDAS EN EL ESTADO DE RHODE ISLAND EN EE.UU. POR ESTADO DE LA REPÚBLICA MEXICANA DURANTE EL 2019</t>
  </si>
  <si>
    <t>Ojocaliente</t>
  </si>
  <si>
    <t>Mérida</t>
  </si>
  <si>
    <t>Xalapa</t>
  </si>
  <si>
    <t>Playa Vicente</t>
  </si>
  <si>
    <t>Martínez de la Torre</t>
  </si>
  <si>
    <t>Juan Rodríguez Clara</t>
  </si>
  <si>
    <t>Huatusco</t>
  </si>
  <si>
    <t>Cuitláhuac</t>
  </si>
  <si>
    <t>Comapa</t>
  </si>
  <si>
    <t>Coatzacoalcos</t>
  </si>
  <si>
    <t>Zacatelco</t>
  </si>
  <si>
    <t>Tetlatlahuca</t>
  </si>
  <si>
    <t>Tampico</t>
  </si>
  <si>
    <t>Reynosa</t>
  </si>
  <si>
    <t>El Mante</t>
  </si>
  <si>
    <t>Cárdenas</t>
  </si>
  <si>
    <t>Cajeme</t>
  </si>
  <si>
    <t>Xilitla</t>
  </si>
  <si>
    <t>Ebano</t>
  </si>
  <si>
    <t>Ciudad Valles</t>
  </si>
  <si>
    <t>Landa de Matamoros</t>
  </si>
  <si>
    <t>Jalpan de Serra</t>
  </si>
  <si>
    <t>Huimilpan</t>
  </si>
  <si>
    <t>Zaragoza</t>
  </si>
  <si>
    <t>Xochitlán de Vicente Suárez</t>
  </si>
  <si>
    <t>Vicente Guerrero</t>
  </si>
  <si>
    <t>Tecomatlán</t>
  </si>
  <si>
    <t>Ocoyucan</t>
  </si>
  <si>
    <t>Izúcar de Matamoros</t>
  </si>
  <si>
    <t>Huaquechula</t>
  </si>
  <si>
    <t>Guadalupe Victoria</t>
  </si>
  <si>
    <t>Epatlán</t>
  </si>
  <si>
    <t>Chignahuapan</t>
  </si>
  <si>
    <t>Atlixco</t>
  </si>
  <si>
    <t>Santos Reyes Nopala</t>
  </si>
  <si>
    <t>Santiago Ihuitlán Plumas</t>
  </si>
  <si>
    <t>San Pedro y San Pablo Teposcolula</t>
  </si>
  <si>
    <t>Cosolapa</t>
  </si>
  <si>
    <t>San Nicolás de los Garza</t>
  </si>
  <si>
    <t>Monterrey</t>
  </si>
  <si>
    <t>Jala</t>
  </si>
  <si>
    <t>Tuzantla</t>
  </si>
  <si>
    <t>Morelia</t>
  </si>
  <si>
    <t>Unión de Tula</t>
  </si>
  <si>
    <t>Degollado</t>
  </si>
  <si>
    <t>Cuautitlán de García Barragán</t>
  </si>
  <si>
    <t>Tulancingo de Bravo</t>
  </si>
  <si>
    <t>Tlaxcoapan</t>
  </si>
  <si>
    <t>Tenango de Doria</t>
  </si>
  <si>
    <t>Pachuca de Soto</t>
  </si>
  <si>
    <t>Metztitlán</t>
  </si>
  <si>
    <t>Ixmiquilpan</t>
  </si>
  <si>
    <t>Huichapan</t>
  </si>
  <si>
    <t>Francisco I. Madero</t>
  </si>
  <si>
    <t>Chilcuautla</t>
  </si>
  <si>
    <t>Chapantongo</t>
  </si>
  <si>
    <t>Alfajayucan</t>
  </si>
  <si>
    <t>Tlapehuala</t>
  </si>
  <si>
    <t>Tecoanapa</t>
  </si>
  <si>
    <t>San Luis Acatlán</t>
  </si>
  <si>
    <t>Zihuatanejo de Azueta</t>
  </si>
  <si>
    <t>Coyuca de Catalán</t>
  </si>
  <si>
    <t>Azoyú</t>
  </si>
  <si>
    <t>Ayutla de los Libres</t>
  </si>
  <si>
    <t>Ahuacuotzingo</t>
  </si>
  <si>
    <t>Acapulco de Juárez</t>
  </si>
  <si>
    <t>Apaseo el Alto</t>
  </si>
  <si>
    <t>Tlalnepantla de Baz</t>
  </si>
  <si>
    <t>Nezahualcóyotl</t>
  </si>
  <si>
    <t>Ecatepec de Morelos</t>
  </si>
  <si>
    <t>Xochimilco</t>
  </si>
  <si>
    <t>Tlalpan</t>
  </si>
  <si>
    <t>Milpa Alta</t>
  </si>
  <si>
    <t>Iztapalapa</t>
  </si>
  <si>
    <t>Iztacalco</t>
  </si>
  <si>
    <t>Gustavo A. Madero</t>
  </si>
  <si>
    <t>Cuauhtémoc</t>
  </si>
  <si>
    <t>Benito Juárez</t>
  </si>
  <si>
    <t>Azcapotzalco</t>
  </si>
  <si>
    <t>Álvaro Obregón</t>
  </si>
  <si>
    <t>Tecpatán</t>
  </si>
  <si>
    <t>Reforma</t>
  </si>
  <si>
    <t>Mazapa de Madero</t>
  </si>
  <si>
    <t>Frontera Hidalgo</t>
  </si>
  <si>
    <t>Comitán de Domínguez</t>
  </si>
  <si>
    <t>Acacoyagua</t>
  </si>
  <si>
    <t>Municipio Origen</t>
  </si>
  <si>
    <t>Profesional Titulado</t>
  </si>
  <si>
    <t>Profesional pasante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</si>
  <si>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</si>
  <si>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</si>
  <si>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</si>
  <si>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</si>
  <si>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</si>
  <si>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</si>
  <si>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</si>
  <si>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</si>
  <si>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</si>
  <si>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</si>
  <si>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</si>
  <si>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</si>
  <si>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Sin Estudios</t>
  </si>
  <si>
    <t>Nivel de Estudios</t>
  </si>
  <si>
    <t>MATRÍCULAS CONSULARES EXPEDIDAS EN EL ESTADO DE RHODE ISLAND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</si>
  <si>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</si>
  <si>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</si>
  <si>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</si>
  <si>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</si>
  <si>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RHODE ISLAND, POR GÉNERO 2019</t>
  </si>
  <si>
    <t>Mujer</t>
  </si>
  <si>
    <t>Hombre</t>
  </si>
  <si>
    <t>Entre 50 y 65 Años</t>
  </si>
  <si>
    <t>Entre 40 y 49 Años</t>
  </si>
  <si>
    <t>Entre 29 y 39 Años</t>
  </si>
  <si>
    <t>Entre 18 y 28 Años</t>
  </si>
  <si>
    <t>Entre 66 y 75 Años</t>
  </si>
  <si>
    <t>Entre 11 y 17 Años</t>
  </si>
  <si>
    <t>Edad cumplida</t>
  </si>
  <si>
    <t>Otro</t>
  </si>
  <si>
    <t>Jubilado(a)</t>
  </si>
  <si>
    <t>Estudiante</t>
  </si>
  <si>
    <t>Obrero(a)</t>
  </si>
  <si>
    <t>Hogar</t>
  </si>
  <si>
    <t>Empleado(a)</t>
  </si>
  <si>
    <t>Ocupación</t>
  </si>
  <si>
    <t>MATRÍCULAS CONSULARES DE ALTA SEGURIDAD EXPEDIDAS EN EE.UU A MEXICANOS EN EL ESTADO DE  RHODE ISLAND, POR PERFIL OCUPACIONAL 2019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</si>
  <si>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</si>
  <si>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</si>
  <si>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</si>
  <si>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</si>
  <si>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</si>
  <si>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</si>
  <si>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</si>
  <si>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</si>
  <si>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</si>
  <si>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</si>
  <si>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</si>
  <si>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</si>
  <si>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Rhode Island  en el 2019</t>
  </si>
  <si>
    <t>Profesional titulado</t>
  </si>
  <si>
    <t>Capacitación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</si>
</sst>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84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4" fillId="0" borderId="0" xfId="0" applyFont="1" applyBorder="1"/>
    <xf numFmtId="0" fontId="14" fillId="0" borderId="0" xfId="0" applyFont="1" applyBorder="1" applyAlignment="1">
      <alignment vertical="top"/>
    </xf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5" fillId="3" borderId="1" xfId="2" applyNumberFormat="1" applyFont="1" applyFill="1" applyBorder="1" applyAlignment="1">
      <alignment horizontal="right" vertical="center" wrapText="1"/>
    </xf>
    <xf numFmtId="166" fontId="15" fillId="3" borderId="1" xfId="2" applyNumberFormat="1" applyFont="1" applyFill="1" applyBorder="1" applyAlignment="1">
      <alignment horizontal="right" vertical="center" wrapText="1"/>
    </xf>
    <xf numFmtId="49" fontId="15" fillId="3" borderId="1" xfId="2" applyNumberFormat="1" applyFont="1" applyFill="1" applyBorder="1" applyAlignment="1">
      <alignment vertical="center" wrapText="1"/>
    </xf>
    <xf numFmtId="0" fontId="16" fillId="3" borderId="0" xfId="0" applyFont="1" applyFill="1"/>
    <xf numFmtId="0" fontId="17" fillId="2" borderId="2" xfId="3" applyFont="1" applyFill="1" applyBorder="1" applyAlignment="1">
      <alignment horizontal="center" vertical="center" wrapText="1"/>
    </xf>
    <xf numFmtId="1" fontId="17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8" fillId="3" borderId="0" xfId="0" applyFont="1" applyFill="1" applyAlignment="1"/>
    <xf numFmtId="0" fontId="16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6" fillId="3" borderId="0" xfId="0" applyFont="1" applyFill="1" applyBorder="1"/>
    <xf numFmtId="0" fontId="16" fillId="3" borderId="0" xfId="0" applyFont="1" applyFill="1" applyBorder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justify" vertical="center"/>
    </xf>
    <xf numFmtId="3" fontId="8" fillId="3" borderId="0" xfId="0" applyNumberFormat="1" applyFont="1" applyFill="1"/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5" fillId="3" borderId="2" xfId="2" applyNumberFormat="1" applyFont="1" applyFill="1" applyBorder="1" applyAlignment="1">
      <alignment horizontal="center" vertical="center" wrapText="1"/>
    </xf>
    <xf numFmtId="49" fontId="15" fillId="3" borderId="7" xfId="2" applyNumberFormat="1" applyFont="1" applyFill="1" applyBorder="1" applyAlignment="1">
      <alignment horizontal="center" vertical="center" wrapText="1"/>
    </xf>
    <xf numFmtId="49" fontId="15" fillId="3" borderId="6" xfId="2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00396" y="743279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RHODE ISLAND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597776</xdr:colOff>
      <xdr:row>7</xdr:row>
      <xdr:rowOff>164224</xdr:rowOff>
    </xdr:from>
    <xdr:to>
      <xdr:col>4</xdr:col>
      <xdr:colOff>1109873</xdr:colOff>
      <xdr:row>7</xdr:row>
      <xdr:rowOff>354725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36451" y="1907299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942975</xdr:colOff>
      <xdr:row>8</xdr:row>
      <xdr:rowOff>228600</xdr:rowOff>
    </xdr:from>
    <xdr:to>
      <xdr:col>4</xdr:col>
      <xdr:colOff>273972</xdr:colOff>
      <xdr:row>9</xdr:row>
      <xdr:rowOff>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81550" y="19431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RHODE ISLAND,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124810</xdr:rowOff>
    </xdr:from>
    <xdr:to>
      <xdr:col>4</xdr:col>
      <xdr:colOff>1037614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304800</xdr:colOff>
      <xdr:row>8</xdr:row>
      <xdr:rowOff>85725</xdr:rowOff>
    </xdr:from>
    <xdr:to>
      <xdr:col>5</xdr:col>
      <xdr:colOff>197772</xdr:colOff>
      <xdr:row>8</xdr:row>
      <xdr:rowOff>276226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33925" y="18002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RHODE ISLAND,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650328</xdr:colOff>
      <xdr:row>7</xdr:row>
      <xdr:rowOff>105103</xdr:rowOff>
    </xdr:from>
    <xdr:to>
      <xdr:col>5</xdr:col>
      <xdr:colOff>39132</xdr:colOff>
      <xdr:row>7</xdr:row>
      <xdr:rowOff>295604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88018" y="1845879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RHODE ISLAND,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85396</xdr:rowOff>
    </xdr:from>
    <xdr:to>
      <xdr:col>4</xdr:col>
      <xdr:colOff>1083597</xdr:colOff>
      <xdr:row>7</xdr:row>
      <xdr:rowOff>275897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9190" y="182617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RHODE ISLAND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8</xdr:row>
      <xdr:rowOff>180975</xdr:rowOff>
    </xdr:from>
    <xdr:to>
      <xdr:col>5</xdr:col>
      <xdr:colOff>73947</xdr:colOff>
      <xdr:row>8</xdr:row>
      <xdr:rowOff>371476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0100" y="18954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topLeftCell="D2" zoomScaleNormal="100" zoomScaleSheetLayoutView="100" workbookViewId="0">
      <selection activeCell="I11" sqref="I11"/>
    </sheetView>
  </sheetViews>
  <sheetFormatPr baseColWidth="10" defaultColWidth="11.44140625" defaultRowHeight="16.8" x14ac:dyDescent="0.4"/>
  <cols>
    <col min="1" max="1" width="5.109375" style="47" customWidth="1"/>
    <col min="2" max="2" width="20" style="47" customWidth="1"/>
    <col min="3" max="3" width="24.6640625" style="47" customWidth="1"/>
    <col min="4" max="4" width="28.88671875" style="47" customWidth="1"/>
    <col min="5" max="16384" width="11.44140625" style="47"/>
  </cols>
  <sheetData>
    <row r="1" spans="1:4" ht="42" customHeight="1" thickBot="1" x14ac:dyDescent="0.45">
      <c r="A1" s="69" t="s">
        <v>170</v>
      </c>
      <c r="B1" s="70"/>
      <c r="C1" s="70"/>
      <c r="D1" s="71"/>
    </row>
    <row r="2" spans="1:4" ht="18" x14ac:dyDescent="0.4">
      <c r="A2" s="48"/>
      <c r="B2" s="49"/>
      <c r="C2" s="49"/>
      <c r="D2" s="50"/>
    </row>
    <row r="3" spans="1:4" x14ac:dyDescent="0.4">
      <c r="A3" s="72" t="s">
        <v>158</v>
      </c>
      <c r="B3" s="73"/>
      <c r="C3" s="73"/>
      <c r="D3" s="74"/>
    </row>
    <row r="4" spans="1:4" x14ac:dyDescent="0.4">
      <c r="A4" s="72"/>
      <c r="B4" s="73"/>
      <c r="C4" s="73"/>
      <c r="D4" s="74"/>
    </row>
    <row r="5" spans="1:4" ht="18" x14ac:dyDescent="0.4">
      <c r="A5" s="51"/>
      <c r="B5" s="52"/>
      <c r="C5" s="52"/>
      <c r="D5" s="53"/>
    </row>
    <row r="6" spans="1:4" ht="18" x14ac:dyDescent="0.4">
      <c r="A6" s="68" t="s">
        <v>159</v>
      </c>
      <c r="B6" s="66"/>
      <c r="C6" s="66"/>
      <c r="D6" s="67"/>
    </row>
    <row r="7" spans="1:4" ht="18" x14ac:dyDescent="0.4">
      <c r="A7" s="54"/>
      <c r="B7" s="55"/>
      <c r="C7" s="55"/>
      <c r="D7" s="56"/>
    </row>
    <row r="8" spans="1:4" ht="18" x14ac:dyDescent="0.4">
      <c r="A8" s="57" t="s">
        <v>160</v>
      </c>
      <c r="B8" s="58"/>
      <c r="C8" s="58"/>
      <c r="D8" s="59"/>
    </row>
    <row r="9" spans="1:4" ht="18" x14ac:dyDescent="0.4">
      <c r="A9" s="57"/>
      <c r="B9" s="66" t="s">
        <v>161</v>
      </c>
      <c r="C9" s="66"/>
      <c r="D9" s="67"/>
    </row>
    <row r="10" spans="1:4" ht="18" x14ac:dyDescent="0.4">
      <c r="A10" s="57" t="s">
        <v>162</v>
      </c>
      <c r="B10" s="58"/>
      <c r="C10" s="58"/>
      <c r="D10" s="59"/>
    </row>
    <row r="11" spans="1:4" ht="18" x14ac:dyDescent="0.4">
      <c r="A11" s="57"/>
      <c r="B11" s="66" t="s">
        <v>163</v>
      </c>
      <c r="C11" s="66"/>
      <c r="D11" s="67"/>
    </row>
    <row r="12" spans="1:4" ht="18" x14ac:dyDescent="0.4">
      <c r="A12" s="57"/>
      <c r="B12" s="66" t="s">
        <v>164</v>
      </c>
      <c r="C12" s="66"/>
      <c r="D12" s="67"/>
    </row>
    <row r="13" spans="1:4" ht="18" x14ac:dyDescent="0.4">
      <c r="A13" s="57"/>
      <c r="B13" s="58"/>
      <c r="C13" s="58"/>
      <c r="D13" s="59"/>
    </row>
    <row r="14" spans="1:4" ht="18" x14ac:dyDescent="0.4">
      <c r="A14" s="57" t="s">
        <v>165</v>
      </c>
      <c r="B14" s="58"/>
      <c r="C14" s="58"/>
      <c r="D14" s="59"/>
    </row>
    <row r="15" spans="1:4" ht="18" x14ac:dyDescent="0.4">
      <c r="A15" s="57"/>
      <c r="B15" s="66" t="s">
        <v>166</v>
      </c>
      <c r="C15" s="66"/>
      <c r="D15" s="67"/>
    </row>
    <row r="16" spans="1:4" ht="18" x14ac:dyDescent="0.4">
      <c r="A16" s="57"/>
      <c r="B16" s="66" t="s">
        <v>167</v>
      </c>
      <c r="C16" s="66"/>
      <c r="D16" s="67"/>
    </row>
    <row r="17" spans="1:4" ht="18" x14ac:dyDescent="0.4">
      <c r="A17" s="57"/>
      <c r="B17" s="58"/>
      <c r="C17" s="58"/>
      <c r="D17" s="59"/>
    </row>
    <row r="18" spans="1:4" ht="18" x14ac:dyDescent="0.4">
      <c r="A18" s="68" t="s">
        <v>168</v>
      </c>
      <c r="B18" s="66"/>
      <c r="C18" s="66"/>
      <c r="D18" s="67"/>
    </row>
    <row r="19" spans="1:4" ht="18" x14ac:dyDescent="0.4">
      <c r="A19" s="57"/>
      <c r="B19" s="58"/>
      <c r="C19" s="58"/>
      <c r="D19" s="59"/>
    </row>
    <row r="20" spans="1:4" ht="18" x14ac:dyDescent="0.4">
      <c r="A20" s="68" t="s">
        <v>169</v>
      </c>
      <c r="B20" s="66"/>
      <c r="C20" s="66"/>
      <c r="D20" s="67"/>
    </row>
    <row r="21" spans="1:4" ht="18.600000000000001" thickBot="1" x14ac:dyDescent="0.45">
      <c r="A21" s="60"/>
      <c r="B21" s="61"/>
      <c r="C21" s="61"/>
      <c r="D21" s="62"/>
    </row>
    <row r="22" spans="1:4" ht="18" x14ac:dyDescent="0.4">
      <c r="A22" s="63"/>
      <c r="B22" s="63"/>
      <c r="C22" s="63"/>
      <c r="D22" s="6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Rhode Island_Edomexgral'!A1" display="1. Por Estados de la República Mexicana"/>
    <hyperlink ref="B9" location="'New Jersey_EDOMEX'!A1" display="2.1 Por estado de la República Mexicana y municipio de origen"/>
    <hyperlink ref="B11:D11" location="'Rhode Island_Educagral'!A1" display="3.1 Educación general"/>
    <hyperlink ref="B12:D12" location="'Rhode Island_Eduedo'!A1" display="3.2 Por Estado de la República Mexicana"/>
    <hyperlink ref="B15:D15" location="'Rhode Island_gengral'!A1" display="4.1 Género General"/>
    <hyperlink ref="B16:D16" location="'Rhode Island_edomexgen'!A1" display="4.2 Por Estados de la República Mexicana"/>
    <hyperlink ref="A18:D18" location="'Rhode Island_edadgen'!A1" display="5. Por estructura de Edad"/>
    <hyperlink ref="A20:D20" location="'Rhode Island_ocupgral'!A1" display="6. Por Ocupación"/>
    <hyperlink ref="B9:D9" location="'Rhode Island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40"/>
  <sheetViews>
    <sheetView showGridLines="0" topLeftCell="A23" zoomScaleNormal="100" zoomScaleSheetLayoutView="115" workbookViewId="0">
      <selection activeCell="D44" sqref="D44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31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30</v>
      </c>
      <c r="C11" s="15" t="s">
        <v>29</v>
      </c>
      <c r="D11" s="14" t="s">
        <v>28</v>
      </c>
    </row>
    <row r="12" spans="2:4" ht="15" customHeight="1" x14ac:dyDescent="0.3">
      <c r="B12" s="11" t="s">
        <v>27</v>
      </c>
      <c r="C12" s="10">
        <v>37</v>
      </c>
      <c r="D12" s="9">
        <v>0.23125000000000001</v>
      </c>
    </row>
    <row r="13" spans="2:4" x14ac:dyDescent="0.3">
      <c r="B13" s="11" t="s">
        <v>26</v>
      </c>
      <c r="C13" s="10">
        <v>23</v>
      </c>
      <c r="D13" s="9">
        <v>0.14374999999999999</v>
      </c>
    </row>
    <row r="14" spans="2:4" s="12" customFormat="1" ht="15" x14ac:dyDescent="0.3">
      <c r="B14" s="11" t="s">
        <v>25</v>
      </c>
      <c r="C14" s="10">
        <v>21</v>
      </c>
      <c r="D14" s="9">
        <v>0.13125000000000001</v>
      </c>
    </row>
    <row r="15" spans="2:4" s="12" customFormat="1" ht="15" x14ac:dyDescent="0.3">
      <c r="B15" s="11" t="s">
        <v>24</v>
      </c>
      <c r="C15" s="10">
        <v>16</v>
      </c>
      <c r="D15" s="9">
        <v>0.1</v>
      </c>
    </row>
    <row r="16" spans="2:4" x14ac:dyDescent="0.3">
      <c r="B16" s="11" t="s">
        <v>23</v>
      </c>
      <c r="C16" s="10">
        <v>9</v>
      </c>
      <c r="D16" s="9">
        <v>5.6250000000000001E-2</v>
      </c>
    </row>
    <row r="17" spans="2:4" x14ac:dyDescent="0.3">
      <c r="B17" s="11" t="s">
        <v>22</v>
      </c>
      <c r="C17" s="10">
        <v>8</v>
      </c>
      <c r="D17" s="9">
        <v>0.05</v>
      </c>
    </row>
    <row r="18" spans="2:4" x14ac:dyDescent="0.3">
      <c r="B18" s="11" t="s">
        <v>21</v>
      </c>
      <c r="C18" s="10">
        <v>6</v>
      </c>
      <c r="D18" s="9">
        <v>3.7499999999999999E-2</v>
      </c>
    </row>
    <row r="19" spans="2:4" x14ac:dyDescent="0.3">
      <c r="B19" s="11" t="s">
        <v>20</v>
      </c>
      <c r="C19" s="10">
        <v>6</v>
      </c>
      <c r="D19" s="9">
        <v>3.7499999999999999E-2</v>
      </c>
    </row>
    <row r="20" spans="2:4" x14ac:dyDescent="0.3">
      <c r="B20" s="11" t="s">
        <v>19</v>
      </c>
      <c r="C20" s="10">
        <v>4</v>
      </c>
      <c r="D20" s="9">
        <v>2.5000000000000001E-2</v>
      </c>
    </row>
    <row r="21" spans="2:4" x14ac:dyDescent="0.3">
      <c r="B21" s="11" t="s">
        <v>18</v>
      </c>
      <c r="C21" s="10">
        <v>4</v>
      </c>
      <c r="D21" s="9">
        <v>2.5000000000000001E-2</v>
      </c>
    </row>
    <row r="22" spans="2:4" x14ac:dyDescent="0.3">
      <c r="B22" s="11" t="s">
        <v>17</v>
      </c>
      <c r="C22" s="10">
        <v>4</v>
      </c>
      <c r="D22" s="9">
        <v>2.5000000000000001E-2</v>
      </c>
    </row>
    <row r="23" spans="2:4" x14ac:dyDescent="0.3">
      <c r="B23" s="11" t="s">
        <v>16</v>
      </c>
      <c r="C23" s="10">
        <v>4</v>
      </c>
      <c r="D23" s="9">
        <v>2.5000000000000001E-2</v>
      </c>
    </row>
    <row r="24" spans="2:4" x14ac:dyDescent="0.3">
      <c r="B24" s="11" t="s">
        <v>15</v>
      </c>
      <c r="C24" s="10">
        <v>4</v>
      </c>
      <c r="D24" s="9">
        <v>2.5000000000000001E-2</v>
      </c>
    </row>
    <row r="25" spans="2:4" x14ac:dyDescent="0.3">
      <c r="B25" s="11" t="s">
        <v>14</v>
      </c>
      <c r="C25" s="10">
        <v>4</v>
      </c>
      <c r="D25" s="9">
        <v>2.5000000000000001E-2</v>
      </c>
    </row>
    <row r="26" spans="2:4" x14ac:dyDescent="0.3">
      <c r="B26" s="11" t="s">
        <v>13</v>
      </c>
      <c r="C26" s="10">
        <v>2</v>
      </c>
      <c r="D26" s="9">
        <v>1.2500000000000001E-2</v>
      </c>
    </row>
    <row r="27" spans="2:4" x14ac:dyDescent="0.3">
      <c r="B27" s="11" t="s">
        <v>12</v>
      </c>
      <c r="C27" s="10">
        <v>2</v>
      </c>
      <c r="D27" s="9">
        <v>1.2500000000000001E-2</v>
      </c>
    </row>
    <row r="28" spans="2:4" x14ac:dyDescent="0.3">
      <c r="B28" s="11" t="s">
        <v>11</v>
      </c>
      <c r="C28" s="10">
        <v>1</v>
      </c>
      <c r="D28" s="9">
        <v>6.2500000000000003E-3</v>
      </c>
    </row>
    <row r="29" spans="2:4" x14ac:dyDescent="0.3">
      <c r="B29" s="11" t="s">
        <v>10</v>
      </c>
      <c r="C29" s="10">
        <v>1</v>
      </c>
      <c r="D29" s="9">
        <v>6.2500000000000003E-3</v>
      </c>
    </row>
    <row r="30" spans="2:4" x14ac:dyDescent="0.3">
      <c r="B30" s="11" t="s">
        <v>9</v>
      </c>
      <c r="C30" s="10">
        <v>1</v>
      </c>
      <c r="D30" s="9">
        <v>6.2500000000000003E-3</v>
      </c>
    </row>
    <row r="31" spans="2:4" x14ac:dyDescent="0.3">
      <c r="B31" s="11" t="s">
        <v>8</v>
      </c>
      <c r="C31" s="10">
        <v>1</v>
      </c>
      <c r="D31" s="9">
        <v>6.2500000000000003E-3</v>
      </c>
    </row>
    <row r="32" spans="2:4" x14ac:dyDescent="0.3">
      <c r="B32" s="11" t="s">
        <v>7</v>
      </c>
      <c r="C32" s="10">
        <v>1</v>
      </c>
      <c r="D32" s="9">
        <v>6.2500000000000003E-3</v>
      </c>
    </row>
    <row r="33" spans="2:4" x14ac:dyDescent="0.3">
      <c r="B33" s="11" t="s">
        <v>6</v>
      </c>
      <c r="C33" s="10">
        <v>1</v>
      </c>
      <c r="D33" s="9">
        <v>6.2500000000000003E-3</v>
      </c>
    </row>
    <row r="34" spans="2:4" x14ac:dyDescent="0.3">
      <c r="B34" s="8" t="s">
        <v>5</v>
      </c>
      <c r="C34" s="7">
        <v>160</v>
      </c>
      <c r="D34" s="6">
        <v>1</v>
      </c>
    </row>
    <row r="36" spans="2:4" x14ac:dyDescent="0.3">
      <c r="B36" s="3" t="s">
        <v>4</v>
      </c>
    </row>
    <row r="37" spans="2:4" x14ac:dyDescent="0.3">
      <c r="B37" s="5" t="s">
        <v>3</v>
      </c>
    </row>
    <row r="38" spans="2:4" x14ac:dyDescent="0.3">
      <c r="B38" s="4" t="s">
        <v>2</v>
      </c>
    </row>
    <row r="39" spans="2:4" x14ac:dyDescent="0.3">
      <c r="B39" s="3" t="s">
        <v>1</v>
      </c>
    </row>
    <row r="40" spans="2:4" x14ac:dyDescent="0.3">
      <c r="B4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88"/>
  <sheetViews>
    <sheetView topLeftCell="A94" zoomScaleNormal="100" zoomScaleSheetLayoutView="100" workbookViewId="0">
      <selection activeCell="D120" sqref="D120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2"/>
      <c r="D6" s="32"/>
      <c r="E6" s="32"/>
    </row>
    <row r="7" spans="1:5" s="36" customFormat="1" ht="26.25" customHeight="1" x14ac:dyDescent="0.25">
      <c r="A7" s="37"/>
      <c r="B7" s="81"/>
      <c r="C7" s="81"/>
      <c r="D7" s="81"/>
      <c r="E7" s="81"/>
    </row>
    <row r="8" spans="1:5" s="36" customFormat="1" ht="33" customHeight="1" x14ac:dyDescent="0.25">
      <c r="A8" s="37"/>
      <c r="B8" s="81"/>
      <c r="C8" s="81"/>
      <c r="D8" s="81"/>
      <c r="E8" s="81"/>
    </row>
    <row r="9" spans="1:5" s="13" customFormat="1" ht="40.5" customHeight="1" x14ac:dyDescent="0.2">
      <c r="B9" s="33" t="s">
        <v>30</v>
      </c>
      <c r="C9" s="35" t="s">
        <v>118</v>
      </c>
      <c r="D9" s="34" t="s">
        <v>29</v>
      </c>
      <c r="E9" s="33" t="s">
        <v>28</v>
      </c>
    </row>
    <row r="10" spans="1:5" ht="15" customHeight="1" x14ac:dyDescent="0.3">
      <c r="B10" s="76" t="s">
        <v>11</v>
      </c>
      <c r="C10" s="31" t="s">
        <v>11</v>
      </c>
      <c r="D10" s="30">
        <v>1</v>
      </c>
      <c r="E10" s="29">
        <v>6.2500000000000003E-3</v>
      </c>
    </row>
    <row r="11" spans="1:5" ht="15" customHeight="1" x14ac:dyDescent="0.3">
      <c r="B11" s="78"/>
      <c r="C11" s="28" t="s">
        <v>5</v>
      </c>
      <c r="D11" s="27">
        <v>1</v>
      </c>
      <c r="E11" s="26">
        <v>6.2500000000000003E-3</v>
      </c>
    </row>
    <row r="12" spans="1:5" ht="15" customHeight="1" x14ac:dyDescent="0.3">
      <c r="B12" s="76" t="s">
        <v>21</v>
      </c>
      <c r="C12" s="31" t="s">
        <v>117</v>
      </c>
      <c r="D12" s="30">
        <v>1</v>
      </c>
      <c r="E12" s="29">
        <v>6.2500000000000003E-3</v>
      </c>
    </row>
    <row r="13" spans="1:5" ht="15" customHeight="1" x14ac:dyDescent="0.3">
      <c r="B13" s="77"/>
      <c r="C13" s="31" t="s">
        <v>116</v>
      </c>
      <c r="D13" s="30">
        <v>1</v>
      </c>
      <c r="E13" s="29">
        <v>6.2500000000000003E-3</v>
      </c>
    </row>
    <row r="14" spans="1:5" ht="15" customHeight="1" x14ac:dyDescent="0.3">
      <c r="B14" s="77"/>
      <c r="C14" s="31" t="s">
        <v>115</v>
      </c>
      <c r="D14" s="30">
        <v>1</v>
      </c>
      <c r="E14" s="29">
        <v>6.2500000000000003E-3</v>
      </c>
    </row>
    <row r="15" spans="1:5" s="32" customFormat="1" ht="15" customHeight="1" x14ac:dyDescent="0.2">
      <c r="B15" s="77"/>
      <c r="C15" s="31" t="s">
        <v>114</v>
      </c>
      <c r="D15" s="30">
        <v>1</v>
      </c>
      <c r="E15" s="29">
        <v>6.2500000000000003E-3</v>
      </c>
    </row>
    <row r="16" spans="1:5" s="32" customFormat="1" ht="15" customHeight="1" x14ac:dyDescent="0.2">
      <c r="B16" s="77"/>
      <c r="C16" s="31" t="s">
        <v>113</v>
      </c>
      <c r="D16" s="30">
        <v>1</v>
      </c>
      <c r="E16" s="29">
        <v>6.2500000000000003E-3</v>
      </c>
    </row>
    <row r="17" spans="2:5" s="32" customFormat="1" ht="15" customHeight="1" x14ac:dyDescent="0.2">
      <c r="B17" s="77"/>
      <c r="C17" s="31" t="s">
        <v>112</v>
      </c>
      <c r="D17" s="30">
        <v>1</v>
      </c>
      <c r="E17" s="29">
        <v>6.2500000000000003E-3</v>
      </c>
    </row>
    <row r="18" spans="2:5" s="32" customFormat="1" ht="15" customHeight="1" x14ac:dyDescent="0.2">
      <c r="B18" s="78"/>
      <c r="C18" s="28" t="s">
        <v>5</v>
      </c>
      <c r="D18" s="27">
        <v>6</v>
      </c>
      <c r="E18" s="26">
        <v>3.7499999999999999E-2</v>
      </c>
    </row>
    <row r="19" spans="2:5" s="32" customFormat="1" ht="15" customHeight="1" x14ac:dyDescent="0.2">
      <c r="B19" s="76" t="s">
        <v>25</v>
      </c>
      <c r="C19" s="31" t="s">
        <v>111</v>
      </c>
      <c r="D19" s="30">
        <v>3</v>
      </c>
      <c r="E19" s="29">
        <v>1.8749999999999999E-2</v>
      </c>
    </row>
    <row r="20" spans="2:5" ht="15" customHeight="1" x14ac:dyDescent="0.3">
      <c r="B20" s="77"/>
      <c r="C20" s="31" t="s">
        <v>110</v>
      </c>
      <c r="D20" s="30">
        <v>2</v>
      </c>
      <c r="E20" s="29">
        <v>1.2500000000000001E-2</v>
      </c>
    </row>
    <row r="21" spans="2:5" ht="15" customHeight="1" x14ac:dyDescent="0.3">
      <c r="B21" s="77"/>
      <c r="C21" s="31" t="s">
        <v>109</v>
      </c>
      <c r="D21" s="30">
        <v>1</v>
      </c>
      <c r="E21" s="29">
        <v>6.2500000000000003E-3</v>
      </c>
    </row>
    <row r="22" spans="2:5" ht="15" customHeight="1" x14ac:dyDescent="0.3">
      <c r="B22" s="77"/>
      <c r="C22" s="31" t="s">
        <v>108</v>
      </c>
      <c r="D22" s="30">
        <v>1</v>
      </c>
      <c r="E22" s="29">
        <v>6.2500000000000003E-3</v>
      </c>
    </row>
    <row r="23" spans="2:5" ht="15" customHeight="1" x14ac:dyDescent="0.3">
      <c r="B23" s="77"/>
      <c r="C23" s="31" t="s">
        <v>107</v>
      </c>
      <c r="D23" s="30">
        <v>1</v>
      </c>
      <c r="E23" s="29">
        <v>6.2500000000000003E-3</v>
      </c>
    </row>
    <row r="24" spans="2:5" ht="15" customHeight="1" x14ac:dyDescent="0.3">
      <c r="B24" s="77"/>
      <c r="C24" s="31" t="s">
        <v>106</v>
      </c>
      <c r="D24" s="30">
        <v>4</v>
      </c>
      <c r="E24" s="29">
        <v>2.5000000000000001E-2</v>
      </c>
    </row>
    <row r="25" spans="2:5" ht="15" customHeight="1" x14ac:dyDescent="0.3">
      <c r="B25" s="77"/>
      <c r="C25" s="31" t="s">
        <v>105</v>
      </c>
      <c r="D25" s="30">
        <v>6</v>
      </c>
      <c r="E25" s="29">
        <v>3.7499999999999999E-2</v>
      </c>
    </row>
    <row r="26" spans="2:5" ht="15" customHeight="1" x14ac:dyDescent="0.3">
      <c r="B26" s="77"/>
      <c r="C26" s="31" t="s">
        <v>104</v>
      </c>
      <c r="D26" s="30">
        <v>1</v>
      </c>
      <c r="E26" s="29">
        <v>6.2500000000000003E-3</v>
      </c>
    </row>
    <row r="27" spans="2:5" ht="15" customHeight="1" x14ac:dyDescent="0.3">
      <c r="B27" s="77"/>
      <c r="C27" s="31" t="s">
        <v>103</v>
      </c>
      <c r="D27" s="30">
        <v>1</v>
      </c>
      <c r="E27" s="29">
        <v>6.2500000000000003E-3</v>
      </c>
    </row>
    <row r="28" spans="2:5" ht="15" customHeight="1" x14ac:dyDescent="0.3">
      <c r="B28" s="77"/>
      <c r="C28" s="31" t="s">
        <v>102</v>
      </c>
      <c r="D28" s="30">
        <v>1</v>
      </c>
      <c r="E28" s="29">
        <v>6.2500000000000003E-3</v>
      </c>
    </row>
    <row r="29" spans="2:5" ht="15" customHeight="1" x14ac:dyDescent="0.3">
      <c r="B29" s="78"/>
      <c r="C29" s="28" t="s">
        <v>5</v>
      </c>
      <c r="D29" s="27">
        <v>21</v>
      </c>
      <c r="E29" s="26">
        <v>0.13125000000000001</v>
      </c>
    </row>
    <row r="30" spans="2:5" ht="15" customHeight="1" x14ac:dyDescent="0.3">
      <c r="B30" s="76" t="s">
        <v>19</v>
      </c>
      <c r="C30" s="31" t="s">
        <v>101</v>
      </c>
      <c r="D30" s="30">
        <v>1</v>
      </c>
      <c r="E30" s="29">
        <v>6.2500000000000003E-3</v>
      </c>
    </row>
    <row r="31" spans="2:5" ht="15" customHeight="1" x14ac:dyDescent="0.3">
      <c r="B31" s="77"/>
      <c r="C31" s="31" t="s">
        <v>100</v>
      </c>
      <c r="D31" s="30">
        <v>1</v>
      </c>
      <c r="E31" s="29">
        <v>6.2500000000000003E-3</v>
      </c>
    </row>
    <row r="32" spans="2:5" ht="15" customHeight="1" x14ac:dyDescent="0.3">
      <c r="B32" s="77"/>
      <c r="C32" s="31" t="s">
        <v>99</v>
      </c>
      <c r="D32" s="30">
        <v>2</v>
      </c>
      <c r="E32" s="29">
        <v>1.2500000000000001E-2</v>
      </c>
    </row>
    <row r="33" spans="2:5" ht="15" customHeight="1" x14ac:dyDescent="0.3">
      <c r="B33" s="78"/>
      <c r="C33" s="28" t="s">
        <v>5</v>
      </c>
      <c r="D33" s="27">
        <v>4</v>
      </c>
      <c r="E33" s="26">
        <v>2.5000000000000001E-2</v>
      </c>
    </row>
    <row r="34" spans="2:5" ht="15" customHeight="1" x14ac:dyDescent="0.3">
      <c r="B34" s="76" t="s">
        <v>13</v>
      </c>
      <c r="C34" s="31" t="s">
        <v>98</v>
      </c>
      <c r="D34" s="30">
        <v>2</v>
      </c>
      <c r="E34" s="29">
        <v>1.2500000000000001E-2</v>
      </c>
    </row>
    <row r="35" spans="2:5" ht="15" customHeight="1" x14ac:dyDescent="0.3">
      <c r="B35" s="78"/>
      <c r="C35" s="28" t="s">
        <v>5</v>
      </c>
      <c r="D35" s="27">
        <v>2</v>
      </c>
      <c r="E35" s="26">
        <v>1.2500000000000001E-2</v>
      </c>
    </row>
    <row r="36" spans="2:5" ht="15" customHeight="1" x14ac:dyDescent="0.3">
      <c r="B36" s="76" t="s">
        <v>26</v>
      </c>
      <c r="C36" s="31" t="s">
        <v>97</v>
      </c>
      <c r="D36" s="30">
        <v>1</v>
      </c>
      <c r="E36" s="29">
        <v>6.2500000000000003E-3</v>
      </c>
    </row>
    <row r="37" spans="2:5" ht="15" customHeight="1" x14ac:dyDescent="0.3">
      <c r="B37" s="77"/>
      <c r="C37" s="31" t="s">
        <v>96</v>
      </c>
      <c r="D37" s="30">
        <v>1</v>
      </c>
      <c r="E37" s="29">
        <v>6.2500000000000003E-3</v>
      </c>
    </row>
    <row r="38" spans="2:5" ht="15" customHeight="1" x14ac:dyDescent="0.3">
      <c r="B38" s="77"/>
      <c r="C38" s="31" t="s">
        <v>95</v>
      </c>
      <c r="D38" s="30">
        <v>4</v>
      </c>
      <c r="E38" s="29">
        <v>2.5000000000000001E-2</v>
      </c>
    </row>
    <row r="39" spans="2:5" ht="15" customHeight="1" x14ac:dyDescent="0.3">
      <c r="B39" s="77"/>
      <c r="C39" s="31" t="s">
        <v>94</v>
      </c>
      <c r="D39" s="30">
        <v>2</v>
      </c>
      <c r="E39" s="29">
        <v>1.2500000000000001E-2</v>
      </c>
    </row>
    <row r="40" spans="2:5" ht="15" customHeight="1" x14ac:dyDescent="0.3">
      <c r="B40" s="77"/>
      <c r="C40" s="31" t="s">
        <v>93</v>
      </c>
      <c r="D40" s="30">
        <v>1</v>
      </c>
      <c r="E40" s="29">
        <v>6.2500000000000003E-3</v>
      </c>
    </row>
    <row r="41" spans="2:5" ht="15" customHeight="1" x14ac:dyDescent="0.3">
      <c r="B41" s="77"/>
      <c r="C41" s="31" t="s">
        <v>92</v>
      </c>
      <c r="D41" s="30">
        <v>4</v>
      </c>
      <c r="E41" s="29">
        <v>2.5000000000000001E-2</v>
      </c>
    </row>
    <row r="42" spans="2:5" ht="15" customHeight="1" x14ac:dyDescent="0.3">
      <c r="B42" s="77"/>
      <c r="C42" s="31" t="s">
        <v>91</v>
      </c>
      <c r="D42" s="30">
        <v>1</v>
      </c>
      <c r="E42" s="29">
        <v>6.2500000000000003E-3</v>
      </c>
    </row>
    <row r="43" spans="2:5" ht="15" customHeight="1" x14ac:dyDescent="0.3">
      <c r="B43" s="77"/>
      <c r="C43" s="31" t="s">
        <v>90</v>
      </c>
      <c r="D43" s="30">
        <v>8</v>
      </c>
      <c r="E43" s="29">
        <v>0.05</v>
      </c>
    </row>
    <row r="44" spans="2:5" ht="15" customHeight="1" x14ac:dyDescent="0.3">
      <c r="B44" s="77"/>
      <c r="C44" s="31" t="s">
        <v>89</v>
      </c>
      <c r="D44" s="30">
        <v>1</v>
      </c>
      <c r="E44" s="29">
        <v>6.2500000000000003E-3</v>
      </c>
    </row>
    <row r="45" spans="2:5" ht="15" customHeight="1" x14ac:dyDescent="0.3">
      <c r="B45" s="78"/>
      <c r="C45" s="28" t="s">
        <v>5</v>
      </c>
      <c r="D45" s="27">
        <v>23</v>
      </c>
      <c r="E45" s="26">
        <v>0.14374999999999999</v>
      </c>
    </row>
    <row r="46" spans="2:5" ht="15" customHeight="1" x14ac:dyDescent="0.3">
      <c r="B46" s="76" t="s">
        <v>27</v>
      </c>
      <c r="C46" s="31" t="s">
        <v>88</v>
      </c>
      <c r="D46" s="30">
        <v>13</v>
      </c>
      <c r="E46" s="29">
        <v>8.1250000000000003E-2</v>
      </c>
    </row>
    <row r="47" spans="2:5" ht="15" customHeight="1" x14ac:dyDescent="0.3">
      <c r="B47" s="77"/>
      <c r="C47" s="31" t="s">
        <v>87</v>
      </c>
      <c r="D47" s="30">
        <v>4</v>
      </c>
      <c r="E47" s="29">
        <v>2.5000000000000001E-2</v>
      </c>
    </row>
    <row r="48" spans="2:5" ht="15" customHeight="1" x14ac:dyDescent="0.3">
      <c r="B48" s="77"/>
      <c r="C48" s="31" t="s">
        <v>86</v>
      </c>
      <c r="D48" s="30">
        <v>1</v>
      </c>
      <c r="E48" s="29">
        <v>6.2500000000000003E-3</v>
      </c>
    </row>
    <row r="49" spans="2:5" ht="15" customHeight="1" x14ac:dyDescent="0.3">
      <c r="B49" s="77"/>
      <c r="C49" s="31" t="s">
        <v>85</v>
      </c>
      <c r="D49" s="30">
        <v>1</v>
      </c>
      <c r="E49" s="29">
        <v>6.2500000000000003E-3</v>
      </c>
    </row>
    <row r="50" spans="2:5" ht="15" customHeight="1" x14ac:dyDescent="0.3">
      <c r="B50" s="77"/>
      <c r="C50" s="31" t="s">
        <v>84</v>
      </c>
      <c r="D50" s="30">
        <v>1</v>
      </c>
      <c r="E50" s="29">
        <v>6.2500000000000003E-3</v>
      </c>
    </row>
    <row r="51" spans="2:5" ht="15" customHeight="1" x14ac:dyDescent="0.3">
      <c r="B51" s="77"/>
      <c r="C51" s="31" t="s">
        <v>83</v>
      </c>
      <c r="D51" s="30">
        <v>11</v>
      </c>
      <c r="E51" s="29">
        <v>6.8750000000000006E-2</v>
      </c>
    </row>
    <row r="52" spans="2:5" ht="15" customHeight="1" x14ac:dyDescent="0.3">
      <c r="B52" s="77"/>
      <c r="C52" s="31" t="s">
        <v>82</v>
      </c>
      <c r="D52" s="30">
        <v>1</v>
      </c>
      <c r="E52" s="29">
        <v>6.2500000000000003E-3</v>
      </c>
    </row>
    <row r="53" spans="2:5" ht="15" customHeight="1" x14ac:dyDescent="0.3">
      <c r="B53" s="77"/>
      <c r="C53" s="31" t="s">
        <v>81</v>
      </c>
      <c r="D53" s="30">
        <v>2</v>
      </c>
      <c r="E53" s="29">
        <v>1.2500000000000001E-2</v>
      </c>
    </row>
    <row r="54" spans="2:5" ht="15" customHeight="1" x14ac:dyDescent="0.3">
      <c r="B54" s="77"/>
      <c r="C54" s="31" t="s">
        <v>80</v>
      </c>
      <c r="D54" s="30">
        <v>1</v>
      </c>
      <c r="E54" s="29">
        <v>6.2500000000000003E-3</v>
      </c>
    </row>
    <row r="55" spans="2:5" ht="15" customHeight="1" x14ac:dyDescent="0.3">
      <c r="B55" s="77"/>
      <c r="C55" s="31" t="s">
        <v>79</v>
      </c>
      <c r="D55" s="30">
        <v>1</v>
      </c>
      <c r="E55" s="29">
        <v>6.2500000000000003E-3</v>
      </c>
    </row>
    <row r="56" spans="2:5" ht="15" customHeight="1" x14ac:dyDescent="0.3">
      <c r="B56" s="77"/>
      <c r="C56" s="31" t="s">
        <v>78</v>
      </c>
      <c r="D56" s="30">
        <v>1</v>
      </c>
      <c r="E56" s="29">
        <v>6.2500000000000003E-3</v>
      </c>
    </row>
    <row r="57" spans="2:5" ht="15" customHeight="1" x14ac:dyDescent="0.3">
      <c r="B57" s="78"/>
      <c r="C57" s="28" t="s">
        <v>5</v>
      </c>
      <c r="D57" s="27">
        <v>37</v>
      </c>
      <c r="E57" s="26">
        <v>0.23125000000000001</v>
      </c>
    </row>
    <row r="58" spans="2:5" ht="15" customHeight="1" x14ac:dyDescent="0.3">
      <c r="B58" s="76" t="s">
        <v>18</v>
      </c>
      <c r="C58" s="31" t="s">
        <v>77</v>
      </c>
      <c r="D58" s="30">
        <v>2</v>
      </c>
      <c r="E58" s="29">
        <v>1.2500000000000001E-2</v>
      </c>
    </row>
    <row r="59" spans="2:5" ht="15" customHeight="1" x14ac:dyDescent="0.3">
      <c r="B59" s="77"/>
      <c r="C59" s="31" t="s">
        <v>76</v>
      </c>
      <c r="D59" s="30">
        <v>1</v>
      </c>
      <c r="E59" s="29">
        <v>6.2500000000000003E-3</v>
      </c>
    </row>
    <row r="60" spans="2:5" ht="15" customHeight="1" x14ac:dyDescent="0.3">
      <c r="B60" s="77"/>
      <c r="C60" s="31" t="s">
        <v>75</v>
      </c>
      <c r="D60" s="30">
        <v>1</v>
      </c>
      <c r="E60" s="29">
        <v>6.2500000000000003E-3</v>
      </c>
    </row>
    <row r="61" spans="2:5" ht="15" customHeight="1" x14ac:dyDescent="0.3">
      <c r="B61" s="78"/>
      <c r="C61" s="28" t="s">
        <v>5</v>
      </c>
      <c r="D61" s="27">
        <v>4</v>
      </c>
      <c r="E61" s="26">
        <v>2.5000000000000001E-2</v>
      </c>
    </row>
    <row r="62" spans="2:5" ht="15" customHeight="1" x14ac:dyDescent="0.3">
      <c r="B62" s="76" t="s">
        <v>22</v>
      </c>
      <c r="C62" s="31" t="s">
        <v>74</v>
      </c>
      <c r="D62" s="30">
        <v>7</v>
      </c>
      <c r="E62" s="29">
        <v>4.3749999999999997E-2</v>
      </c>
    </row>
    <row r="63" spans="2:5" ht="15" customHeight="1" x14ac:dyDescent="0.3">
      <c r="B63" s="77"/>
      <c r="C63" s="31" t="s">
        <v>73</v>
      </c>
      <c r="D63" s="30">
        <v>1</v>
      </c>
      <c r="E63" s="29">
        <v>6.2500000000000003E-3</v>
      </c>
    </row>
    <row r="64" spans="2:5" ht="15" customHeight="1" x14ac:dyDescent="0.3">
      <c r="B64" s="78"/>
      <c r="C64" s="28" t="s">
        <v>5</v>
      </c>
      <c r="D64" s="27">
        <v>8</v>
      </c>
      <c r="E64" s="26">
        <v>0.05</v>
      </c>
    </row>
    <row r="65" spans="2:5" ht="15" customHeight="1" x14ac:dyDescent="0.3">
      <c r="B65" s="76" t="s">
        <v>10</v>
      </c>
      <c r="C65" s="31" t="s">
        <v>72</v>
      </c>
      <c r="D65" s="30">
        <v>1</v>
      </c>
      <c r="E65" s="29">
        <v>6.2500000000000003E-3</v>
      </c>
    </row>
    <row r="66" spans="2:5" ht="15" customHeight="1" x14ac:dyDescent="0.3">
      <c r="B66" s="78"/>
      <c r="C66" s="28" t="s">
        <v>5</v>
      </c>
      <c r="D66" s="27">
        <v>1</v>
      </c>
      <c r="E66" s="26">
        <v>6.2500000000000003E-3</v>
      </c>
    </row>
    <row r="67" spans="2:5" ht="15" customHeight="1" x14ac:dyDescent="0.3">
      <c r="B67" s="76" t="s">
        <v>12</v>
      </c>
      <c r="C67" s="31" t="s">
        <v>71</v>
      </c>
      <c r="D67" s="30">
        <v>1</v>
      </c>
      <c r="E67" s="29">
        <v>6.2500000000000003E-3</v>
      </c>
    </row>
    <row r="68" spans="2:5" ht="15" customHeight="1" x14ac:dyDescent="0.3">
      <c r="B68" s="77"/>
      <c r="C68" s="31" t="s">
        <v>70</v>
      </c>
      <c r="D68" s="30">
        <v>1</v>
      </c>
      <c r="E68" s="29">
        <v>6.2500000000000003E-3</v>
      </c>
    </row>
    <row r="69" spans="2:5" ht="15" customHeight="1" x14ac:dyDescent="0.3">
      <c r="B69" s="78"/>
      <c r="C69" s="28" t="s">
        <v>5</v>
      </c>
      <c r="D69" s="27">
        <v>2</v>
      </c>
      <c r="E69" s="26">
        <v>1.2500000000000001E-2</v>
      </c>
    </row>
    <row r="70" spans="2:5" ht="15" customHeight="1" x14ac:dyDescent="0.3">
      <c r="B70" s="76" t="s">
        <v>17</v>
      </c>
      <c r="C70" s="31" t="s">
        <v>69</v>
      </c>
      <c r="D70" s="30">
        <v>1</v>
      </c>
      <c r="E70" s="29">
        <v>6.2500000000000003E-3</v>
      </c>
    </row>
    <row r="71" spans="2:5" ht="15" customHeight="1" x14ac:dyDescent="0.3">
      <c r="B71" s="77"/>
      <c r="C71" s="31" t="s">
        <v>68</v>
      </c>
      <c r="D71" s="30">
        <v>1</v>
      </c>
      <c r="E71" s="29">
        <v>6.2500000000000003E-3</v>
      </c>
    </row>
    <row r="72" spans="2:5" ht="15" customHeight="1" x14ac:dyDescent="0.3">
      <c r="B72" s="77"/>
      <c r="C72" s="31" t="s">
        <v>67</v>
      </c>
      <c r="D72" s="30">
        <v>1</v>
      </c>
      <c r="E72" s="29">
        <v>6.2500000000000003E-3</v>
      </c>
    </row>
    <row r="73" spans="2:5" ht="15" customHeight="1" x14ac:dyDescent="0.3">
      <c r="B73" s="77"/>
      <c r="C73" s="31" t="s">
        <v>66</v>
      </c>
      <c r="D73" s="30">
        <v>1</v>
      </c>
      <c r="E73" s="29">
        <v>6.2500000000000003E-3</v>
      </c>
    </row>
    <row r="74" spans="2:5" ht="15" customHeight="1" x14ac:dyDescent="0.3">
      <c r="B74" s="78"/>
      <c r="C74" s="28" t="s">
        <v>5</v>
      </c>
      <c r="D74" s="27">
        <v>4</v>
      </c>
      <c r="E74" s="26">
        <v>2.5000000000000001E-2</v>
      </c>
    </row>
    <row r="75" spans="2:5" ht="15" customHeight="1" x14ac:dyDescent="0.3">
      <c r="B75" s="76" t="s">
        <v>24</v>
      </c>
      <c r="C75" s="31" t="s">
        <v>65</v>
      </c>
      <c r="D75" s="30">
        <v>2</v>
      </c>
      <c r="E75" s="29">
        <v>1.2500000000000001E-2</v>
      </c>
    </row>
    <row r="76" spans="2:5" ht="15" customHeight="1" x14ac:dyDescent="0.3">
      <c r="B76" s="77"/>
      <c r="C76" s="31" t="s">
        <v>64</v>
      </c>
      <c r="D76" s="30">
        <v>1</v>
      </c>
      <c r="E76" s="29">
        <v>6.2500000000000003E-3</v>
      </c>
    </row>
    <row r="77" spans="2:5" ht="15" customHeight="1" x14ac:dyDescent="0.3">
      <c r="B77" s="77"/>
      <c r="C77" s="31" t="s">
        <v>63</v>
      </c>
      <c r="D77" s="30">
        <v>1</v>
      </c>
      <c r="E77" s="29">
        <v>6.2500000000000003E-3</v>
      </c>
    </row>
    <row r="78" spans="2:5" ht="15" customHeight="1" x14ac:dyDescent="0.3">
      <c r="B78" s="77"/>
      <c r="C78" s="31" t="s">
        <v>62</v>
      </c>
      <c r="D78" s="30">
        <v>1</v>
      </c>
      <c r="E78" s="29">
        <v>6.2500000000000003E-3</v>
      </c>
    </row>
    <row r="79" spans="2:5" ht="15" customHeight="1" x14ac:dyDescent="0.3">
      <c r="B79" s="77"/>
      <c r="C79" s="31" t="s">
        <v>61</v>
      </c>
      <c r="D79" s="30">
        <v>1</v>
      </c>
      <c r="E79" s="29">
        <v>6.2500000000000003E-3</v>
      </c>
    </row>
    <row r="80" spans="2:5" ht="15" customHeight="1" x14ac:dyDescent="0.3">
      <c r="B80" s="77"/>
      <c r="C80" s="31" t="s">
        <v>60</v>
      </c>
      <c r="D80" s="30">
        <v>1</v>
      </c>
      <c r="E80" s="29">
        <v>6.2500000000000003E-3</v>
      </c>
    </row>
    <row r="81" spans="2:5" ht="15" customHeight="1" x14ac:dyDescent="0.3">
      <c r="B81" s="77"/>
      <c r="C81" s="31" t="s">
        <v>59</v>
      </c>
      <c r="D81" s="30">
        <v>1</v>
      </c>
      <c r="E81" s="29">
        <v>6.2500000000000003E-3</v>
      </c>
    </row>
    <row r="82" spans="2:5" ht="15" customHeight="1" x14ac:dyDescent="0.3">
      <c r="B82" s="77"/>
      <c r="C82" s="31" t="s">
        <v>58</v>
      </c>
      <c r="D82" s="30">
        <v>2</v>
      </c>
      <c r="E82" s="29">
        <v>1.2500000000000001E-2</v>
      </c>
    </row>
    <row r="83" spans="2:5" ht="15" customHeight="1" x14ac:dyDescent="0.3">
      <c r="B83" s="77"/>
      <c r="C83" s="31" t="s">
        <v>57</v>
      </c>
      <c r="D83" s="30">
        <v>4</v>
      </c>
      <c r="E83" s="29">
        <v>2.5000000000000001E-2</v>
      </c>
    </row>
    <row r="84" spans="2:5" ht="15" customHeight="1" x14ac:dyDescent="0.3">
      <c r="B84" s="77"/>
      <c r="C84" s="31" t="s">
        <v>56</v>
      </c>
      <c r="D84" s="30">
        <v>1</v>
      </c>
      <c r="E84" s="29">
        <v>6.2500000000000003E-3</v>
      </c>
    </row>
    <row r="85" spans="2:5" ht="15" customHeight="1" x14ac:dyDescent="0.3">
      <c r="B85" s="77"/>
      <c r="C85" s="31" t="s">
        <v>55</v>
      </c>
      <c r="D85" s="30">
        <v>1</v>
      </c>
      <c r="E85" s="29">
        <v>6.2500000000000003E-3</v>
      </c>
    </row>
    <row r="86" spans="2:5" ht="15" customHeight="1" x14ac:dyDescent="0.3">
      <c r="B86" s="78"/>
      <c r="C86" s="28" t="s">
        <v>5</v>
      </c>
      <c r="D86" s="27">
        <v>16</v>
      </c>
      <c r="E86" s="26">
        <v>0.1</v>
      </c>
    </row>
    <row r="87" spans="2:5" ht="15" customHeight="1" x14ac:dyDescent="0.3">
      <c r="B87" s="76" t="s">
        <v>20</v>
      </c>
      <c r="C87" s="31" t="s">
        <v>54</v>
      </c>
      <c r="D87" s="30">
        <v>1</v>
      </c>
      <c r="E87" s="29">
        <v>6.2500000000000003E-3</v>
      </c>
    </row>
    <row r="88" spans="2:5" ht="15" customHeight="1" x14ac:dyDescent="0.3">
      <c r="B88" s="77"/>
      <c r="C88" s="31" t="s">
        <v>53</v>
      </c>
      <c r="D88" s="30">
        <v>2</v>
      </c>
      <c r="E88" s="29">
        <v>1.2500000000000001E-2</v>
      </c>
    </row>
    <row r="89" spans="2:5" ht="15" customHeight="1" x14ac:dyDescent="0.3">
      <c r="B89" s="77"/>
      <c r="C89" s="31" t="s">
        <v>52</v>
      </c>
      <c r="D89" s="30">
        <v>3</v>
      </c>
      <c r="E89" s="29">
        <v>1.8749999999999999E-2</v>
      </c>
    </row>
    <row r="90" spans="2:5" ht="15" customHeight="1" x14ac:dyDescent="0.3">
      <c r="B90" s="78"/>
      <c r="C90" s="28" t="s">
        <v>5</v>
      </c>
      <c r="D90" s="27">
        <v>6</v>
      </c>
      <c r="E90" s="26">
        <v>3.7499999999999999E-2</v>
      </c>
    </row>
    <row r="91" spans="2:5" ht="15" customHeight="1" x14ac:dyDescent="0.3">
      <c r="B91" s="76" t="s">
        <v>16</v>
      </c>
      <c r="C91" s="31" t="s">
        <v>51</v>
      </c>
      <c r="D91" s="30">
        <v>1</v>
      </c>
      <c r="E91" s="29">
        <v>6.2500000000000003E-3</v>
      </c>
    </row>
    <row r="92" spans="2:5" ht="15" customHeight="1" x14ac:dyDescent="0.3">
      <c r="B92" s="77"/>
      <c r="C92" s="31" t="s">
        <v>50</v>
      </c>
      <c r="D92" s="30">
        <v>1</v>
      </c>
      <c r="E92" s="29">
        <v>6.2500000000000003E-3</v>
      </c>
    </row>
    <row r="93" spans="2:5" ht="15" customHeight="1" x14ac:dyDescent="0.3">
      <c r="B93" s="77"/>
      <c r="C93" s="31" t="s">
        <v>49</v>
      </c>
      <c r="D93" s="30">
        <v>2</v>
      </c>
      <c r="E93" s="29">
        <v>1.2500000000000001E-2</v>
      </c>
    </row>
    <row r="94" spans="2:5" ht="15" customHeight="1" x14ac:dyDescent="0.3">
      <c r="B94" s="78"/>
      <c r="C94" s="28" t="s">
        <v>5</v>
      </c>
      <c r="D94" s="27">
        <v>4</v>
      </c>
      <c r="E94" s="26">
        <v>2.5000000000000001E-2</v>
      </c>
    </row>
    <row r="95" spans="2:5" ht="15" customHeight="1" x14ac:dyDescent="0.3">
      <c r="B95" s="76" t="s">
        <v>9</v>
      </c>
      <c r="C95" s="31" t="s">
        <v>48</v>
      </c>
      <c r="D95" s="30">
        <v>1</v>
      </c>
      <c r="E95" s="29">
        <v>6.2500000000000003E-3</v>
      </c>
    </row>
    <row r="96" spans="2:5" ht="15" customHeight="1" x14ac:dyDescent="0.3">
      <c r="B96" s="78"/>
      <c r="C96" s="28" t="s">
        <v>5</v>
      </c>
      <c r="D96" s="27">
        <v>1</v>
      </c>
      <c r="E96" s="26">
        <v>6.2500000000000003E-3</v>
      </c>
    </row>
    <row r="97" spans="2:5" ht="15" customHeight="1" x14ac:dyDescent="0.3">
      <c r="B97" s="76" t="s">
        <v>8</v>
      </c>
      <c r="C97" s="31" t="s">
        <v>47</v>
      </c>
      <c r="D97" s="30">
        <v>1</v>
      </c>
      <c r="E97" s="29">
        <v>6.2500000000000003E-3</v>
      </c>
    </row>
    <row r="98" spans="2:5" ht="15" customHeight="1" x14ac:dyDescent="0.3">
      <c r="B98" s="78"/>
      <c r="C98" s="28" t="s">
        <v>5</v>
      </c>
      <c r="D98" s="27">
        <v>1</v>
      </c>
      <c r="E98" s="26">
        <v>6.2500000000000003E-3</v>
      </c>
    </row>
    <row r="99" spans="2:5" ht="15" customHeight="1" x14ac:dyDescent="0.3">
      <c r="B99" s="76" t="s">
        <v>15</v>
      </c>
      <c r="C99" s="31" t="s">
        <v>46</v>
      </c>
      <c r="D99" s="30">
        <v>1</v>
      </c>
      <c r="E99" s="29">
        <v>6.2500000000000003E-3</v>
      </c>
    </row>
    <row r="100" spans="2:5" ht="15" customHeight="1" x14ac:dyDescent="0.3">
      <c r="B100" s="77"/>
      <c r="C100" s="31" t="s">
        <v>45</v>
      </c>
      <c r="D100" s="30">
        <v>1</v>
      </c>
      <c r="E100" s="29">
        <v>6.2500000000000003E-3</v>
      </c>
    </row>
    <row r="101" spans="2:5" ht="15" customHeight="1" x14ac:dyDescent="0.3">
      <c r="B101" s="77"/>
      <c r="C101" s="31" t="s">
        <v>44</v>
      </c>
      <c r="D101" s="30">
        <v>2</v>
      </c>
      <c r="E101" s="29">
        <v>1.2500000000000001E-2</v>
      </c>
    </row>
    <row r="102" spans="2:5" ht="15" customHeight="1" x14ac:dyDescent="0.3">
      <c r="B102" s="78"/>
      <c r="C102" s="28" t="s">
        <v>5</v>
      </c>
      <c r="D102" s="27">
        <v>4</v>
      </c>
      <c r="E102" s="26">
        <v>2.5000000000000001E-2</v>
      </c>
    </row>
    <row r="103" spans="2:5" ht="15" customHeight="1" x14ac:dyDescent="0.3">
      <c r="B103" s="76" t="s">
        <v>14</v>
      </c>
      <c r="C103" s="31" t="s">
        <v>43</v>
      </c>
      <c r="D103" s="30">
        <v>1</v>
      </c>
      <c r="E103" s="29">
        <v>6.2500000000000003E-3</v>
      </c>
    </row>
    <row r="104" spans="2:5" ht="15" customHeight="1" x14ac:dyDescent="0.3">
      <c r="B104" s="77"/>
      <c r="C104" s="31" t="s">
        <v>14</v>
      </c>
      <c r="D104" s="30">
        <v>2</v>
      </c>
      <c r="E104" s="29">
        <v>1.2500000000000001E-2</v>
      </c>
    </row>
    <row r="105" spans="2:5" ht="15" customHeight="1" x14ac:dyDescent="0.3">
      <c r="B105" s="77"/>
      <c r="C105" s="31" t="s">
        <v>42</v>
      </c>
      <c r="D105" s="30">
        <v>1</v>
      </c>
      <c r="E105" s="29">
        <v>6.2500000000000003E-3</v>
      </c>
    </row>
    <row r="106" spans="2:5" ht="15" customHeight="1" x14ac:dyDescent="0.3">
      <c r="B106" s="78"/>
      <c r="C106" s="28" t="s">
        <v>5</v>
      </c>
      <c r="D106" s="27">
        <v>4</v>
      </c>
      <c r="E106" s="26">
        <v>2.5000000000000001E-2</v>
      </c>
    </row>
    <row r="107" spans="2:5" ht="15" customHeight="1" x14ac:dyDescent="0.3">
      <c r="B107" s="76" t="s">
        <v>23</v>
      </c>
      <c r="C107" s="31" t="s">
        <v>41</v>
      </c>
      <c r="D107" s="30">
        <v>1</v>
      </c>
      <c r="E107" s="29">
        <v>6.2500000000000003E-3</v>
      </c>
    </row>
    <row r="108" spans="2:5" ht="15" customHeight="1" x14ac:dyDescent="0.3">
      <c r="B108" s="77"/>
      <c r="C108" s="31" t="s">
        <v>40</v>
      </c>
      <c r="D108" s="30">
        <v>2</v>
      </c>
      <c r="E108" s="29">
        <v>1.2500000000000001E-2</v>
      </c>
    </row>
    <row r="109" spans="2:5" ht="15" customHeight="1" x14ac:dyDescent="0.3">
      <c r="B109" s="77"/>
      <c r="C109" s="31" t="s">
        <v>39</v>
      </c>
      <c r="D109" s="30">
        <v>1</v>
      </c>
      <c r="E109" s="29">
        <v>6.2500000000000003E-3</v>
      </c>
    </row>
    <row r="110" spans="2:5" ht="15" customHeight="1" x14ac:dyDescent="0.3">
      <c r="B110" s="77"/>
      <c r="C110" s="31" t="s">
        <v>38</v>
      </c>
      <c r="D110" s="30">
        <v>1</v>
      </c>
      <c r="E110" s="29">
        <v>6.2500000000000003E-3</v>
      </c>
    </row>
    <row r="111" spans="2:5" ht="15" customHeight="1" x14ac:dyDescent="0.3">
      <c r="B111" s="77"/>
      <c r="C111" s="31" t="s">
        <v>37</v>
      </c>
      <c r="D111" s="30">
        <v>1</v>
      </c>
      <c r="E111" s="29">
        <v>6.2500000000000003E-3</v>
      </c>
    </row>
    <row r="112" spans="2:5" ht="15" customHeight="1" x14ac:dyDescent="0.3">
      <c r="B112" s="77"/>
      <c r="C112" s="31" t="s">
        <v>36</v>
      </c>
      <c r="D112" s="30">
        <v>1</v>
      </c>
      <c r="E112" s="29">
        <v>6.2500000000000003E-3</v>
      </c>
    </row>
    <row r="113" spans="2:5" ht="15" customHeight="1" x14ac:dyDescent="0.3">
      <c r="B113" s="77"/>
      <c r="C113" s="31" t="s">
        <v>35</v>
      </c>
      <c r="D113" s="30">
        <v>1</v>
      </c>
      <c r="E113" s="29">
        <v>6.2500000000000003E-3</v>
      </c>
    </row>
    <row r="114" spans="2:5" ht="15" customHeight="1" x14ac:dyDescent="0.3">
      <c r="B114" s="77"/>
      <c r="C114" s="31" t="s">
        <v>34</v>
      </c>
      <c r="D114" s="30">
        <v>1</v>
      </c>
      <c r="E114" s="29">
        <v>6.2500000000000003E-3</v>
      </c>
    </row>
    <row r="115" spans="2:5" ht="15" customHeight="1" x14ac:dyDescent="0.3">
      <c r="B115" s="78"/>
      <c r="C115" s="28" t="s">
        <v>5</v>
      </c>
      <c r="D115" s="27">
        <v>9</v>
      </c>
      <c r="E115" s="26">
        <v>5.6250000000000001E-2</v>
      </c>
    </row>
    <row r="116" spans="2:5" ht="15" customHeight="1" x14ac:dyDescent="0.3">
      <c r="B116" s="76" t="s">
        <v>7</v>
      </c>
      <c r="C116" s="31" t="s">
        <v>33</v>
      </c>
      <c r="D116" s="30">
        <v>1</v>
      </c>
      <c r="E116" s="29">
        <v>6.2500000000000003E-3</v>
      </c>
    </row>
    <row r="117" spans="2:5" ht="15" customHeight="1" x14ac:dyDescent="0.3">
      <c r="B117" s="78"/>
      <c r="C117" s="28" t="s">
        <v>5</v>
      </c>
      <c r="D117" s="27">
        <v>1</v>
      </c>
      <c r="E117" s="26">
        <v>6.2500000000000003E-3</v>
      </c>
    </row>
    <row r="118" spans="2:5" ht="15" customHeight="1" x14ac:dyDescent="0.3">
      <c r="B118" s="76" t="s">
        <v>6</v>
      </c>
      <c r="C118" s="31" t="s">
        <v>32</v>
      </c>
      <c r="D118" s="30">
        <v>1</v>
      </c>
      <c r="E118" s="29">
        <v>6.2500000000000003E-3</v>
      </c>
    </row>
    <row r="119" spans="2:5" ht="15" customHeight="1" x14ac:dyDescent="0.3">
      <c r="B119" s="78"/>
      <c r="C119" s="28" t="s">
        <v>5</v>
      </c>
      <c r="D119" s="27">
        <v>1</v>
      </c>
      <c r="E119" s="26">
        <v>6.2500000000000003E-3</v>
      </c>
    </row>
    <row r="120" spans="2:5" ht="15" customHeight="1" x14ac:dyDescent="0.3">
      <c r="B120" s="79" t="s">
        <v>5</v>
      </c>
      <c r="C120" s="80"/>
      <c r="D120" s="64">
        <f>SUMIF(C$10:C119,"Total",D$10:D119)</f>
        <v>160</v>
      </c>
      <c r="E120" s="65">
        <v>1</v>
      </c>
    </row>
    <row r="122" spans="2:5" ht="15" customHeight="1" x14ac:dyDescent="0.3">
      <c r="B122" s="3" t="s">
        <v>4</v>
      </c>
    </row>
    <row r="123" spans="2:5" ht="15" customHeight="1" x14ac:dyDescent="0.3">
      <c r="B123" s="5" t="s">
        <v>3</v>
      </c>
    </row>
    <row r="124" spans="2:5" ht="15" customHeight="1" x14ac:dyDescent="0.3">
      <c r="B124" s="4" t="s">
        <v>2</v>
      </c>
    </row>
    <row r="125" spans="2:5" ht="15" customHeight="1" x14ac:dyDescent="0.3">
      <c r="B125" s="3" t="s">
        <v>1</v>
      </c>
    </row>
    <row r="126" spans="2:5" ht="15" customHeight="1" x14ac:dyDescent="0.3">
      <c r="B126" s="3" t="s">
        <v>0</v>
      </c>
    </row>
    <row r="484" spans="1:2" s="21" customFormat="1" ht="15" customHeight="1" x14ac:dyDescent="0.3">
      <c r="A484" s="20"/>
      <c r="B484" s="22"/>
    </row>
    <row r="485" spans="1:2" s="21" customFormat="1" ht="15" customHeight="1" x14ac:dyDescent="0.3">
      <c r="A485" s="20"/>
      <c r="B485" s="23"/>
    </row>
    <row r="486" spans="1:2" s="21" customFormat="1" ht="15" customHeight="1" x14ac:dyDescent="0.3">
      <c r="A486" s="20"/>
      <c r="B486" s="23"/>
    </row>
    <row r="487" spans="1:2" s="21" customFormat="1" ht="15" customHeight="1" x14ac:dyDescent="0.3">
      <c r="A487" s="20"/>
      <c r="B487" s="22"/>
    </row>
    <row r="488" spans="1:2" s="21" customFormat="1" ht="15" customHeight="1" x14ac:dyDescent="0.3">
      <c r="A488" s="20"/>
      <c r="B488" s="22"/>
    </row>
  </sheetData>
  <mergeCells count="24">
    <mergeCell ref="B67:B69"/>
    <mergeCell ref="B7:E8"/>
    <mergeCell ref="B10:B11"/>
    <mergeCell ref="B12:B18"/>
    <mergeCell ref="B19:B29"/>
    <mergeCell ref="B30:B33"/>
    <mergeCell ref="B34:B35"/>
    <mergeCell ref="B36:B45"/>
    <mergeCell ref="B46:B57"/>
    <mergeCell ref="B58:B61"/>
    <mergeCell ref="B62:B64"/>
    <mergeCell ref="B65:B66"/>
    <mergeCell ref="B120:C120"/>
    <mergeCell ref="B70:B74"/>
    <mergeCell ref="B75:B86"/>
    <mergeCell ref="B87:B90"/>
    <mergeCell ref="B91:B94"/>
    <mergeCell ref="B95:B96"/>
    <mergeCell ref="B97:B98"/>
    <mergeCell ref="B99:B102"/>
    <mergeCell ref="B103:B106"/>
    <mergeCell ref="B107:B115"/>
    <mergeCell ref="B116:B117"/>
    <mergeCell ref="B118:B11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45" max="4" man="1"/>
    <brk id="86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33"/>
  <sheetViews>
    <sheetView showGridLines="0" topLeftCell="A5" zoomScaleNormal="100" zoomScaleSheetLayoutView="115" workbookViewId="0">
      <selection activeCell="D21" sqref="D21"/>
    </sheetView>
  </sheetViews>
  <sheetFormatPr baseColWidth="10" defaultColWidth="11.44140625" defaultRowHeight="14.4" x14ac:dyDescent="0.3"/>
  <cols>
    <col min="1" max="1" width="9.33203125" style="1" customWidth="1"/>
    <col min="2" max="2" width="30.554687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135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134</v>
      </c>
      <c r="C11" s="15" t="s">
        <v>29</v>
      </c>
      <c r="D11" s="14" t="s">
        <v>28</v>
      </c>
    </row>
    <row r="12" spans="2:4" ht="15" customHeight="1" x14ac:dyDescent="0.3">
      <c r="B12" s="11" t="s">
        <v>133</v>
      </c>
      <c r="C12" s="10">
        <v>1</v>
      </c>
      <c r="D12" s="9">
        <v>6.2500000000000003E-3</v>
      </c>
    </row>
    <row r="13" spans="2:4" x14ac:dyDescent="0.3">
      <c r="B13" s="11" t="s">
        <v>132</v>
      </c>
      <c r="C13" s="10">
        <v>1</v>
      </c>
      <c r="D13" s="9">
        <v>6.2500000000000003E-3</v>
      </c>
    </row>
    <row r="14" spans="2:4" s="12" customFormat="1" ht="15" x14ac:dyDescent="0.3">
      <c r="B14" s="11" t="s">
        <v>131</v>
      </c>
      <c r="C14" s="10">
        <v>8</v>
      </c>
      <c r="D14" s="9">
        <v>0.05</v>
      </c>
    </row>
    <row r="15" spans="2:4" s="12" customFormat="1" ht="15" x14ac:dyDescent="0.3">
      <c r="B15" s="11" t="s">
        <v>130</v>
      </c>
      <c r="C15" s="10">
        <v>19</v>
      </c>
      <c r="D15" s="9">
        <v>0.11874999999999999</v>
      </c>
    </row>
    <row r="16" spans="2:4" x14ac:dyDescent="0.3">
      <c r="B16" s="11" t="s">
        <v>129</v>
      </c>
      <c r="C16" s="10">
        <v>1</v>
      </c>
      <c r="D16" s="9">
        <v>6.2500000000000003E-3</v>
      </c>
    </row>
    <row r="17" spans="2:4" x14ac:dyDescent="0.3">
      <c r="B17" s="11" t="s">
        <v>128</v>
      </c>
      <c r="C17" s="10">
        <v>5</v>
      </c>
      <c r="D17" s="9">
        <v>3.125E-2</v>
      </c>
    </row>
    <row r="18" spans="2:4" x14ac:dyDescent="0.3">
      <c r="B18" s="11" t="s">
        <v>127</v>
      </c>
      <c r="C18" s="10">
        <v>3</v>
      </c>
      <c r="D18" s="9">
        <v>1.8749999999999999E-2</v>
      </c>
    </row>
    <row r="19" spans="2:4" x14ac:dyDescent="0.3">
      <c r="B19" s="11" t="s">
        <v>126</v>
      </c>
      <c r="C19" s="10">
        <v>67</v>
      </c>
      <c r="D19" s="9">
        <v>0.41875000000000001</v>
      </c>
    </row>
    <row r="20" spans="2:4" x14ac:dyDescent="0.3">
      <c r="B20" s="11" t="s">
        <v>125</v>
      </c>
      <c r="C20" s="10">
        <v>3</v>
      </c>
      <c r="D20" s="9">
        <v>1.8749999999999999E-2</v>
      </c>
    </row>
    <row r="21" spans="2:4" x14ac:dyDescent="0.3">
      <c r="B21" s="11" t="s">
        <v>124</v>
      </c>
      <c r="C21" s="10">
        <v>11</v>
      </c>
      <c r="D21" s="9">
        <v>6.8750000000000006E-2</v>
      </c>
    </row>
    <row r="22" spans="2:4" x14ac:dyDescent="0.3">
      <c r="B22" s="11" t="s">
        <v>123</v>
      </c>
      <c r="C22" s="10">
        <v>33</v>
      </c>
      <c r="D22" s="9">
        <v>0.20624999999999999</v>
      </c>
    </row>
    <row r="23" spans="2:4" x14ac:dyDescent="0.3">
      <c r="B23" s="11" t="s">
        <v>122</v>
      </c>
      <c r="C23" s="10">
        <v>1</v>
      </c>
      <c r="D23" s="9">
        <v>6.2500000000000003E-3</v>
      </c>
    </row>
    <row r="24" spans="2:4" x14ac:dyDescent="0.3">
      <c r="B24" s="11" t="s">
        <v>121</v>
      </c>
      <c r="C24" s="10">
        <v>1</v>
      </c>
      <c r="D24" s="9">
        <v>6.2500000000000003E-3</v>
      </c>
    </row>
    <row r="25" spans="2:4" x14ac:dyDescent="0.3">
      <c r="B25" s="11" t="s">
        <v>120</v>
      </c>
      <c r="C25" s="10">
        <v>3</v>
      </c>
      <c r="D25" s="9">
        <v>1.8749999999999999E-2</v>
      </c>
    </row>
    <row r="26" spans="2:4" x14ac:dyDescent="0.3">
      <c r="B26" s="11" t="s">
        <v>119</v>
      </c>
      <c r="C26" s="10">
        <v>3</v>
      </c>
      <c r="D26" s="9">
        <v>1.8749999999999999E-2</v>
      </c>
    </row>
    <row r="27" spans="2:4" x14ac:dyDescent="0.3">
      <c r="B27" s="8" t="s">
        <v>5</v>
      </c>
      <c r="C27" s="7">
        <v>160</v>
      </c>
      <c r="D27" s="6">
        <v>1</v>
      </c>
    </row>
    <row r="29" spans="2:4" x14ac:dyDescent="0.3">
      <c r="B29" s="3" t="s">
        <v>4</v>
      </c>
    </row>
    <row r="30" spans="2:4" x14ac:dyDescent="0.3">
      <c r="B30" s="5" t="s">
        <v>3</v>
      </c>
    </row>
    <row r="31" spans="2:4" x14ac:dyDescent="0.3">
      <c r="B31" s="4" t="s">
        <v>2</v>
      </c>
    </row>
    <row r="32" spans="2:4" x14ac:dyDescent="0.3">
      <c r="B32" s="3" t="s">
        <v>1</v>
      </c>
    </row>
    <row r="33" spans="2:2" x14ac:dyDescent="0.3">
      <c r="B33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8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07"/>
  <sheetViews>
    <sheetView topLeftCell="A83" zoomScale="145" zoomScaleNormal="145" zoomScaleSheetLayoutView="100" workbookViewId="0">
      <selection activeCell="D101" sqref="D101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2"/>
      <c r="D6" s="32"/>
      <c r="E6" s="32"/>
    </row>
    <row r="7" spans="1:5" s="36" customFormat="1" ht="26.25" customHeight="1" x14ac:dyDescent="0.25">
      <c r="A7" s="37"/>
      <c r="B7" s="81"/>
      <c r="C7" s="81"/>
      <c r="D7" s="81"/>
      <c r="E7" s="81"/>
    </row>
    <row r="8" spans="1:5" s="36" customFormat="1" ht="33" customHeight="1" x14ac:dyDescent="0.25">
      <c r="A8" s="37"/>
      <c r="B8" s="81"/>
      <c r="C8" s="81"/>
      <c r="D8" s="81"/>
      <c r="E8" s="81"/>
    </row>
    <row r="9" spans="1:5" s="13" customFormat="1" ht="40.5" customHeight="1" x14ac:dyDescent="0.2">
      <c r="B9" s="33" t="s">
        <v>134</v>
      </c>
      <c r="C9" s="35" t="s">
        <v>30</v>
      </c>
      <c r="D9" s="34" t="s">
        <v>29</v>
      </c>
      <c r="E9" s="33" t="s">
        <v>28</v>
      </c>
    </row>
    <row r="10" spans="1:5" ht="15" customHeight="1" x14ac:dyDescent="0.3">
      <c r="B10" s="76" t="s">
        <v>133</v>
      </c>
      <c r="C10" s="31" t="s">
        <v>21</v>
      </c>
      <c r="D10" s="30">
        <v>1</v>
      </c>
      <c r="E10" s="29">
        <v>6.2500000000000003E-3</v>
      </c>
    </row>
    <row r="11" spans="1:5" ht="15" customHeight="1" x14ac:dyDescent="0.3">
      <c r="B11" s="78"/>
      <c r="C11" s="28" t="s">
        <v>5</v>
      </c>
      <c r="D11" s="27">
        <v>1</v>
      </c>
      <c r="E11" s="26">
        <v>6.2500000000000003E-3</v>
      </c>
    </row>
    <row r="12" spans="1:5" ht="15" customHeight="1" x14ac:dyDescent="0.3">
      <c r="B12" s="76" t="s">
        <v>132</v>
      </c>
      <c r="C12" s="31" t="s">
        <v>21</v>
      </c>
      <c r="D12" s="30">
        <v>1</v>
      </c>
      <c r="E12" s="29">
        <v>6.2500000000000003E-3</v>
      </c>
    </row>
    <row r="13" spans="1:5" ht="15" customHeight="1" x14ac:dyDescent="0.3">
      <c r="B13" s="78"/>
      <c r="C13" s="28" t="s">
        <v>5</v>
      </c>
      <c r="D13" s="27">
        <v>1</v>
      </c>
      <c r="E13" s="26">
        <v>6.2500000000000003E-3</v>
      </c>
    </row>
    <row r="14" spans="1:5" ht="15" customHeight="1" x14ac:dyDescent="0.3">
      <c r="B14" s="76" t="s">
        <v>131</v>
      </c>
      <c r="C14" s="31" t="s">
        <v>25</v>
      </c>
      <c r="D14" s="30">
        <v>1</v>
      </c>
      <c r="E14" s="29">
        <v>6.2500000000000003E-3</v>
      </c>
    </row>
    <row r="15" spans="1:5" s="32" customFormat="1" ht="15" customHeight="1" x14ac:dyDescent="0.3">
      <c r="A15" s="20"/>
      <c r="B15" s="77"/>
      <c r="C15" s="31" t="s">
        <v>26</v>
      </c>
      <c r="D15" s="30">
        <v>1</v>
      </c>
      <c r="E15" s="29">
        <v>6.2500000000000003E-3</v>
      </c>
    </row>
    <row r="16" spans="1:5" s="32" customFormat="1" ht="15" customHeight="1" x14ac:dyDescent="0.3">
      <c r="A16" s="20"/>
      <c r="B16" s="77"/>
      <c r="C16" s="31" t="s">
        <v>27</v>
      </c>
      <c r="D16" s="30">
        <v>2</v>
      </c>
      <c r="E16" s="29">
        <v>1.2500000000000001E-2</v>
      </c>
    </row>
    <row r="17" spans="1:5" s="32" customFormat="1" ht="15" customHeight="1" x14ac:dyDescent="0.3">
      <c r="A17" s="20"/>
      <c r="B17" s="77"/>
      <c r="C17" s="31" t="s">
        <v>22</v>
      </c>
      <c r="D17" s="30">
        <v>1</v>
      </c>
      <c r="E17" s="29">
        <v>6.2500000000000003E-3</v>
      </c>
    </row>
    <row r="18" spans="1:5" s="32" customFormat="1" ht="15" customHeight="1" x14ac:dyDescent="0.3">
      <c r="A18" s="20"/>
      <c r="B18" s="77"/>
      <c r="C18" s="31" t="s">
        <v>17</v>
      </c>
      <c r="D18" s="30">
        <v>1</v>
      </c>
      <c r="E18" s="29">
        <v>6.2500000000000003E-3</v>
      </c>
    </row>
    <row r="19" spans="1:5" s="32" customFormat="1" ht="15" customHeight="1" x14ac:dyDescent="0.3">
      <c r="A19" s="20"/>
      <c r="B19" s="77"/>
      <c r="C19" s="31" t="s">
        <v>20</v>
      </c>
      <c r="D19" s="30">
        <v>2</v>
      </c>
      <c r="E19" s="29">
        <v>1.2500000000000001E-2</v>
      </c>
    </row>
    <row r="20" spans="1:5" ht="15" customHeight="1" x14ac:dyDescent="0.3">
      <c r="B20" s="78"/>
      <c r="C20" s="28" t="s">
        <v>5</v>
      </c>
      <c r="D20" s="27">
        <v>8</v>
      </c>
      <c r="E20" s="26">
        <v>0.05</v>
      </c>
    </row>
    <row r="21" spans="1:5" ht="15" customHeight="1" x14ac:dyDescent="0.3">
      <c r="B21" s="76" t="s">
        <v>130</v>
      </c>
      <c r="C21" s="31" t="s">
        <v>25</v>
      </c>
      <c r="D21" s="30">
        <v>3</v>
      </c>
      <c r="E21" s="29">
        <v>1.8749999999999999E-2</v>
      </c>
    </row>
    <row r="22" spans="1:5" ht="15" customHeight="1" x14ac:dyDescent="0.3">
      <c r="B22" s="77"/>
      <c r="C22" s="31" t="s">
        <v>13</v>
      </c>
      <c r="D22" s="30">
        <v>2</v>
      </c>
      <c r="E22" s="29">
        <v>1.2500000000000001E-2</v>
      </c>
    </row>
    <row r="23" spans="1:5" ht="15" customHeight="1" x14ac:dyDescent="0.3">
      <c r="B23" s="77"/>
      <c r="C23" s="31" t="s">
        <v>26</v>
      </c>
      <c r="D23" s="30">
        <v>2</v>
      </c>
      <c r="E23" s="29">
        <v>1.2500000000000001E-2</v>
      </c>
    </row>
    <row r="24" spans="1:5" ht="15" customHeight="1" x14ac:dyDescent="0.3">
      <c r="B24" s="77"/>
      <c r="C24" s="31" t="s">
        <v>27</v>
      </c>
      <c r="D24" s="30">
        <v>5</v>
      </c>
      <c r="E24" s="29">
        <v>3.125E-2</v>
      </c>
    </row>
    <row r="25" spans="1:5" ht="15" customHeight="1" x14ac:dyDescent="0.3">
      <c r="B25" s="77"/>
      <c r="C25" s="31" t="s">
        <v>18</v>
      </c>
      <c r="D25" s="30">
        <v>1</v>
      </c>
      <c r="E25" s="29">
        <v>6.2500000000000003E-3</v>
      </c>
    </row>
    <row r="26" spans="1:5" ht="15" customHeight="1" x14ac:dyDescent="0.3">
      <c r="B26" s="77"/>
      <c r="C26" s="31" t="s">
        <v>22</v>
      </c>
      <c r="D26" s="30">
        <v>2</v>
      </c>
      <c r="E26" s="29">
        <v>1.2500000000000001E-2</v>
      </c>
    </row>
    <row r="27" spans="1:5" ht="15" customHeight="1" x14ac:dyDescent="0.3">
      <c r="B27" s="77"/>
      <c r="C27" s="31" t="s">
        <v>24</v>
      </c>
      <c r="D27" s="30">
        <v>3</v>
      </c>
      <c r="E27" s="29">
        <v>1.8749999999999999E-2</v>
      </c>
    </row>
    <row r="28" spans="1:5" ht="15" customHeight="1" x14ac:dyDescent="0.3">
      <c r="B28" s="77"/>
      <c r="C28" s="31" t="s">
        <v>20</v>
      </c>
      <c r="D28" s="30">
        <v>1</v>
      </c>
      <c r="E28" s="29">
        <v>6.2500000000000003E-3</v>
      </c>
    </row>
    <row r="29" spans="1:5" ht="15" customHeight="1" x14ac:dyDescent="0.3">
      <c r="B29" s="78"/>
      <c r="C29" s="28" t="s">
        <v>5</v>
      </c>
      <c r="D29" s="27">
        <v>19</v>
      </c>
      <c r="E29" s="26">
        <v>0.11874999999999999</v>
      </c>
    </row>
    <row r="30" spans="1:5" ht="15" customHeight="1" x14ac:dyDescent="0.3">
      <c r="B30" s="76" t="s">
        <v>129</v>
      </c>
      <c r="C30" s="31" t="s">
        <v>18</v>
      </c>
      <c r="D30" s="30">
        <v>1</v>
      </c>
      <c r="E30" s="29">
        <v>6.2500000000000003E-3</v>
      </c>
    </row>
    <row r="31" spans="1:5" ht="15" customHeight="1" x14ac:dyDescent="0.3">
      <c r="B31" s="78"/>
      <c r="C31" s="28" t="s">
        <v>5</v>
      </c>
      <c r="D31" s="27">
        <v>1</v>
      </c>
      <c r="E31" s="26">
        <v>6.2500000000000003E-3</v>
      </c>
    </row>
    <row r="32" spans="1:5" ht="15" customHeight="1" x14ac:dyDescent="0.3">
      <c r="B32" s="76" t="s">
        <v>128</v>
      </c>
      <c r="C32" s="31" t="s">
        <v>21</v>
      </c>
      <c r="D32" s="30">
        <v>1</v>
      </c>
      <c r="E32" s="29">
        <v>6.2500000000000003E-3</v>
      </c>
    </row>
    <row r="33" spans="2:5" ht="15" customHeight="1" x14ac:dyDescent="0.3">
      <c r="B33" s="77"/>
      <c r="C33" s="31" t="s">
        <v>26</v>
      </c>
      <c r="D33" s="30">
        <v>1</v>
      </c>
      <c r="E33" s="29">
        <v>6.2500000000000003E-3</v>
      </c>
    </row>
    <row r="34" spans="2:5" ht="15" customHeight="1" x14ac:dyDescent="0.3">
      <c r="B34" s="77"/>
      <c r="C34" s="31" t="s">
        <v>27</v>
      </c>
      <c r="D34" s="30">
        <v>1</v>
      </c>
      <c r="E34" s="29">
        <v>6.2500000000000003E-3</v>
      </c>
    </row>
    <row r="35" spans="2:5" ht="15" customHeight="1" x14ac:dyDescent="0.3">
      <c r="B35" s="77"/>
      <c r="C35" s="31" t="s">
        <v>14</v>
      </c>
      <c r="D35" s="30">
        <v>1</v>
      </c>
      <c r="E35" s="29">
        <v>6.2500000000000003E-3</v>
      </c>
    </row>
    <row r="36" spans="2:5" ht="15" customHeight="1" x14ac:dyDescent="0.3">
      <c r="B36" s="77"/>
      <c r="C36" s="31" t="s">
        <v>23</v>
      </c>
      <c r="D36" s="30">
        <v>1</v>
      </c>
      <c r="E36" s="29">
        <v>6.2500000000000003E-3</v>
      </c>
    </row>
    <row r="37" spans="2:5" ht="15" customHeight="1" x14ac:dyDescent="0.3">
      <c r="B37" s="78"/>
      <c r="C37" s="28" t="s">
        <v>5</v>
      </c>
      <c r="D37" s="27">
        <v>5</v>
      </c>
      <c r="E37" s="26">
        <v>3.125E-2</v>
      </c>
    </row>
    <row r="38" spans="2:5" ht="15" customHeight="1" x14ac:dyDescent="0.3">
      <c r="B38" s="76" t="s">
        <v>127</v>
      </c>
      <c r="C38" s="31" t="s">
        <v>25</v>
      </c>
      <c r="D38" s="30">
        <v>1</v>
      </c>
      <c r="E38" s="29">
        <v>6.2500000000000003E-3</v>
      </c>
    </row>
    <row r="39" spans="2:5" ht="15" customHeight="1" x14ac:dyDescent="0.3">
      <c r="B39" s="77"/>
      <c r="C39" s="31" t="s">
        <v>27</v>
      </c>
      <c r="D39" s="30">
        <v>1</v>
      </c>
      <c r="E39" s="29">
        <v>6.2500000000000003E-3</v>
      </c>
    </row>
    <row r="40" spans="2:5" ht="15" customHeight="1" x14ac:dyDescent="0.3">
      <c r="B40" s="77"/>
      <c r="C40" s="31" t="s">
        <v>20</v>
      </c>
      <c r="D40" s="30">
        <v>1</v>
      </c>
      <c r="E40" s="29">
        <v>6.2500000000000003E-3</v>
      </c>
    </row>
    <row r="41" spans="2:5" ht="15" customHeight="1" x14ac:dyDescent="0.3">
      <c r="B41" s="78"/>
      <c r="C41" s="28" t="s">
        <v>5</v>
      </c>
      <c r="D41" s="27">
        <v>3</v>
      </c>
      <c r="E41" s="26">
        <v>1.8749999999999999E-2</v>
      </c>
    </row>
    <row r="42" spans="2:5" ht="15" customHeight="1" x14ac:dyDescent="0.3">
      <c r="B42" s="76" t="s">
        <v>126</v>
      </c>
      <c r="C42" s="31" t="s">
        <v>21</v>
      </c>
      <c r="D42" s="30">
        <v>2</v>
      </c>
      <c r="E42" s="29">
        <v>1.2500000000000001E-2</v>
      </c>
    </row>
    <row r="43" spans="2:5" ht="15" customHeight="1" x14ac:dyDescent="0.3">
      <c r="B43" s="77"/>
      <c r="C43" s="31" t="s">
        <v>25</v>
      </c>
      <c r="D43" s="30">
        <v>6</v>
      </c>
      <c r="E43" s="29">
        <v>3.7499999999999999E-2</v>
      </c>
    </row>
    <row r="44" spans="2:5" ht="15" customHeight="1" x14ac:dyDescent="0.3">
      <c r="B44" s="77"/>
      <c r="C44" s="31" t="s">
        <v>19</v>
      </c>
      <c r="D44" s="30">
        <v>2</v>
      </c>
      <c r="E44" s="29">
        <v>1.2500000000000001E-2</v>
      </c>
    </row>
    <row r="45" spans="2:5" ht="15" customHeight="1" x14ac:dyDescent="0.3">
      <c r="B45" s="77"/>
      <c r="C45" s="31" t="s">
        <v>26</v>
      </c>
      <c r="D45" s="30">
        <v>10</v>
      </c>
      <c r="E45" s="29">
        <v>6.25E-2</v>
      </c>
    </row>
    <row r="46" spans="2:5" ht="15" customHeight="1" x14ac:dyDescent="0.3">
      <c r="B46" s="77"/>
      <c r="C46" s="31" t="s">
        <v>27</v>
      </c>
      <c r="D46" s="30">
        <v>20</v>
      </c>
      <c r="E46" s="29">
        <v>0.125</v>
      </c>
    </row>
    <row r="47" spans="2:5" ht="15" customHeight="1" x14ac:dyDescent="0.3">
      <c r="B47" s="77"/>
      <c r="C47" s="31" t="s">
        <v>22</v>
      </c>
      <c r="D47" s="30">
        <v>2</v>
      </c>
      <c r="E47" s="29">
        <v>1.2500000000000001E-2</v>
      </c>
    </row>
    <row r="48" spans="2:5" ht="15" customHeight="1" x14ac:dyDescent="0.3">
      <c r="B48" s="77"/>
      <c r="C48" s="31" t="s">
        <v>12</v>
      </c>
      <c r="D48" s="30">
        <v>2</v>
      </c>
      <c r="E48" s="29">
        <v>1.2500000000000001E-2</v>
      </c>
    </row>
    <row r="49" spans="2:5" ht="15" customHeight="1" x14ac:dyDescent="0.3">
      <c r="B49" s="77"/>
      <c r="C49" s="31" t="s">
        <v>17</v>
      </c>
      <c r="D49" s="30">
        <v>2</v>
      </c>
      <c r="E49" s="29">
        <v>1.2500000000000001E-2</v>
      </c>
    </row>
    <row r="50" spans="2:5" ht="15" customHeight="1" x14ac:dyDescent="0.3">
      <c r="B50" s="77"/>
      <c r="C50" s="31" t="s">
        <v>24</v>
      </c>
      <c r="D50" s="30">
        <v>8</v>
      </c>
      <c r="E50" s="29">
        <v>0.05</v>
      </c>
    </row>
    <row r="51" spans="2:5" ht="15" customHeight="1" x14ac:dyDescent="0.3">
      <c r="B51" s="77"/>
      <c r="C51" s="31" t="s">
        <v>20</v>
      </c>
      <c r="D51" s="30">
        <v>1</v>
      </c>
      <c r="E51" s="29">
        <v>6.2500000000000003E-3</v>
      </c>
    </row>
    <row r="52" spans="2:5" ht="15" customHeight="1" x14ac:dyDescent="0.3">
      <c r="B52" s="77"/>
      <c r="C52" s="31" t="s">
        <v>16</v>
      </c>
      <c r="D52" s="30">
        <v>1</v>
      </c>
      <c r="E52" s="29">
        <v>6.2500000000000003E-3</v>
      </c>
    </row>
    <row r="53" spans="2:5" ht="15" customHeight="1" x14ac:dyDescent="0.3">
      <c r="B53" s="77"/>
      <c r="C53" s="31" t="s">
        <v>9</v>
      </c>
      <c r="D53" s="30">
        <v>1</v>
      </c>
      <c r="E53" s="29">
        <v>6.2500000000000003E-3</v>
      </c>
    </row>
    <row r="54" spans="2:5" ht="15" customHeight="1" x14ac:dyDescent="0.3">
      <c r="B54" s="77"/>
      <c r="C54" s="31" t="s">
        <v>8</v>
      </c>
      <c r="D54" s="30">
        <v>1</v>
      </c>
      <c r="E54" s="29">
        <v>6.2500000000000003E-3</v>
      </c>
    </row>
    <row r="55" spans="2:5" ht="15" customHeight="1" x14ac:dyDescent="0.3">
      <c r="B55" s="77"/>
      <c r="C55" s="31" t="s">
        <v>15</v>
      </c>
      <c r="D55" s="30">
        <v>1</v>
      </c>
      <c r="E55" s="29">
        <v>6.2500000000000003E-3</v>
      </c>
    </row>
    <row r="56" spans="2:5" ht="15" customHeight="1" x14ac:dyDescent="0.3">
      <c r="B56" s="77"/>
      <c r="C56" s="31" t="s">
        <v>14</v>
      </c>
      <c r="D56" s="30">
        <v>1</v>
      </c>
      <c r="E56" s="29">
        <v>6.2500000000000003E-3</v>
      </c>
    </row>
    <row r="57" spans="2:5" ht="15" customHeight="1" x14ac:dyDescent="0.3">
      <c r="B57" s="77"/>
      <c r="C57" s="31" t="s">
        <v>23</v>
      </c>
      <c r="D57" s="30">
        <v>6</v>
      </c>
      <c r="E57" s="29">
        <v>3.7499999999999999E-2</v>
      </c>
    </row>
    <row r="58" spans="2:5" ht="15" customHeight="1" x14ac:dyDescent="0.3">
      <c r="B58" s="77"/>
      <c r="C58" s="31" t="s">
        <v>6</v>
      </c>
      <c r="D58" s="30">
        <v>1</v>
      </c>
      <c r="E58" s="29">
        <v>6.2500000000000003E-3</v>
      </c>
    </row>
    <row r="59" spans="2:5" ht="15" customHeight="1" x14ac:dyDescent="0.3">
      <c r="B59" s="78"/>
      <c r="C59" s="28" t="s">
        <v>5</v>
      </c>
      <c r="D59" s="27">
        <v>67</v>
      </c>
      <c r="E59" s="26">
        <v>0.41875000000000001</v>
      </c>
    </row>
    <row r="60" spans="2:5" ht="15" customHeight="1" x14ac:dyDescent="0.3">
      <c r="B60" s="76" t="s">
        <v>172</v>
      </c>
      <c r="C60" s="31" t="s">
        <v>19</v>
      </c>
      <c r="D60" s="30">
        <v>1</v>
      </c>
      <c r="E60" s="29">
        <v>6.2500000000000003E-3</v>
      </c>
    </row>
    <row r="61" spans="2:5" ht="15" customHeight="1" x14ac:dyDescent="0.3">
      <c r="B61" s="77"/>
      <c r="C61" s="31" t="s">
        <v>26</v>
      </c>
      <c r="D61" s="30">
        <v>1</v>
      </c>
      <c r="E61" s="29">
        <v>6.2500000000000003E-3</v>
      </c>
    </row>
    <row r="62" spans="2:5" ht="15" customHeight="1" x14ac:dyDescent="0.3">
      <c r="B62" s="77"/>
      <c r="C62" s="31" t="s">
        <v>14</v>
      </c>
      <c r="D62" s="30">
        <v>1</v>
      </c>
      <c r="E62" s="29">
        <v>6.2500000000000003E-3</v>
      </c>
    </row>
    <row r="63" spans="2:5" ht="15" customHeight="1" x14ac:dyDescent="0.3">
      <c r="B63" s="78"/>
      <c r="C63" s="28" t="s">
        <v>5</v>
      </c>
      <c r="D63" s="27">
        <v>3</v>
      </c>
      <c r="E63" s="26">
        <v>1.8749999999999999E-2</v>
      </c>
    </row>
    <row r="64" spans="2:5" ht="15" customHeight="1" x14ac:dyDescent="0.3">
      <c r="B64" s="76" t="s">
        <v>124</v>
      </c>
      <c r="C64" s="31" t="s">
        <v>11</v>
      </c>
      <c r="D64" s="30">
        <v>1</v>
      </c>
      <c r="E64" s="29">
        <v>6.2500000000000003E-3</v>
      </c>
    </row>
    <row r="65" spans="2:5" ht="15" customHeight="1" x14ac:dyDescent="0.3">
      <c r="B65" s="77"/>
      <c r="C65" s="31" t="s">
        <v>25</v>
      </c>
      <c r="D65" s="30">
        <v>2</v>
      </c>
      <c r="E65" s="29">
        <v>1.2500000000000001E-2</v>
      </c>
    </row>
    <row r="66" spans="2:5" ht="15" customHeight="1" x14ac:dyDescent="0.3">
      <c r="B66" s="77"/>
      <c r="C66" s="31" t="s">
        <v>26</v>
      </c>
      <c r="D66" s="30">
        <v>1</v>
      </c>
      <c r="E66" s="29">
        <v>6.2500000000000003E-3</v>
      </c>
    </row>
    <row r="67" spans="2:5" ht="15" customHeight="1" x14ac:dyDescent="0.3">
      <c r="B67" s="77"/>
      <c r="C67" s="31" t="s">
        <v>27</v>
      </c>
      <c r="D67" s="30">
        <v>2</v>
      </c>
      <c r="E67" s="29">
        <v>1.2500000000000001E-2</v>
      </c>
    </row>
    <row r="68" spans="2:5" ht="15" customHeight="1" x14ac:dyDescent="0.3">
      <c r="B68" s="77"/>
      <c r="C68" s="31" t="s">
        <v>24</v>
      </c>
      <c r="D68" s="30">
        <v>2</v>
      </c>
      <c r="E68" s="29">
        <v>1.2500000000000001E-2</v>
      </c>
    </row>
    <row r="69" spans="2:5" ht="15" customHeight="1" x14ac:dyDescent="0.3">
      <c r="B69" s="77"/>
      <c r="C69" s="31" t="s">
        <v>16</v>
      </c>
      <c r="D69" s="30">
        <v>1</v>
      </c>
      <c r="E69" s="29">
        <v>6.2500000000000003E-3</v>
      </c>
    </row>
    <row r="70" spans="2:5" ht="15" customHeight="1" x14ac:dyDescent="0.3">
      <c r="B70" s="77"/>
      <c r="C70" s="31" t="s">
        <v>15</v>
      </c>
      <c r="D70" s="30">
        <v>1</v>
      </c>
      <c r="E70" s="29">
        <v>6.2500000000000003E-3</v>
      </c>
    </row>
    <row r="71" spans="2:5" ht="15" customHeight="1" x14ac:dyDescent="0.3">
      <c r="B71" s="77"/>
      <c r="C71" s="31" t="s">
        <v>23</v>
      </c>
      <c r="D71" s="30">
        <v>1</v>
      </c>
      <c r="E71" s="29">
        <v>6.2500000000000003E-3</v>
      </c>
    </row>
    <row r="72" spans="2:5" ht="15" customHeight="1" x14ac:dyDescent="0.3">
      <c r="B72" s="78"/>
      <c r="C72" s="28" t="s">
        <v>5</v>
      </c>
      <c r="D72" s="27">
        <v>11</v>
      </c>
      <c r="E72" s="26">
        <v>6.8750000000000006E-2</v>
      </c>
    </row>
    <row r="73" spans="2:5" ht="15" customHeight="1" x14ac:dyDescent="0.3">
      <c r="B73" s="76" t="s">
        <v>123</v>
      </c>
      <c r="C73" s="31" t="s">
        <v>21</v>
      </c>
      <c r="D73" s="30">
        <v>1</v>
      </c>
      <c r="E73" s="29">
        <v>6.2500000000000003E-3</v>
      </c>
    </row>
    <row r="74" spans="2:5" ht="15" customHeight="1" x14ac:dyDescent="0.3">
      <c r="B74" s="77"/>
      <c r="C74" s="31" t="s">
        <v>25</v>
      </c>
      <c r="D74" s="30">
        <v>4</v>
      </c>
      <c r="E74" s="29">
        <v>2.5000000000000001E-2</v>
      </c>
    </row>
    <row r="75" spans="2:5" ht="15" customHeight="1" x14ac:dyDescent="0.3">
      <c r="B75" s="77"/>
      <c r="C75" s="31" t="s">
        <v>19</v>
      </c>
      <c r="D75" s="30">
        <v>1</v>
      </c>
      <c r="E75" s="29">
        <v>6.2500000000000003E-3</v>
      </c>
    </row>
    <row r="76" spans="2:5" ht="15" customHeight="1" x14ac:dyDescent="0.3">
      <c r="B76" s="77"/>
      <c r="C76" s="31" t="s">
        <v>26</v>
      </c>
      <c r="D76" s="30">
        <v>5</v>
      </c>
      <c r="E76" s="29">
        <v>3.125E-2</v>
      </c>
    </row>
    <row r="77" spans="2:5" ht="15" customHeight="1" x14ac:dyDescent="0.3">
      <c r="B77" s="77"/>
      <c r="C77" s="31" t="s">
        <v>27</v>
      </c>
      <c r="D77" s="30">
        <v>5</v>
      </c>
      <c r="E77" s="29">
        <v>3.125E-2</v>
      </c>
    </row>
    <row r="78" spans="2:5" ht="15" customHeight="1" x14ac:dyDescent="0.3">
      <c r="B78" s="77"/>
      <c r="C78" s="31" t="s">
        <v>18</v>
      </c>
      <c r="D78" s="30">
        <v>2</v>
      </c>
      <c r="E78" s="29">
        <v>1.2500000000000001E-2</v>
      </c>
    </row>
    <row r="79" spans="2:5" ht="15" customHeight="1" x14ac:dyDescent="0.3">
      <c r="B79" s="77"/>
      <c r="C79" s="31" t="s">
        <v>22</v>
      </c>
      <c r="D79" s="30">
        <v>3</v>
      </c>
      <c r="E79" s="29">
        <v>1.8749999999999999E-2</v>
      </c>
    </row>
    <row r="80" spans="2:5" ht="15" customHeight="1" x14ac:dyDescent="0.3">
      <c r="B80" s="77"/>
      <c r="C80" s="31" t="s">
        <v>10</v>
      </c>
      <c r="D80" s="30">
        <v>1</v>
      </c>
      <c r="E80" s="29">
        <v>6.2500000000000003E-3</v>
      </c>
    </row>
    <row r="81" spans="2:5" ht="15" customHeight="1" x14ac:dyDescent="0.3">
      <c r="B81" s="77"/>
      <c r="C81" s="31" t="s">
        <v>17</v>
      </c>
      <c r="D81" s="30">
        <v>1</v>
      </c>
      <c r="E81" s="29">
        <v>6.2500000000000003E-3</v>
      </c>
    </row>
    <row r="82" spans="2:5" ht="15" customHeight="1" x14ac:dyDescent="0.3">
      <c r="B82" s="77"/>
      <c r="C82" s="31" t="s">
        <v>24</v>
      </c>
      <c r="D82" s="30">
        <v>3</v>
      </c>
      <c r="E82" s="29">
        <v>1.8749999999999999E-2</v>
      </c>
    </row>
    <row r="83" spans="2:5" ht="15" customHeight="1" x14ac:dyDescent="0.3">
      <c r="B83" s="77"/>
      <c r="C83" s="31" t="s">
        <v>20</v>
      </c>
      <c r="D83" s="30">
        <v>1</v>
      </c>
      <c r="E83" s="29">
        <v>6.2500000000000003E-3</v>
      </c>
    </row>
    <row r="84" spans="2:5" ht="15" customHeight="1" x14ac:dyDescent="0.3">
      <c r="B84" s="77"/>
      <c r="C84" s="31" t="s">
        <v>16</v>
      </c>
      <c r="D84" s="30">
        <v>2</v>
      </c>
      <c r="E84" s="29">
        <v>1.2500000000000001E-2</v>
      </c>
    </row>
    <row r="85" spans="2:5" ht="15" customHeight="1" x14ac:dyDescent="0.3">
      <c r="B85" s="77"/>
      <c r="C85" s="31" t="s">
        <v>15</v>
      </c>
      <c r="D85" s="30">
        <v>1</v>
      </c>
      <c r="E85" s="29">
        <v>6.2500000000000003E-3</v>
      </c>
    </row>
    <row r="86" spans="2:5" ht="15" customHeight="1" x14ac:dyDescent="0.3">
      <c r="B86" s="77"/>
      <c r="C86" s="31" t="s">
        <v>14</v>
      </c>
      <c r="D86" s="30">
        <v>1</v>
      </c>
      <c r="E86" s="29">
        <v>6.2500000000000003E-3</v>
      </c>
    </row>
    <row r="87" spans="2:5" ht="15" customHeight="1" x14ac:dyDescent="0.3">
      <c r="B87" s="77"/>
      <c r="C87" s="31" t="s">
        <v>23</v>
      </c>
      <c r="D87" s="30">
        <v>1</v>
      </c>
      <c r="E87" s="29">
        <v>6.2500000000000003E-3</v>
      </c>
    </row>
    <row r="88" spans="2:5" ht="15" customHeight="1" x14ac:dyDescent="0.3">
      <c r="B88" s="77"/>
      <c r="C88" s="31" t="s">
        <v>7</v>
      </c>
      <c r="D88" s="30">
        <v>1</v>
      </c>
      <c r="E88" s="29">
        <v>6.2500000000000003E-3</v>
      </c>
    </row>
    <row r="89" spans="2:5" ht="15" customHeight="1" x14ac:dyDescent="0.3">
      <c r="B89" s="78"/>
      <c r="C89" s="28" t="s">
        <v>5</v>
      </c>
      <c r="D89" s="27">
        <v>33</v>
      </c>
      <c r="E89" s="26">
        <v>0.20624999999999999</v>
      </c>
    </row>
    <row r="90" spans="2:5" ht="15" customHeight="1" x14ac:dyDescent="0.3">
      <c r="B90" s="76" t="s">
        <v>122</v>
      </c>
      <c r="C90" s="31" t="s">
        <v>26</v>
      </c>
      <c r="D90" s="30">
        <v>1</v>
      </c>
      <c r="E90" s="29">
        <v>6.2500000000000003E-3</v>
      </c>
    </row>
    <row r="91" spans="2:5" ht="15" customHeight="1" x14ac:dyDescent="0.3">
      <c r="B91" s="78"/>
      <c r="C91" s="28" t="s">
        <v>5</v>
      </c>
      <c r="D91" s="27">
        <v>1</v>
      </c>
      <c r="E91" s="26">
        <v>6.2500000000000003E-3</v>
      </c>
    </row>
    <row r="92" spans="2:5" ht="15" customHeight="1" x14ac:dyDescent="0.3">
      <c r="B92" s="76" t="s">
        <v>121</v>
      </c>
      <c r="C92" s="31" t="s">
        <v>25</v>
      </c>
      <c r="D92" s="30">
        <v>1</v>
      </c>
      <c r="E92" s="29">
        <v>6.2500000000000003E-3</v>
      </c>
    </row>
    <row r="93" spans="2:5" ht="15" customHeight="1" x14ac:dyDescent="0.3">
      <c r="B93" s="78"/>
      <c r="C93" s="28" t="s">
        <v>5</v>
      </c>
      <c r="D93" s="27">
        <v>1</v>
      </c>
      <c r="E93" s="26">
        <v>6.2500000000000003E-3</v>
      </c>
    </row>
    <row r="94" spans="2:5" ht="15" customHeight="1" x14ac:dyDescent="0.3">
      <c r="B94" s="76" t="s">
        <v>120</v>
      </c>
      <c r="C94" s="31" t="s">
        <v>25</v>
      </c>
      <c r="D94" s="30">
        <v>2</v>
      </c>
      <c r="E94" s="29">
        <v>1.2500000000000001E-2</v>
      </c>
    </row>
    <row r="95" spans="2:5" ht="15" customHeight="1" x14ac:dyDescent="0.3">
      <c r="B95" s="77"/>
      <c r="C95" s="31" t="s">
        <v>26</v>
      </c>
      <c r="D95" s="30">
        <v>1</v>
      </c>
      <c r="E95" s="29">
        <v>6.2500000000000003E-3</v>
      </c>
    </row>
    <row r="96" spans="2:5" ht="15" customHeight="1" x14ac:dyDescent="0.3">
      <c r="B96" s="78"/>
      <c r="C96" s="28" t="s">
        <v>5</v>
      </c>
      <c r="D96" s="27">
        <v>3</v>
      </c>
      <c r="E96" s="26">
        <v>1.8749999999999999E-2</v>
      </c>
    </row>
    <row r="97" spans="2:5" ht="15" customHeight="1" x14ac:dyDescent="0.3">
      <c r="B97" s="76" t="s">
        <v>171</v>
      </c>
      <c r="C97" s="31" t="s">
        <v>25</v>
      </c>
      <c r="D97" s="30">
        <v>1</v>
      </c>
      <c r="E97" s="29">
        <v>6.2500000000000003E-3</v>
      </c>
    </row>
    <row r="98" spans="2:5" ht="15" customHeight="1" x14ac:dyDescent="0.3">
      <c r="B98" s="77"/>
      <c r="C98" s="31" t="s">
        <v>27</v>
      </c>
      <c r="D98" s="30">
        <v>1</v>
      </c>
      <c r="E98" s="29">
        <v>6.2500000000000003E-3</v>
      </c>
    </row>
    <row r="99" spans="2:5" ht="15" customHeight="1" x14ac:dyDescent="0.3">
      <c r="B99" s="77"/>
      <c r="C99" s="31" t="s">
        <v>15</v>
      </c>
      <c r="D99" s="30">
        <v>1</v>
      </c>
      <c r="E99" s="29">
        <v>6.2500000000000003E-3</v>
      </c>
    </row>
    <row r="100" spans="2:5" ht="15" customHeight="1" x14ac:dyDescent="0.3">
      <c r="B100" s="78"/>
      <c r="C100" s="28" t="s">
        <v>5</v>
      </c>
      <c r="D100" s="27">
        <v>3</v>
      </c>
      <c r="E100" s="26">
        <v>1.8749999999999999E-2</v>
      </c>
    </row>
    <row r="101" spans="2:5" ht="15" customHeight="1" x14ac:dyDescent="0.3">
      <c r="B101" s="82" t="s">
        <v>5</v>
      </c>
      <c r="C101" s="83"/>
      <c r="D101" s="25">
        <v>160</v>
      </c>
      <c r="E101" s="24">
        <v>1</v>
      </c>
    </row>
    <row r="103" spans="2:5" ht="15" customHeight="1" x14ac:dyDescent="0.3">
      <c r="B103" s="3" t="s">
        <v>4</v>
      </c>
    </row>
    <row r="104" spans="2:5" ht="15" customHeight="1" x14ac:dyDescent="0.3">
      <c r="B104" s="5" t="s">
        <v>3</v>
      </c>
    </row>
    <row r="105" spans="2:5" ht="15" customHeight="1" x14ac:dyDescent="0.3">
      <c r="B105" s="4" t="s">
        <v>2</v>
      </c>
    </row>
    <row r="106" spans="2:5" ht="15" customHeight="1" x14ac:dyDescent="0.3">
      <c r="B106" s="3" t="s">
        <v>1</v>
      </c>
    </row>
    <row r="107" spans="2:5" ht="15" customHeight="1" x14ac:dyDescent="0.3">
      <c r="B107" s="3" t="s">
        <v>0</v>
      </c>
    </row>
  </sheetData>
  <mergeCells count="17">
    <mergeCell ref="B7:E8"/>
    <mergeCell ref="B10:B11"/>
    <mergeCell ref="B12:B13"/>
    <mergeCell ref="B14:B20"/>
    <mergeCell ref="B21:B29"/>
    <mergeCell ref="B101:C101"/>
    <mergeCell ref="B73:B89"/>
    <mergeCell ref="B30:B31"/>
    <mergeCell ref="B90:B91"/>
    <mergeCell ref="B92:B93"/>
    <mergeCell ref="B94:B96"/>
    <mergeCell ref="B97:B100"/>
    <mergeCell ref="B32:B37"/>
    <mergeCell ref="B38:B41"/>
    <mergeCell ref="B42:B59"/>
    <mergeCell ref="B60:B63"/>
    <mergeCell ref="B64:B7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41" max="4" man="1"/>
    <brk id="72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topLeftCell="A2" zoomScaleNormal="100" zoomScaleSheetLayoutView="115" workbookViewId="0">
      <selection activeCell="F9" sqref="F9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140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139</v>
      </c>
      <c r="C11" s="15" t="s">
        <v>29</v>
      </c>
      <c r="D11" s="14" t="s">
        <v>28</v>
      </c>
    </row>
    <row r="12" spans="2:4" ht="15" customHeight="1" x14ac:dyDescent="0.3">
      <c r="B12" s="11" t="s">
        <v>138</v>
      </c>
      <c r="C12" s="10">
        <v>106</v>
      </c>
      <c r="D12" s="9">
        <v>0.66249999999999998</v>
      </c>
    </row>
    <row r="13" spans="2:4" ht="15" customHeight="1" x14ac:dyDescent="0.3">
      <c r="B13" s="11" t="s">
        <v>137</v>
      </c>
      <c r="C13" s="10">
        <v>54</v>
      </c>
      <c r="D13" s="9">
        <v>0.33750000000000002</v>
      </c>
    </row>
    <row r="14" spans="2:4" x14ac:dyDescent="0.3">
      <c r="B14" s="8" t="s">
        <v>136</v>
      </c>
      <c r="C14" s="7">
        <v>160</v>
      </c>
      <c r="D14" s="6">
        <v>1</v>
      </c>
    </row>
    <row r="15" spans="2:4" s="12" customFormat="1" ht="15" x14ac:dyDescent="0.3">
      <c r="C15" s="46"/>
    </row>
    <row r="16" spans="2:4" s="12" customFormat="1" ht="15" x14ac:dyDescent="0.3">
      <c r="B16" s="3" t="s">
        <v>4</v>
      </c>
      <c r="C16" s="46"/>
    </row>
    <row r="17" spans="2:4" x14ac:dyDescent="0.3">
      <c r="B17" s="5" t="s">
        <v>3</v>
      </c>
      <c r="C17" s="45"/>
      <c r="D17" s="45"/>
    </row>
    <row r="18" spans="2:4" x14ac:dyDescent="0.3">
      <c r="B18" s="4" t="s">
        <v>2</v>
      </c>
      <c r="C18" s="44"/>
      <c r="D18" s="44"/>
    </row>
    <row r="19" spans="2:4" x14ac:dyDescent="0.3">
      <c r="B19" s="3" t="s">
        <v>1</v>
      </c>
    </row>
    <row r="20" spans="2:4" x14ac:dyDescent="0.3">
      <c r="B2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51"/>
  <sheetViews>
    <sheetView topLeftCell="A67" zoomScale="110" zoomScaleNormal="110" zoomScaleSheetLayoutView="100" workbookViewId="0">
      <selection activeCell="D67" sqref="D67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2"/>
      <c r="D6" s="32"/>
      <c r="E6" s="32"/>
    </row>
    <row r="7" spans="1:5" s="36" customFormat="1" ht="26.25" customHeight="1" x14ac:dyDescent="0.25">
      <c r="A7" s="37"/>
      <c r="B7" s="81"/>
      <c r="C7" s="81"/>
      <c r="D7" s="81"/>
      <c r="E7" s="81"/>
    </row>
    <row r="8" spans="1:5" s="36" customFormat="1" ht="33" customHeight="1" x14ac:dyDescent="0.25">
      <c r="A8" s="37"/>
      <c r="B8" s="81"/>
      <c r="C8" s="81"/>
      <c r="D8" s="81"/>
      <c r="E8" s="81"/>
    </row>
    <row r="9" spans="1:5" s="13" customFormat="1" ht="40.5" customHeight="1" x14ac:dyDescent="0.2">
      <c r="B9" s="33" t="s">
        <v>30</v>
      </c>
      <c r="C9" s="35" t="s">
        <v>139</v>
      </c>
      <c r="D9" s="34" t="s">
        <v>29</v>
      </c>
      <c r="E9" s="33" t="s">
        <v>28</v>
      </c>
    </row>
    <row r="10" spans="1:5" ht="15" customHeight="1" x14ac:dyDescent="0.3">
      <c r="B10" s="76" t="s">
        <v>11</v>
      </c>
      <c r="C10" s="31" t="s">
        <v>142</v>
      </c>
      <c r="D10" s="30">
        <v>1</v>
      </c>
      <c r="E10" s="29">
        <v>6.2500000000000003E-3</v>
      </c>
    </row>
    <row r="11" spans="1:5" ht="15" customHeight="1" x14ac:dyDescent="0.3">
      <c r="B11" s="78"/>
      <c r="C11" s="28" t="s">
        <v>5</v>
      </c>
      <c r="D11" s="27">
        <v>1</v>
      </c>
      <c r="E11" s="26">
        <v>6.2500000000000003E-3</v>
      </c>
    </row>
    <row r="12" spans="1:5" ht="15" customHeight="1" x14ac:dyDescent="0.3">
      <c r="B12" s="76" t="s">
        <v>21</v>
      </c>
      <c r="C12" s="31" t="s">
        <v>142</v>
      </c>
      <c r="D12" s="30">
        <v>5</v>
      </c>
      <c r="E12" s="29">
        <v>3.125E-2</v>
      </c>
    </row>
    <row r="13" spans="1:5" ht="15" customHeight="1" x14ac:dyDescent="0.3">
      <c r="B13" s="77"/>
      <c r="C13" s="31" t="s">
        <v>141</v>
      </c>
      <c r="D13" s="30">
        <v>1</v>
      </c>
      <c r="E13" s="29">
        <v>6.2500000000000003E-3</v>
      </c>
    </row>
    <row r="14" spans="1:5" ht="15" customHeight="1" x14ac:dyDescent="0.3">
      <c r="B14" s="78"/>
      <c r="C14" s="28" t="s">
        <v>5</v>
      </c>
      <c r="D14" s="27">
        <v>6</v>
      </c>
      <c r="E14" s="26">
        <v>3.7499999999999999E-2</v>
      </c>
    </row>
    <row r="15" spans="1:5" ht="15" customHeight="1" x14ac:dyDescent="0.3">
      <c r="B15" s="76" t="s">
        <v>25</v>
      </c>
      <c r="C15" s="31" t="s">
        <v>142</v>
      </c>
      <c r="D15" s="30">
        <v>11</v>
      </c>
      <c r="E15" s="29">
        <v>6.8750000000000006E-2</v>
      </c>
    </row>
    <row r="16" spans="1:5" ht="15" customHeight="1" x14ac:dyDescent="0.3">
      <c r="B16" s="77"/>
      <c r="C16" s="31" t="s">
        <v>141</v>
      </c>
      <c r="D16" s="30">
        <v>10</v>
      </c>
      <c r="E16" s="29">
        <v>6.25E-2</v>
      </c>
    </row>
    <row r="17" spans="2:5" ht="15" customHeight="1" x14ac:dyDescent="0.3">
      <c r="B17" s="78"/>
      <c r="C17" s="28" t="s">
        <v>5</v>
      </c>
      <c r="D17" s="27">
        <v>21</v>
      </c>
      <c r="E17" s="26">
        <v>0.13125000000000001</v>
      </c>
    </row>
    <row r="18" spans="2:5" ht="15" customHeight="1" x14ac:dyDescent="0.3">
      <c r="B18" s="76" t="s">
        <v>19</v>
      </c>
      <c r="C18" s="31" t="s">
        <v>142</v>
      </c>
      <c r="D18" s="30">
        <v>3</v>
      </c>
      <c r="E18" s="29">
        <v>1.8749999999999999E-2</v>
      </c>
    </row>
    <row r="19" spans="2:5" ht="15" customHeight="1" x14ac:dyDescent="0.3">
      <c r="B19" s="77"/>
      <c r="C19" s="31" t="s">
        <v>141</v>
      </c>
      <c r="D19" s="30">
        <v>1</v>
      </c>
      <c r="E19" s="29">
        <v>6.2500000000000003E-3</v>
      </c>
    </row>
    <row r="20" spans="2:5" ht="15" customHeight="1" x14ac:dyDescent="0.3">
      <c r="B20" s="78"/>
      <c r="C20" s="28" t="s">
        <v>5</v>
      </c>
      <c r="D20" s="27">
        <v>4</v>
      </c>
      <c r="E20" s="26">
        <v>2.5000000000000001E-2</v>
      </c>
    </row>
    <row r="21" spans="2:5" ht="15" customHeight="1" x14ac:dyDescent="0.3">
      <c r="B21" s="76" t="s">
        <v>13</v>
      </c>
      <c r="C21" s="31" t="s">
        <v>142</v>
      </c>
      <c r="D21" s="30">
        <v>2</v>
      </c>
      <c r="E21" s="29">
        <v>1.2500000000000001E-2</v>
      </c>
    </row>
    <row r="22" spans="2:5" ht="15" customHeight="1" x14ac:dyDescent="0.3">
      <c r="B22" s="78"/>
      <c r="C22" s="28" t="s">
        <v>5</v>
      </c>
      <c r="D22" s="27">
        <v>2</v>
      </c>
      <c r="E22" s="26">
        <v>1.2500000000000001E-2</v>
      </c>
    </row>
    <row r="23" spans="2:5" ht="15" customHeight="1" x14ac:dyDescent="0.3">
      <c r="B23" s="76" t="s">
        <v>26</v>
      </c>
      <c r="C23" s="31" t="s">
        <v>142</v>
      </c>
      <c r="D23" s="30">
        <v>14</v>
      </c>
      <c r="E23" s="29">
        <v>8.7499999999999994E-2</v>
      </c>
    </row>
    <row r="24" spans="2:5" ht="15" customHeight="1" x14ac:dyDescent="0.3">
      <c r="B24" s="77"/>
      <c r="C24" s="31" t="s">
        <v>141</v>
      </c>
      <c r="D24" s="30">
        <v>9</v>
      </c>
      <c r="E24" s="29">
        <v>5.6250000000000001E-2</v>
      </c>
    </row>
    <row r="25" spans="2:5" ht="15" customHeight="1" x14ac:dyDescent="0.3">
      <c r="B25" s="78"/>
      <c r="C25" s="28" t="s">
        <v>5</v>
      </c>
      <c r="D25" s="27">
        <v>23</v>
      </c>
      <c r="E25" s="26">
        <v>0.14374999999999999</v>
      </c>
    </row>
    <row r="26" spans="2:5" ht="15" customHeight="1" x14ac:dyDescent="0.3">
      <c r="B26" s="76" t="s">
        <v>27</v>
      </c>
      <c r="C26" s="31" t="s">
        <v>142</v>
      </c>
      <c r="D26" s="30">
        <v>28</v>
      </c>
      <c r="E26" s="29">
        <v>0.17499999999999999</v>
      </c>
    </row>
    <row r="27" spans="2:5" ht="15" customHeight="1" x14ac:dyDescent="0.3">
      <c r="B27" s="77"/>
      <c r="C27" s="31" t="s">
        <v>141</v>
      </c>
      <c r="D27" s="30">
        <v>9</v>
      </c>
      <c r="E27" s="29">
        <v>5.6250000000000001E-2</v>
      </c>
    </row>
    <row r="28" spans="2:5" ht="15" customHeight="1" x14ac:dyDescent="0.3">
      <c r="B28" s="78"/>
      <c r="C28" s="28" t="s">
        <v>5</v>
      </c>
      <c r="D28" s="27">
        <v>37</v>
      </c>
      <c r="E28" s="26">
        <v>0.23125000000000001</v>
      </c>
    </row>
    <row r="29" spans="2:5" ht="15" customHeight="1" x14ac:dyDescent="0.3">
      <c r="B29" s="76" t="s">
        <v>18</v>
      </c>
      <c r="C29" s="31" t="s">
        <v>142</v>
      </c>
      <c r="D29" s="30">
        <v>3</v>
      </c>
      <c r="E29" s="29">
        <v>1.8749999999999999E-2</v>
      </c>
    </row>
    <row r="30" spans="2:5" ht="15" customHeight="1" x14ac:dyDescent="0.3">
      <c r="B30" s="77"/>
      <c r="C30" s="31" t="s">
        <v>141</v>
      </c>
      <c r="D30" s="30">
        <v>1</v>
      </c>
      <c r="E30" s="29">
        <v>6.2500000000000003E-3</v>
      </c>
    </row>
    <row r="31" spans="2:5" ht="15" customHeight="1" x14ac:dyDescent="0.3">
      <c r="B31" s="78"/>
      <c r="C31" s="28" t="s">
        <v>5</v>
      </c>
      <c r="D31" s="27">
        <v>4</v>
      </c>
      <c r="E31" s="26">
        <v>2.5000000000000001E-2</v>
      </c>
    </row>
    <row r="32" spans="2:5" ht="15" customHeight="1" x14ac:dyDescent="0.3">
      <c r="B32" s="76" t="s">
        <v>22</v>
      </c>
      <c r="C32" s="31" t="s">
        <v>142</v>
      </c>
      <c r="D32" s="30">
        <v>2</v>
      </c>
      <c r="E32" s="29">
        <v>1.2500000000000001E-2</v>
      </c>
    </row>
    <row r="33" spans="2:5" ht="15" customHeight="1" x14ac:dyDescent="0.3">
      <c r="B33" s="77"/>
      <c r="C33" s="31" t="s">
        <v>141</v>
      </c>
      <c r="D33" s="30">
        <v>6</v>
      </c>
      <c r="E33" s="29">
        <v>3.7499999999999999E-2</v>
      </c>
    </row>
    <row r="34" spans="2:5" ht="15" customHeight="1" x14ac:dyDescent="0.3">
      <c r="B34" s="78"/>
      <c r="C34" s="28" t="s">
        <v>5</v>
      </c>
      <c r="D34" s="27">
        <v>8</v>
      </c>
      <c r="E34" s="26">
        <v>0.05</v>
      </c>
    </row>
    <row r="35" spans="2:5" ht="15" customHeight="1" x14ac:dyDescent="0.3">
      <c r="B35" s="76" t="s">
        <v>10</v>
      </c>
      <c r="C35" s="31" t="s">
        <v>142</v>
      </c>
      <c r="D35" s="30">
        <v>1</v>
      </c>
      <c r="E35" s="29">
        <v>6.2500000000000003E-3</v>
      </c>
    </row>
    <row r="36" spans="2:5" ht="15" customHeight="1" x14ac:dyDescent="0.3">
      <c r="B36" s="78"/>
      <c r="C36" s="28" t="s">
        <v>5</v>
      </c>
      <c r="D36" s="27">
        <v>1</v>
      </c>
      <c r="E36" s="26">
        <v>6.2500000000000003E-3</v>
      </c>
    </row>
    <row r="37" spans="2:5" ht="15" customHeight="1" x14ac:dyDescent="0.3">
      <c r="B37" s="76" t="s">
        <v>12</v>
      </c>
      <c r="C37" s="31" t="s">
        <v>142</v>
      </c>
      <c r="D37" s="30">
        <v>2</v>
      </c>
      <c r="E37" s="29">
        <v>1.2500000000000001E-2</v>
      </c>
    </row>
    <row r="38" spans="2:5" ht="15" customHeight="1" x14ac:dyDescent="0.3">
      <c r="B38" s="78"/>
      <c r="C38" s="28" t="s">
        <v>5</v>
      </c>
      <c r="D38" s="27">
        <v>2</v>
      </c>
      <c r="E38" s="26">
        <v>1.2500000000000001E-2</v>
      </c>
    </row>
    <row r="39" spans="2:5" ht="15" customHeight="1" x14ac:dyDescent="0.3">
      <c r="B39" s="76" t="s">
        <v>17</v>
      </c>
      <c r="C39" s="31" t="s">
        <v>142</v>
      </c>
      <c r="D39" s="30">
        <v>3</v>
      </c>
      <c r="E39" s="29">
        <v>1.8749999999999999E-2</v>
      </c>
    </row>
    <row r="40" spans="2:5" ht="15" customHeight="1" x14ac:dyDescent="0.3">
      <c r="B40" s="77"/>
      <c r="C40" s="31" t="s">
        <v>141</v>
      </c>
      <c r="D40" s="30">
        <v>1</v>
      </c>
      <c r="E40" s="29">
        <v>6.2500000000000003E-3</v>
      </c>
    </row>
    <row r="41" spans="2:5" ht="15" customHeight="1" x14ac:dyDescent="0.3">
      <c r="B41" s="78"/>
      <c r="C41" s="28" t="s">
        <v>5</v>
      </c>
      <c r="D41" s="27">
        <v>4</v>
      </c>
      <c r="E41" s="26">
        <v>2.5000000000000001E-2</v>
      </c>
    </row>
    <row r="42" spans="2:5" ht="15" customHeight="1" x14ac:dyDescent="0.3">
      <c r="B42" s="76" t="s">
        <v>24</v>
      </c>
      <c r="C42" s="31" t="s">
        <v>142</v>
      </c>
      <c r="D42" s="30">
        <v>11</v>
      </c>
      <c r="E42" s="29">
        <v>6.8750000000000006E-2</v>
      </c>
    </row>
    <row r="43" spans="2:5" ht="15" customHeight="1" x14ac:dyDescent="0.3">
      <c r="B43" s="77"/>
      <c r="C43" s="31" t="s">
        <v>141</v>
      </c>
      <c r="D43" s="30">
        <v>5</v>
      </c>
      <c r="E43" s="29">
        <v>3.125E-2</v>
      </c>
    </row>
    <row r="44" spans="2:5" ht="15" customHeight="1" x14ac:dyDescent="0.3">
      <c r="B44" s="78"/>
      <c r="C44" s="28" t="s">
        <v>5</v>
      </c>
      <c r="D44" s="27">
        <v>16</v>
      </c>
      <c r="E44" s="26">
        <v>0.1</v>
      </c>
    </row>
    <row r="45" spans="2:5" ht="15" customHeight="1" x14ac:dyDescent="0.3">
      <c r="B45" s="76" t="s">
        <v>20</v>
      </c>
      <c r="C45" s="31" t="s">
        <v>142</v>
      </c>
      <c r="D45" s="30">
        <v>3</v>
      </c>
      <c r="E45" s="29">
        <v>1.8749999999999999E-2</v>
      </c>
    </row>
    <row r="46" spans="2:5" ht="15" customHeight="1" x14ac:dyDescent="0.3">
      <c r="B46" s="77"/>
      <c r="C46" s="31" t="s">
        <v>141</v>
      </c>
      <c r="D46" s="30">
        <v>3</v>
      </c>
      <c r="E46" s="29">
        <v>1.8749999999999999E-2</v>
      </c>
    </row>
    <row r="47" spans="2:5" ht="15" customHeight="1" x14ac:dyDescent="0.3">
      <c r="B47" s="78"/>
      <c r="C47" s="28" t="s">
        <v>5</v>
      </c>
      <c r="D47" s="27">
        <v>6</v>
      </c>
      <c r="E47" s="26">
        <v>3.7499999999999999E-2</v>
      </c>
    </row>
    <row r="48" spans="2:5" ht="15" customHeight="1" x14ac:dyDescent="0.3">
      <c r="B48" s="76" t="s">
        <v>16</v>
      </c>
      <c r="C48" s="31" t="s">
        <v>142</v>
      </c>
      <c r="D48" s="30">
        <v>3</v>
      </c>
      <c r="E48" s="29">
        <v>1.8749999999999999E-2</v>
      </c>
    </row>
    <row r="49" spans="2:5" ht="15" customHeight="1" x14ac:dyDescent="0.3">
      <c r="B49" s="77"/>
      <c r="C49" s="31" t="s">
        <v>141</v>
      </c>
      <c r="D49" s="30">
        <v>1</v>
      </c>
      <c r="E49" s="29">
        <v>6.2500000000000003E-3</v>
      </c>
    </row>
    <row r="50" spans="2:5" ht="15" customHeight="1" x14ac:dyDescent="0.3">
      <c r="B50" s="78"/>
      <c r="C50" s="28" t="s">
        <v>5</v>
      </c>
      <c r="D50" s="27">
        <v>4</v>
      </c>
      <c r="E50" s="26">
        <v>2.5000000000000001E-2</v>
      </c>
    </row>
    <row r="51" spans="2:5" ht="15" customHeight="1" x14ac:dyDescent="0.3">
      <c r="B51" s="76" t="s">
        <v>9</v>
      </c>
      <c r="C51" s="31" t="s">
        <v>142</v>
      </c>
      <c r="D51" s="30">
        <v>1</v>
      </c>
      <c r="E51" s="29">
        <v>6.2500000000000003E-3</v>
      </c>
    </row>
    <row r="52" spans="2:5" ht="15" customHeight="1" x14ac:dyDescent="0.3">
      <c r="B52" s="78"/>
      <c r="C52" s="28" t="s">
        <v>5</v>
      </c>
      <c r="D52" s="27">
        <v>1</v>
      </c>
      <c r="E52" s="26">
        <v>6.2500000000000003E-3</v>
      </c>
    </row>
    <row r="53" spans="2:5" ht="15" customHeight="1" x14ac:dyDescent="0.3">
      <c r="B53" s="76" t="s">
        <v>8</v>
      </c>
      <c r="C53" s="31" t="s">
        <v>142</v>
      </c>
      <c r="D53" s="30">
        <v>1</v>
      </c>
      <c r="E53" s="29">
        <v>6.2500000000000003E-3</v>
      </c>
    </row>
    <row r="54" spans="2:5" ht="15" customHeight="1" x14ac:dyDescent="0.3">
      <c r="B54" s="78"/>
      <c r="C54" s="28" t="s">
        <v>5</v>
      </c>
      <c r="D54" s="27">
        <v>1</v>
      </c>
      <c r="E54" s="26">
        <v>6.2500000000000003E-3</v>
      </c>
    </row>
    <row r="55" spans="2:5" ht="15" customHeight="1" x14ac:dyDescent="0.3">
      <c r="B55" s="76" t="s">
        <v>15</v>
      </c>
      <c r="C55" s="31" t="s">
        <v>142</v>
      </c>
      <c r="D55" s="30">
        <v>2</v>
      </c>
      <c r="E55" s="29">
        <v>1.2500000000000001E-2</v>
      </c>
    </row>
    <row r="56" spans="2:5" ht="15" customHeight="1" x14ac:dyDescent="0.3">
      <c r="B56" s="77"/>
      <c r="C56" s="31" t="s">
        <v>141</v>
      </c>
      <c r="D56" s="30">
        <v>2</v>
      </c>
      <c r="E56" s="29">
        <v>1.2500000000000001E-2</v>
      </c>
    </row>
    <row r="57" spans="2:5" ht="15" customHeight="1" x14ac:dyDescent="0.3">
      <c r="B57" s="78"/>
      <c r="C57" s="28" t="s">
        <v>5</v>
      </c>
      <c r="D57" s="27">
        <v>4</v>
      </c>
      <c r="E57" s="26">
        <v>2.5000000000000001E-2</v>
      </c>
    </row>
    <row r="58" spans="2:5" ht="15" customHeight="1" x14ac:dyDescent="0.3">
      <c r="B58" s="76" t="s">
        <v>14</v>
      </c>
      <c r="C58" s="31" t="s">
        <v>142</v>
      </c>
      <c r="D58" s="30">
        <v>3</v>
      </c>
      <c r="E58" s="29">
        <v>1.8749999999999999E-2</v>
      </c>
    </row>
    <row r="59" spans="2:5" ht="15" customHeight="1" x14ac:dyDescent="0.3">
      <c r="B59" s="77"/>
      <c r="C59" s="31" t="s">
        <v>141</v>
      </c>
      <c r="D59" s="30">
        <v>1</v>
      </c>
      <c r="E59" s="29">
        <v>6.2500000000000003E-3</v>
      </c>
    </row>
    <row r="60" spans="2:5" ht="15" customHeight="1" x14ac:dyDescent="0.3">
      <c r="B60" s="78"/>
      <c r="C60" s="28" t="s">
        <v>5</v>
      </c>
      <c r="D60" s="27">
        <v>4</v>
      </c>
      <c r="E60" s="26">
        <v>2.5000000000000001E-2</v>
      </c>
    </row>
    <row r="61" spans="2:5" ht="15" customHeight="1" x14ac:dyDescent="0.3">
      <c r="B61" s="76" t="s">
        <v>23</v>
      </c>
      <c r="C61" s="31" t="s">
        <v>142</v>
      </c>
      <c r="D61" s="30">
        <v>6</v>
      </c>
      <c r="E61" s="29">
        <v>3.7499999999999999E-2</v>
      </c>
    </row>
    <row r="62" spans="2:5" ht="15" customHeight="1" x14ac:dyDescent="0.3">
      <c r="B62" s="77"/>
      <c r="C62" s="31" t="s">
        <v>141</v>
      </c>
      <c r="D62" s="30">
        <v>3</v>
      </c>
      <c r="E62" s="29">
        <v>1.8749999999999999E-2</v>
      </c>
    </row>
    <row r="63" spans="2:5" ht="15" customHeight="1" x14ac:dyDescent="0.3">
      <c r="B63" s="78"/>
      <c r="C63" s="28" t="s">
        <v>5</v>
      </c>
      <c r="D63" s="27">
        <v>9</v>
      </c>
      <c r="E63" s="26">
        <v>5.6250000000000001E-2</v>
      </c>
    </row>
    <row r="64" spans="2:5" ht="15" customHeight="1" x14ac:dyDescent="0.3">
      <c r="B64" s="77" t="s">
        <v>7</v>
      </c>
      <c r="C64" s="31" t="s">
        <v>141</v>
      </c>
      <c r="D64" s="30">
        <v>1</v>
      </c>
      <c r="E64" s="29">
        <v>6.2500000000000003E-3</v>
      </c>
    </row>
    <row r="65" spans="2:5" ht="15" customHeight="1" x14ac:dyDescent="0.3">
      <c r="B65" s="78"/>
      <c r="C65" s="28" t="s">
        <v>5</v>
      </c>
      <c r="D65" s="27">
        <v>1</v>
      </c>
      <c r="E65" s="26">
        <v>6.2500000000000003E-3</v>
      </c>
    </row>
    <row r="66" spans="2:5" ht="15" customHeight="1" x14ac:dyDescent="0.3">
      <c r="B66" s="76" t="s">
        <v>6</v>
      </c>
      <c r="C66" s="31" t="s">
        <v>142</v>
      </c>
      <c r="D66" s="30">
        <v>1</v>
      </c>
      <c r="E66" s="29">
        <v>6.2500000000000003E-3</v>
      </c>
    </row>
    <row r="67" spans="2:5" ht="15" customHeight="1" x14ac:dyDescent="0.3">
      <c r="B67" s="78"/>
      <c r="C67" s="28" t="s">
        <v>5</v>
      </c>
      <c r="D67" s="27">
        <v>1</v>
      </c>
      <c r="E67" s="26">
        <v>6.2500000000000003E-3</v>
      </c>
    </row>
    <row r="68" spans="2:5" ht="15" customHeight="1" x14ac:dyDescent="0.3">
      <c r="B68" s="82" t="s">
        <v>5</v>
      </c>
      <c r="C68" s="83"/>
      <c r="D68" s="25">
        <f>SUMIF(C10:C67,"TOTAL",D10:D67)</f>
        <v>160</v>
      </c>
      <c r="E68" s="24">
        <v>1</v>
      </c>
    </row>
    <row r="70" spans="2:5" ht="15" customHeight="1" x14ac:dyDescent="0.3">
      <c r="B70" s="3" t="s">
        <v>4</v>
      </c>
    </row>
    <row r="71" spans="2:5" ht="15" customHeight="1" x14ac:dyDescent="0.3">
      <c r="B71" s="5" t="s">
        <v>3</v>
      </c>
    </row>
    <row r="72" spans="2:5" ht="15" customHeight="1" x14ac:dyDescent="0.3">
      <c r="B72" s="4" t="s">
        <v>2</v>
      </c>
    </row>
    <row r="73" spans="2:5" ht="15" customHeight="1" x14ac:dyDescent="0.3">
      <c r="B73" s="3" t="s">
        <v>1</v>
      </c>
    </row>
    <row r="74" spans="2:5" ht="15" customHeight="1" x14ac:dyDescent="0.3">
      <c r="B74" s="3" t="s">
        <v>0</v>
      </c>
    </row>
    <row r="447" spans="2:2" s="21" customFormat="1" ht="15" customHeight="1" x14ac:dyDescent="0.3">
      <c r="B447" s="22"/>
    </row>
    <row r="448" spans="2:2" s="21" customFormat="1" ht="15" customHeight="1" x14ac:dyDescent="0.3">
      <c r="B448" s="23"/>
    </row>
    <row r="449" spans="2:2" s="21" customFormat="1" ht="15" customHeight="1" x14ac:dyDescent="0.3">
      <c r="B449" s="23"/>
    </row>
    <row r="450" spans="2:2" s="21" customFormat="1" ht="15" customHeight="1" x14ac:dyDescent="0.3">
      <c r="B450" s="22"/>
    </row>
    <row r="451" spans="2:2" s="21" customFormat="1" ht="15" customHeight="1" x14ac:dyDescent="0.3">
      <c r="B451" s="22"/>
    </row>
  </sheetData>
  <mergeCells count="24">
    <mergeCell ref="B7:E8"/>
    <mergeCell ref="B10:B11"/>
    <mergeCell ref="B18:B20"/>
    <mergeCell ref="B21:B22"/>
    <mergeCell ref="B23:B25"/>
    <mergeCell ref="B26:B28"/>
    <mergeCell ref="B12:B14"/>
    <mergeCell ref="B15:B17"/>
    <mergeCell ref="B39:B41"/>
    <mergeCell ref="B42:B44"/>
    <mergeCell ref="B45:B47"/>
    <mergeCell ref="B61:B63"/>
    <mergeCell ref="B29:B31"/>
    <mergeCell ref="B32:B34"/>
    <mergeCell ref="B35:B36"/>
    <mergeCell ref="B37:B38"/>
    <mergeCell ref="B64:B65"/>
    <mergeCell ref="B66:B67"/>
    <mergeCell ref="B68:C68"/>
    <mergeCell ref="B48:B50"/>
    <mergeCell ref="B51:B52"/>
    <mergeCell ref="B53:B54"/>
    <mergeCell ref="B55:B57"/>
    <mergeCell ref="B58:B6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28" max="4" man="1"/>
    <brk id="57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topLeftCell="A16" zoomScale="145" zoomScaleNormal="145" zoomScaleSheetLayoutView="100" workbookViewId="0">
      <selection activeCell="F8" sqref="F8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2"/>
      <c r="D6" s="32"/>
      <c r="E6" s="32"/>
    </row>
    <row r="7" spans="1:5" s="36" customFormat="1" ht="26.25" customHeight="1" x14ac:dyDescent="0.25">
      <c r="A7" s="37"/>
      <c r="B7" s="81"/>
      <c r="C7" s="81"/>
      <c r="D7" s="81"/>
      <c r="E7" s="81"/>
    </row>
    <row r="8" spans="1:5" s="36" customFormat="1" ht="33" customHeight="1" x14ac:dyDescent="0.25">
      <c r="A8" s="37"/>
      <c r="B8" s="81"/>
      <c r="C8" s="81"/>
      <c r="D8" s="81"/>
      <c r="E8" s="81"/>
    </row>
    <row r="9" spans="1:5" s="13" customFormat="1" ht="40.5" customHeight="1" x14ac:dyDescent="0.2">
      <c r="B9" s="33" t="s">
        <v>139</v>
      </c>
      <c r="C9" s="35" t="s">
        <v>149</v>
      </c>
      <c r="D9" s="34" t="s">
        <v>29</v>
      </c>
      <c r="E9" s="33" t="s">
        <v>28</v>
      </c>
    </row>
    <row r="10" spans="1:5" ht="15" customHeight="1" x14ac:dyDescent="0.3">
      <c r="B10" s="76" t="s">
        <v>142</v>
      </c>
      <c r="C10" s="31" t="s">
        <v>148</v>
      </c>
      <c r="D10" s="30">
        <v>2</v>
      </c>
      <c r="E10" s="29">
        <v>1.2500000000000001E-2</v>
      </c>
    </row>
    <row r="11" spans="1:5" ht="15" customHeight="1" x14ac:dyDescent="0.3">
      <c r="B11" s="77"/>
      <c r="C11" s="31" t="s">
        <v>146</v>
      </c>
      <c r="D11" s="30">
        <v>14</v>
      </c>
      <c r="E11" s="29">
        <v>8.7499999999999994E-2</v>
      </c>
    </row>
    <row r="12" spans="1:5" ht="15" customHeight="1" x14ac:dyDescent="0.3">
      <c r="B12" s="77"/>
      <c r="C12" s="31" t="s">
        <v>145</v>
      </c>
      <c r="D12" s="30">
        <v>45</v>
      </c>
      <c r="E12" s="29">
        <v>0.28125</v>
      </c>
    </row>
    <row r="13" spans="1:5" ht="15" customHeight="1" x14ac:dyDescent="0.3">
      <c r="B13" s="77"/>
      <c r="C13" s="31" t="s">
        <v>144</v>
      </c>
      <c r="D13" s="30">
        <v>29</v>
      </c>
      <c r="E13" s="29">
        <v>0.18124999999999999</v>
      </c>
    </row>
    <row r="14" spans="1:5" ht="15" customHeight="1" x14ac:dyDescent="0.3">
      <c r="B14" s="77"/>
      <c r="C14" s="31" t="s">
        <v>143</v>
      </c>
      <c r="D14" s="30">
        <v>15</v>
      </c>
      <c r="E14" s="29">
        <v>9.375E-2</v>
      </c>
    </row>
    <row r="15" spans="1:5" s="32" customFormat="1" ht="15" customHeight="1" x14ac:dyDescent="0.2">
      <c r="B15" s="78"/>
      <c r="C15" s="31" t="s">
        <v>147</v>
      </c>
      <c r="D15" s="30">
        <v>1</v>
      </c>
      <c r="E15" s="29">
        <v>6.2500000000000003E-3</v>
      </c>
    </row>
    <row r="16" spans="1:5" s="32" customFormat="1" ht="15" customHeight="1" x14ac:dyDescent="0.2">
      <c r="B16" s="76" t="s">
        <v>141</v>
      </c>
      <c r="C16" s="31" t="s">
        <v>146</v>
      </c>
      <c r="D16" s="30">
        <v>6</v>
      </c>
      <c r="E16" s="29">
        <v>3.7499999999999999E-2</v>
      </c>
    </row>
    <row r="17" spans="2:5" s="32" customFormat="1" ht="15" customHeight="1" x14ac:dyDescent="0.2">
      <c r="B17" s="77"/>
      <c r="C17" s="31" t="s">
        <v>145</v>
      </c>
      <c r="D17" s="30">
        <v>22</v>
      </c>
      <c r="E17" s="29">
        <v>0.13750000000000001</v>
      </c>
    </row>
    <row r="18" spans="2:5" s="32" customFormat="1" ht="15" customHeight="1" x14ac:dyDescent="0.2">
      <c r="B18" s="77"/>
      <c r="C18" s="31" t="s">
        <v>144</v>
      </c>
      <c r="D18" s="30">
        <v>18</v>
      </c>
      <c r="E18" s="29">
        <v>0.1125</v>
      </c>
    </row>
    <row r="19" spans="2:5" s="32" customFormat="1" ht="15" customHeight="1" x14ac:dyDescent="0.2">
      <c r="B19" s="78"/>
      <c r="C19" s="31" t="s">
        <v>143</v>
      </c>
      <c r="D19" s="30">
        <v>8</v>
      </c>
      <c r="E19" s="29">
        <v>0.05</v>
      </c>
    </row>
    <row r="20" spans="2:5" ht="15" customHeight="1" x14ac:dyDescent="0.3">
      <c r="B20" s="82" t="s">
        <v>5</v>
      </c>
      <c r="C20" s="83"/>
      <c r="D20" s="25">
        <v>160</v>
      </c>
      <c r="E20" s="24">
        <v>1</v>
      </c>
    </row>
    <row r="22" spans="2:5" ht="15" customHeight="1" x14ac:dyDescent="0.3">
      <c r="B22" s="3" t="s">
        <v>4</v>
      </c>
    </row>
    <row r="23" spans="2:5" ht="15" customHeight="1" x14ac:dyDescent="0.3">
      <c r="B23" s="5" t="s">
        <v>3</v>
      </c>
    </row>
    <row r="24" spans="2:5" ht="15" customHeight="1" x14ac:dyDescent="0.3">
      <c r="B24" s="4" t="s">
        <v>2</v>
      </c>
    </row>
    <row r="25" spans="2:5" ht="15" customHeight="1" x14ac:dyDescent="0.3">
      <c r="B25" s="3" t="s">
        <v>1</v>
      </c>
    </row>
    <row r="26" spans="2:5" ht="15" customHeight="1" x14ac:dyDescent="0.3">
      <c r="B26" s="3" t="s">
        <v>0</v>
      </c>
    </row>
    <row r="485" spans="2:2" s="21" customFormat="1" ht="15" customHeight="1" x14ac:dyDescent="0.3">
      <c r="B485" s="22"/>
    </row>
    <row r="486" spans="2:2" s="21" customFormat="1" ht="15" customHeight="1" x14ac:dyDescent="0.3">
      <c r="B486" s="23"/>
    </row>
    <row r="487" spans="2:2" s="21" customFormat="1" ht="15" customHeight="1" x14ac:dyDescent="0.3">
      <c r="B487" s="23"/>
    </row>
    <row r="488" spans="2:2" s="21" customFormat="1" ht="15" customHeight="1" x14ac:dyDescent="0.3">
      <c r="B488" s="22"/>
    </row>
    <row r="489" spans="2:2" s="21" customFormat="1" ht="15" customHeight="1" x14ac:dyDescent="0.3">
      <c r="B489" s="22"/>
    </row>
  </sheetData>
  <mergeCells count="4">
    <mergeCell ref="B7:E8"/>
    <mergeCell ref="B10:B15"/>
    <mergeCell ref="B16:B19"/>
    <mergeCell ref="B20:C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24"/>
  <sheetViews>
    <sheetView showGridLines="0" tabSelected="1" zoomScaleNormal="100" zoomScaleSheetLayoutView="115" workbookViewId="0">
      <selection activeCell="F9" sqref="F9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157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156</v>
      </c>
      <c r="C11" s="15" t="s">
        <v>29</v>
      </c>
      <c r="D11" s="14" t="s">
        <v>28</v>
      </c>
    </row>
    <row r="12" spans="2:4" ht="15" customHeight="1" x14ac:dyDescent="0.3">
      <c r="B12" s="11" t="s">
        <v>155</v>
      </c>
      <c r="C12" s="10">
        <v>130</v>
      </c>
      <c r="D12" s="9">
        <v>0.8125</v>
      </c>
    </row>
    <row r="13" spans="2:4" x14ac:dyDescent="0.3">
      <c r="B13" s="11" t="s">
        <v>154</v>
      </c>
      <c r="C13" s="10">
        <v>19</v>
      </c>
      <c r="D13" s="9">
        <v>0.11874999999999999</v>
      </c>
    </row>
    <row r="14" spans="2:4" s="12" customFormat="1" ht="15" x14ac:dyDescent="0.3">
      <c r="B14" s="11" t="s">
        <v>153</v>
      </c>
      <c r="C14" s="10">
        <v>6</v>
      </c>
      <c r="D14" s="9">
        <v>3.7499999999999999E-2</v>
      </c>
    </row>
    <row r="15" spans="2:4" s="12" customFormat="1" ht="15" x14ac:dyDescent="0.3">
      <c r="B15" s="11" t="s">
        <v>152</v>
      </c>
      <c r="C15" s="10">
        <v>3</v>
      </c>
      <c r="D15" s="9">
        <v>1.8749999999999999E-2</v>
      </c>
    </row>
    <row r="16" spans="2:4" x14ac:dyDescent="0.3">
      <c r="B16" s="11" t="s">
        <v>151</v>
      </c>
      <c r="C16" s="10">
        <v>1</v>
      </c>
      <c r="D16" s="9">
        <v>6.2500000000000003E-3</v>
      </c>
    </row>
    <row r="17" spans="2:4" x14ac:dyDescent="0.3">
      <c r="B17" s="11" t="s">
        <v>150</v>
      </c>
      <c r="C17" s="10">
        <v>1</v>
      </c>
      <c r="D17" s="9">
        <v>6.2500000000000003E-3</v>
      </c>
    </row>
    <row r="18" spans="2:4" x14ac:dyDescent="0.3">
      <c r="B18" s="8" t="s">
        <v>5</v>
      </c>
      <c r="C18" s="7">
        <v>160</v>
      </c>
      <c r="D18" s="6">
        <v>1</v>
      </c>
    </row>
    <row r="19" spans="2:4" x14ac:dyDescent="0.3">
      <c r="B19" s="3"/>
    </row>
    <row r="20" spans="2:4" x14ac:dyDescent="0.3">
      <c r="B20" s="3" t="s">
        <v>4</v>
      </c>
    </row>
    <row r="21" spans="2:4" x14ac:dyDescent="0.3">
      <c r="B21" s="5" t="s">
        <v>3</v>
      </c>
    </row>
    <row r="22" spans="2:4" x14ac:dyDescent="0.3">
      <c r="B22" s="4" t="s">
        <v>2</v>
      </c>
    </row>
    <row r="23" spans="2:4" x14ac:dyDescent="0.3">
      <c r="B23" s="3" t="s">
        <v>1</v>
      </c>
    </row>
    <row r="24" spans="2:4" x14ac:dyDescent="0.3">
      <c r="B24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Rhode Island_Edomexgral</vt:lpstr>
      <vt:lpstr>Rhode Island_EDOMEX</vt:lpstr>
      <vt:lpstr>Rhode Island_Educagral</vt:lpstr>
      <vt:lpstr>Rhode Island_Eduedo</vt:lpstr>
      <vt:lpstr>Rhode Island_gengral</vt:lpstr>
      <vt:lpstr>Rhode Island_edomexgen</vt:lpstr>
      <vt:lpstr>Rhode Island_edadgen</vt:lpstr>
      <vt:lpstr>Rhode Island_ocupgral</vt:lpstr>
      <vt:lpstr>'Rhode Island_edadgen'!Área_de_impresión</vt:lpstr>
      <vt:lpstr>'Rhode Island_EDOMEX'!Área_de_impresión</vt:lpstr>
      <vt:lpstr>'Rhode Island_edomexgen'!Área_de_impresión</vt:lpstr>
      <vt:lpstr>'Rhode Island_Eduedo'!Área_de_impresión</vt:lpstr>
      <vt:lpstr>'Rhode Island_edadgen'!Títulos_a_imprimir</vt:lpstr>
      <vt:lpstr>'Rhode Island_EDOMEX'!Títulos_a_imprimir</vt:lpstr>
      <vt:lpstr>'Rhode Island_edomexgen'!Títulos_a_imprimir</vt:lpstr>
      <vt:lpstr>'Rhode Island_Edomexgral'!Títulos_a_imprimir</vt:lpstr>
      <vt:lpstr>'Rhode Island_Educagral'!Títulos_a_imprimir</vt:lpstr>
      <vt:lpstr>'Rhode Island_Eduedo'!Títulos_a_imprimir</vt:lpstr>
      <vt:lpstr>'Rhode Island_gengral'!Títulos_a_imprimir</vt:lpstr>
      <vt:lpstr>'Rhode Island_ocupgral'!Títulos_a_imprimir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2020-05-18T08:18:34Z</dcterms:created>
  <dcterms:modified xsi:type="dcterms:W3CDTF">2020-08-07T18:35:56Z</dcterms:modified>
</cp:coreProperties>
</file>