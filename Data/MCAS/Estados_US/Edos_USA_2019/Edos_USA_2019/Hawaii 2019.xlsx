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tabRatio="740" firstSheet="2" activeTab="8"/>
  </bookViews>
  <sheets>
    <sheet name="Índice" sheetId="1" r:id="rId1"/>
    <sheet name="Hawaii_Edomexgral" sheetId="2" r:id="rId2"/>
    <sheet name="Hawaii_EDOMEX" sheetId="11" r:id="rId3"/>
    <sheet name="Hawaii_Educagral" sheetId="4" r:id="rId4"/>
    <sheet name="Hawaii_Eduedo" sheetId="10" r:id="rId5"/>
    <sheet name="Hawaii_gengral" sheetId="6" r:id="rId6"/>
    <sheet name="Hawaii_edomexgen" sheetId="7" r:id="rId7"/>
    <sheet name="Hawaii_edadgen" sheetId="8" r:id="rId8"/>
    <sheet name="Hawaii_ocupgral" sheetId="9" r:id="rId9"/>
  </sheets>
  <definedNames>
    <definedName name="_xlnm._FilterDatabase" localSheetId="7" hidden="1">Hawaii_edadgen!$B$9:$E$13</definedName>
    <definedName name="_xlnm._FilterDatabase" localSheetId="2" hidden="1">Hawaii_EDOMEX!$B$9:$E$13</definedName>
    <definedName name="_xlnm._FilterDatabase" localSheetId="6" hidden="1">Hawaii_edomexgen!$B$9:$E$12</definedName>
    <definedName name="_xlnm._FilterDatabase" localSheetId="1" hidden="1">Hawaii_Edomexgral!$B$11:$D$12</definedName>
    <definedName name="_xlnm._FilterDatabase" localSheetId="3" hidden="1">Hawaii_Educagral!$B$11:$D$12</definedName>
    <definedName name="_xlnm._FilterDatabase" localSheetId="4" hidden="1">Hawaii_Eduedo!$B$9:$E$13</definedName>
    <definedName name="_xlnm._FilterDatabase" localSheetId="5" hidden="1">Hawaii_gengral!$B$11:$D$12</definedName>
    <definedName name="_xlnm._FilterDatabase" localSheetId="8" hidden="1">Hawaii_ocupgral!$B$11:$D$12</definedName>
    <definedName name="_xlnm.Print_Area" localSheetId="7">Hawaii_edadgen!$A$1:$E$26</definedName>
    <definedName name="_xlnm.Print_Area" localSheetId="2">Hawaii_EDOMEX!$A$1:$E$147</definedName>
    <definedName name="_xlnm.Print_Area" localSheetId="6">Hawaii_edomexgen!$A$1:$E$77</definedName>
    <definedName name="_xlnm.Print_Area" localSheetId="4">Hawaii_Eduedo!$A$1:$E$122</definedName>
    <definedName name="_xlnm.Print_Titles" localSheetId="7">Hawaii_edadgen!$1:$9</definedName>
    <definedName name="_xlnm.Print_Titles" localSheetId="2">Hawaii_EDOMEX!$1:$9</definedName>
    <definedName name="_xlnm.Print_Titles" localSheetId="6">Hawaii_edomexgen!$1:$9</definedName>
    <definedName name="_xlnm.Print_Titles" localSheetId="1">Hawaii_Edomexgral!$1:$11</definedName>
    <definedName name="_xlnm.Print_Titles" localSheetId="3">Hawaii_Educagral!$1:$11</definedName>
    <definedName name="_xlnm.Print_Titles" localSheetId="4">Hawaii_Eduedo!$1:$9</definedName>
    <definedName name="_xlnm.Print_Titles" localSheetId="5">Hawaii_gengral!$1:$11</definedName>
    <definedName name="_xlnm.Print_Titles" localSheetId="8">Hawaii_ocupgral!$1:$11</definedName>
  </definedNames>
  <calcPr calcId="152511"/>
</workbook>
</file>

<file path=xl/calcChain.xml><?xml version="1.0" encoding="utf-8"?>
<calcChain xmlns="http://schemas.openxmlformats.org/spreadsheetml/2006/main">
  <c r="D141" i="11" l="1"/>
  <c r="D71" i="7" l="1"/>
</calcChain>
</file>

<file path=xl/sharedStrings.xml><?xml version="1.0" encoding="utf-8"?>
<sst xmlns="http://schemas.openxmlformats.org/spreadsheetml/2006/main" count="521" uniqueCount="200">
  <si>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</si>
  <si>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</si>
  <si>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</si>
  <si>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</si>
  <si>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</si>
  <si>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</si>
  <si>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</si>
  <si>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</si>
  <si>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</si>
  <si>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</si>
  <si>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</si>
  <si>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</si>
  <si>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Hawaii en el 2019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</si>
  <si>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</si>
  <si>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</si>
  <si>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</si>
  <si>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</si>
  <si>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</si>
  <si>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</si>
  <si>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Yucatán</t>
  </si>
  <si>
    <t>Tlaxcala</t>
  </si>
  <si>
    <t>Durango</t>
  </si>
  <si>
    <t>Baja California</t>
  </si>
  <si>
    <t>Aguascalientes</t>
  </si>
  <si>
    <t>Zacatecas</t>
  </si>
  <si>
    <t>Sonora</t>
  </si>
  <si>
    <t>Querétaro</t>
  </si>
  <si>
    <t>Morelos</t>
  </si>
  <si>
    <t>Colima</t>
  </si>
  <si>
    <t>Guerrero</t>
  </si>
  <si>
    <t>Chihuahua</t>
  </si>
  <si>
    <t>Veracruz</t>
  </si>
  <si>
    <t>Guanajuato</t>
  </si>
  <si>
    <t>Hidalgo</t>
  </si>
  <si>
    <t>Chiapas</t>
  </si>
  <si>
    <t>Estado de México</t>
  </si>
  <si>
    <t>Puebla</t>
  </si>
  <si>
    <t>Michoacán</t>
  </si>
  <si>
    <t>Nayarit</t>
  </si>
  <si>
    <t>Oaxaca</t>
  </si>
  <si>
    <t>Ciudad de México</t>
  </si>
  <si>
    <t>Jalisco</t>
  </si>
  <si>
    <t>Porcentaje de Matrículas</t>
  </si>
  <si>
    <t>Número de Matrículas</t>
  </si>
  <si>
    <t>Estado de Origen</t>
  </si>
  <si>
    <t>MATRÍCULAS CONSULARES DE ALTA SEGURIDAD EXPEDIDAS EN EL ESTADO DE HAWAII EN EE.UU. POR ESTADO DE LA REPÚBLICA MEXICANA DURANTE EL 2019</t>
  </si>
  <si>
    <t>Valparaíso</t>
  </si>
  <si>
    <t>Calera</t>
  </si>
  <si>
    <t>Valladolid</t>
  </si>
  <si>
    <t>Tezonapa</t>
  </si>
  <si>
    <t>Orizaba</t>
  </si>
  <si>
    <t>Ixtaczoquitlán</t>
  </si>
  <si>
    <t>Ignacio de la Llave</t>
  </si>
  <si>
    <t>Coatzacoalcos</t>
  </si>
  <si>
    <t>Huamantla</t>
  </si>
  <si>
    <t>Rosario</t>
  </si>
  <si>
    <t>Cajeme</t>
  </si>
  <si>
    <t>Amealco de Bonfil</t>
  </si>
  <si>
    <t>Xayacatlán de Bravo</t>
  </si>
  <si>
    <t>Tetela de Ocampo</t>
  </si>
  <si>
    <t>Tepeaca</t>
  </si>
  <si>
    <t>Los Reyes de Juárez</t>
  </si>
  <si>
    <t>Huehuetla</t>
  </si>
  <si>
    <t>Atlixco</t>
  </si>
  <si>
    <t>Acatlán</t>
  </si>
  <si>
    <t>Tlacolula de Matamoros</t>
  </si>
  <si>
    <t>Santo Tomás Ocotepec</t>
  </si>
  <si>
    <t>Santo Domingo Armenta</t>
  </si>
  <si>
    <t>Santiago Tilantongo</t>
  </si>
  <si>
    <t>Santiago Comaltepec</t>
  </si>
  <si>
    <t>Santa Catarina Juquila</t>
  </si>
  <si>
    <t>San Juan Teitipac</t>
  </si>
  <si>
    <t>San Juan Bautista Tuxtepec</t>
  </si>
  <si>
    <t>Putla Villa de Guerrero</t>
  </si>
  <si>
    <t>Ocotlán de Morelos</t>
  </si>
  <si>
    <t>Fresnillo de Trujano</t>
  </si>
  <si>
    <t>Constancia del Rosario</t>
  </si>
  <si>
    <t>Chalcatongo de Hidalgo</t>
  </si>
  <si>
    <t>Acatlán de Pérez Figueroa</t>
  </si>
  <si>
    <t>Tuxpan</t>
  </si>
  <si>
    <t>Tepic</t>
  </si>
  <si>
    <t>Rosamorada</t>
  </si>
  <si>
    <t>La Yesca</t>
  </si>
  <si>
    <t>Tepalcingo</t>
  </si>
  <si>
    <t>Jiutepec</t>
  </si>
  <si>
    <t>Zamora</t>
  </si>
  <si>
    <t>Zacapu</t>
  </si>
  <si>
    <t>Villamar</t>
  </si>
  <si>
    <t>Tangamandapio</t>
  </si>
  <si>
    <t>Tacámbaro</t>
  </si>
  <si>
    <t>Puruándiro</t>
  </si>
  <si>
    <t>Morelia</t>
  </si>
  <si>
    <t>Lázaro Cárdenas</t>
  </si>
  <si>
    <t>Zapotlán el Grande</t>
  </si>
  <si>
    <t>Zapotiltic</t>
  </si>
  <si>
    <t>Yahualica de González Gallo</t>
  </si>
  <si>
    <t>Tizapán el Alto</t>
  </si>
  <si>
    <t>Tepatitlán de Morelos</t>
  </si>
  <si>
    <t>Teocaltiche</t>
  </si>
  <si>
    <t>Ocotlán</t>
  </si>
  <si>
    <t>Magdalena</t>
  </si>
  <si>
    <t>Lagos de Moreno</t>
  </si>
  <si>
    <t>La Manzanilla de la Paz</t>
  </si>
  <si>
    <t>La Huerta</t>
  </si>
  <si>
    <t>Guadalajara</t>
  </si>
  <si>
    <t>El Salto</t>
  </si>
  <si>
    <t>Cabo Corrientes</t>
  </si>
  <si>
    <t>Ameca</t>
  </si>
  <si>
    <t>Tepehuacán de Guerrero</t>
  </si>
  <si>
    <t>Ajacuba</t>
  </si>
  <si>
    <t>Acaxochitlán</t>
  </si>
  <si>
    <t>Chilapa de Álvarez</t>
  </si>
  <si>
    <t>Atenango del Río</t>
  </si>
  <si>
    <t>Acapulco de Juárez</t>
  </si>
  <si>
    <t>Uriangato</t>
  </si>
  <si>
    <t>Tarimoro</t>
  </si>
  <si>
    <t>Pueblo Nuevo</t>
  </si>
  <si>
    <t>León</t>
  </si>
  <si>
    <t>Celaya</t>
  </si>
  <si>
    <t>Abasolo</t>
  </si>
  <si>
    <t>Villa Guerrero</t>
  </si>
  <si>
    <t>Toluca</t>
  </si>
  <si>
    <t>Tlalnepantla de Baz</t>
  </si>
  <si>
    <t>Tepetlixpa</t>
  </si>
  <si>
    <t>Tecámac</t>
  </si>
  <si>
    <t>Sultepec</t>
  </si>
  <si>
    <t>Nezahualcóyotl</t>
  </si>
  <si>
    <t>Ixtapan de la Sal</t>
  </si>
  <si>
    <t>Amatepec</t>
  </si>
  <si>
    <t>Xochimilco</t>
  </si>
  <si>
    <t>Tláhuac</t>
  </si>
  <si>
    <t>Miguel Hidalgo</t>
  </si>
  <si>
    <t>Iztapalapa</t>
  </si>
  <si>
    <t>Iztacalco</t>
  </si>
  <si>
    <t>Gustavo A. Madero</t>
  </si>
  <si>
    <t>Cuauhtémoc</t>
  </si>
  <si>
    <t>Coyoacán</t>
  </si>
  <si>
    <t>Benito Juárez</t>
  </si>
  <si>
    <t>Villa de Álvarez</t>
  </si>
  <si>
    <t>Saucillo</t>
  </si>
  <si>
    <t>Delicias</t>
  </si>
  <si>
    <t>Villa Comaltitlán</t>
  </si>
  <si>
    <t>Tuzantán</t>
  </si>
  <si>
    <t>Pijijiapan</t>
  </si>
  <si>
    <t>Mapastepec</t>
  </si>
  <si>
    <t>Angel Albino Corzo</t>
  </si>
  <si>
    <t>Acapetahua</t>
  </si>
  <si>
    <t>Mexicali</t>
  </si>
  <si>
    <t>Municipio Origen</t>
  </si>
  <si>
    <t>Posgrado [Maestría]</t>
  </si>
  <si>
    <t>Profesional Titulado</t>
  </si>
  <si>
    <t>Profesional pasante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</si>
  <si>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</si>
  <si>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</si>
  <si>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</si>
  <si>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</si>
  <si>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</si>
  <si>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</si>
  <si>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</si>
  <si>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</si>
  <si>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</si>
  <si>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</si>
  <si>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</si>
  <si>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</si>
  <si>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</si>
  <si>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</si>
  <si>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</si>
  <si>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HAWAII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</si>
  <si>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</si>
  <si>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</si>
  <si>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</si>
  <si>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</si>
  <si>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HAWAII, POR GÉNERO 2019</t>
  </si>
  <si>
    <t>Mujer</t>
  </si>
  <si>
    <t>Hombre</t>
  </si>
  <si>
    <t>Más de 75 Años</t>
  </si>
  <si>
    <t>Entre 50 y 65 Años</t>
  </si>
  <si>
    <t>Entre 40 y 49 Años</t>
  </si>
  <si>
    <t>Entre 29 y 39 Años</t>
  </si>
  <si>
    <t>Entre 18 y 28 Años</t>
  </si>
  <si>
    <t>Entre 66 y 75 Años</t>
  </si>
  <si>
    <t>Edad cumplida</t>
  </si>
  <si>
    <t>Pintor(a)</t>
  </si>
  <si>
    <t>Mesero(a)</t>
  </si>
  <si>
    <t>Comerciante</t>
  </si>
  <si>
    <t>Albañil</t>
  </si>
  <si>
    <t>Profesionista</t>
  </si>
  <si>
    <t>Estudiante</t>
  </si>
  <si>
    <t>Jardinero(a)</t>
  </si>
  <si>
    <t>Otro</t>
  </si>
  <si>
    <t>Campesino(a)</t>
  </si>
  <si>
    <t>Obrero(a)</t>
  </si>
  <si>
    <t>Cocinero(a)</t>
  </si>
  <si>
    <t>Hogar</t>
  </si>
  <si>
    <t>Empleado(a)</t>
  </si>
  <si>
    <t>Ocupación</t>
  </si>
  <si>
    <t>MATRÍCULAS CONSULARES DE ALTA SEGURIDAD EXPEDIDAS EN EE.UU A MEXICANOS EN EL ESTADO DE  HAWAII, POR PERFIL OCUPACIONAL 2019</t>
  </si>
  <si>
    <t>Profesional titulado</t>
  </si>
  <si>
    <t>Capacitación técnica</t>
  </si>
  <si>
    <t>Topia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</si>
</sst>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u/>
      <sz val="11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9" fontId="6" fillId="0" borderId="0" applyFont="0" applyFill="0" applyBorder="0" applyAlignment="0" applyProtection="0"/>
    <xf numFmtId="0" fontId="20" fillId="0" borderId="0"/>
  </cellStyleXfs>
  <cellXfs count="80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/>
    <xf numFmtId="0" fontId="3" fillId="0" borderId="0" xfId="0" applyFont="1" applyBorder="1" applyAlignment="1"/>
    <xf numFmtId="0" fontId="3" fillId="0" borderId="5" xfId="0" applyFont="1" applyBorder="1" applyAlignment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0" fontId="17" fillId="0" borderId="0" xfId="0" applyFont="1" applyBorder="1"/>
    <xf numFmtId="0" fontId="17" fillId="0" borderId="0" xfId="0" applyFont="1" applyBorder="1" applyAlignment="1">
      <alignment vertical="top"/>
    </xf>
    <xf numFmtId="165" fontId="8" fillId="5" borderId="9" xfId="3" applyNumberFormat="1" applyFont="1" applyFill="1" applyBorder="1" applyAlignment="1">
      <alignment vertical="center" wrapText="1"/>
    </xf>
    <xf numFmtId="3" fontId="8" fillId="5" borderId="9" xfId="2" applyNumberFormat="1" applyFont="1" applyFill="1" applyBorder="1" applyAlignment="1">
      <alignment horizontal="right" vertical="center" wrapText="1"/>
    </xf>
    <xf numFmtId="49" fontId="8" fillId="5" borderId="9" xfId="2" applyNumberFormat="1" applyFont="1" applyFill="1" applyBorder="1" applyAlignment="1">
      <alignment vertical="center" wrapText="1"/>
    </xf>
    <xf numFmtId="164" fontId="18" fillId="3" borderId="9" xfId="2" applyNumberFormat="1" applyFont="1" applyFill="1" applyBorder="1" applyAlignment="1">
      <alignment horizontal="right" vertical="center" wrapText="1"/>
    </xf>
    <xf numFmtId="166" fontId="18" fillId="3" borderId="9" xfId="2" applyNumberFormat="1" applyFont="1" applyFill="1" applyBorder="1" applyAlignment="1">
      <alignment horizontal="right" vertical="center" wrapText="1"/>
    </xf>
    <xf numFmtId="49" fontId="18" fillId="3" borderId="9" xfId="2" applyNumberFormat="1" applyFont="1" applyFill="1" applyBorder="1" applyAlignment="1">
      <alignment vertical="center" wrapText="1"/>
    </xf>
    <xf numFmtId="0" fontId="19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8" fillId="2" borderId="10" xfId="4" applyFont="1" applyFill="1" applyBorder="1" applyAlignment="1">
      <alignment horizontal="center" vertical="center" wrapText="1"/>
    </xf>
    <xf numFmtId="0" fontId="12" fillId="3" borderId="0" xfId="0" applyFont="1" applyFill="1"/>
    <xf numFmtId="0" fontId="22" fillId="3" borderId="0" xfId="0" applyFont="1" applyFill="1" applyAlignment="1"/>
    <xf numFmtId="0" fontId="19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0" fontId="17" fillId="0" borderId="0" xfId="0" applyFont="1" applyAlignment="1">
      <alignment vertical="top"/>
    </xf>
    <xf numFmtId="0" fontId="17" fillId="0" borderId="0" xfId="0" applyFont="1" applyAlignment="1">
      <alignment horizontal="justify" vertical="center"/>
    </xf>
    <xf numFmtId="3" fontId="11" fillId="3" borderId="0" xfId="0" applyNumberFormat="1" applyFont="1" applyFill="1"/>
    <xf numFmtId="3" fontId="8" fillId="4" borderId="9" xfId="0" applyNumberFormat="1" applyFont="1" applyFill="1" applyBorder="1" applyAlignment="1">
      <alignment horizontal="right" vertical="center" wrapText="1"/>
    </xf>
    <xf numFmtId="164" fontId="8" fillId="4" borderId="9" xfId="0" applyNumberFormat="1" applyFont="1" applyFill="1" applyBorder="1" applyAlignment="1">
      <alignment horizontal="right" vertical="center" wrapText="1"/>
    </xf>
    <xf numFmtId="0" fontId="23" fillId="0" borderId="0" xfId="1" applyFont="1" applyBorder="1" applyAlignment="1">
      <alignment horizontal="left"/>
    </xf>
    <xf numFmtId="0" fontId="23" fillId="0" borderId="5" xfId="1" applyFont="1" applyBorder="1" applyAlignment="1">
      <alignment horizontal="left"/>
    </xf>
    <xf numFmtId="0" fontId="23" fillId="0" borderId="4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4" fillId="0" borderId="0" xfId="0" applyFont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49" fontId="8" fillId="4" borderId="12" xfId="0" applyNumberFormat="1" applyFont="1" applyFill="1" applyBorder="1" applyAlignment="1">
      <alignment horizontal="center" vertical="center" wrapText="1"/>
    </xf>
    <xf numFmtId="49" fontId="18" fillId="3" borderId="10" xfId="2" applyNumberFormat="1" applyFont="1" applyFill="1" applyBorder="1" applyAlignment="1">
      <alignment horizontal="center" vertical="center" wrapText="1"/>
    </xf>
    <xf numFmtId="49" fontId="18" fillId="3" borderId="15" xfId="2" applyNumberFormat="1" applyFont="1" applyFill="1" applyBorder="1" applyAlignment="1">
      <alignment horizontal="center" vertical="center" wrapText="1"/>
    </xf>
    <xf numFmtId="49" fontId="18" fillId="3" borderId="14" xfId="2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</cellXfs>
  <cellStyles count="5">
    <cellStyle name="Hipervínculo" xfId="1" builtinId="8"/>
    <cellStyle name="Normal" xfId="0" builtinId="0"/>
    <cellStyle name="Normal 2" xfId="2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161925</xdr:rowOff>
    </xdr:from>
    <xdr:to>
      <xdr:col>5</xdr:col>
      <xdr:colOff>102522</xdr:colOff>
      <xdr:row>8</xdr:row>
      <xdr:rowOff>161926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6859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HAWAII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602602</xdr:colOff>
      <xdr:row>7</xdr:row>
      <xdr:rowOff>106913</xdr:rowOff>
    </xdr:from>
    <xdr:to>
      <xdr:col>4</xdr:col>
      <xdr:colOff>1114699</xdr:colOff>
      <xdr:row>7</xdr:row>
      <xdr:rowOff>286208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1277" y="1849988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816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HAWAII,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575468</xdr:colOff>
      <xdr:row>7</xdr:row>
      <xdr:rowOff>158750</xdr:rowOff>
    </xdr:from>
    <xdr:to>
      <xdr:col>4</xdr:col>
      <xdr:colOff>1087565</xdr:colOff>
      <xdr:row>7</xdr:row>
      <xdr:rowOff>349251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8906" y="1895078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7</xdr:row>
      <xdr:rowOff>180975</xdr:rowOff>
    </xdr:from>
    <xdr:to>
      <xdr:col>5</xdr:col>
      <xdr:colOff>73947</xdr:colOff>
      <xdr:row>8</xdr:row>
      <xdr:rowOff>180976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7049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HAWAII,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157655</xdr:rowOff>
    </xdr:from>
    <xdr:to>
      <xdr:col>4</xdr:col>
      <xdr:colOff>1037614</xdr:colOff>
      <xdr:row>7</xdr:row>
      <xdr:rowOff>348156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898431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HAWAII,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400707</xdr:colOff>
      <xdr:row>7</xdr:row>
      <xdr:rowOff>118241</xdr:rowOff>
    </xdr:from>
    <xdr:to>
      <xdr:col>4</xdr:col>
      <xdr:colOff>912804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38397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8</xdr:row>
      <xdr:rowOff>0</xdr:rowOff>
    </xdr:from>
    <xdr:to>
      <xdr:col>5</xdr:col>
      <xdr:colOff>102522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activeCell="I9" sqref="I9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7" t="s">
        <v>12</v>
      </c>
      <c r="B1" s="68"/>
      <c r="C1" s="68"/>
      <c r="D1" s="69"/>
    </row>
    <row r="2" spans="1:4" ht="18" x14ac:dyDescent="0.4">
      <c r="A2" s="2"/>
      <c r="B2" s="3"/>
      <c r="C2" s="3"/>
      <c r="D2" s="4"/>
    </row>
    <row r="3" spans="1:4" x14ac:dyDescent="0.4">
      <c r="A3" s="70" t="s">
        <v>0</v>
      </c>
      <c r="B3" s="71"/>
      <c r="C3" s="71"/>
      <c r="D3" s="72"/>
    </row>
    <row r="4" spans="1:4" x14ac:dyDescent="0.4">
      <c r="A4" s="70"/>
      <c r="B4" s="71"/>
      <c r="C4" s="71"/>
      <c r="D4" s="72"/>
    </row>
    <row r="5" spans="1:4" ht="18" x14ac:dyDescent="0.4">
      <c r="A5" s="5"/>
      <c r="B5" s="6"/>
      <c r="C5" s="6"/>
      <c r="D5" s="7"/>
    </row>
    <row r="6" spans="1:4" x14ac:dyDescent="0.4">
      <c r="A6" s="66" t="s">
        <v>1</v>
      </c>
      <c r="B6" s="64"/>
      <c r="C6" s="64"/>
      <c r="D6" s="65"/>
    </row>
    <row r="7" spans="1:4" ht="18" x14ac:dyDescent="0.4">
      <c r="A7" s="8"/>
      <c r="B7" s="9"/>
      <c r="C7" s="9"/>
      <c r="D7" s="10"/>
    </row>
    <row r="8" spans="1:4" ht="18" x14ac:dyDescent="0.4">
      <c r="A8" s="11" t="s">
        <v>2</v>
      </c>
      <c r="B8" s="12"/>
      <c r="C8" s="12"/>
      <c r="D8" s="13"/>
    </row>
    <row r="9" spans="1:4" ht="18" x14ac:dyDescent="0.4">
      <c r="A9" s="11"/>
      <c r="B9" s="64" t="s">
        <v>3</v>
      </c>
      <c r="C9" s="64"/>
      <c r="D9" s="65"/>
    </row>
    <row r="10" spans="1:4" ht="18" x14ac:dyDescent="0.4">
      <c r="A10" s="11" t="s">
        <v>4</v>
      </c>
      <c r="B10" s="12"/>
      <c r="C10" s="12"/>
      <c r="D10" s="13"/>
    </row>
    <row r="11" spans="1:4" ht="18" x14ac:dyDescent="0.4">
      <c r="A11" s="11"/>
      <c r="B11" s="64" t="s">
        <v>5</v>
      </c>
      <c r="C11" s="64"/>
      <c r="D11" s="65"/>
    </row>
    <row r="12" spans="1:4" ht="18" x14ac:dyDescent="0.4">
      <c r="A12" s="11"/>
      <c r="B12" s="64" t="s">
        <v>6</v>
      </c>
      <c r="C12" s="64"/>
      <c r="D12" s="65"/>
    </row>
    <row r="13" spans="1:4" ht="18" x14ac:dyDescent="0.4">
      <c r="A13" s="11"/>
      <c r="B13" s="12"/>
      <c r="C13" s="12"/>
      <c r="D13" s="13"/>
    </row>
    <row r="14" spans="1:4" ht="18" x14ac:dyDescent="0.4">
      <c r="A14" s="11" t="s">
        <v>7</v>
      </c>
      <c r="B14" s="12"/>
      <c r="C14" s="12"/>
      <c r="D14" s="13"/>
    </row>
    <row r="15" spans="1:4" ht="18" x14ac:dyDescent="0.4">
      <c r="A15" s="11"/>
      <c r="B15" s="64" t="s">
        <v>8</v>
      </c>
      <c r="C15" s="64"/>
      <c r="D15" s="65"/>
    </row>
    <row r="16" spans="1:4" ht="18" x14ac:dyDescent="0.4">
      <c r="A16" s="11"/>
      <c r="B16" s="64" t="s">
        <v>9</v>
      </c>
      <c r="C16" s="64"/>
      <c r="D16" s="65"/>
    </row>
    <row r="17" spans="1:4" ht="18" x14ac:dyDescent="0.4">
      <c r="A17" s="11"/>
      <c r="B17" s="12"/>
      <c r="C17" s="12"/>
      <c r="D17" s="13"/>
    </row>
    <row r="18" spans="1:4" x14ac:dyDescent="0.4">
      <c r="A18" s="66" t="s">
        <v>10</v>
      </c>
      <c r="B18" s="64"/>
      <c r="C18" s="64"/>
      <c r="D18" s="65"/>
    </row>
    <row r="19" spans="1:4" ht="18" x14ac:dyDescent="0.4">
      <c r="A19" s="11"/>
      <c r="B19" s="12"/>
      <c r="C19" s="12"/>
      <c r="D19" s="13"/>
    </row>
    <row r="20" spans="1:4" x14ac:dyDescent="0.4">
      <c r="A20" s="66" t="s">
        <v>11</v>
      </c>
      <c r="B20" s="64"/>
      <c r="C20" s="64"/>
      <c r="D20" s="65"/>
    </row>
    <row r="21" spans="1:4" ht="18.600000000000001" thickBot="1" x14ac:dyDescent="0.45">
      <c r="A21" s="14"/>
      <c r="B21" s="15"/>
      <c r="C21" s="15"/>
      <c r="D21" s="16"/>
    </row>
    <row r="22" spans="1:4" ht="18" x14ac:dyDescent="0.4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Hawaii_Edomexgral!A1" display="1. Por Estados de la República Mexicana"/>
    <hyperlink ref="B9" location="Alabama_EDOMEX!Área_de_impresión" display="2.1 Por estado de la República Mexicana y municipio de origen"/>
    <hyperlink ref="B11:D11" location="Hawaii_Educagral!A1" display="3.1 Educación general"/>
    <hyperlink ref="B12:D12" location="Hawaii_Eduedo!A1" display="3.2 Por Estado de la República Mexicana"/>
    <hyperlink ref="B15:D15" location="Hawaii_gengral!A1" display="4.1 Género General"/>
    <hyperlink ref="B16:D16" location="Hawaii_edomexgen!A1" display="4.2 Por Estados de la República Mexicana"/>
    <hyperlink ref="A18:D18" location="Hawaii_edadgen!A1" display="5. Por estructura de Edad"/>
    <hyperlink ref="A20:D20" location="Hawaii_ocupgral!A1" display="6. Por Ocupación"/>
    <hyperlink ref="B9:D9" location="Hawaii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41"/>
  <sheetViews>
    <sheetView showGridLines="0" topLeftCell="A23" zoomScaleNormal="100" zoomScaleSheetLayoutView="115" workbookViewId="0">
      <selection activeCell="D46" sqref="D46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45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44</v>
      </c>
      <c r="C11" s="32" t="s">
        <v>43</v>
      </c>
      <c r="D11" s="31" t="s">
        <v>42</v>
      </c>
    </row>
    <row r="12" spans="2:4" ht="15" customHeight="1" x14ac:dyDescent="0.3">
      <c r="B12" s="28" t="s">
        <v>41</v>
      </c>
      <c r="C12" s="27">
        <v>28</v>
      </c>
      <c r="D12" s="26">
        <v>0.15909090909090909</v>
      </c>
    </row>
    <row r="13" spans="2:4" x14ac:dyDescent="0.3">
      <c r="B13" s="28" t="s">
        <v>40</v>
      </c>
      <c r="C13" s="27">
        <v>19</v>
      </c>
      <c r="D13" s="26">
        <v>0.10795454545454546</v>
      </c>
    </row>
    <row r="14" spans="2:4" s="29" customFormat="1" ht="15" x14ac:dyDescent="0.3">
      <c r="B14" s="28" t="s">
        <v>39</v>
      </c>
      <c r="C14" s="27">
        <v>19</v>
      </c>
      <c r="D14" s="26">
        <v>0.10795454545454546</v>
      </c>
    </row>
    <row r="15" spans="2:4" s="29" customFormat="1" ht="15" x14ac:dyDescent="0.3">
      <c r="B15" s="28" t="s">
        <v>38</v>
      </c>
      <c r="C15" s="27">
        <v>17</v>
      </c>
      <c r="D15" s="26">
        <v>9.6590909090909088E-2</v>
      </c>
    </row>
    <row r="16" spans="2:4" x14ac:dyDescent="0.3">
      <c r="B16" s="28" t="s">
        <v>37</v>
      </c>
      <c r="C16" s="27">
        <v>14</v>
      </c>
      <c r="D16" s="26">
        <v>7.9545454545454544E-2</v>
      </c>
    </row>
    <row r="17" spans="2:4" x14ac:dyDescent="0.3">
      <c r="B17" s="28" t="s">
        <v>36</v>
      </c>
      <c r="C17" s="27">
        <v>14</v>
      </c>
      <c r="D17" s="26">
        <v>7.9545454545454544E-2</v>
      </c>
    </row>
    <row r="18" spans="2:4" x14ac:dyDescent="0.3">
      <c r="B18" s="28" t="s">
        <v>35</v>
      </c>
      <c r="C18" s="27">
        <v>12</v>
      </c>
      <c r="D18" s="26">
        <v>6.8181818181818177E-2</v>
      </c>
    </row>
    <row r="19" spans="2:4" x14ac:dyDescent="0.3">
      <c r="B19" s="28" t="s">
        <v>34</v>
      </c>
      <c r="C19" s="27">
        <v>9</v>
      </c>
      <c r="D19" s="26">
        <v>5.113636363636364E-2</v>
      </c>
    </row>
    <row r="20" spans="2:4" x14ac:dyDescent="0.3">
      <c r="B20" s="28" t="s">
        <v>33</v>
      </c>
      <c r="C20" s="27">
        <v>9</v>
      </c>
      <c r="D20" s="26">
        <v>5.113636363636364E-2</v>
      </c>
    </row>
    <row r="21" spans="2:4" x14ac:dyDescent="0.3">
      <c r="B21" s="28" t="s">
        <v>32</v>
      </c>
      <c r="C21" s="27">
        <v>7</v>
      </c>
      <c r="D21" s="26">
        <v>3.9772727272727272E-2</v>
      </c>
    </row>
    <row r="22" spans="2:4" x14ac:dyDescent="0.3">
      <c r="B22" s="28" t="s">
        <v>31</v>
      </c>
      <c r="C22" s="27">
        <v>6</v>
      </c>
      <c r="D22" s="26">
        <v>3.4090909090909088E-2</v>
      </c>
    </row>
    <row r="23" spans="2:4" x14ac:dyDescent="0.3">
      <c r="B23" s="28" t="s">
        <v>30</v>
      </c>
      <c r="C23" s="27">
        <v>4</v>
      </c>
      <c r="D23" s="26">
        <v>2.2727272727272728E-2</v>
      </c>
    </row>
    <row r="24" spans="2:4" x14ac:dyDescent="0.3">
      <c r="B24" s="28" t="s">
        <v>29</v>
      </c>
      <c r="C24" s="27">
        <v>3</v>
      </c>
      <c r="D24" s="26">
        <v>1.7045454545454544E-2</v>
      </c>
    </row>
    <row r="25" spans="2:4" x14ac:dyDescent="0.3">
      <c r="B25" s="28" t="s">
        <v>28</v>
      </c>
      <c r="C25" s="27">
        <v>2</v>
      </c>
      <c r="D25" s="26">
        <v>1.1363636363636364E-2</v>
      </c>
    </row>
    <row r="26" spans="2:4" x14ac:dyDescent="0.3">
      <c r="B26" s="28" t="s">
        <v>27</v>
      </c>
      <c r="C26" s="27">
        <v>2</v>
      </c>
      <c r="D26" s="26">
        <v>1.1363636363636364E-2</v>
      </c>
    </row>
    <row r="27" spans="2:4" x14ac:dyDescent="0.3">
      <c r="B27" s="28" t="s">
        <v>26</v>
      </c>
      <c r="C27" s="27">
        <v>2</v>
      </c>
      <c r="D27" s="26">
        <v>1.1363636363636364E-2</v>
      </c>
    </row>
    <row r="28" spans="2:4" x14ac:dyDescent="0.3">
      <c r="B28" s="28" t="s">
        <v>25</v>
      </c>
      <c r="C28" s="27">
        <v>2</v>
      </c>
      <c r="D28" s="26">
        <v>1.1363636363636364E-2</v>
      </c>
    </row>
    <row r="29" spans="2:4" x14ac:dyDescent="0.3">
      <c r="B29" s="28" t="s">
        <v>24</v>
      </c>
      <c r="C29" s="27">
        <v>2</v>
      </c>
      <c r="D29" s="26">
        <v>1.1363636363636364E-2</v>
      </c>
    </row>
    <row r="30" spans="2:4" x14ac:dyDescent="0.3">
      <c r="B30" s="28" t="s">
        <v>23</v>
      </c>
      <c r="C30" s="27">
        <v>1</v>
      </c>
      <c r="D30" s="26">
        <v>5.681818181818182E-3</v>
      </c>
    </row>
    <row r="31" spans="2:4" x14ac:dyDescent="0.3">
      <c r="B31" s="28" t="s">
        <v>22</v>
      </c>
      <c r="C31" s="27">
        <v>1</v>
      </c>
      <c r="D31" s="26">
        <v>5.681818181818182E-3</v>
      </c>
    </row>
    <row r="32" spans="2:4" x14ac:dyDescent="0.3">
      <c r="B32" s="28" t="s">
        <v>21</v>
      </c>
      <c r="C32" s="27">
        <v>1</v>
      </c>
      <c r="D32" s="26">
        <v>5.681818181818182E-3</v>
      </c>
    </row>
    <row r="33" spans="2:4" x14ac:dyDescent="0.3">
      <c r="B33" s="28" t="s">
        <v>20</v>
      </c>
      <c r="C33" s="27">
        <v>1</v>
      </c>
      <c r="D33" s="26">
        <v>5.681818181818182E-3</v>
      </c>
    </row>
    <row r="34" spans="2:4" x14ac:dyDescent="0.3">
      <c r="B34" s="28" t="s">
        <v>19</v>
      </c>
      <c r="C34" s="27">
        <v>1</v>
      </c>
      <c r="D34" s="26">
        <v>5.681818181818182E-3</v>
      </c>
    </row>
    <row r="35" spans="2:4" x14ac:dyDescent="0.3">
      <c r="B35" s="25" t="s">
        <v>18</v>
      </c>
      <c r="C35" s="24">
        <v>176</v>
      </c>
      <c r="D35" s="23">
        <v>1</v>
      </c>
    </row>
    <row r="37" spans="2:4" x14ac:dyDescent="0.3">
      <c r="B37" s="20" t="s">
        <v>17</v>
      </c>
    </row>
    <row r="38" spans="2:4" x14ac:dyDescent="0.3">
      <c r="B38" s="22" t="s">
        <v>16</v>
      </c>
    </row>
    <row r="39" spans="2:4" x14ac:dyDescent="0.3">
      <c r="B39" s="21" t="s">
        <v>15</v>
      </c>
    </row>
    <row r="40" spans="2:4" x14ac:dyDescent="0.3">
      <c r="B40" s="20" t="s">
        <v>14</v>
      </c>
    </row>
    <row r="41" spans="2:4" x14ac:dyDescent="0.3">
      <c r="B41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88"/>
  <sheetViews>
    <sheetView topLeftCell="A115" zoomScale="98" zoomScaleNormal="98" zoomScaleSheetLayoutView="100" workbookViewId="0">
      <selection activeCell="D141" sqref="D141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4" customFormat="1" ht="12" customHeight="1" x14ac:dyDescent="0.2">
      <c r="B1" s="58"/>
      <c r="C1" s="57"/>
      <c r="D1" s="57"/>
      <c r="E1" s="57"/>
    </row>
    <row r="2" spans="1:5" s="54" customFormat="1" ht="15" customHeight="1" x14ac:dyDescent="0.2">
      <c r="C2" s="56"/>
    </row>
    <row r="3" spans="1:5" s="54" customFormat="1" ht="15" customHeight="1" x14ac:dyDescent="0.2">
      <c r="C3" s="56"/>
    </row>
    <row r="4" spans="1:5" s="54" customFormat="1" ht="30" customHeight="1" x14ac:dyDescent="0.2">
      <c r="C4" s="56"/>
      <c r="D4" s="55"/>
    </row>
    <row r="5" spans="1:5" s="54" customFormat="1" ht="15" customHeight="1" x14ac:dyDescent="0.2">
      <c r="C5" s="56"/>
      <c r="D5" s="55"/>
    </row>
    <row r="6" spans="1:5" s="51" customFormat="1" ht="24" customHeight="1" x14ac:dyDescent="0.2">
      <c r="B6" s="53"/>
      <c r="C6" s="47"/>
      <c r="D6" s="47"/>
      <c r="E6" s="47"/>
    </row>
    <row r="7" spans="1:5" s="51" customFormat="1" ht="26.25" customHeight="1" x14ac:dyDescent="0.25">
      <c r="A7" s="52"/>
      <c r="B7" s="79"/>
      <c r="C7" s="79"/>
      <c r="D7" s="79"/>
      <c r="E7" s="79"/>
    </row>
    <row r="8" spans="1:5" s="51" customFormat="1" ht="33" customHeight="1" x14ac:dyDescent="0.25">
      <c r="A8" s="52"/>
      <c r="B8" s="79"/>
      <c r="C8" s="79"/>
      <c r="D8" s="79"/>
      <c r="E8" s="79"/>
    </row>
    <row r="9" spans="1:5" s="30" customFormat="1" ht="40.5" customHeight="1" x14ac:dyDescent="0.2">
      <c r="B9" s="48" t="s">
        <v>44</v>
      </c>
      <c r="C9" s="50" t="s">
        <v>148</v>
      </c>
      <c r="D9" s="49" t="s">
        <v>43</v>
      </c>
      <c r="E9" s="48" t="s">
        <v>42</v>
      </c>
    </row>
    <row r="10" spans="1:5" ht="15" customHeight="1" x14ac:dyDescent="0.3">
      <c r="B10" s="76" t="s">
        <v>23</v>
      </c>
      <c r="C10" s="46" t="s">
        <v>23</v>
      </c>
      <c r="D10" s="45">
        <v>1</v>
      </c>
      <c r="E10" s="44">
        <v>5.681818181818182E-3</v>
      </c>
    </row>
    <row r="11" spans="1:5" ht="15" customHeight="1" x14ac:dyDescent="0.3">
      <c r="B11" s="78"/>
      <c r="C11" s="43" t="s">
        <v>18</v>
      </c>
      <c r="D11" s="42">
        <v>1</v>
      </c>
      <c r="E11" s="41">
        <v>5.681818181818182E-3</v>
      </c>
    </row>
    <row r="12" spans="1:5" ht="15" customHeight="1" x14ac:dyDescent="0.3">
      <c r="B12" s="76" t="s">
        <v>22</v>
      </c>
      <c r="C12" s="46" t="s">
        <v>147</v>
      </c>
      <c r="D12" s="45">
        <v>1</v>
      </c>
      <c r="E12" s="44">
        <v>5.681818181818182E-3</v>
      </c>
    </row>
    <row r="13" spans="1:5" ht="15" customHeight="1" x14ac:dyDescent="0.3">
      <c r="B13" s="78"/>
      <c r="C13" s="43" t="s">
        <v>18</v>
      </c>
      <c r="D13" s="42">
        <v>1</v>
      </c>
      <c r="E13" s="41">
        <v>5.681818181818182E-3</v>
      </c>
    </row>
    <row r="14" spans="1:5" ht="15" customHeight="1" x14ac:dyDescent="0.3">
      <c r="B14" s="76" t="s">
        <v>34</v>
      </c>
      <c r="C14" s="46" t="s">
        <v>146</v>
      </c>
      <c r="D14" s="45">
        <v>4</v>
      </c>
      <c r="E14" s="44">
        <v>2.2727272727272728E-2</v>
      </c>
    </row>
    <row r="15" spans="1:5" s="47" customFormat="1" ht="15" customHeight="1" x14ac:dyDescent="0.2">
      <c r="B15" s="77"/>
      <c r="C15" s="46" t="s">
        <v>145</v>
      </c>
      <c r="D15" s="45">
        <v>1</v>
      </c>
      <c r="E15" s="44">
        <v>5.681818181818182E-3</v>
      </c>
    </row>
    <row r="16" spans="1:5" s="47" customFormat="1" ht="15" customHeight="1" x14ac:dyDescent="0.2">
      <c r="B16" s="77"/>
      <c r="C16" s="46" t="s">
        <v>144</v>
      </c>
      <c r="D16" s="45">
        <v>1</v>
      </c>
      <c r="E16" s="44">
        <v>5.681818181818182E-3</v>
      </c>
    </row>
    <row r="17" spans="2:5" s="47" customFormat="1" ht="15" customHeight="1" x14ac:dyDescent="0.2">
      <c r="B17" s="77"/>
      <c r="C17" s="46" t="s">
        <v>143</v>
      </c>
      <c r="D17" s="45">
        <v>1</v>
      </c>
      <c r="E17" s="44">
        <v>5.681818181818182E-3</v>
      </c>
    </row>
    <row r="18" spans="2:5" s="47" customFormat="1" ht="15" customHeight="1" x14ac:dyDescent="0.2">
      <c r="B18" s="77"/>
      <c r="C18" s="46" t="s">
        <v>142</v>
      </c>
      <c r="D18" s="45">
        <v>1</v>
      </c>
      <c r="E18" s="44">
        <v>5.681818181818182E-3</v>
      </c>
    </row>
    <row r="19" spans="2:5" s="47" customFormat="1" ht="15" customHeight="1" x14ac:dyDescent="0.2">
      <c r="B19" s="77"/>
      <c r="C19" s="46" t="s">
        <v>141</v>
      </c>
      <c r="D19" s="45">
        <v>1</v>
      </c>
      <c r="E19" s="44">
        <v>5.681818181818182E-3</v>
      </c>
    </row>
    <row r="20" spans="2:5" ht="15" customHeight="1" x14ac:dyDescent="0.3">
      <c r="B20" s="78"/>
      <c r="C20" s="43" t="s">
        <v>18</v>
      </c>
      <c r="D20" s="42">
        <v>9</v>
      </c>
      <c r="E20" s="41">
        <v>5.113636363636364E-2</v>
      </c>
    </row>
    <row r="21" spans="2:5" ht="15" customHeight="1" x14ac:dyDescent="0.3">
      <c r="B21" s="76" t="s">
        <v>30</v>
      </c>
      <c r="C21" s="46" t="s">
        <v>30</v>
      </c>
      <c r="D21" s="45">
        <v>2</v>
      </c>
      <c r="E21" s="44">
        <v>1.1363636363636364E-2</v>
      </c>
    </row>
    <row r="22" spans="2:5" ht="15" customHeight="1" x14ac:dyDescent="0.3">
      <c r="B22" s="77"/>
      <c r="C22" s="46" t="s">
        <v>140</v>
      </c>
      <c r="D22" s="45">
        <v>1</v>
      </c>
      <c r="E22" s="44">
        <v>5.681818181818182E-3</v>
      </c>
    </row>
    <row r="23" spans="2:5" ht="15" customHeight="1" x14ac:dyDescent="0.3">
      <c r="B23" s="77"/>
      <c r="C23" s="46" t="s">
        <v>139</v>
      </c>
      <c r="D23" s="45">
        <v>1</v>
      </c>
      <c r="E23" s="44">
        <v>5.681818181818182E-3</v>
      </c>
    </row>
    <row r="24" spans="2:5" ht="15" customHeight="1" x14ac:dyDescent="0.3">
      <c r="B24" s="78"/>
      <c r="C24" s="43" t="s">
        <v>18</v>
      </c>
      <c r="D24" s="42">
        <v>4</v>
      </c>
      <c r="E24" s="41">
        <v>2.2727272727272728E-2</v>
      </c>
    </row>
    <row r="25" spans="2:5" ht="15" customHeight="1" x14ac:dyDescent="0.3">
      <c r="B25" s="76" t="s">
        <v>28</v>
      </c>
      <c r="C25" s="46" t="s">
        <v>138</v>
      </c>
      <c r="D25" s="45">
        <v>2</v>
      </c>
      <c r="E25" s="44">
        <v>1.1363636363636364E-2</v>
      </c>
    </row>
    <row r="26" spans="2:5" ht="15" customHeight="1" x14ac:dyDescent="0.3">
      <c r="B26" s="78"/>
      <c r="C26" s="43" t="s">
        <v>18</v>
      </c>
      <c r="D26" s="42">
        <v>2</v>
      </c>
      <c r="E26" s="41">
        <v>1.1363636363636364E-2</v>
      </c>
    </row>
    <row r="27" spans="2:5" ht="15" customHeight="1" x14ac:dyDescent="0.3">
      <c r="B27" s="76" t="s">
        <v>40</v>
      </c>
      <c r="C27" s="46" t="s">
        <v>137</v>
      </c>
      <c r="D27" s="45">
        <v>2</v>
      </c>
      <c r="E27" s="44">
        <v>1.1363636363636364E-2</v>
      </c>
    </row>
    <row r="28" spans="2:5" ht="15" customHeight="1" x14ac:dyDescent="0.3">
      <c r="B28" s="77"/>
      <c r="C28" s="46" t="s">
        <v>136</v>
      </c>
      <c r="D28" s="45">
        <v>3</v>
      </c>
      <c r="E28" s="44">
        <v>1.7045454545454544E-2</v>
      </c>
    </row>
    <row r="29" spans="2:5" ht="15" customHeight="1" x14ac:dyDescent="0.3">
      <c r="B29" s="77"/>
      <c r="C29" s="46" t="s">
        <v>135</v>
      </c>
      <c r="D29" s="45">
        <v>2</v>
      </c>
      <c r="E29" s="44">
        <v>1.1363636363636364E-2</v>
      </c>
    </row>
    <row r="30" spans="2:5" ht="15" customHeight="1" x14ac:dyDescent="0.3">
      <c r="B30" s="77"/>
      <c r="C30" s="46" t="s">
        <v>134</v>
      </c>
      <c r="D30" s="45">
        <v>3</v>
      </c>
      <c r="E30" s="44">
        <v>1.7045454545454544E-2</v>
      </c>
    </row>
    <row r="31" spans="2:5" ht="15" customHeight="1" x14ac:dyDescent="0.3">
      <c r="B31" s="77"/>
      <c r="C31" s="46" t="s">
        <v>133</v>
      </c>
      <c r="D31" s="45">
        <v>4</v>
      </c>
      <c r="E31" s="44">
        <v>2.2727272727272728E-2</v>
      </c>
    </row>
    <row r="32" spans="2:5" ht="15" customHeight="1" x14ac:dyDescent="0.3">
      <c r="B32" s="77"/>
      <c r="C32" s="46" t="s">
        <v>132</v>
      </c>
      <c r="D32" s="45">
        <v>2</v>
      </c>
      <c r="E32" s="44">
        <v>1.1363636363636364E-2</v>
      </c>
    </row>
    <row r="33" spans="2:5" ht="15" customHeight="1" x14ac:dyDescent="0.3">
      <c r="B33" s="77"/>
      <c r="C33" s="46" t="s">
        <v>131</v>
      </c>
      <c r="D33" s="45">
        <v>1</v>
      </c>
      <c r="E33" s="44">
        <v>5.681818181818182E-3</v>
      </c>
    </row>
    <row r="34" spans="2:5" ht="15" customHeight="1" x14ac:dyDescent="0.3">
      <c r="B34" s="77"/>
      <c r="C34" s="46" t="s">
        <v>130</v>
      </c>
      <c r="D34" s="45">
        <v>1</v>
      </c>
      <c r="E34" s="44">
        <v>5.681818181818182E-3</v>
      </c>
    </row>
    <row r="35" spans="2:5" ht="15" customHeight="1" x14ac:dyDescent="0.3">
      <c r="B35" s="77"/>
      <c r="C35" s="46" t="s">
        <v>129</v>
      </c>
      <c r="D35" s="45">
        <v>1</v>
      </c>
      <c r="E35" s="44">
        <v>5.681818181818182E-3</v>
      </c>
    </row>
    <row r="36" spans="2:5" ht="15" customHeight="1" x14ac:dyDescent="0.3">
      <c r="B36" s="78"/>
      <c r="C36" s="43" t="s">
        <v>18</v>
      </c>
      <c r="D36" s="42">
        <v>19</v>
      </c>
      <c r="E36" s="41">
        <v>0.10795454545454546</v>
      </c>
    </row>
    <row r="37" spans="2:5" ht="15" customHeight="1" x14ac:dyDescent="0.3">
      <c r="B37" s="76" t="s">
        <v>21</v>
      </c>
      <c r="C37" s="46" t="s">
        <v>199</v>
      </c>
      <c r="D37" s="45">
        <v>1</v>
      </c>
      <c r="E37" s="44">
        <v>5.681818181818182E-3</v>
      </c>
    </row>
    <row r="38" spans="2:5" ht="15" customHeight="1" x14ac:dyDescent="0.3">
      <c r="B38" s="78"/>
      <c r="C38" s="43" t="s">
        <v>18</v>
      </c>
      <c r="D38" s="42">
        <v>1</v>
      </c>
      <c r="E38" s="41">
        <v>5.681818181818182E-3</v>
      </c>
    </row>
    <row r="39" spans="2:5" ht="15" customHeight="1" x14ac:dyDescent="0.3">
      <c r="B39" s="76" t="s">
        <v>35</v>
      </c>
      <c r="C39" s="46" t="s">
        <v>128</v>
      </c>
      <c r="D39" s="45">
        <v>2</v>
      </c>
      <c r="E39" s="44">
        <v>1.1363636363636364E-2</v>
      </c>
    </row>
    <row r="40" spans="2:5" ht="15" customHeight="1" x14ac:dyDescent="0.3">
      <c r="B40" s="77"/>
      <c r="C40" s="46" t="s">
        <v>127</v>
      </c>
      <c r="D40" s="45">
        <v>1</v>
      </c>
      <c r="E40" s="44">
        <v>5.681818181818182E-3</v>
      </c>
    </row>
    <row r="41" spans="2:5" ht="15" customHeight="1" x14ac:dyDescent="0.3">
      <c r="B41" s="77"/>
      <c r="C41" s="46" t="s">
        <v>126</v>
      </c>
      <c r="D41" s="45">
        <v>1</v>
      </c>
      <c r="E41" s="44">
        <v>5.681818181818182E-3</v>
      </c>
    </row>
    <row r="42" spans="2:5" ht="15" customHeight="1" x14ac:dyDescent="0.3">
      <c r="B42" s="77"/>
      <c r="C42" s="46" t="s">
        <v>125</v>
      </c>
      <c r="D42" s="45">
        <v>3</v>
      </c>
      <c r="E42" s="44">
        <v>1.7045454545454544E-2</v>
      </c>
    </row>
    <row r="43" spans="2:5" ht="15" customHeight="1" x14ac:dyDescent="0.3">
      <c r="B43" s="77"/>
      <c r="C43" s="46" t="s">
        <v>124</v>
      </c>
      <c r="D43" s="45">
        <v>1</v>
      </c>
      <c r="E43" s="44">
        <v>5.681818181818182E-3</v>
      </c>
    </row>
    <row r="44" spans="2:5" ht="15" customHeight="1" x14ac:dyDescent="0.3">
      <c r="B44" s="77"/>
      <c r="C44" s="46" t="s">
        <v>123</v>
      </c>
      <c r="D44" s="45">
        <v>1</v>
      </c>
      <c r="E44" s="44">
        <v>5.681818181818182E-3</v>
      </c>
    </row>
    <row r="45" spans="2:5" ht="15" customHeight="1" x14ac:dyDescent="0.3">
      <c r="B45" s="77"/>
      <c r="C45" s="46" t="s">
        <v>122</v>
      </c>
      <c r="D45" s="45">
        <v>1</v>
      </c>
      <c r="E45" s="44">
        <v>5.681818181818182E-3</v>
      </c>
    </row>
    <row r="46" spans="2:5" ht="15" customHeight="1" x14ac:dyDescent="0.3">
      <c r="B46" s="77"/>
      <c r="C46" s="46" t="s">
        <v>121</v>
      </c>
      <c r="D46" s="45">
        <v>1</v>
      </c>
      <c r="E46" s="44">
        <v>5.681818181818182E-3</v>
      </c>
    </row>
    <row r="47" spans="2:5" ht="15" customHeight="1" x14ac:dyDescent="0.3">
      <c r="B47" s="77"/>
      <c r="C47" s="46" t="s">
        <v>120</v>
      </c>
      <c r="D47" s="45">
        <v>1</v>
      </c>
      <c r="E47" s="44">
        <v>5.681818181818182E-3</v>
      </c>
    </row>
    <row r="48" spans="2:5" ht="15" customHeight="1" x14ac:dyDescent="0.3">
      <c r="B48" s="78"/>
      <c r="C48" s="43" t="s">
        <v>18</v>
      </c>
      <c r="D48" s="42">
        <v>12</v>
      </c>
      <c r="E48" s="41">
        <v>6.8181818181818177E-2</v>
      </c>
    </row>
    <row r="49" spans="2:5" ht="15" customHeight="1" x14ac:dyDescent="0.3">
      <c r="B49" s="76" t="s">
        <v>32</v>
      </c>
      <c r="C49" s="46" t="s">
        <v>119</v>
      </c>
      <c r="D49" s="45">
        <v>1</v>
      </c>
      <c r="E49" s="44">
        <v>5.681818181818182E-3</v>
      </c>
    </row>
    <row r="50" spans="2:5" ht="15" customHeight="1" x14ac:dyDescent="0.3">
      <c r="B50" s="77"/>
      <c r="C50" s="46" t="s">
        <v>118</v>
      </c>
      <c r="D50" s="45">
        <v>1</v>
      </c>
      <c r="E50" s="44">
        <v>5.681818181818182E-3</v>
      </c>
    </row>
    <row r="51" spans="2:5" ht="15" customHeight="1" x14ac:dyDescent="0.3">
      <c r="B51" s="77"/>
      <c r="C51" s="46" t="s">
        <v>117</v>
      </c>
      <c r="D51" s="45">
        <v>1</v>
      </c>
      <c r="E51" s="44">
        <v>5.681818181818182E-3</v>
      </c>
    </row>
    <row r="52" spans="2:5" ht="15" customHeight="1" x14ac:dyDescent="0.3">
      <c r="B52" s="77"/>
      <c r="C52" s="46" t="s">
        <v>116</v>
      </c>
      <c r="D52" s="45">
        <v>1</v>
      </c>
      <c r="E52" s="44">
        <v>5.681818181818182E-3</v>
      </c>
    </row>
    <row r="53" spans="2:5" ht="15" customHeight="1" x14ac:dyDescent="0.3">
      <c r="B53" s="77"/>
      <c r="C53" s="46" t="s">
        <v>115</v>
      </c>
      <c r="D53" s="45">
        <v>2</v>
      </c>
      <c r="E53" s="44">
        <v>1.1363636363636364E-2</v>
      </c>
    </row>
    <row r="54" spans="2:5" ht="15" customHeight="1" x14ac:dyDescent="0.3">
      <c r="B54" s="77"/>
      <c r="C54" s="46" t="s">
        <v>114</v>
      </c>
      <c r="D54" s="45">
        <v>1</v>
      </c>
      <c r="E54" s="44">
        <v>5.681818181818182E-3</v>
      </c>
    </row>
    <row r="55" spans="2:5" ht="15" customHeight="1" x14ac:dyDescent="0.3">
      <c r="B55" s="78"/>
      <c r="C55" s="43" t="s">
        <v>18</v>
      </c>
      <c r="D55" s="42">
        <v>7</v>
      </c>
      <c r="E55" s="41">
        <v>3.9772727272727272E-2</v>
      </c>
    </row>
    <row r="56" spans="2:5" ht="15" customHeight="1" x14ac:dyDescent="0.3">
      <c r="B56" s="76" t="s">
        <v>29</v>
      </c>
      <c r="C56" s="46" t="s">
        <v>113</v>
      </c>
      <c r="D56" s="45">
        <v>1</v>
      </c>
      <c r="E56" s="44">
        <v>5.681818181818182E-3</v>
      </c>
    </row>
    <row r="57" spans="2:5" ht="15" customHeight="1" x14ac:dyDescent="0.3">
      <c r="B57" s="77"/>
      <c r="C57" s="46" t="s">
        <v>112</v>
      </c>
      <c r="D57" s="45">
        <v>1</v>
      </c>
      <c r="E57" s="44">
        <v>5.681818181818182E-3</v>
      </c>
    </row>
    <row r="58" spans="2:5" ht="15" customHeight="1" x14ac:dyDescent="0.3">
      <c r="B58" s="77"/>
      <c r="C58" s="46" t="s">
        <v>111</v>
      </c>
      <c r="D58" s="45">
        <v>1</v>
      </c>
      <c r="E58" s="44">
        <v>5.681818181818182E-3</v>
      </c>
    </row>
    <row r="59" spans="2:5" ht="15" customHeight="1" x14ac:dyDescent="0.3">
      <c r="B59" s="78"/>
      <c r="C59" s="43" t="s">
        <v>18</v>
      </c>
      <c r="D59" s="42">
        <v>3</v>
      </c>
      <c r="E59" s="41">
        <v>1.7045454545454544E-2</v>
      </c>
    </row>
    <row r="60" spans="2:5" ht="15" customHeight="1" x14ac:dyDescent="0.3">
      <c r="B60" s="76" t="s">
        <v>33</v>
      </c>
      <c r="C60" s="46" t="s">
        <v>110</v>
      </c>
      <c r="D60" s="45">
        <v>7</v>
      </c>
      <c r="E60" s="44">
        <v>3.9772727272727272E-2</v>
      </c>
    </row>
    <row r="61" spans="2:5" ht="15" customHeight="1" x14ac:dyDescent="0.3">
      <c r="B61" s="77"/>
      <c r="C61" s="46" t="s">
        <v>109</v>
      </c>
      <c r="D61" s="45">
        <v>1</v>
      </c>
      <c r="E61" s="44">
        <v>5.681818181818182E-3</v>
      </c>
    </row>
    <row r="62" spans="2:5" ht="15" customHeight="1" x14ac:dyDescent="0.3">
      <c r="B62" s="77"/>
      <c r="C62" s="46" t="s">
        <v>108</v>
      </c>
      <c r="D62" s="45">
        <v>1</v>
      </c>
      <c r="E62" s="44">
        <v>5.681818181818182E-3</v>
      </c>
    </row>
    <row r="63" spans="2:5" ht="15" customHeight="1" x14ac:dyDescent="0.3">
      <c r="B63" s="78"/>
      <c r="C63" s="43" t="s">
        <v>18</v>
      </c>
      <c r="D63" s="42">
        <v>9</v>
      </c>
      <c r="E63" s="41">
        <v>5.113636363636364E-2</v>
      </c>
    </row>
    <row r="64" spans="2:5" ht="15" customHeight="1" x14ac:dyDescent="0.3">
      <c r="B64" s="76" t="s">
        <v>41</v>
      </c>
      <c r="C64" s="46" t="s">
        <v>107</v>
      </c>
      <c r="D64" s="45">
        <v>1</v>
      </c>
      <c r="E64" s="44">
        <v>5.681818181818182E-3</v>
      </c>
    </row>
    <row r="65" spans="2:5" ht="15" customHeight="1" x14ac:dyDescent="0.3">
      <c r="B65" s="77"/>
      <c r="C65" s="46" t="s">
        <v>106</v>
      </c>
      <c r="D65" s="45">
        <v>1</v>
      </c>
      <c r="E65" s="44">
        <v>5.681818181818182E-3</v>
      </c>
    </row>
    <row r="66" spans="2:5" ht="15" customHeight="1" x14ac:dyDescent="0.3">
      <c r="B66" s="77"/>
      <c r="C66" s="46" t="s">
        <v>105</v>
      </c>
      <c r="D66" s="45">
        <v>1</v>
      </c>
      <c r="E66" s="44">
        <v>5.681818181818182E-3</v>
      </c>
    </row>
    <row r="67" spans="2:5" ht="15" customHeight="1" x14ac:dyDescent="0.3">
      <c r="B67" s="77"/>
      <c r="C67" s="46" t="s">
        <v>104</v>
      </c>
      <c r="D67" s="45">
        <v>10</v>
      </c>
      <c r="E67" s="44">
        <v>5.6818181818181816E-2</v>
      </c>
    </row>
    <row r="68" spans="2:5" ht="15" customHeight="1" x14ac:dyDescent="0.3">
      <c r="B68" s="77"/>
      <c r="C68" s="46" t="s">
        <v>103</v>
      </c>
      <c r="D68" s="45">
        <v>1</v>
      </c>
      <c r="E68" s="44">
        <v>5.681818181818182E-3</v>
      </c>
    </row>
    <row r="69" spans="2:5" ht="15" customHeight="1" x14ac:dyDescent="0.3">
      <c r="B69" s="77"/>
      <c r="C69" s="46" t="s">
        <v>102</v>
      </c>
      <c r="D69" s="45">
        <v>1</v>
      </c>
      <c r="E69" s="44">
        <v>5.681818181818182E-3</v>
      </c>
    </row>
    <row r="70" spans="2:5" ht="15" customHeight="1" x14ac:dyDescent="0.3">
      <c r="B70" s="77"/>
      <c r="C70" s="46" t="s">
        <v>101</v>
      </c>
      <c r="D70" s="45">
        <v>1</v>
      </c>
      <c r="E70" s="44">
        <v>5.681818181818182E-3</v>
      </c>
    </row>
    <row r="71" spans="2:5" ht="15" customHeight="1" x14ac:dyDescent="0.3">
      <c r="B71" s="77"/>
      <c r="C71" s="46" t="s">
        <v>100</v>
      </c>
      <c r="D71" s="45">
        <v>2</v>
      </c>
      <c r="E71" s="44">
        <v>1.1363636363636364E-2</v>
      </c>
    </row>
    <row r="72" spans="2:5" ht="15" customHeight="1" x14ac:dyDescent="0.3">
      <c r="B72" s="77"/>
      <c r="C72" s="46" t="s">
        <v>99</v>
      </c>
      <c r="D72" s="45">
        <v>1</v>
      </c>
      <c r="E72" s="44">
        <v>5.681818181818182E-3</v>
      </c>
    </row>
    <row r="73" spans="2:5" ht="15" customHeight="1" x14ac:dyDescent="0.3">
      <c r="B73" s="77"/>
      <c r="C73" s="46" t="s">
        <v>98</v>
      </c>
      <c r="D73" s="45">
        <v>2</v>
      </c>
      <c r="E73" s="44">
        <v>1.1363636363636364E-2</v>
      </c>
    </row>
    <row r="74" spans="2:5" ht="15" customHeight="1" x14ac:dyDescent="0.3">
      <c r="B74" s="77"/>
      <c r="C74" s="46" t="s">
        <v>97</v>
      </c>
      <c r="D74" s="45">
        <v>2</v>
      </c>
      <c r="E74" s="44">
        <v>1.1363636363636364E-2</v>
      </c>
    </row>
    <row r="75" spans="2:5" ht="15" customHeight="1" x14ac:dyDescent="0.3">
      <c r="B75" s="77"/>
      <c r="C75" s="46" t="s">
        <v>96</v>
      </c>
      <c r="D75" s="45">
        <v>1</v>
      </c>
      <c r="E75" s="44">
        <v>5.681818181818182E-3</v>
      </c>
    </row>
    <row r="76" spans="2:5" ht="15" customHeight="1" x14ac:dyDescent="0.3">
      <c r="B76" s="77"/>
      <c r="C76" s="46" t="s">
        <v>79</v>
      </c>
      <c r="D76" s="45">
        <v>1</v>
      </c>
      <c r="E76" s="44">
        <v>5.681818181818182E-3</v>
      </c>
    </row>
    <row r="77" spans="2:5" ht="15" customHeight="1" x14ac:dyDescent="0.3">
      <c r="B77" s="77"/>
      <c r="C77" s="46" t="s">
        <v>95</v>
      </c>
      <c r="D77" s="45">
        <v>1</v>
      </c>
      <c r="E77" s="44">
        <v>5.681818181818182E-3</v>
      </c>
    </row>
    <row r="78" spans="2:5" ht="15" customHeight="1" x14ac:dyDescent="0.3">
      <c r="B78" s="77"/>
      <c r="C78" s="46" t="s">
        <v>94</v>
      </c>
      <c r="D78" s="45">
        <v>1</v>
      </c>
      <c r="E78" s="44">
        <v>5.681818181818182E-3</v>
      </c>
    </row>
    <row r="79" spans="2:5" ht="15" customHeight="1" x14ac:dyDescent="0.3">
      <c r="B79" s="77"/>
      <c r="C79" s="46" t="s">
        <v>93</v>
      </c>
      <c r="D79" s="45">
        <v>1</v>
      </c>
      <c r="E79" s="44">
        <v>5.681818181818182E-3</v>
      </c>
    </row>
    <row r="80" spans="2:5" ht="15" customHeight="1" x14ac:dyDescent="0.3">
      <c r="B80" s="78"/>
      <c r="C80" s="43" t="s">
        <v>18</v>
      </c>
      <c r="D80" s="42">
        <v>28</v>
      </c>
      <c r="E80" s="41">
        <v>0.15909090909090909</v>
      </c>
    </row>
    <row r="81" spans="2:5" ht="15" customHeight="1" x14ac:dyDescent="0.3">
      <c r="B81" s="76" t="s">
        <v>37</v>
      </c>
      <c r="C81" s="46" t="s">
        <v>92</v>
      </c>
      <c r="D81" s="45">
        <v>2</v>
      </c>
      <c r="E81" s="44">
        <v>1.1363636363636364E-2</v>
      </c>
    </row>
    <row r="82" spans="2:5" ht="15" customHeight="1" x14ac:dyDescent="0.3">
      <c r="B82" s="77"/>
      <c r="C82" s="46" t="s">
        <v>91</v>
      </c>
      <c r="D82" s="45">
        <v>1</v>
      </c>
      <c r="E82" s="44">
        <v>5.681818181818182E-3</v>
      </c>
    </row>
    <row r="83" spans="2:5" ht="15" customHeight="1" x14ac:dyDescent="0.3">
      <c r="B83" s="77"/>
      <c r="C83" s="46" t="s">
        <v>90</v>
      </c>
      <c r="D83" s="45">
        <v>3</v>
      </c>
      <c r="E83" s="44">
        <v>1.7045454545454544E-2</v>
      </c>
    </row>
    <row r="84" spans="2:5" ht="15" customHeight="1" x14ac:dyDescent="0.3">
      <c r="B84" s="77"/>
      <c r="C84" s="46" t="s">
        <v>89</v>
      </c>
      <c r="D84" s="45">
        <v>2</v>
      </c>
      <c r="E84" s="44">
        <v>1.1363636363636364E-2</v>
      </c>
    </row>
    <row r="85" spans="2:5" ht="15" customHeight="1" x14ac:dyDescent="0.3">
      <c r="B85" s="77"/>
      <c r="C85" s="46" t="s">
        <v>88</v>
      </c>
      <c r="D85" s="45">
        <v>2</v>
      </c>
      <c r="E85" s="44">
        <v>1.1363636363636364E-2</v>
      </c>
    </row>
    <row r="86" spans="2:5" ht="15" customHeight="1" x14ac:dyDescent="0.3">
      <c r="B86" s="77"/>
      <c r="C86" s="46" t="s">
        <v>87</v>
      </c>
      <c r="D86" s="45">
        <v>1</v>
      </c>
      <c r="E86" s="44">
        <v>5.681818181818182E-3</v>
      </c>
    </row>
    <row r="87" spans="2:5" ht="15" customHeight="1" x14ac:dyDescent="0.3">
      <c r="B87" s="77"/>
      <c r="C87" s="46" t="s">
        <v>86</v>
      </c>
      <c r="D87" s="45">
        <v>2</v>
      </c>
      <c r="E87" s="44">
        <v>1.1363636363636364E-2</v>
      </c>
    </row>
    <row r="88" spans="2:5" ht="15" customHeight="1" x14ac:dyDescent="0.3">
      <c r="B88" s="77"/>
      <c r="C88" s="46" t="s">
        <v>85</v>
      </c>
      <c r="D88" s="45">
        <v>1</v>
      </c>
      <c r="E88" s="44">
        <v>5.681818181818182E-3</v>
      </c>
    </row>
    <row r="89" spans="2:5" ht="15" customHeight="1" x14ac:dyDescent="0.3">
      <c r="B89" s="78"/>
      <c r="C89" s="43" t="s">
        <v>18</v>
      </c>
      <c r="D89" s="42">
        <v>14</v>
      </c>
      <c r="E89" s="41">
        <v>7.9545454545454544E-2</v>
      </c>
    </row>
    <row r="90" spans="2:5" ht="15" customHeight="1" x14ac:dyDescent="0.3">
      <c r="B90" s="76" t="s">
        <v>27</v>
      </c>
      <c r="C90" s="46" t="s">
        <v>84</v>
      </c>
      <c r="D90" s="45">
        <v>1</v>
      </c>
      <c r="E90" s="44">
        <v>5.681818181818182E-3</v>
      </c>
    </row>
    <row r="91" spans="2:5" ht="15" customHeight="1" x14ac:dyDescent="0.3">
      <c r="B91" s="77"/>
      <c r="C91" s="46" t="s">
        <v>83</v>
      </c>
      <c r="D91" s="45">
        <v>1</v>
      </c>
      <c r="E91" s="44">
        <v>5.681818181818182E-3</v>
      </c>
    </row>
    <row r="92" spans="2:5" ht="15" customHeight="1" x14ac:dyDescent="0.3">
      <c r="B92" s="78"/>
      <c r="C92" s="43" t="s">
        <v>18</v>
      </c>
      <c r="D92" s="42">
        <v>2</v>
      </c>
      <c r="E92" s="41">
        <v>1.1363636363636364E-2</v>
      </c>
    </row>
    <row r="93" spans="2:5" ht="15" customHeight="1" x14ac:dyDescent="0.3">
      <c r="B93" s="76" t="s">
        <v>38</v>
      </c>
      <c r="C93" s="46" t="s">
        <v>82</v>
      </c>
      <c r="D93" s="45">
        <v>7</v>
      </c>
      <c r="E93" s="44">
        <v>3.9772727272727272E-2</v>
      </c>
    </row>
    <row r="94" spans="2:5" ht="15" customHeight="1" x14ac:dyDescent="0.3">
      <c r="B94" s="77"/>
      <c r="C94" s="46" t="s">
        <v>81</v>
      </c>
      <c r="D94" s="45">
        <v>2</v>
      </c>
      <c r="E94" s="44">
        <v>1.1363636363636364E-2</v>
      </c>
    </row>
    <row r="95" spans="2:5" ht="15" customHeight="1" x14ac:dyDescent="0.3">
      <c r="B95" s="77"/>
      <c r="C95" s="46" t="s">
        <v>80</v>
      </c>
      <c r="D95" s="45">
        <v>6</v>
      </c>
      <c r="E95" s="44">
        <v>3.4090909090909088E-2</v>
      </c>
    </row>
    <row r="96" spans="2:5" ht="15" customHeight="1" x14ac:dyDescent="0.3">
      <c r="B96" s="77"/>
      <c r="C96" s="46" t="s">
        <v>79</v>
      </c>
      <c r="D96" s="45">
        <v>2</v>
      </c>
      <c r="E96" s="44">
        <v>1.1363636363636364E-2</v>
      </c>
    </row>
    <row r="97" spans="2:5" ht="15" customHeight="1" x14ac:dyDescent="0.3">
      <c r="B97" s="78"/>
      <c r="C97" s="43" t="s">
        <v>18</v>
      </c>
      <c r="D97" s="42">
        <v>17</v>
      </c>
      <c r="E97" s="41">
        <v>9.6590909090909088E-2</v>
      </c>
    </row>
    <row r="98" spans="2:5" ht="15" customHeight="1" x14ac:dyDescent="0.3">
      <c r="B98" s="76" t="s">
        <v>39</v>
      </c>
      <c r="C98" s="46" t="s">
        <v>78</v>
      </c>
      <c r="D98" s="45">
        <v>1</v>
      </c>
      <c r="E98" s="44">
        <v>5.681818181818182E-3</v>
      </c>
    </row>
    <row r="99" spans="2:5" ht="15" customHeight="1" x14ac:dyDescent="0.3">
      <c r="B99" s="77"/>
      <c r="C99" s="46" t="s">
        <v>77</v>
      </c>
      <c r="D99" s="45">
        <v>1</v>
      </c>
      <c r="E99" s="44">
        <v>5.681818181818182E-3</v>
      </c>
    </row>
    <row r="100" spans="2:5" ht="15" customHeight="1" x14ac:dyDescent="0.3">
      <c r="B100" s="77"/>
      <c r="C100" s="46" t="s">
        <v>76</v>
      </c>
      <c r="D100" s="45">
        <v>1</v>
      </c>
      <c r="E100" s="44">
        <v>5.681818181818182E-3</v>
      </c>
    </row>
    <row r="101" spans="2:5" ht="15" customHeight="1" x14ac:dyDescent="0.3">
      <c r="B101" s="77"/>
      <c r="C101" s="46" t="s">
        <v>75</v>
      </c>
      <c r="D101" s="45">
        <v>1</v>
      </c>
      <c r="E101" s="44">
        <v>5.681818181818182E-3</v>
      </c>
    </row>
    <row r="102" spans="2:5" ht="15" customHeight="1" x14ac:dyDescent="0.3">
      <c r="B102" s="77"/>
      <c r="C102" s="46" t="s">
        <v>74</v>
      </c>
      <c r="D102" s="45">
        <v>1</v>
      </c>
      <c r="E102" s="44">
        <v>5.681818181818182E-3</v>
      </c>
    </row>
    <row r="103" spans="2:5" ht="15" customHeight="1" x14ac:dyDescent="0.3">
      <c r="B103" s="77"/>
      <c r="C103" s="46" t="s">
        <v>73</v>
      </c>
      <c r="D103" s="45">
        <v>2</v>
      </c>
      <c r="E103" s="44">
        <v>1.1363636363636364E-2</v>
      </c>
    </row>
    <row r="104" spans="2:5" ht="15" customHeight="1" x14ac:dyDescent="0.3">
      <c r="B104" s="77"/>
      <c r="C104" s="46" t="s">
        <v>72</v>
      </c>
      <c r="D104" s="45">
        <v>1</v>
      </c>
      <c r="E104" s="44">
        <v>5.681818181818182E-3</v>
      </c>
    </row>
    <row r="105" spans="2:5" ht="15" customHeight="1" x14ac:dyDescent="0.3">
      <c r="B105" s="77"/>
      <c r="C105" s="46" t="s">
        <v>71</v>
      </c>
      <c r="D105" s="45">
        <v>1</v>
      </c>
      <c r="E105" s="44">
        <v>5.681818181818182E-3</v>
      </c>
    </row>
    <row r="106" spans="2:5" ht="15" customHeight="1" x14ac:dyDescent="0.3">
      <c r="B106" s="77"/>
      <c r="C106" s="46" t="s">
        <v>70</v>
      </c>
      <c r="D106" s="45">
        <v>1</v>
      </c>
      <c r="E106" s="44">
        <v>5.681818181818182E-3</v>
      </c>
    </row>
    <row r="107" spans="2:5" ht="15" customHeight="1" x14ac:dyDescent="0.3">
      <c r="B107" s="77"/>
      <c r="C107" s="46" t="s">
        <v>69</v>
      </c>
      <c r="D107" s="45">
        <v>1</v>
      </c>
      <c r="E107" s="44">
        <v>5.681818181818182E-3</v>
      </c>
    </row>
    <row r="108" spans="2:5" ht="15" customHeight="1" x14ac:dyDescent="0.3">
      <c r="B108" s="77"/>
      <c r="C108" s="46" t="s">
        <v>68</v>
      </c>
      <c r="D108" s="45">
        <v>1</v>
      </c>
      <c r="E108" s="44">
        <v>5.681818181818182E-3</v>
      </c>
    </row>
    <row r="109" spans="2:5" ht="15" customHeight="1" x14ac:dyDescent="0.3">
      <c r="B109" s="77"/>
      <c r="C109" s="46" t="s">
        <v>67</v>
      </c>
      <c r="D109" s="45">
        <v>1</v>
      </c>
      <c r="E109" s="44">
        <v>5.681818181818182E-3</v>
      </c>
    </row>
    <row r="110" spans="2:5" ht="15" customHeight="1" x14ac:dyDescent="0.3">
      <c r="B110" s="77"/>
      <c r="C110" s="46" t="s">
        <v>66</v>
      </c>
      <c r="D110" s="45">
        <v>5</v>
      </c>
      <c r="E110" s="44">
        <v>2.8409090909090908E-2</v>
      </c>
    </row>
    <row r="111" spans="2:5" ht="15" customHeight="1" x14ac:dyDescent="0.3">
      <c r="B111" s="77"/>
      <c r="C111" s="46" t="s">
        <v>65</v>
      </c>
      <c r="D111" s="45">
        <v>1</v>
      </c>
      <c r="E111" s="44">
        <v>5.681818181818182E-3</v>
      </c>
    </row>
    <row r="112" spans="2:5" ht="15" customHeight="1" x14ac:dyDescent="0.3">
      <c r="B112" s="78"/>
      <c r="C112" s="43" t="s">
        <v>18</v>
      </c>
      <c r="D112" s="42">
        <v>19</v>
      </c>
      <c r="E112" s="41">
        <v>0.10795454545454546</v>
      </c>
    </row>
    <row r="113" spans="2:5" ht="15" customHeight="1" x14ac:dyDescent="0.3">
      <c r="B113" s="76" t="s">
        <v>36</v>
      </c>
      <c r="C113" s="46" t="s">
        <v>64</v>
      </c>
      <c r="D113" s="45">
        <v>1</v>
      </c>
      <c r="E113" s="44">
        <v>5.681818181818182E-3</v>
      </c>
    </row>
    <row r="114" spans="2:5" ht="15" customHeight="1" x14ac:dyDescent="0.3">
      <c r="B114" s="77"/>
      <c r="C114" s="46" t="s">
        <v>63</v>
      </c>
      <c r="D114" s="45">
        <v>3</v>
      </c>
      <c r="E114" s="44">
        <v>1.7045454545454544E-2</v>
      </c>
    </row>
    <row r="115" spans="2:5" ht="15" customHeight="1" x14ac:dyDescent="0.3">
      <c r="B115" s="77"/>
      <c r="C115" s="46" t="s">
        <v>62</v>
      </c>
      <c r="D115" s="45">
        <v>1</v>
      </c>
      <c r="E115" s="44">
        <v>5.681818181818182E-3</v>
      </c>
    </row>
    <row r="116" spans="2:5" ht="15" customHeight="1" x14ac:dyDescent="0.3">
      <c r="B116" s="77"/>
      <c r="C116" s="46" t="s">
        <v>61</v>
      </c>
      <c r="D116" s="45">
        <v>2</v>
      </c>
      <c r="E116" s="44">
        <v>1.1363636363636364E-2</v>
      </c>
    </row>
    <row r="117" spans="2:5" ht="15" customHeight="1" x14ac:dyDescent="0.3">
      <c r="B117" s="77"/>
      <c r="C117" s="46" t="s">
        <v>36</v>
      </c>
      <c r="D117" s="45">
        <v>2</v>
      </c>
      <c r="E117" s="44">
        <v>1.1363636363636364E-2</v>
      </c>
    </row>
    <row r="118" spans="2:5" ht="15" customHeight="1" x14ac:dyDescent="0.3">
      <c r="B118" s="77"/>
      <c r="C118" s="46" t="s">
        <v>60</v>
      </c>
      <c r="D118" s="45">
        <v>3</v>
      </c>
      <c r="E118" s="44">
        <v>1.7045454545454544E-2</v>
      </c>
    </row>
    <row r="119" spans="2:5" ht="15" customHeight="1" x14ac:dyDescent="0.3">
      <c r="B119" s="77"/>
      <c r="C119" s="46" t="s">
        <v>59</v>
      </c>
      <c r="D119" s="45">
        <v>1</v>
      </c>
      <c r="E119" s="44">
        <v>5.681818181818182E-3</v>
      </c>
    </row>
    <row r="120" spans="2:5" ht="15" customHeight="1" x14ac:dyDescent="0.3">
      <c r="B120" s="77"/>
      <c r="C120" s="46" t="s">
        <v>58</v>
      </c>
      <c r="D120" s="45">
        <v>1</v>
      </c>
      <c r="E120" s="44">
        <v>5.681818181818182E-3</v>
      </c>
    </row>
    <row r="121" spans="2:5" ht="15" customHeight="1" x14ac:dyDescent="0.3">
      <c r="B121" s="78"/>
      <c r="C121" s="43" t="s">
        <v>18</v>
      </c>
      <c r="D121" s="42">
        <v>14</v>
      </c>
      <c r="E121" s="41">
        <v>7.9545454545454544E-2</v>
      </c>
    </row>
    <row r="122" spans="2:5" ht="15" customHeight="1" x14ac:dyDescent="0.3">
      <c r="B122" s="76" t="s">
        <v>26</v>
      </c>
      <c r="C122" s="46" t="s">
        <v>57</v>
      </c>
      <c r="D122" s="45">
        <v>1</v>
      </c>
      <c r="E122" s="44">
        <v>5.681818181818182E-3</v>
      </c>
    </row>
    <row r="123" spans="2:5" ht="15" customHeight="1" x14ac:dyDescent="0.3">
      <c r="B123" s="77"/>
      <c r="C123" s="46" t="s">
        <v>26</v>
      </c>
      <c r="D123" s="45">
        <v>1</v>
      </c>
      <c r="E123" s="44">
        <v>5.681818181818182E-3</v>
      </c>
    </row>
    <row r="124" spans="2:5" ht="15" customHeight="1" x14ac:dyDescent="0.3">
      <c r="B124" s="78"/>
      <c r="C124" s="43" t="s">
        <v>18</v>
      </c>
      <c r="D124" s="42">
        <v>2</v>
      </c>
      <c r="E124" s="41">
        <v>1.1363636363636364E-2</v>
      </c>
    </row>
    <row r="125" spans="2:5" ht="15" customHeight="1" x14ac:dyDescent="0.3">
      <c r="B125" s="76" t="s">
        <v>25</v>
      </c>
      <c r="C125" s="46" t="s">
        <v>56</v>
      </c>
      <c r="D125" s="45">
        <v>1</v>
      </c>
      <c r="E125" s="44">
        <v>5.681818181818182E-3</v>
      </c>
    </row>
    <row r="126" spans="2:5" ht="15" customHeight="1" x14ac:dyDescent="0.3">
      <c r="B126" s="77"/>
      <c r="C126" s="46" t="s">
        <v>55</v>
      </c>
      <c r="D126" s="45">
        <v>1</v>
      </c>
      <c r="E126" s="44">
        <v>5.681818181818182E-3</v>
      </c>
    </row>
    <row r="127" spans="2:5" ht="15" customHeight="1" x14ac:dyDescent="0.3">
      <c r="B127" s="78"/>
      <c r="C127" s="43" t="s">
        <v>18</v>
      </c>
      <c r="D127" s="42">
        <v>2</v>
      </c>
      <c r="E127" s="41">
        <v>1.1363636363636364E-2</v>
      </c>
    </row>
    <row r="128" spans="2:5" ht="15" customHeight="1" x14ac:dyDescent="0.3">
      <c r="B128" s="76" t="s">
        <v>20</v>
      </c>
      <c r="C128" s="46" t="s">
        <v>54</v>
      </c>
      <c r="D128" s="45">
        <v>1</v>
      </c>
      <c r="E128" s="44">
        <v>5.681818181818182E-3</v>
      </c>
    </row>
    <row r="129" spans="2:5" ht="15" customHeight="1" x14ac:dyDescent="0.3">
      <c r="B129" s="78"/>
      <c r="C129" s="43" t="s">
        <v>18</v>
      </c>
      <c r="D129" s="42">
        <v>1</v>
      </c>
      <c r="E129" s="41">
        <v>5.681818181818182E-3</v>
      </c>
    </row>
    <row r="130" spans="2:5" ht="15" customHeight="1" x14ac:dyDescent="0.3">
      <c r="B130" s="76" t="s">
        <v>31</v>
      </c>
      <c r="C130" s="46" t="s">
        <v>53</v>
      </c>
      <c r="D130" s="45">
        <v>1</v>
      </c>
      <c r="E130" s="44">
        <v>5.681818181818182E-3</v>
      </c>
    </row>
    <row r="131" spans="2:5" ht="15" customHeight="1" x14ac:dyDescent="0.3">
      <c r="B131" s="77"/>
      <c r="C131" s="46" t="s">
        <v>52</v>
      </c>
      <c r="D131" s="45">
        <v>1</v>
      </c>
      <c r="E131" s="44">
        <v>5.681818181818182E-3</v>
      </c>
    </row>
    <row r="132" spans="2:5" ht="15" customHeight="1" x14ac:dyDescent="0.3">
      <c r="B132" s="77"/>
      <c r="C132" s="46" t="s">
        <v>51</v>
      </c>
      <c r="D132" s="45">
        <v>1</v>
      </c>
      <c r="E132" s="44">
        <v>5.681818181818182E-3</v>
      </c>
    </row>
    <row r="133" spans="2:5" ht="15" customHeight="1" x14ac:dyDescent="0.3">
      <c r="B133" s="77"/>
      <c r="C133" s="46" t="s">
        <v>50</v>
      </c>
      <c r="D133" s="45">
        <v>2</v>
      </c>
      <c r="E133" s="44">
        <v>1.1363636363636364E-2</v>
      </c>
    </row>
    <row r="134" spans="2:5" ht="15" customHeight="1" x14ac:dyDescent="0.3">
      <c r="B134" s="77"/>
      <c r="C134" s="46" t="s">
        <v>49</v>
      </c>
      <c r="D134" s="45">
        <v>1</v>
      </c>
      <c r="E134" s="44">
        <v>5.681818181818182E-3</v>
      </c>
    </row>
    <row r="135" spans="2:5" ht="15" customHeight="1" x14ac:dyDescent="0.3">
      <c r="B135" s="78"/>
      <c r="C135" s="43" t="s">
        <v>18</v>
      </c>
      <c r="D135" s="42">
        <v>6</v>
      </c>
      <c r="E135" s="41">
        <v>3.4090909090909088E-2</v>
      </c>
    </row>
    <row r="136" spans="2:5" ht="15" customHeight="1" x14ac:dyDescent="0.3">
      <c r="B136" s="76" t="s">
        <v>19</v>
      </c>
      <c r="C136" s="46" t="s">
        <v>48</v>
      </c>
      <c r="D136" s="45">
        <v>1</v>
      </c>
      <c r="E136" s="44">
        <v>5.681818181818182E-3</v>
      </c>
    </row>
    <row r="137" spans="2:5" ht="15" customHeight="1" x14ac:dyDescent="0.3">
      <c r="B137" s="78"/>
      <c r="C137" s="43" t="s">
        <v>18</v>
      </c>
      <c r="D137" s="42">
        <v>1</v>
      </c>
      <c r="E137" s="41">
        <v>5.681818181818182E-3</v>
      </c>
    </row>
    <row r="138" spans="2:5" ht="15" customHeight="1" x14ac:dyDescent="0.3">
      <c r="B138" s="76" t="s">
        <v>24</v>
      </c>
      <c r="C138" s="46" t="s">
        <v>47</v>
      </c>
      <c r="D138" s="45">
        <v>1</v>
      </c>
      <c r="E138" s="44">
        <v>5.681818181818182E-3</v>
      </c>
    </row>
    <row r="139" spans="2:5" ht="15" customHeight="1" x14ac:dyDescent="0.3">
      <c r="B139" s="77"/>
      <c r="C139" s="46" t="s">
        <v>46</v>
      </c>
      <c r="D139" s="45">
        <v>1</v>
      </c>
      <c r="E139" s="44">
        <v>5.681818181818182E-3</v>
      </c>
    </row>
    <row r="140" spans="2:5" ht="15" customHeight="1" x14ac:dyDescent="0.3">
      <c r="B140" s="78"/>
      <c r="C140" s="43" t="s">
        <v>18</v>
      </c>
      <c r="D140" s="42">
        <v>2</v>
      </c>
      <c r="E140" s="41">
        <v>1.1363636363636364E-2</v>
      </c>
    </row>
    <row r="141" spans="2:5" ht="15" customHeight="1" x14ac:dyDescent="0.3">
      <c r="B141" s="74" t="s">
        <v>18</v>
      </c>
      <c r="C141" s="75"/>
      <c r="D141" s="62">
        <f>SUMIF(C$10:C140,"Total",D$10:D140)</f>
        <v>176</v>
      </c>
      <c r="E141" s="63">
        <v>1</v>
      </c>
    </row>
    <row r="143" spans="2:5" ht="15" customHeight="1" x14ac:dyDescent="0.3">
      <c r="B143" s="20" t="s">
        <v>17</v>
      </c>
    </row>
    <row r="144" spans="2:5" ht="15" customHeight="1" x14ac:dyDescent="0.3">
      <c r="B144" s="22" t="s">
        <v>16</v>
      </c>
    </row>
    <row r="145" spans="2:2" ht="15" customHeight="1" x14ac:dyDescent="0.3">
      <c r="B145" s="21" t="s">
        <v>15</v>
      </c>
    </row>
    <row r="146" spans="2:2" ht="15" customHeight="1" x14ac:dyDescent="0.3">
      <c r="B146" s="20" t="s">
        <v>14</v>
      </c>
    </row>
    <row r="147" spans="2:2" ht="15" customHeight="1" x14ac:dyDescent="0.3">
      <c r="B147" s="20" t="s">
        <v>13</v>
      </c>
    </row>
    <row r="484" spans="1:2" s="38" customFormat="1" ht="15" customHeight="1" x14ac:dyDescent="0.3">
      <c r="A484" s="37"/>
      <c r="B484" s="39"/>
    </row>
    <row r="485" spans="1:2" s="38" customFormat="1" ht="15" customHeight="1" x14ac:dyDescent="0.3">
      <c r="A485" s="37"/>
      <c r="B485" s="40"/>
    </row>
    <row r="486" spans="1:2" s="38" customFormat="1" ht="15" customHeight="1" x14ac:dyDescent="0.3">
      <c r="A486" s="37"/>
      <c r="B486" s="40"/>
    </row>
    <row r="487" spans="1:2" s="38" customFormat="1" ht="15" customHeight="1" x14ac:dyDescent="0.3">
      <c r="A487" s="37"/>
      <c r="B487" s="39"/>
    </row>
    <row r="488" spans="1:2" s="38" customFormat="1" ht="15" customHeight="1" x14ac:dyDescent="0.3">
      <c r="A488" s="37"/>
      <c r="B488" s="39"/>
    </row>
  </sheetData>
  <mergeCells count="25">
    <mergeCell ref="B25:B26"/>
    <mergeCell ref="B7:E8"/>
    <mergeCell ref="B10:B11"/>
    <mergeCell ref="B12:B13"/>
    <mergeCell ref="B14:B20"/>
    <mergeCell ref="B21:B24"/>
    <mergeCell ref="B113:B121"/>
    <mergeCell ref="B27:B36"/>
    <mergeCell ref="B37:B38"/>
    <mergeCell ref="B39:B48"/>
    <mergeCell ref="B49:B55"/>
    <mergeCell ref="B56:B59"/>
    <mergeCell ref="B60:B63"/>
    <mergeCell ref="B64:B80"/>
    <mergeCell ref="B81:B89"/>
    <mergeCell ref="B90:B92"/>
    <mergeCell ref="B93:B97"/>
    <mergeCell ref="B98:B112"/>
    <mergeCell ref="B141:C141"/>
    <mergeCell ref="B122:B124"/>
    <mergeCell ref="B125:B127"/>
    <mergeCell ref="B128:B129"/>
    <mergeCell ref="B130:B135"/>
    <mergeCell ref="B136:B137"/>
    <mergeCell ref="B138:B140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3" manualBreakCount="3">
    <brk id="48" max="4" man="1"/>
    <brk id="92" max="4" man="1"/>
    <brk id="135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35"/>
  <sheetViews>
    <sheetView showGridLines="0" zoomScaleNormal="100" zoomScaleSheetLayoutView="115" workbookViewId="0">
      <selection activeCell="C1" sqref="C1"/>
    </sheetView>
  </sheetViews>
  <sheetFormatPr baseColWidth="10" defaultColWidth="11.44140625" defaultRowHeight="14.4" x14ac:dyDescent="0.3"/>
  <cols>
    <col min="1" max="1" width="9.33203125" style="18" customWidth="1"/>
    <col min="2" max="2" width="30.554687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167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166</v>
      </c>
      <c r="C11" s="32" t="s">
        <v>43</v>
      </c>
      <c r="D11" s="31" t="s">
        <v>42</v>
      </c>
    </row>
    <row r="12" spans="2:4" ht="15" customHeight="1" x14ac:dyDescent="0.3">
      <c r="B12" s="28" t="s">
        <v>165</v>
      </c>
      <c r="C12" s="27">
        <v>2</v>
      </c>
      <c r="D12" s="26">
        <v>1.1363636363636364E-2</v>
      </c>
    </row>
    <row r="13" spans="2:4" x14ac:dyDescent="0.3">
      <c r="B13" s="28" t="s">
        <v>164</v>
      </c>
      <c r="C13" s="27">
        <v>1</v>
      </c>
      <c r="D13" s="26">
        <v>5.681818181818182E-3</v>
      </c>
    </row>
    <row r="14" spans="2:4" s="29" customFormat="1" ht="15" x14ac:dyDescent="0.3">
      <c r="B14" s="28" t="s">
        <v>163</v>
      </c>
      <c r="C14" s="27">
        <v>2</v>
      </c>
      <c r="D14" s="26">
        <v>1.1363636363636364E-2</v>
      </c>
    </row>
    <row r="15" spans="2:4" s="29" customFormat="1" ht="15" x14ac:dyDescent="0.3">
      <c r="B15" s="28" t="s">
        <v>162</v>
      </c>
      <c r="C15" s="27">
        <v>2</v>
      </c>
      <c r="D15" s="26">
        <v>1.1363636363636364E-2</v>
      </c>
    </row>
    <row r="16" spans="2:4" x14ac:dyDescent="0.3">
      <c r="B16" s="28" t="s">
        <v>161</v>
      </c>
      <c r="C16" s="27">
        <v>3</v>
      </c>
      <c r="D16" s="26">
        <v>1.7045454545454544E-2</v>
      </c>
    </row>
    <row r="17" spans="2:4" x14ac:dyDescent="0.3">
      <c r="B17" s="28" t="s">
        <v>160</v>
      </c>
      <c r="C17" s="27">
        <v>15</v>
      </c>
      <c r="D17" s="26">
        <v>8.5227272727272721E-2</v>
      </c>
    </row>
    <row r="18" spans="2:4" x14ac:dyDescent="0.3">
      <c r="B18" s="28" t="s">
        <v>159</v>
      </c>
      <c r="C18" s="27">
        <v>29</v>
      </c>
      <c r="D18" s="26">
        <v>0.16477272727272727</v>
      </c>
    </row>
    <row r="19" spans="2:4" x14ac:dyDescent="0.3">
      <c r="B19" s="28" t="s">
        <v>158</v>
      </c>
      <c r="C19" s="27">
        <v>1</v>
      </c>
      <c r="D19" s="26">
        <v>5.681818181818182E-3</v>
      </c>
    </row>
    <row r="20" spans="2:4" x14ac:dyDescent="0.3">
      <c r="B20" s="28" t="s">
        <v>157</v>
      </c>
      <c r="C20" s="27">
        <v>2</v>
      </c>
      <c r="D20" s="26">
        <v>1.1363636363636364E-2</v>
      </c>
    </row>
    <row r="21" spans="2:4" x14ac:dyDescent="0.3">
      <c r="B21" s="28" t="s">
        <v>156</v>
      </c>
      <c r="C21" s="27">
        <v>1</v>
      </c>
      <c r="D21" s="26">
        <v>5.681818181818182E-3</v>
      </c>
    </row>
    <row r="22" spans="2:4" x14ac:dyDescent="0.3">
      <c r="B22" s="28" t="s">
        <v>155</v>
      </c>
      <c r="C22" s="27">
        <v>51</v>
      </c>
      <c r="D22" s="26">
        <v>0.28977272727272729</v>
      </c>
    </row>
    <row r="23" spans="2:4" x14ac:dyDescent="0.3">
      <c r="B23" s="28" t="s">
        <v>154</v>
      </c>
      <c r="C23" s="27">
        <v>7</v>
      </c>
      <c r="D23" s="26">
        <v>3.9772727272727272E-2</v>
      </c>
    </row>
    <row r="24" spans="2:4" x14ac:dyDescent="0.3">
      <c r="B24" s="28" t="s">
        <v>153</v>
      </c>
      <c r="C24" s="27">
        <v>10</v>
      </c>
      <c r="D24" s="26">
        <v>5.6818181818181816E-2</v>
      </c>
    </row>
    <row r="25" spans="2:4" x14ac:dyDescent="0.3">
      <c r="B25" s="28" t="s">
        <v>152</v>
      </c>
      <c r="C25" s="27">
        <v>37</v>
      </c>
      <c r="D25" s="26">
        <v>0.21022727272727273</v>
      </c>
    </row>
    <row r="26" spans="2:4" x14ac:dyDescent="0.3">
      <c r="B26" s="28" t="s">
        <v>151</v>
      </c>
      <c r="C26" s="27">
        <v>3</v>
      </c>
      <c r="D26" s="26">
        <v>1.7045454545454544E-2</v>
      </c>
    </row>
    <row r="27" spans="2:4" x14ac:dyDescent="0.3">
      <c r="B27" s="28" t="s">
        <v>150</v>
      </c>
      <c r="C27" s="27">
        <v>9</v>
      </c>
      <c r="D27" s="26">
        <v>5.113636363636364E-2</v>
      </c>
    </row>
    <row r="28" spans="2:4" x14ac:dyDescent="0.3">
      <c r="B28" s="28" t="s">
        <v>149</v>
      </c>
      <c r="C28" s="27">
        <v>1</v>
      </c>
      <c r="D28" s="26">
        <v>5.681818181818182E-3</v>
      </c>
    </row>
    <row r="29" spans="2:4" x14ac:dyDescent="0.3">
      <c r="B29" s="25" t="s">
        <v>18</v>
      </c>
      <c r="C29" s="24">
        <v>176</v>
      </c>
      <c r="D29" s="23">
        <v>1</v>
      </c>
    </row>
    <row r="31" spans="2:4" x14ac:dyDescent="0.3">
      <c r="B31" s="20" t="s">
        <v>17</v>
      </c>
    </row>
    <row r="32" spans="2:4" x14ac:dyDescent="0.3">
      <c r="B32" s="22" t="s">
        <v>16</v>
      </c>
    </row>
    <row r="33" spans="2:2" x14ac:dyDescent="0.3">
      <c r="B33" s="21" t="s">
        <v>15</v>
      </c>
    </row>
    <row r="34" spans="2:2" x14ac:dyDescent="0.3">
      <c r="B34" s="20" t="s">
        <v>14</v>
      </c>
    </row>
    <row r="35" spans="2:2" x14ac:dyDescent="0.3">
      <c r="B35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22"/>
  <sheetViews>
    <sheetView topLeftCell="A90" zoomScale="96" zoomScaleNormal="96" zoomScaleSheetLayoutView="100" workbookViewId="0">
      <selection activeCell="D118" sqref="D118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4" customFormat="1" ht="12" customHeight="1" x14ac:dyDescent="0.2">
      <c r="B1" s="58"/>
      <c r="C1" s="57"/>
      <c r="D1" s="57"/>
      <c r="E1" s="57"/>
    </row>
    <row r="2" spans="1:5" s="54" customFormat="1" ht="15" customHeight="1" x14ac:dyDescent="0.2">
      <c r="C2" s="56"/>
    </row>
    <row r="3" spans="1:5" s="54" customFormat="1" ht="15" customHeight="1" x14ac:dyDescent="0.2">
      <c r="C3" s="56"/>
    </row>
    <row r="4" spans="1:5" s="54" customFormat="1" ht="30" customHeight="1" x14ac:dyDescent="0.2">
      <c r="C4" s="56"/>
      <c r="D4" s="55"/>
    </row>
    <row r="5" spans="1:5" s="54" customFormat="1" ht="15" customHeight="1" x14ac:dyDescent="0.2">
      <c r="C5" s="56"/>
      <c r="D5" s="55"/>
    </row>
    <row r="6" spans="1:5" s="51" customFormat="1" ht="24" customHeight="1" x14ac:dyDescent="0.2">
      <c r="B6" s="53"/>
      <c r="C6" s="47"/>
      <c r="D6" s="47"/>
      <c r="E6" s="47"/>
    </row>
    <row r="7" spans="1:5" s="51" customFormat="1" ht="26.25" customHeight="1" x14ac:dyDescent="0.25">
      <c r="A7" s="52"/>
      <c r="B7" s="79"/>
      <c r="C7" s="79"/>
      <c r="D7" s="79"/>
      <c r="E7" s="79"/>
    </row>
    <row r="8" spans="1:5" s="51" customFormat="1" ht="33" customHeight="1" x14ac:dyDescent="0.25">
      <c r="A8" s="52"/>
      <c r="B8" s="79"/>
      <c r="C8" s="79"/>
      <c r="D8" s="79"/>
      <c r="E8" s="79"/>
    </row>
    <row r="9" spans="1:5" s="30" customFormat="1" ht="40.5" customHeight="1" x14ac:dyDescent="0.2">
      <c r="B9" s="48" t="s">
        <v>166</v>
      </c>
      <c r="C9" s="50" t="s">
        <v>44</v>
      </c>
      <c r="D9" s="49" t="s">
        <v>43</v>
      </c>
      <c r="E9" s="48" t="s">
        <v>42</v>
      </c>
    </row>
    <row r="10" spans="1:5" ht="15" customHeight="1" x14ac:dyDescent="0.3">
      <c r="B10" s="76" t="s">
        <v>165</v>
      </c>
      <c r="C10" s="46" t="s">
        <v>37</v>
      </c>
      <c r="D10" s="45">
        <v>1</v>
      </c>
      <c r="E10" s="44">
        <v>5.681818181818182E-3</v>
      </c>
    </row>
    <row r="11" spans="1:5" ht="15" customHeight="1" x14ac:dyDescent="0.3">
      <c r="B11" s="77"/>
      <c r="C11" s="46" t="s">
        <v>39</v>
      </c>
      <c r="D11" s="45">
        <v>1</v>
      </c>
      <c r="E11" s="44">
        <v>5.681818181818182E-3</v>
      </c>
    </row>
    <row r="12" spans="1:5" ht="15" customHeight="1" x14ac:dyDescent="0.3">
      <c r="B12" s="78"/>
      <c r="C12" s="43" t="s">
        <v>18</v>
      </c>
      <c r="D12" s="42">
        <v>2</v>
      </c>
      <c r="E12" s="41">
        <v>1.1363636363636364E-2</v>
      </c>
    </row>
    <row r="13" spans="1:5" ht="15" customHeight="1" x14ac:dyDescent="0.3">
      <c r="B13" s="76" t="s">
        <v>164</v>
      </c>
      <c r="C13" s="46" t="s">
        <v>37</v>
      </c>
      <c r="D13" s="45">
        <v>1</v>
      </c>
      <c r="E13" s="44">
        <v>5.681818181818182E-3</v>
      </c>
    </row>
    <row r="14" spans="1:5" ht="15" customHeight="1" x14ac:dyDescent="0.3">
      <c r="B14" s="78"/>
      <c r="C14" s="43" t="s">
        <v>18</v>
      </c>
      <c r="D14" s="42">
        <v>1</v>
      </c>
      <c r="E14" s="41">
        <v>5.681818181818182E-3</v>
      </c>
    </row>
    <row r="15" spans="1:5" s="47" customFormat="1" ht="15" customHeight="1" x14ac:dyDescent="0.3">
      <c r="A15" s="37"/>
      <c r="B15" s="76" t="s">
        <v>163</v>
      </c>
      <c r="C15" s="46" t="s">
        <v>40</v>
      </c>
      <c r="D15" s="45">
        <v>1</v>
      </c>
      <c r="E15" s="44">
        <v>5.681818181818182E-3</v>
      </c>
    </row>
    <row r="16" spans="1:5" s="47" customFormat="1" ht="15" customHeight="1" x14ac:dyDescent="0.3">
      <c r="A16" s="37"/>
      <c r="B16" s="77"/>
      <c r="C16" s="46" t="s">
        <v>38</v>
      </c>
      <c r="D16" s="45">
        <v>1</v>
      </c>
      <c r="E16" s="44">
        <v>5.681818181818182E-3</v>
      </c>
    </row>
    <row r="17" spans="1:5" s="47" customFormat="1" ht="15" customHeight="1" x14ac:dyDescent="0.3">
      <c r="A17" s="37"/>
      <c r="B17" s="78"/>
      <c r="C17" s="43" t="s">
        <v>18</v>
      </c>
      <c r="D17" s="42">
        <v>2</v>
      </c>
      <c r="E17" s="41">
        <v>1.1363636363636364E-2</v>
      </c>
    </row>
    <row r="18" spans="1:5" s="47" customFormat="1" ht="15" customHeight="1" x14ac:dyDescent="0.3">
      <c r="A18" s="37"/>
      <c r="B18" s="76" t="s">
        <v>162</v>
      </c>
      <c r="C18" s="46" t="s">
        <v>41</v>
      </c>
      <c r="D18" s="45">
        <v>1</v>
      </c>
      <c r="E18" s="44">
        <v>5.681818181818182E-3</v>
      </c>
    </row>
    <row r="19" spans="1:5" s="47" customFormat="1" ht="15" customHeight="1" x14ac:dyDescent="0.3">
      <c r="A19" s="37"/>
      <c r="B19" s="77"/>
      <c r="C19" s="46" t="s">
        <v>36</v>
      </c>
      <c r="D19" s="45">
        <v>1</v>
      </c>
      <c r="E19" s="44">
        <v>5.681818181818182E-3</v>
      </c>
    </row>
    <row r="20" spans="1:5" ht="15" customHeight="1" x14ac:dyDescent="0.3">
      <c r="B20" s="78"/>
      <c r="C20" s="43" t="s">
        <v>18</v>
      </c>
      <c r="D20" s="42">
        <v>2</v>
      </c>
      <c r="E20" s="41">
        <v>1.1363636363636364E-2</v>
      </c>
    </row>
    <row r="21" spans="1:5" ht="15" customHeight="1" x14ac:dyDescent="0.3">
      <c r="B21" s="76" t="s">
        <v>161</v>
      </c>
      <c r="C21" s="46" t="s">
        <v>38</v>
      </c>
      <c r="D21" s="45">
        <v>1</v>
      </c>
      <c r="E21" s="44">
        <v>5.681818181818182E-3</v>
      </c>
    </row>
    <row r="22" spans="1:5" ht="15" customHeight="1" x14ac:dyDescent="0.3">
      <c r="B22" s="77"/>
      <c r="C22" s="46" t="s">
        <v>39</v>
      </c>
      <c r="D22" s="45">
        <v>1</v>
      </c>
      <c r="E22" s="44">
        <v>5.681818181818182E-3</v>
      </c>
    </row>
    <row r="23" spans="1:5" ht="15" customHeight="1" x14ac:dyDescent="0.3">
      <c r="B23" s="77"/>
      <c r="C23" s="46" t="s">
        <v>24</v>
      </c>
      <c r="D23" s="45">
        <v>1</v>
      </c>
      <c r="E23" s="44">
        <v>5.681818181818182E-3</v>
      </c>
    </row>
    <row r="24" spans="1:5" ht="15" customHeight="1" x14ac:dyDescent="0.3">
      <c r="B24" s="78"/>
      <c r="C24" s="43" t="s">
        <v>18</v>
      </c>
      <c r="D24" s="42">
        <v>3</v>
      </c>
      <c r="E24" s="41">
        <v>1.7045454545454544E-2</v>
      </c>
    </row>
    <row r="25" spans="1:5" ht="15" customHeight="1" x14ac:dyDescent="0.3">
      <c r="B25" s="76" t="s">
        <v>160</v>
      </c>
      <c r="C25" s="46" t="s">
        <v>34</v>
      </c>
      <c r="D25" s="45">
        <v>1</v>
      </c>
      <c r="E25" s="44">
        <v>5.681818181818182E-3</v>
      </c>
    </row>
    <row r="26" spans="1:5" ht="15" customHeight="1" x14ac:dyDescent="0.3">
      <c r="B26" s="77"/>
      <c r="C26" s="46" t="s">
        <v>40</v>
      </c>
      <c r="D26" s="45">
        <v>1</v>
      </c>
      <c r="E26" s="44">
        <v>5.681818181818182E-3</v>
      </c>
    </row>
    <row r="27" spans="1:5" ht="15" customHeight="1" x14ac:dyDescent="0.3">
      <c r="B27" s="77"/>
      <c r="C27" s="46" t="s">
        <v>32</v>
      </c>
      <c r="D27" s="45">
        <v>1</v>
      </c>
      <c r="E27" s="44">
        <v>5.681818181818182E-3</v>
      </c>
    </row>
    <row r="28" spans="1:5" ht="15" customHeight="1" x14ac:dyDescent="0.3">
      <c r="B28" s="77"/>
      <c r="C28" s="46" t="s">
        <v>33</v>
      </c>
      <c r="D28" s="45">
        <v>2</v>
      </c>
      <c r="E28" s="44">
        <v>1.1363636363636364E-2</v>
      </c>
    </row>
    <row r="29" spans="1:5" ht="15" customHeight="1" x14ac:dyDescent="0.3">
      <c r="B29" s="77"/>
      <c r="C29" s="46" t="s">
        <v>37</v>
      </c>
      <c r="D29" s="45">
        <v>3</v>
      </c>
      <c r="E29" s="44">
        <v>1.7045454545454544E-2</v>
      </c>
    </row>
    <row r="30" spans="1:5" ht="15" customHeight="1" x14ac:dyDescent="0.3">
      <c r="B30" s="77"/>
      <c r="C30" s="46" t="s">
        <v>27</v>
      </c>
      <c r="D30" s="45">
        <v>1</v>
      </c>
      <c r="E30" s="44">
        <v>5.681818181818182E-3</v>
      </c>
    </row>
    <row r="31" spans="1:5" ht="15" customHeight="1" x14ac:dyDescent="0.3">
      <c r="B31" s="77"/>
      <c r="C31" s="46" t="s">
        <v>39</v>
      </c>
      <c r="D31" s="45">
        <v>2</v>
      </c>
      <c r="E31" s="44">
        <v>1.1363636363636364E-2</v>
      </c>
    </row>
    <row r="32" spans="1:5" ht="15" customHeight="1" x14ac:dyDescent="0.3">
      <c r="B32" s="77"/>
      <c r="C32" s="46" t="s">
        <v>36</v>
      </c>
      <c r="D32" s="45">
        <v>3</v>
      </c>
      <c r="E32" s="44">
        <v>1.7045454545454544E-2</v>
      </c>
    </row>
    <row r="33" spans="2:5" ht="15" customHeight="1" x14ac:dyDescent="0.3">
      <c r="B33" s="77"/>
      <c r="C33" s="46" t="s">
        <v>26</v>
      </c>
      <c r="D33" s="45">
        <v>1</v>
      </c>
      <c r="E33" s="44">
        <v>5.681818181818182E-3</v>
      </c>
    </row>
    <row r="34" spans="2:5" ht="15" customHeight="1" x14ac:dyDescent="0.3">
      <c r="B34" s="78"/>
      <c r="C34" s="43" t="s">
        <v>18</v>
      </c>
      <c r="D34" s="42">
        <v>15</v>
      </c>
      <c r="E34" s="41">
        <v>8.5227272727272721E-2</v>
      </c>
    </row>
    <row r="35" spans="2:5" ht="15" customHeight="1" x14ac:dyDescent="0.3">
      <c r="B35" s="76" t="s">
        <v>159</v>
      </c>
      <c r="C35" s="46" t="s">
        <v>34</v>
      </c>
      <c r="D35" s="45">
        <v>3</v>
      </c>
      <c r="E35" s="44">
        <v>1.7045454545454544E-2</v>
      </c>
    </row>
    <row r="36" spans="2:5" ht="15" customHeight="1" x14ac:dyDescent="0.3">
      <c r="B36" s="77"/>
      <c r="C36" s="46" t="s">
        <v>35</v>
      </c>
      <c r="D36" s="45">
        <v>2</v>
      </c>
      <c r="E36" s="44">
        <v>1.1363636363636364E-2</v>
      </c>
    </row>
    <row r="37" spans="2:5" ht="15" customHeight="1" x14ac:dyDescent="0.3">
      <c r="B37" s="77"/>
      <c r="C37" s="46" t="s">
        <v>32</v>
      </c>
      <c r="D37" s="45">
        <v>2</v>
      </c>
      <c r="E37" s="44">
        <v>1.1363636363636364E-2</v>
      </c>
    </row>
    <row r="38" spans="2:5" ht="15" customHeight="1" x14ac:dyDescent="0.3">
      <c r="B38" s="77"/>
      <c r="C38" s="46" t="s">
        <v>29</v>
      </c>
      <c r="D38" s="45">
        <v>1</v>
      </c>
      <c r="E38" s="44">
        <v>5.681818181818182E-3</v>
      </c>
    </row>
    <row r="39" spans="2:5" ht="15" customHeight="1" x14ac:dyDescent="0.3">
      <c r="B39" s="77"/>
      <c r="C39" s="46" t="s">
        <v>33</v>
      </c>
      <c r="D39" s="45">
        <v>1</v>
      </c>
      <c r="E39" s="44">
        <v>5.681818181818182E-3</v>
      </c>
    </row>
    <row r="40" spans="2:5" ht="15" customHeight="1" x14ac:dyDescent="0.3">
      <c r="B40" s="77"/>
      <c r="C40" s="46" t="s">
        <v>41</v>
      </c>
      <c r="D40" s="45">
        <v>5</v>
      </c>
      <c r="E40" s="44">
        <v>2.8409090909090908E-2</v>
      </c>
    </row>
    <row r="41" spans="2:5" ht="15" customHeight="1" x14ac:dyDescent="0.3">
      <c r="B41" s="77"/>
      <c r="C41" s="46" t="s">
        <v>37</v>
      </c>
      <c r="D41" s="45">
        <v>2</v>
      </c>
      <c r="E41" s="44">
        <v>1.1363636363636364E-2</v>
      </c>
    </row>
    <row r="42" spans="2:5" ht="15" customHeight="1" x14ac:dyDescent="0.3">
      <c r="B42" s="77"/>
      <c r="C42" s="46" t="s">
        <v>38</v>
      </c>
      <c r="D42" s="45">
        <v>3</v>
      </c>
      <c r="E42" s="44">
        <v>1.7045454545454544E-2</v>
      </c>
    </row>
    <row r="43" spans="2:5" ht="15" customHeight="1" x14ac:dyDescent="0.3">
      <c r="B43" s="77"/>
      <c r="C43" s="46" t="s">
        <v>39</v>
      </c>
      <c r="D43" s="45">
        <v>5</v>
      </c>
      <c r="E43" s="44">
        <v>2.8409090909090908E-2</v>
      </c>
    </row>
    <row r="44" spans="2:5" ht="15" customHeight="1" x14ac:dyDescent="0.3">
      <c r="B44" s="77"/>
      <c r="C44" s="46" t="s">
        <v>36</v>
      </c>
      <c r="D44" s="45">
        <v>3</v>
      </c>
      <c r="E44" s="44">
        <v>1.7045454545454544E-2</v>
      </c>
    </row>
    <row r="45" spans="2:5" ht="15" customHeight="1" x14ac:dyDescent="0.3">
      <c r="B45" s="77"/>
      <c r="C45" s="46" t="s">
        <v>25</v>
      </c>
      <c r="D45" s="45">
        <v>1</v>
      </c>
      <c r="E45" s="44">
        <v>5.681818181818182E-3</v>
      </c>
    </row>
    <row r="46" spans="2:5" ht="15" customHeight="1" x14ac:dyDescent="0.3">
      <c r="B46" s="77"/>
      <c r="C46" s="46" t="s">
        <v>24</v>
      </c>
      <c r="D46" s="45">
        <v>1</v>
      </c>
      <c r="E46" s="44">
        <v>5.681818181818182E-3</v>
      </c>
    </row>
    <row r="47" spans="2:5" ht="15" customHeight="1" x14ac:dyDescent="0.3">
      <c r="B47" s="78"/>
      <c r="C47" s="43" t="s">
        <v>18</v>
      </c>
      <c r="D47" s="42">
        <v>29</v>
      </c>
      <c r="E47" s="41">
        <v>0.16477272727272727</v>
      </c>
    </row>
    <row r="48" spans="2:5" ht="15" customHeight="1" x14ac:dyDescent="0.3">
      <c r="B48" s="76" t="s">
        <v>158</v>
      </c>
      <c r="C48" s="46" t="s">
        <v>40</v>
      </c>
      <c r="D48" s="45">
        <v>1</v>
      </c>
      <c r="E48" s="44">
        <v>5.681818181818182E-3</v>
      </c>
    </row>
    <row r="49" spans="2:5" ht="15" customHeight="1" x14ac:dyDescent="0.3">
      <c r="B49" s="78"/>
      <c r="C49" s="43" t="s">
        <v>18</v>
      </c>
      <c r="D49" s="42">
        <v>1</v>
      </c>
      <c r="E49" s="41">
        <v>5.681818181818182E-3</v>
      </c>
    </row>
    <row r="50" spans="2:5" ht="15" customHeight="1" x14ac:dyDescent="0.3">
      <c r="B50" s="76" t="s">
        <v>157</v>
      </c>
      <c r="C50" s="46" t="s">
        <v>41</v>
      </c>
      <c r="D50" s="45">
        <v>2</v>
      </c>
      <c r="E50" s="44">
        <v>1.1363636363636364E-2</v>
      </c>
    </row>
    <row r="51" spans="2:5" ht="15" customHeight="1" x14ac:dyDescent="0.3">
      <c r="B51" s="78"/>
      <c r="C51" s="43" t="s">
        <v>18</v>
      </c>
      <c r="D51" s="42">
        <v>2</v>
      </c>
      <c r="E51" s="41">
        <v>1.1363636363636364E-2</v>
      </c>
    </row>
    <row r="52" spans="2:5" ht="15" customHeight="1" x14ac:dyDescent="0.3">
      <c r="B52" s="76" t="s">
        <v>156</v>
      </c>
      <c r="C52" s="46" t="s">
        <v>33</v>
      </c>
      <c r="D52" s="45">
        <v>1</v>
      </c>
      <c r="E52" s="44">
        <v>5.681818181818182E-3</v>
      </c>
    </row>
    <row r="53" spans="2:5" ht="15" customHeight="1" x14ac:dyDescent="0.3">
      <c r="B53" s="78"/>
      <c r="C53" s="43" t="s">
        <v>18</v>
      </c>
      <c r="D53" s="42">
        <v>1</v>
      </c>
      <c r="E53" s="41">
        <v>5.681818181818182E-3</v>
      </c>
    </row>
    <row r="54" spans="2:5" ht="15" customHeight="1" x14ac:dyDescent="0.3">
      <c r="B54" s="76" t="s">
        <v>155</v>
      </c>
      <c r="C54" s="46" t="s">
        <v>22</v>
      </c>
      <c r="D54" s="45">
        <v>1</v>
      </c>
      <c r="E54" s="44">
        <v>5.681818181818182E-3</v>
      </c>
    </row>
    <row r="55" spans="2:5" ht="15" customHeight="1" x14ac:dyDescent="0.3">
      <c r="B55" s="77"/>
      <c r="C55" s="46" t="s">
        <v>34</v>
      </c>
      <c r="D55" s="45">
        <v>1</v>
      </c>
      <c r="E55" s="44">
        <v>5.681818181818182E-3</v>
      </c>
    </row>
    <row r="56" spans="2:5" ht="15" customHeight="1" x14ac:dyDescent="0.3">
      <c r="B56" s="77"/>
      <c r="C56" s="46" t="s">
        <v>30</v>
      </c>
      <c r="D56" s="45">
        <v>2</v>
      </c>
      <c r="E56" s="44">
        <v>1.1363636363636364E-2</v>
      </c>
    </row>
    <row r="57" spans="2:5" ht="15" customHeight="1" x14ac:dyDescent="0.3">
      <c r="B57" s="77"/>
      <c r="C57" s="46" t="s">
        <v>28</v>
      </c>
      <c r="D57" s="45">
        <v>2</v>
      </c>
      <c r="E57" s="44">
        <v>1.1363636363636364E-2</v>
      </c>
    </row>
    <row r="58" spans="2:5" ht="15" customHeight="1" x14ac:dyDescent="0.3">
      <c r="B58" s="77"/>
      <c r="C58" s="46" t="s">
        <v>40</v>
      </c>
      <c r="D58" s="45">
        <v>7</v>
      </c>
      <c r="E58" s="44">
        <v>3.9772727272727272E-2</v>
      </c>
    </row>
    <row r="59" spans="2:5" ht="15" customHeight="1" x14ac:dyDescent="0.3">
      <c r="B59" s="77"/>
      <c r="C59" s="46" t="s">
        <v>21</v>
      </c>
      <c r="D59" s="45">
        <v>1</v>
      </c>
      <c r="E59" s="44">
        <v>5.681818181818182E-3</v>
      </c>
    </row>
    <row r="60" spans="2:5" ht="15" customHeight="1" x14ac:dyDescent="0.3">
      <c r="B60" s="77"/>
      <c r="C60" s="46" t="s">
        <v>35</v>
      </c>
      <c r="D60" s="45">
        <v>6</v>
      </c>
      <c r="E60" s="44">
        <v>3.4090909090909088E-2</v>
      </c>
    </row>
    <row r="61" spans="2:5" ht="15" customHeight="1" x14ac:dyDescent="0.3">
      <c r="B61" s="77"/>
      <c r="C61" s="46" t="s">
        <v>32</v>
      </c>
      <c r="D61" s="45">
        <v>1</v>
      </c>
      <c r="E61" s="44">
        <v>5.681818181818182E-3</v>
      </c>
    </row>
    <row r="62" spans="2:5" ht="15" customHeight="1" x14ac:dyDescent="0.3">
      <c r="B62" s="77"/>
      <c r="C62" s="46" t="s">
        <v>29</v>
      </c>
      <c r="D62" s="45">
        <v>1</v>
      </c>
      <c r="E62" s="44">
        <v>5.681818181818182E-3</v>
      </c>
    </row>
    <row r="63" spans="2:5" ht="15" customHeight="1" x14ac:dyDescent="0.3">
      <c r="B63" s="77"/>
      <c r="C63" s="46" t="s">
        <v>33</v>
      </c>
      <c r="D63" s="45">
        <v>3</v>
      </c>
      <c r="E63" s="44">
        <v>1.7045454545454544E-2</v>
      </c>
    </row>
    <row r="64" spans="2:5" ht="15" customHeight="1" x14ac:dyDescent="0.3">
      <c r="B64" s="77"/>
      <c r="C64" s="46" t="s">
        <v>41</v>
      </c>
      <c r="D64" s="45">
        <v>5</v>
      </c>
      <c r="E64" s="44">
        <v>2.8409090909090908E-2</v>
      </c>
    </row>
    <row r="65" spans="2:5" ht="15" customHeight="1" x14ac:dyDescent="0.3">
      <c r="B65" s="77"/>
      <c r="C65" s="46" t="s">
        <v>37</v>
      </c>
      <c r="D65" s="45">
        <v>4</v>
      </c>
      <c r="E65" s="44">
        <v>2.2727272727272728E-2</v>
      </c>
    </row>
    <row r="66" spans="2:5" ht="15" customHeight="1" x14ac:dyDescent="0.3">
      <c r="B66" s="77"/>
      <c r="C66" s="46" t="s">
        <v>27</v>
      </c>
      <c r="D66" s="45">
        <v>1</v>
      </c>
      <c r="E66" s="44">
        <v>5.681818181818182E-3</v>
      </c>
    </row>
    <row r="67" spans="2:5" ht="15" customHeight="1" x14ac:dyDescent="0.3">
      <c r="B67" s="77"/>
      <c r="C67" s="46" t="s">
        <v>38</v>
      </c>
      <c r="D67" s="45">
        <v>4</v>
      </c>
      <c r="E67" s="44">
        <v>2.2727272727272728E-2</v>
      </c>
    </row>
    <row r="68" spans="2:5" ht="15" customHeight="1" x14ac:dyDescent="0.3">
      <c r="B68" s="77"/>
      <c r="C68" s="46" t="s">
        <v>39</v>
      </c>
      <c r="D68" s="45">
        <v>8</v>
      </c>
      <c r="E68" s="44">
        <v>4.5454545454545456E-2</v>
      </c>
    </row>
    <row r="69" spans="2:5" ht="15" customHeight="1" x14ac:dyDescent="0.3">
      <c r="B69" s="77"/>
      <c r="C69" s="46" t="s">
        <v>36</v>
      </c>
      <c r="D69" s="45">
        <v>2</v>
      </c>
      <c r="E69" s="44">
        <v>1.1363636363636364E-2</v>
      </c>
    </row>
    <row r="70" spans="2:5" ht="15" customHeight="1" x14ac:dyDescent="0.3">
      <c r="B70" s="77"/>
      <c r="C70" s="46" t="s">
        <v>26</v>
      </c>
      <c r="D70" s="45">
        <v>1</v>
      </c>
      <c r="E70" s="44">
        <v>5.681818181818182E-3</v>
      </c>
    </row>
    <row r="71" spans="2:5" ht="15" customHeight="1" x14ac:dyDescent="0.3">
      <c r="B71" s="77"/>
      <c r="C71" s="46" t="s">
        <v>19</v>
      </c>
      <c r="D71" s="45">
        <v>1</v>
      </c>
      <c r="E71" s="44">
        <v>5.681818181818182E-3</v>
      </c>
    </row>
    <row r="72" spans="2:5" ht="15" customHeight="1" x14ac:dyDescent="0.3">
      <c r="B72" s="78"/>
      <c r="C72" s="43" t="s">
        <v>18</v>
      </c>
      <c r="D72" s="42">
        <v>51</v>
      </c>
      <c r="E72" s="41">
        <v>0.28977272727272729</v>
      </c>
    </row>
    <row r="73" spans="2:5" ht="15" customHeight="1" x14ac:dyDescent="0.3">
      <c r="B73" s="76" t="s">
        <v>198</v>
      </c>
      <c r="C73" s="46" t="s">
        <v>30</v>
      </c>
      <c r="D73" s="45">
        <v>1</v>
      </c>
      <c r="E73" s="44">
        <v>5.681818181818182E-3</v>
      </c>
    </row>
    <row r="74" spans="2:5" ht="15" customHeight="1" x14ac:dyDescent="0.3">
      <c r="B74" s="77"/>
      <c r="C74" s="46" t="s">
        <v>35</v>
      </c>
      <c r="D74" s="45">
        <v>1</v>
      </c>
      <c r="E74" s="44">
        <v>5.681818181818182E-3</v>
      </c>
    </row>
    <row r="75" spans="2:5" ht="15" customHeight="1" x14ac:dyDescent="0.3">
      <c r="B75" s="77"/>
      <c r="C75" s="46" t="s">
        <v>32</v>
      </c>
      <c r="D75" s="45">
        <v>1</v>
      </c>
      <c r="E75" s="44">
        <v>5.681818181818182E-3</v>
      </c>
    </row>
    <row r="76" spans="2:5" ht="15" customHeight="1" x14ac:dyDescent="0.3">
      <c r="B76" s="77"/>
      <c r="C76" s="46" t="s">
        <v>41</v>
      </c>
      <c r="D76" s="45">
        <v>2</v>
      </c>
      <c r="E76" s="44">
        <v>1.1363636363636364E-2</v>
      </c>
    </row>
    <row r="77" spans="2:5" ht="15" customHeight="1" x14ac:dyDescent="0.3">
      <c r="B77" s="77"/>
      <c r="C77" s="46" t="s">
        <v>38</v>
      </c>
      <c r="D77" s="45">
        <v>1</v>
      </c>
      <c r="E77" s="44">
        <v>5.681818181818182E-3</v>
      </c>
    </row>
    <row r="78" spans="2:5" ht="15" customHeight="1" x14ac:dyDescent="0.3">
      <c r="B78" s="77"/>
      <c r="C78" s="46" t="s">
        <v>36</v>
      </c>
      <c r="D78" s="45">
        <v>1</v>
      </c>
      <c r="E78" s="44">
        <v>5.681818181818182E-3</v>
      </c>
    </row>
    <row r="79" spans="2:5" ht="15" customHeight="1" x14ac:dyDescent="0.3">
      <c r="B79" s="78"/>
      <c r="C79" s="43" t="s">
        <v>18</v>
      </c>
      <c r="D79" s="42">
        <v>7</v>
      </c>
      <c r="E79" s="41">
        <v>3.9772727272727272E-2</v>
      </c>
    </row>
    <row r="80" spans="2:5" ht="15" customHeight="1" x14ac:dyDescent="0.3">
      <c r="B80" s="76" t="s">
        <v>153</v>
      </c>
      <c r="C80" s="46" t="s">
        <v>23</v>
      </c>
      <c r="D80" s="45">
        <v>1</v>
      </c>
      <c r="E80" s="44">
        <v>5.681818181818182E-3</v>
      </c>
    </row>
    <row r="81" spans="2:5" ht="15" customHeight="1" x14ac:dyDescent="0.3">
      <c r="B81" s="77"/>
      <c r="C81" s="46" t="s">
        <v>40</v>
      </c>
      <c r="D81" s="45">
        <v>1</v>
      </c>
      <c r="E81" s="44">
        <v>5.681818181818182E-3</v>
      </c>
    </row>
    <row r="82" spans="2:5" ht="15" customHeight="1" x14ac:dyDescent="0.3">
      <c r="B82" s="77"/>
      <c r="C82" s="46" t="s">
        <v>35</v>
      </c>
      <c r="D82" s="45">
        <v>1</v>
      </c>
      <c r="E82" s="44">
        <v>5.681818181818182E-3</v>
      </c>
    </row>
    <row r="83" spans="2:5" ht="15" customHeight="1" x14ac:dyDescent="0.3">
      <c r="B83" s="77"/>
      <c r="C83" s="46" t="s">
        <v>33</v>
      </c>
      <c r="D83" s="45">
        <v>1</v>
      </c>
      <c r="E83" s="44">
        <v>5.681818181818182E-3</v>
      </c>
    </row>
    <row r="84" spans="2:5" ht="15" customHeight="1" x14ac:dyDescent="0.3">
      <c r="B84" s="77"/>
      <c r="C84" s="46" t="s">
        <v>41</v>
      </c>
      <c r="D84" s="45">
        <v>1</v>
      </c>
      <c r="E84" s="44">
        <v>5.681818181818182E-3</v>
      </c>
    </row>
    <row r="85" spans="2:5" ht="15" customHeight="1" x14ac:dyDescent="0.3">
      <c r="B85" s="77"/>
      <c r="C85" s="46" t="s">
        <v>38</v>
      </c>
      <c r="D85" s="45">
        <v>1</v>
      </c>
      <c r="E85" s="44">
        <v>5.681818181818182E-3</v>
      </c>
    </row>
    <row r="86" spans="2:5" ht="15" customHeight="1" x14ac:dyDescent="0.3">
      <c r="B86" s="77"/>
      <c r="C86" s="46" t="s">
        <v>39</v>
      </c>
      <c r="D86" s="45">
        <v>1</v>
      </c>
      <c r="E86" s="44">
        <v>5.681818181818182E-3</v>
      </c>
    </row>
    <row r="87" spans="2:5" ht="15" customHeight="1" x14ac:dyDescent="0.3">
      <c r="B87" s="77"/>
      <c r="C87" s="46" t="s">
        <v>36</v>
      </c>
      <c r="D87" s="45">
        <v>1</v>
      </c>
      <c r="E87" s="44">
        <v>5.681818181818182E-3</v>
      </c>
    </row>
    <row r="88" spans="2:5" ht="15" customHeight="1" x14ac:dyDescent="0.3">
      <c r="B88" s="77"/>
      <c r="C88" s="46" t="s">
        <v>31</v>
      </c>
      <c r="D88" s="45">
        <v>2</v>
      </c>
      <c r="E88" s="44">
        <v>1.1363636363636364E-2</v>
      </c>
    </row>
    <row r="89" spans="2:5" ht="15" customHeight="1" x14ac:dyDescent="0.3">
      <c r="B89" s="78"/>
      <c r="C89" s="43" t="s">
        <v>18</v>
      </c>
      <c r="D89" s="42">
        <v>10</v>
      </c>
      <c r="E89" s="41">
        <v>5.6818181818181816E-2</v>
      </c>
    </row>
    <row r="90" spans="2:5" ht="15" customHeight="1" x14ac:dyDescent="0.3">
      <c r="B90" s="76" t="s">
        <v>152</v>
      </c>
      <c r="C90" s="46" t="s">
        <v>34</v>
      </c>
      <c r="D90" s="45">
        <v>4</v>
      </c>
      <c r="E90" s="44">
        <v>2.2727272727272728E-2</v>
      </c>
    </row>
    <row r="91" spans="2:5" ht="15" customHeight="1" x14ac:dyDescent="0.3">
      <c r="B91" s="77"/>
      <c r="C91" s="46" t="s">
        <v>30</v>
      </c>
      <c r="D91" s="45">
        <v>1</v>
      </c>
      <c r="E91" s="44">
        <v>5.681818181818182E-3</v>
      </c>
    </row>
    <row r="92" spans="2:5" ht="15" customHeight="1" x14ac:dyDescent="0.3">
      <c r="B92" s="77"/>
      <c r="C92" s="46" t="s">
        <v>40</v>
      </c>
      <c r="D92" s="45">
        <v>5</v>
      </c>
      <c r="E92" s="44">
        <v>2.8409090909090908E-2</v>
      </c>
    </row>
    <row r="93" spans="2:5" ht="15" customHeight="1" x14ac:dyDescent="0.3">
      <c r="B93" s="77"/>
      <c r="C93" s="46" t="s">
        <v>35</v>
      </c>
      <c r="D93" s="45">
        <v>1</v>
      </c>
      <c r="E93" s="44">
        <v>5.681818181818182E-3</v>
      </c>
    </row>
    <row r="94" spans="2:5" ht="15" customHeight="1" x14ac:dyDescent="0.3">
      <c r="B94" s="77"/>
      <c r="C94" s="46" t="s">
        <v>32</v>
      </c>
      <c r="D94" s="45">
        <v>1</v>
      </c>
      <c r="E94" s="44">
        <v>5.681818181818182E-3</v>
      </c>
    </row>
    <row r="95" spans="2:5" ht="15" customHeight="1" x14ac:dyDescent="0.3">
      <c r="B95" s="77"/>
      <c r="C95" s="46" t="s">
        <v>33</v>
      </c>
      <c r="D95" s="45">
        <v>1</v>
      </c>
      <c r="E95" s="44">
        <v>5.681818181818182E-3</v>
      </c>
    </row>
    <row r="96" spans="2:5" ht="15" customHeight="1" x14ac:dyDescent="0.3">
      <c r="B96" s="77"/>
      <c r="C96" s="46" t="s">
        <v>41</v>
      </c>
      <c r="D96" s="45">
        <v>11</v>
      </c>
      <c r="E96" s="44">
        <v>6.25E-2</v>
      </c>
    </row>
    <row r="97" spans="2:5" ht="15" customHeight="1" x14ac:dyDescent="0.3">
      <c r="B97" s="77"/>
      <c r="C97" s="46" t="s">
        <v>37</v>
      </c>
      <c r="D97" s="45">
        <v>3</v>
      </c>
      <c r="E97" s="44">
        <v>1.7045454545454544E-2</v>
      </c>
    </row>
    <row r="98" spans="2:5" ht="15" customHeight="1" x14ac:dyDescent="0.3">
      <c r="B98" s="77"/>
      <c r="C98" s="46" t="s">
        <v>38</v>
      </c>
      <c r="D98" s="45">
        <v>6</v>
      </c>
      <c r="E98" s="44">
        <v>3.4090909090909088E-2</v>
      </c>
    </row>
    <row r="99" spans="2:5" ht="15" customHeight="1" x14ac:dyDescent="0.3">
      <c r="B99" s="77"/>
      <c r="C99" s="46" t="s">
        <v>39</v>
      </c>
      <c r="D99" s="45">
        <v>1</v>
      </c>
      <c r="E99" s="44">
        <v>5.681818181818182E-3</v>
      </c>
    </row>
    <row r="100" spans="2:5" ht="15" customHeight="1" x14ac:dyDescent="0.3">
      <c r="B100" s="77"/>
      <c r="C100" s="46" t="s">
        <v>36</v>
      </c>
      <c r="D100" s="45">
        <v>2</v>
      </c>
      <c r="E100" s="44">
        <v>1.1363636363636364E-2</v>
      </c>
    </row>
    <row r="101" spans="2:5" ht="15" customHeight="1" x14ac:dyDescent="0.3">
      <c r="B101" s="77"/>
      <c r="C101" s="46" t="s">
        <v>31</v>
      </c>
      <c r="D101" s="45">
        <v>1</v>
      </c>
      <c r="E101" s="44">
        <v>5.681818181818182E-3</v>
      </c>
    </row>
    <row r="102" spans="2:5" ht="15" customHeight="1" x14ac:dyDescent="0.3">
      <c r="B102" s="78"/>
      <c r="C102" s="43" t="s">
        <v>18</v>
      </c>
      <c r="D102" s="42">
        <v>37</v>
      </c>
      <c r="E102" s="41">
        <v>0.21022727272727273</v>
      </c>
    </row>
    <row r="103" spans="2:5" ht="15" customHeight="1" x14ac:dyDescent="0.3">
      <c r="B103" s="76" t="s">
        <v>151</v>
      </c>
      <c r="C103" s="46" t="s">
        <v>35</v>
      </c>
      <c r="D103" s="45">
        <v>1</v>
      </c>
      <c r="E103" s="44">
        <v>5.681818181818182E-3</v>
      </c>
    </row>
    <row r="104" spans="2:5" ht="15" customHeight="1" x14ac:dyDescent="0.3">
      <c r="B104" s="77"/>
      <c r="C104" s="46" t="s">
        <v>41</v>
      </c>
      <c r="D104" s="45">
        <v>1</v>
      </c>
      <c r="E104" s="44">
        <v>5.681818181818182E-3</v>
      </c>
    </row>
    <row r="105" spans="2:5" ht="15" customHeight="1" x14ac:dyDescent="0.3">
      <c r="B105" s="77"/>
      <c r="C105" s="46" t="s">
        <v>36</v>
      </c>
      <c r="D105" s="45">
        <v>1</v>
      </c>
      <c r="E105" s="44">
        <v>5.681818181818182E-3</v>
      </c>
    </row>
    <row r="106" spans="2:5" ht="15" customHeight="1" x14ac:dyDescent="0.3">
      <c r="B106" s="78"/>
      <c r="C106" s="43" t="s">
        <v>18</v>
      </c>
      <c r="D106" s="42">
        <v>3</v>
      </c>
      <c r="E106" s="41">
        <v>1.7045454545454544E-2</v>
      </c>
    </row>
    <row r="107" spans="2:5" ht="15" customHeight="1" x14ac:dyDescent="0.3">
      <c r="B107" s="76" t="s">
        <v>197</v>
      </c>
      <c r="C107" s="46" t="s">
        <v>40</v>
      </c>
      <c r="D107" s="45">
        <v>2</v>
      </c>
      <c r="E107" s="44">
        <v>1.1363636363636364E-2</v>
      </c>
    </row>
    <row r="108" spans="2:5" ht="15" customHeight="1" x14ac:dyDescent="0.3">
      <c r="B108" s="77"/>
      <c r="C108" s="46" t="s">
        <v>32</v>
      </c>
      <c r="D108" s="45">
        <v>1</v>
      </c>
      <c r="E108" s="44">
        <v>5.681818181818182E-3</v>
      </c>
    </row>
    <row r="109" spans="2:5" ht="15" customHeight="1" x14ac:dyDescent="0.3">
      <c r="B109" s="77"/>
      <c r="C109" s="46" t="s">
        <v>29</v>
      </c>
      <c r="D109" s="45">
        <v>1</v>
      </c>
      <c r="E109" s="44">
        <v>5.681818181818182E-3</v>
      </c>
    </row>
    <row r="110" spans="2:5" ht="15" customHeight="1" x14ac:dyDescent="0.3">
      <c r="B110" s="77"/>
      <c r="C110" s="46" t="s">
        <v>25</v>
      </c>
      <c r="D110" s="45">
        <v>1</v>
      </c>
      <c r="E110" s="44">
        <v>5.681818181818182E-3</v>
      </c>
    </row>
    <row r="111" spans="2:5" ht="15" customHeight="1" x14ac:dyDescent="0.3">
      <c r="B111" s="77"/>
      <c r="C111" s="46" t="s">
        <v>20</v>
      </c>
      <c r="D111" s="45">
        <v>1</v>
      </c>
      <c r="E111" s="44">
        <v>5.681818181818182E-3</v>
      </c>
    </row>
    <row r="112" spans="2:5" ht="15" customHeight="1" x14ac:dyDescent="0.3">
      <c r="B112" s="77"/>
      <c r="C112" s="46" t="s">
        <v>31</v>
      </c>
      <c r="D112" s="45">
        <v>3</v>
      </c>
      <c r="E112" s="44">
        <v>1.7045454545454544E-2</v>
      </c>
    </row>
    <row r="113" spans="2:5" ht="15" customHeight="1" x14ac:dyDescent="0.3">
      <c r="B113" s="78"/>
      <c r="C113" s="43" t="s">
        <v>18</v>
      </c>
      <c r="D113" s="42">
        <v>9</v>
      </c>
      <c r="E113" s="41">
        <v>5.113636363636364E-2</v>
      </c>
    </row>
    <row r="114" spans="2:5" ht="15" customHeight="1" x14ac:dyDescent="0.3">
      <c r="B114" s="76" t="s">
        <v>149</v>
      </c>
      <c r="C114" s="46" t="s">
        <v>40</v>
      </c>
      <c r="D114" s="45">
        <v>1</v>
      </c>
      <c r="E114" s="44">
        <v>5.681818181818182E-3</v>
      </c>
    </row>
    <row r="115" spans="2:5" ht="15" customHeight="1" x14ac:dyDescent="0.3">
      <c r="B115" s="78"/>
      <c r="C115" s="43" t="s">
        <v>18</v>
      </c>
      <c r="D115" s="42">
        <v>1</v>
      </c>
      <c r="E115" s="41">
        <v>5.681818181818182E-3</v>
      </c>
    </row>
    <row r="116" spans="2:5" ht="15" customHeight="1" x14ac:dyDescent="0.3">
      <c r="B116" s="74" t="s">
        <v>18</v>
      </c>
      <c r="C116" s="75"/>
      <c r="D116" s="62">
        <v>176</v>
      </c>
      <c r="E116" s="63">
        <v>1</v>
      </c>
    </row>
    <row r="118" spans="2:5" ht="15" customHeight="1" x14ac:dyDescent="0.3">
      <c r="B118" s="20" t="s">
        <v>17</v>
      </c>
    </row>
    <row r="119" spans="2:5" ht="15" customHeight="1" x14ac:dyDescent="0.3">
      <c r="B119" s="22" t="s">
        <v>16</v>
      </c>
    </row>
    <row r="120" spans="2:5" ht="15" customHeight="1" x14ac:dyDescent="0.3">
      <c r="B120" s="21" t="s">
        <v>15</v>
      </c>
    </row>
    <row r="121" spans="2:5" ht="15" customHeight="1" x14ac:dyDescent="0.3">
      <c r="B121" s="20" t="s">
        <v>14</v>
      </c>
    </row>
    <row r="122" spans="2:5" ht="15" customHeight="1" x14ac:dyDescent="0.3">
      <c r="B122" s="20" t="s">
        <v>13</v>
      </c>
    </row>
  </sheetData>
  <mergeCells count="19">
    <mergeCell ref="B21:B24"/>
    <mergeCell ref="B25:B34"/>
    <mergeCell ref="B35:B47"/>
    <mergeCell ref="B48:B49"/>
    <mergeCell ref="B50:B51"/>
    <mergeCell ref="B7:E8"/>
    <mergeCell ref="B10:B12"/>
    <mergeCell ref="B13:B14"/>
    <mergeCell ref="B15:B17"/>
    <mergeCell ref="B18:B20"/>
    <mergeCell ref="B52:B53"/>
    <mergeCell ref="B54:B72"/>
    <mergeCell ref="B116:C116"/>
    <mergeCell ref="B73:B79"/>
    <mergeCell ref="B80:B89"/>
    <mergeCell ref="B90:B102"/>
    <mergeCell ref="B103:B106"/>
    <mergeCell ref="B107:B113"/>
    <mergeCell ref="B114:B11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89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>
      <selection activeCell="G20" sqref="G20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172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171</v>
      </c>
      <c r="C11" s="32" t="s">
        <v>43</v>
      </c>
      <c r="D11" s="31" t="s">
        <v>42</v>
      </c>
    </row>
    <row r="12" spans="2:4" ht="15" customHeight="1" x14ac:dyDescent="0.3">
      <c r="B12" s="28" t="s">
        <v>170</v>
      </c>
      <c r="C12" s="27">
        <v>118</v>
      </c>
      <c r="D12" s="26">
        <v>0.67045454545454541</v>
      </c>
    </row>
    <row r="13" spans="2:4" ht="15" customHeight="1" x14ac:dyDescent="0.3">
      <c r="B13" s="28" t="s">
        <v>169</v>
      </c>
      <c r="C13" s="27">
        <v>58</v>
      </c>
      <c r="D13" s="26">
        <v>0.32954545454545453</v>
      </c>
    </row>
    <row r="14" spans="2:4" x14ac:dyDescent="0.3">
      <c r="B14" s="25" t="s">
        <v>168</v>
      </c>
      <c r="C14" s="24">
        <v>176</v>
      </c>
      <c r="D14" s="23">
        <v>1</v>
      </c>
    </row>
    <row r="15" spans="2:4" s="29" customFormat="1" ht="15" x14ac:dyDescent="0.3">
      <c r="C15" s="61"/>
    </row>
    <row r="16" spans="2:4" s="29" customFormat="1" ht="15" x14ac:dyDescent="0.3">
      <c r="B16" s="20" t="s">
        <v>17</v>
      </c>
      <c r="C16" s="61"/>
    </row>
    <row r="17" spans="2:4" x14ac:dyDescent="0.3">
      <c r="B17" s="22" t="s">
        <v>16</v>
      </c>
      <c r="C17" s="60"/>
      <c r="D17" s="60"/>
    </row>
    <row r="18" spans="2:4" x14ac:dyDescent="0.3">
      <c r="B18" s="21" t="s">
        <v>15</v>
      </c>
      <c r="C18" s="59"/>
      <c r="D18" s="59"/>
    </row>
    <row r="19" spans="2:4" x14ac:dyDescent="0.3">
      <c r="B19" s="20" t="s">
        <v>14</v>
      </c>
    </row>
    <row r="20" spans="2:4" x14ac:dyDescent="0.3">
      <c r="B20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54"/>
  <sheetViews>
    <sheetView zoomScale="98" zoomScaleNormal="98" zoomScaleSheetLayoutView="100" workbookViewId="0">
      <selection activeCell="D61" sqref="D61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4" customFormat="1" ht="12" customHeight="1" x14ac:dyDescent="0.2">
      <c r="B1" s="58"/>
      <c r="C1" s="57"/>
      <c r="D1" s="57"/>
      <c r="E1" s="57"/>
    </row>
    <row r="2" spans="1:5" s="54" customFormat="1" ht="15" customHeight="1" x14ac:dyDescent="0.2">
      <c r="C2" s="56"/>
    </row>
    <row r="3" spans="1:5" s="54" customFormat="1" ht="15" customHeight="1" x14ac:dyDescent="0.2">
      <c r="C3" s="56"/>
    </row>
    <row r="4" spans="1:5" s="54" customFormat="1" ht="30" customHeight="1" x14ac:dyDescent="0.2">
      <c r="C4" s="56"/>
      <c r="D4" s="55"/>
    </row>
    <row r="5" spans="1:5" s="54" customFormat="1" ht="15" customHeight="1" x14ac:dyDescent="0.2">
      <c r="C5" s="56"/>
      <c r="D5" s="55"/>
    </row>
    <row r="6" spans="1:5" s="51" customFormat="1" ht="24" customHeight="1" x14ac:dyDescent="0.2">
      <c r="B6" s="53"/>
      <c r="C6" s="47"/>
      <c r="D6" s="47"/>
      <c r="E6" s="47"/>
    </row>
    <row r="7" spans="1:5" s="51" customFormat="1" ht="26.25" customHeight="1" x14ac:dyDescent="0.25">
      <c r="A7" s="52"/>
      <c r="B7" s="79"/>
      <c r="C7" s="79"/>
      <c r="D7" s="79"/>
      <c r="E7" s="79"/>
    </row>
    <row r="8" spans="1:5" s="51" customFormat="1" ht="33" customHeight="1" x14ac:dyDescent="0.25">
      <c r="A8" s="52"/>
      <c r="B8" s="79"/>
      <c r="C8" s="79"/>
      <c r="D8" s="79"/>
      <c r="E8" s="79"/>
    </row>
    <row r="9" spans="1:5" s="30" customFormat="1" ht="40.5" customHeight="1" x14ac:dyDescent="0.2">
      <c r="B9" s="48" t="s">
        <v>44</v>
      </c>
      <c r="C9" s="50" t="s">
        <v>171</v>
      </c>
      <c r="D9" s="49" t="s">
        <v>43</v>
      </c>
      <c r="E9" s="48" t="s">
        <v>42</v>
      </c>
    </row>
    <row r="10" spans="1:5" ht="15" customHeight="1" x14ac:dyDescent="0.3">
      <c r="B10" s="77" t="s">
        <v>23</v>
      </c>
      <c r="C10" s="46" t="s">
        <v>173</v>
      </c>
      <c r="D10" s="45">
        <v>1</v>
      </c>
      <c r="E10" s="44">
        <v>5.681818181818182E-3</v>
      </c>
    </row>
    <row r="11" spans="1:5" ht="15" customHeight="1" x14ac:dyDescent="0.3">
      <c r="B11" s="78"/>
      <c r="C11" s="43" t="s">
        <v>18</v>
      </c>
      <c r="D11" s="42">
        <v>1</v>
      </c>
      <c r="E11" s="41">
        <v>5.681818181818182E-3</v>
      </c>
    </row>
    <row r="12" spans="1:5" ht="15" customHeight="1" x14ac:dyDescent="0.3">
      <c r="B12" s="76" t="s">
        <v>22</v>
      </c>
      <c r="C12" s="46" t="s">
        <v>174</v>
      </c>
      <c r="D12" s="45">
        <v>1</v>
      </c>
      <c r="E12" s="44">
        <v>5.681818181818182E-3</v>
      </c>
    </row>
    <row r="13" spans="1:5" s="47" customFormat="1" ht="15" customHeight="1" x14ac:dyDescent="0.2">
      <c r="B13" s="78"/>
      <c r="C13" s="43" t="s">
        <v>18</v>
      </c>
      <c r="D13" s="42">
        <v>1</v>
      </c>
      <c r="E13" s="41">
        <v>5.681818181818182E-3</v>
      </c>
    </row>
    <row r="14" spans="1:5" ht="15" customHeight="1" x14ac:dyDescent="0.3">
      <c r="B14" s="76" t="s">
        <v>34</v>
      </c>
      <c r="C14" s="46" t="s">
        <v>174</v>
      </c>
      <c r="D14" s="45">
        <v>5</v>
      </c>
      <c r="E14" s="44">
        <v>2.8409090909090908E-2</v>
      </c>
    </row>
    <row r="15" spans="1:5" ht="15" customHeight="1" x14ac:dyDescent="0.3">
      <c r="B15" s="77"/>
      <c r="C15" s="46" t="s">
        <v>173</v>
      </c>
      <c r="D15" s="45">
        <v>4</v>
      </c>
      <c r="E15" s="44">
        <v>2.2727272727272728E-2</v>
      </c>
    </row>
    <row r="16" spans="1:5" ht="15" customHeight="1" x14ac:dyDescent="0.3">
      <c r="B16" s="78"/>
      <c r="C16" s="43" t="s">
        <v>18</v>
      </c>
      <c r="D16" s="42">
        <v>9</v>
      </c>
      <c r="E16" s="41">
        <v>5.113636363636364E-2</v>
      </c>
    </row>
    <row r="17" spans="2:5" ht="15" customHeight="1" x14ac:dyDescent="0.3">
      <c r="B17" s="76" t="s">
        <v>30</v>
      </c>
      <c r="C17" s="46" t="s">
        <v>174</v>
      </c>
      <c r="D17" s="45">
        <v>2</v>
      </c>
      <c r="E17" s="44">
        <v>1.1363636363636364E-2</v>
      </c>
    </row>
    <row r="18" spans="2:5" ht="15" customHeight="1" x14ac:dyDescent="0.3">
      <c r="B18" s="77"/>
      <c r="C18" s="46" t="s">
        <v>173</v>
      </c>
      <c r="D18" s="45">
        <v>2</v>
      </c>
      <c r="E18" s="44">
        <v>1.1363636363636364E-2</v>
      </c>
    </row>
    <row r="19" spans="2:5" ht="15" customHeight="1" x14ac:dyDescent="0.3">
      <c r="B19" s="78"/>
      <c r="C19" s="43" t="s">
        <v>18</v>
      </c>
      <c r="D19" s="42">
        <v>4</v>
      </c>
      <c r="E19" s="41">
        <v>2.2727272727272728E-2</v>
      </c>
    </row>
    <row r="20" spans="2:5" ht="15" customHeight="1" x14ac:dyDescent="0.3">
      <c r="B20" s="76" t="s">
        <v>28</v>
      </c>
      <c r="C20" s="46" t="s">
        <v>174</v>
      </c>
      <c r="D20" s="45">
        <v>2</v>
      </c>
      <c r="E20" s="44">
        <v>1.1363636363636364E-2</v>
      </c>
    </row>
    <row r="21" spans="2:5" ht="15" customHeight="1" x14ac:dyDescent="0.3">
      <c r="B21" s="78"/>
      <c r="C21" s="43" t="s">
        <v>18</v>
      </c>
      <c r="D21" s="42">
        <v>2</v>
      </c>
      <c r="E21" s="41">
        <v>1.1363636363636364E-2</v>
      </c>
    </row>
    <row r="22" spans="2:5" ht="15" customHeight="1" x14ac:dyDescent="0.3">
      <c r="B22" s="76" t="s">
        <v>40</v>
      </c>
      <c r="C22" s="46" t="s">
        <v>174</v>
      </c>
      <c r="D22" s="45">
        <v>12</v>
      </c>
      <c r="E22" s="44">
        <v>6.8181818181818177E-2</v>
      </c>
    </row>
    <row r="23" spans="2:5" ht="15" customHeight="1" x14ac:dyDescent="0.3">
      <c r="B23" s="77"/>
      <c r="C23" s="46" t="s">
        <v>173</v>
      </c>
      <c r="D23" s="45">
        <v>7</v>
      </c>
      <c r="E23" s="44">
        <v>3.9772727272727272E-2</v>
      </c>
    </row>
    <row r="24" spans="2:5" ht="15" customHeight="1" x14ac:dyDescent="0.3">
      <c r="B24" s="78"/>
      <c r="C24" s="43" t="s">
        <v>18</v>
      </c>
      <c r="D24" s="42">
        <v>19</v>
      </c>
      <c r="E24" s="41">
        <v>0.10795454545454546</v>
      </c>
    </row>
    <row r="25" spans="2:5" ht="15" customHeight="1" x14ac:dyDescent="0.3">
      <c r="B25" s="76" t="s">
        <v>21</v>
      </c>
      <c r="C25" s="46" t="s">
        <v>174</v>
      </c>
      <c r="D25" s="45">
        <v>1</v>
      </c>
      <c r="E25" s="44">
        <v>5.681818181818182E-3</v>
      </c>
    </row>
    <row r="26" spans="2:5" ht="15" customHeight="1" x14ac:dyDescent="0.3">
      <c r="B26" s="78"/>
      <c r="C26" s="43" t="s">
        <v>18</v>
      </c>
      <c r="D26" s="42">
        <v>1</v>
      </c>
      <c r="E26" s="41">
        <v>5.681818181818182E-3</v>
      </c>
    </row>
    <row r="27" spans="2:5" ht="15" customHeight="1" x14ac:dyDescent="0.3">
      <c r="B27" s="76" t="s">
        <v>35</v>
      </c>
      <c r="C27" s="46" t="s">
        <v>174</v>
      </c>
      <c r="D27" s="45">
        <v>8</v>
      </c>
      <c r="E27" s="44">
        <v>4.5454545454545456E-2</v>
      </c>
    </row>
    <row r="28" spans="2:5" ht="15" customHeight="1" x14ac:dyDescent="0.3">
      <c r="B28" s="77"/>
      <c r="C28" s="46" t="s">
        <v>173</v>
      </c>
      <c r="D28" s="45">
        <v>4</v>
      </c>
      <c r="E28" s="44">
        <v>2.2727272727272728E-2</v>
      </c>
    </row>
    <row r="29" spans="2:5" ht="15" customHeight="1" x14ac:dyDescent="0.3">
      <c r="B29" s="78"/>
      <c r="C29" s="43" t="s">
        <v>18</v>
      </c>
      <c r="D29" s="42">
        <v>12</v>
      </c>
      <c r="E29" s="41">
        <v>6.8181818181818177E-2</v>
      </c>
    </row>
    <row r="30" spans="2:5" ht="15" customHeight="1" x14ac:dyDescent="0.3">
      <c r="B30" s="76" t="s">
        <v>32</v>
      </c>
      <c r="C30" s="46" t="s">
        <v>174</v>
      </c>
      <c r="D30" s="45">
        <v>2</v>
      </c>
      <c r="E30" s="44">
        <v>1.1363636363636364E-2</v>
      </c>
    </row>
    <row r="31" spans="2:5" ht="15" customHeight="1" x14ac:dyDescent="0.3">
      <c r="B31" s="77"/>
      <c r="C31" s="46" t="s">
        <v>173</v>
      </c>
      <c r="D31" s="45">
        <v>5</v>
      </c>
      <c r="E31" s="44">
        <v>2.8409090909090908E-2</v>
      </c>
    </row>
    <row r="32" spans="2:5" ht="15" customHeight="1" x14ac:dyDescent="0.3">
      <c r="B32" s="78"/>
      <c r="C32" s="43" t="s">
        <v>18</v>
      </c>
      <c r="D32" s="42">
        <v>7</v>
      </c>
      <c r="E32" s="41">
        <v>3.9772727272727272E-2</v>
      </c>
    </row>
    <row r="33" spans="2:5" ht="15" customHeight="1" x14ac:dyDescent="0.3">
      <c r="B33" s="76" t="s">
        <v>29</v>
      </c>
      <c r="C33" s="46" t="s">
        <v>174</v>
      </c>
      <c r="D33" s="45">
        <v>2</v>
      </c>
      <c r="E33" s="44">
        <v>1.1363636363636364E-2</v>
      </c>
    </row>
    <row r="34" spans="2:5" ht="15" customHeight="1" x14ac:dyDescent="0.3">
      <c r="B34" s="77"/>
      <c r="C34" s="46" t="s">
        <v>173</v>
      </c>
      <c r="D34" s="45">
        <v>1</v>
      </c>
      <c r="E34" s="44">
        <v>5.681818181818182E-3</v>
      </c>
    </row>
    <row r="35" spans="2:5" ht="15" customHeight="1" x14ac:dyDescent="0.3">
      <c r="B35" s="78"/>
      <c r="C35" s="43" t="s">
        <v>18</v>
      </c>
      <c r="D35" s="42">
        <v>3</v>
      </c>
      <c r="E35" s="41">
        <v>1.7045454545454544E-2</v>
      </c>
    </row>
    <row r="36" spans="2:5" ht="15" customHeight="1" x14ac:dyDescent="0.3">
      <c r="B36" s="76" t="s">
        <v>33</v>
      </c>
      <c r="C36" s="46" t="s">
        <v>174</v>
      </c>
      <c r="D36" s="45">
        <v>7</v>
      </c>
      <c r="E36" s="44">
        <v>3.9772727272727272E-2</v>
      </c>
    </row>
    <row r="37" spans="2:5" ht="15" customHeight="1" x14ac:dyDescent="0.3">
      <c r="B37" s="77"/>
      <c r="C37" s="46" t="s">
        <v>173</v>
      </c>
      <c r="D37" s="45">
        <v>2</v>
      </c>
      <c r="E37" s="44">
        <v>1.1363636363636364E-2</v>
      </c>
    </row>
    <row r="38" spans="2:5" ht="15" customHeight="1" x14ac:dyDescent="0.3">
      <c r="B38" s="78"/>
      <c r="C38" s="43" t="s">
        <v>18</v>
      </c>
      <c r="D38" s="42">
        <v>9</v>
      </c>
      <c r="E38" s="41">
        <v>5.113636363636364E-2</v>
      </c>
    </row>
    <row r="39" spans="2:5" ht="15" customHeight="1" x14ac:dyDescent="0.3">
      <c r="B39" s="76" t="s">
        <v>41</v>
      </c>
      <c r="C39" s="46" t="s">
        <v>174</v>
      </c>
      <c r="D39" s="45">
        <v>20</v>
      </c>
      <c r="E39" s="44">
        <v>0.11363636363636363</v>
      </c>
    </row>
    <row r="40" spans="2:5" ht="15" customHeight="1" x14ac:dyDescent="0.3">
      <c r="B40" s="77"/>
      <c r="C40" s="46" t="s">
        <v>173</v>
      </c>
      <c r="D40" s="45">
        <v>8</v>
      </c>
      <c r="E40" s="44">
        <v>4.5454545454545456E-2</v>
      </c>
    </row>
    <row r="41" spans="2:5" ht="15" customHeight="1" x14ac:dyDescent="0.3">
      <c r="B41" s="78"/>
      <c r="C41" s="43" t="s">
        <v>18</v>
      </c>
      <c r="D41" s="42">
        <v>28</v>
      </c>
      <c r="E41" s="41">
        <v>0.15909090909090909</v>
      </c>
    </row>
    <row r="42" spans="2:5" ht="15" customHeight="1" x14ac:dyDescent="0.3">
      <c r="B42" s="76" t="s">
        <v>37</v>
      </c>
      <c r="C42" s="46" t="s">
        <v>174</v>
      </c>
      <c r="D42" s="45">
        <v>9</v>
      </c>
      <c r="E42" s="44">
        <v>5.113636363636364E-2</v>
      </c>
    </row>
    <row r="43" spans="2:5" ht="15" customHeight="1" x14ac:dyDescent="0.3">
      <c r="B43" s="77"/>
      <c r="C43" s="46" t="s">
        <v>173</v>
      </c>
      <c r="D43" s="45">
        <v>5</v>
      </c>
      <c r="E43" s="44">
        <v>2.8409090909090908E-2</v>
      </c>
    </row>
    <row r="44" spans="2:5" ht="15" customHeight="1" x14ac:dyDescent="0.3">
      <c r="B44" s="78"/>
      <c r="C44" s="43" t="s">
        <v>18</v>
      </c>
      <c r="D44" s="42">
        <v>14</v>
      </c>
      <c r="E44" s="41">
        <v>7.9545454545454544E-2</v>
      </c>
    </row>
    <row r="45" spans="2:5" ht="15" customHeight="1" x14ac:dyDescent="0.3">
      <c r="B45" s="76" t="s">
        <v>27</v>
      </c>
      <c r="C45" s="46" t="s">
        <v>174</v>
      </c>
      <c r="D45" s="45">
        <v>1</v>
      </c>
      <c r="E45" s="44">
        <v>5.681818181818182E-3</v>
      </c>
    </row>
    <row r="46" spans="2:5" ht="15" customHeight="1" x14ac:dyDescent="0.3">
      <c r="B46" s="77"/>
      <c r="C46" s="46" t="s">
        <v>173</v>
      </c>
      <c r="D46" s="45">
        <v>1</v>
      </c>
      <c r="E46" s="44">
        <v>5.681818181818182E-3</v>
      </c>
    </row>
    <row r="47" spans="2:5" ht="15" customHeight="1" x14ac:dyDescent="0.3">
      <c r="B47" s="78"/>
      <c r="C47" s="43" t="s">
        <v>18</v>
      </c>
      <c r="D47" s="42">
        <v>2</v>
      </c>
      <c r="E47" s="41">
        <v>1.1363636363636364E-2</v>
      </c>
    </row>
    <row r="48" spans="2:5" ht="15" customHeight="1" x14ac:dyDescent="0.3">
      <c r="B48" s="76" t="s">
        <v>38</v>
      </c>
      <c r="C48" s="46" t="s">
        <v>174</v>
      </c>
      <c r="D48" s="45">
        <v>12</v>
      </c>
      <c r="E48" s="44">
        <v>6.8181818181818177E-2</v>
      </c>
    </row>
    <row r="49" spans="2:5" ht="15" customHeight="1" x14ac:dyDescent="0.3">
      <c r="B49" s="77"/>
      <c r="C49" s="46" t="s">
        <v>173</v>
      </c>
      <c r="D49" s="45">
        <v>5</v>
      </c>
      <c r="E49" s="44">
        <v>2.8409090909090908E-2</v>
      </c>
    </row>
    <row r="50" spans="2:5" ht="15" customHeight="1" x14ac:dyDescent="0.3">
      <c r="B50" s="78"/>
      <c r="C50" s="43" t="s">
        <v>18</v>
      </c>
      <c r="D50" s="42">
        <v>17</v>
      </c>
      <c r="E50" s="41">
        <v>9.6590909090909088E-2</v>
      </c>
    </row>
    <row r="51" spans="2:5" ht="15" customHeight="1" x14ac:dyDescent="0.3">
      <c r="B51" s="76" t="s">
        <v>39</v>
      </c>
      <c r="C51" s="46" t="s">
        <v>174</v>
      </c>
      <c r="D51" s="45">
        <v>13</v>
      </c>
      <c r="E51" s="44">
        <v>7.3863636363636367E-2</v>
      </c>
    </row>
    <row r="52" spans="2:5" ht="15" customHeight="1" x14ac:dyDescent="0.3">
      <c r="B52" s="77"/>
      <c r="C52" s="46" t="s">
        <v>173</v>
      </c>
      <c r="D52" s="45">
        <v>6</v>
      </c>
      <c r="E52" s="44">
        <v>3.4090909090909088E-2</v>
      </c>
    </row>
    <row r="53" spans="2:5" ht="15" customHeight="1" x14ac:dyDescent="0.3">
      <c r="B53" s="78"/>
      <c r="C53" s="43" t="s">
        <v>18</v>
      </c>
      <c r="D53" s="42">
        <v>19</v>
      </c>
      <c r="E53" s="41">
        <v>0.10795454545454546</v>
      </c>
    </row>
    <row r="54" spans="2:5" ht="15" customHeight="1" x14ac:dyDescent="0.3">
      <c r="B54" s="76" t="s">
        <v>36</v>
      </c>
      <c r="C54" s="46" t="s">
        <v>174</v>
      </c>
      <c r="D54" s="45">
        <v>10</v>
      </c>
      <c r="E54" s="44">
        <v>5.6818181818181816E-2</v>
      </c>
    </row>
    <row r="55" spans="2:5" ht="15" customHeight="1" x14ac:dyDescent="0.3">
      <c r="B55" s="77"/>
      <c r="C55" s="46" t="s">
        <v>173</v>
      </c>
      <c r="D55" s="45">
        <v>4</v>
      </c>
      <c r="E55" s="44">
        <v>2.2727272727272728E-2</v>
      </c>
    </row>
    <row r="56" spans="2:5" ht="15" customHeight="1" x14ac:dyDescent="0.3">
      <c r="B56" s="78"/>
      <c r="C56" s="43" t="s">
        <v>18</v>
      </c>
      <c r="D56" s="42">
        <v>14</v>
      </c>
      <c r="E56" s="41">
        <v>7.9545454545454544E-2</v>
      </c>
    </row>
    <row r="57" spans="2:5" ht="15" customHeight="1" x14ac:dyDescent="0.3">
      <c r="B57" s="76" t="s">
        <v>26</v>
      </c>
      <c r="C57" s="46" t="s">
        <v>174</v>
      </c>
      <c r="D57" s="45">
        <v>2</v>
      </c>
      <c r="E57" s="44">
        <v>1.1363636363636364E-2</v>
      </c>
    </row>
    <row r="58" spans="2:5" ht="15" customHeight="1" x14ac:dyDescent="0.3">
      <c r="B58" s="78"/>
      <c r="C58" s="43" t="s">
        <v>18</v>
      </c>
      <c r="D58" s="42">
        <v>2</v>
      </c>
      <c r="E58" s="41">
        <v>1.1363636363636364E-2</v>
      </c>
    </row>
    <row r="59" spans="2:5" ht="15" customHeight="1" x14ac:dyDescent="0.3">
      <c r="B59" s="76" t="s">
        <v>25</v>
      </c>
      <c r="C59" s="46" t="s">
        <v>174</v>
      </c>
      <c r="D59" s="45">
        <v>1</v>
      </c>
      <c r="E59" s="44">
        <v>5.681818181818182E-3</v>
      </c>
    </row>
    <row r="60" spans="2:5" ht="15" customHeight="1" x14ac:dyDescent="0.3">
      <c r="B60" s="77"/>
      <c r="C60" s="46" t="s">
        <v>173</v>
      </c>
      <c r="D60" s="45">
        <v>1</v>
      </c>
      <c r="E60" s="44">
        <v>5.681818181818182E-3</v>
      </c>
    </row>
    <row r="61" spans="2:5" ht="15" customHeight="1" x14ac:dyDescent="0.3">
      <c r="B61" s="78"/>
      <c r="C61" s="43" t="s">
        <v>18</v>
      </c>
      <c r="D61" s="42">
        <v>2</v>
      </c>
      <c r="E61" s="41">
        <v>1.1363636363636364E-2</v>
      </c>
    </row>
    <row r="62" spans="2:5" ht="15" customHeight="1" x14ac:dyDescent="0.3">
      <c r="B62" s="76" t="s">
        <v>20</v>
      </c>
      <c r="C62" s="46" t="s">
        <v>174</v>
      </c>
      <c r="D62" s="45">
        <v>1</v>
      </c>
      <c r="E62" s="44">
        <v>5.681818181818182E-3</v>
      </c>
    </row>
    <row r="63" spans="2:5" ht="15" customHeight="1" x14ac:dyDescent="0.3">
      <c r="B63" s="78"/>
      <c r="C63" s="43" t="s">
        <v>18</v>
      </c>
      <c r="D63" s="42">
        <v>1</v>
      </c>
      <c r="E63" s="41">
        <v>5.681818181818182E-3</v>
      </c>
    </row>
    <row r="64" spans="2:5" ht="15" customHeight="1" x14ac:dyDescent="0.3">
      <c r="B64" s="76" t="s">
        <v>31</v>
      </c>
      <c r="C64" s="46" t="s">
        <v>174</v>
      </c>
      <c r="D64" s="45">
        <v>4</v>
      </c>
      <c r="E64" s="44">
        <v>2.2727272727272728E-2</v>
      </c>
    </row>
    <row r="65" spans="2:5" ht="15" customHeight="1" x14ac:dyDescent="0.3">
      <c r="B65" s="77"/>
      <c r="C65" s="46" t="s">
        <v>173</v>
      </c>
      <c r="D65" s="45">
        <v>2</v>
      </c>
      <c r="E65" s="44">
        <v>1.1363636363636364E-2</v>
      </c>
    </row>
    <row r="66" spans="2:5" ht="15" customHeight="1" x14ac:dyDescent="0.3">
      <c r="B66" s="78"/>
      <c r="C66" s="43" t="s">
        <v>18</v>
      </c>
      <c r="D66" s="42">
        <v>6</v>
      </c>
      <c r="E66" s="41">
        <v>3.4090909090909088E-2</v>
      </c>
    </row>
    <row r="67" spans="2:5" ht="15" customHeight="1" x14ac:dyDescent="0.3">
      <c r="B67" s="76" t="s">
        <v>19</v>
      </c>
      <c r="C67" s="46" t="s">
        <v>174</v>
      </c>
      <c r="D67" s="45">
        <v>1</v>
      </c>
      <c r="E67" s="44">
        <v>5.681818181818182E-3</v>
      </c>
    </row>
    <row r="68" spans="2:5" ht="15" customHeight="1" x14ac:dyDescent="0.3">
      <c r="B68" s="78"/>
      <c r="C68" s="43" t="s">
        <v>18</v>
      </c>
      <c r="D68" s="42">
        <v>1</v>
      </c>
      <c r="E68" s="41">
        <v>5.681818181818182E-3</v>
      </c>
    </row>
    <row r="69" spans="2:5" ht="15" customHeight="1" x14ac:dyDescent="0.3">
      <c r="B69" s="76" t="s">
        <v>24</v>
      </c>
      <c r="C69" s="46" t="s">
        <v>174</v>
      </c>
      <c r="D69" s="45">
        <v>2</v>
      </c>
      <c r="E69" s="44">
        <v>1.1363636363636364E-2</v>
      </c>
    </row>
    <row r="70" spans="2:5" ht="15" customHeight="1" x14ac:dyDescent="0.3">
      <c r="B70" s="78"/>
      <c r="C70" s="43" t="s">
        <v>18</v>
      </c>
      <c r="D70" s="42">
        <v>2</v>
      </c>
      <c r="E70" s="41">
        <v>1.1363636363636364E-2</v>
      </c>
    </row>
    <row r="71" spans="2:5" ht="15" customHeight="1" x14ac:dyDescent="0.3">
      <c r="B71" s="74" t="s">
        <v>18</v>
      </c>
      <c r="C71" s="75"/>
      <c r="D71" s="62">
        <f>SUMIF(C10:C70,"TOTAL",D10:D70)</f>
        <v>176</v>
      </c>
      <c r="E71" s="63">
        <v>1</v>
      </c>
    </row>
    <row r="73" spans="2:5" ht="15" customHeight="1" x14ac:dyDescent="0.3">
      <c r="B73" s="20" t="s">
        <v>17</v>
      </c>
    </row>
    <row r="74" spans="2:5" ht="15" customHeight="1" x14ac:dyDescent="0.3">
      <c r="B74" s="22" t="s">
        <v>16</v>
      </c>
    </row>
    <row r="75" spans="2:5" ht="15" customHeight="1" x14ac:dyDescent="0.3">
      <c r="B75" s="21" t="s">
        <v>15</v>
      </c>
    </row>
    <row r="76" spans="2:5" ht="15" customHeight="1" x14ac:dyDescent="0.3">
      <c r="B76" s="20" t="s">
        <v>14</v>
      </c>
    </row>
    <row r="77" spans="2:5" ht="15" customHeight="1" x14ac:dyDescent="0.3">
      <c r="B77" s="20" t="s">
        <v>13</v>
      </c>
    </row>
    <row r="450" spans="2:2" s="38" customFormat="1" ht="15" customHeight="1" x14ac:dyDescent="0.3">
      <c r="B450" s="39"/>
    </row>
    <row r="451" spans="2:2" s="38" customFormat="1" ht="15" customHeight="1" x14ac:dyDescent="0.3">
      <c r="B451" s="40"/>
    </row>
    <row r="452" spans="2:2" s="38" customFormat="1" ht="15" customHeight="1" x14ac:dyDescent="0.3">
      <c r="B452" s="40"/>
    </row>
    <row r="453" spans="2:2" s="38" customFormat="1" ht="15" customHeight="1" x14ac:dyDescent="0.3">
      <c r="B453" s="39"/>
    </row>
    <row r="454" spans="2:2" s="38" customFormat="1" ht="15" customHeight="1" x14ac:dyDescent="0.3">
      <c r="B454" s="39"/>
    </row>
  </sheetData>
  <mergeCells count="25">
    <mergeCell ref="B67:B68"/>
    <mergeCell ref="B69:B70"/>
    <mergeCell ref="B71:C71"/>
    <mergeCell ref="B59:B61"/>
    <mergeCell ref="B62:B63"/>
    <mergeCell ref="B39:B41"/>
    <mergeCell ref="B42:B44"/>
    <mergeCell ref="B45:B47"/>
    <mergeCell ref="B48:B50"/>
    <mergeCell ref="B51:B53"/>
    <mergeCell ref="B54:B56"/>
    <mergeCell ref="B57:B58"/>
    <mergeCell ref="B64:B66"/>
    <mergeCell ref="B14:B16"/>
    <mergeCell ref="B17:B19"/>
    <mergeCell ref="B20:B21"/>
    <mergeCell ref="B22:B24"/>
    <mergeCell ref="B25:B26"/>
    <mergeCell ref="B27:B29"/>
    <mergeCell ref="B30:B32"/>
    <mergeCell ref="B33:B35"/>
    <mergeCell ref="B36:B38"/>
    <mergeCell ref="B7:E8"/>
    <mergeCell ref="B10:B11"/>
    <mergeCell ref="B12:B1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38" max="4" man="1"/>
    <brk id="61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489"/>
  <sheetViews>
    <sheetView topLeftCell="A4" zoomScale="98" zoomScaleNormal="98" zoomScaleSheetLayoutView="100" workbookViewId="0">
      <selection activeCell="G21" sqref="G21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4" customFormat="1" ht="12" customHeight="1" x14ac:dyDescent="0.2">
      <c r="B1" s="58"/>
      <c r="C1" s="57"/>
      <c r="D1" s="57"/>
      <c r="E1" s="57"/>
    </row>
    <row r="2" spans="1:5" s="54" customFormat="1" ht="15" customHeight="1" x14ac:dyDescent="0.2">
      <c r="C2" s="56"/>
    </row>
    <row r="3" spans="1:5" s="54" customFormat="1" ht="15" customHeight="1" x14ac:dyDescent="0.2">
      <c r="C3" s="56"/>
    </row>
    <row r="4" spans="1:5" s="54" customFormat="1" ht="30" customHeight="1" x14ac:dyDescent="0.2">
      <c r="C4" s="56"/>
      <c r="D4" s="55"/>
    </row>
    <row r="5" spans="1:5" s="54" customFormat="1" ht="15" customHeight="1" x14ac:dyDescent="0.2">
      <c r="C5" s="56"/>
      <c r="D5" s="55"/>
    </row>
    <row r="6" spans="1:5" s="51" customFormat="1" ht="24" customHeight="1" x14ac:dyDescent="0.2">
      <c r="B6" s="53"/>
      <c r="C6" s="47"/>
      <c r="D6" s="47"/>
      <c r="E6" s="47"/>
    </row>
    <row r="7" spans="1:5" s="51" customFormat="1" ht="26.25" customHeight="1" x14ac:dyDescent="0.25">
      <c r="A7" s="52"/>
      <c r="B7" s="79"/>
      <c r="C7" s="79"/>
      <c r="D7" s="79"/>
      <c r="E7" s="79"/>
    </row>
    <row r="8" spans="1:5" s="51" customFormat="1" ht="33" customHeight="1" x14ac:dyDescent="0.25">
      <c r="A8" s="52"/>
      <c r="B8" s="79"/>
      <c r="C8" s="79"/>
      <c r="D8" s="79"/>
      <c r="E8" s="79"/>
    </row>
    <row r="9" spans="1:5" s="30" customFormat="1" ht="40.5" customHeight="1" x14ac:dyDescent="0.2">
      <c r="B9" s="48" t="s">
        <v>171</v>
      </c>
      <c r="C9" s="50" t="s">
        <v>181</v>
      </c>
      <c r="D9" s="49" t="s">
        <v>43</v>
      </c>
      <c r="E9" s="48" t="s">
        <v>42</v>
      </c>
    </row>
    <row r="10" spans="1:5" ht="15" customHeight="1" x14ac:dyDescent="0.3">
      <c r="B10" s="76" t="s">
        <v>174</v>
      </c>
      <c r="C10" s="46" t="s">
        <v>179</v>
      </c>
      <c r="D10" s="45">
        <v>18</v>
      </c>
      <c r="E10" s="44">
        <v>0.10227272727272728</v>
      </c>
    </row>
    <row r="11" spans="1:5" ht="15" customHeight="1" x14ac:dyDescent="0.3">
      <c r="B11" s="77"/>
      <c r="C11" s="46" t="s">
        <v>178</v>
      </c>
      <c r="D11" s="45">
        <v>43</v>
      </c>
      <c r="E11" s="44">
        <v>0.24431818181818182</v>
      </c>
    </row>
    <row r="12" spans="1:5" ht="15" customHeight="1" x14ac:dyDescent="0.3">
      <c r="B12" s="77"/>
      <c r="C12" s="46" t="s">
        <v>177</v>
      </c>
      <c r="D12" s="45">
        <v>33</v>
      </c>
      <c r="E12" s="44">
        <v>0.1875</v>
      </c>
    </row>
    <row r="13" spans="1:5" ht="15" customHeight="1" x14ac:dyDescent="0.3">
      <c r="B13" s="77"/>
      <c r="C13" s="46" t="s">
        <v>176</v>
      </c>
      <c r="D13" s="45">
        <v>23</v>
      </c>
      <c r="E13" s="44">
        <v>0.13068181818181818</v>
      </c>
    </row>
    <row r="14" spans="1:5" ht="15" customHeight="1" x14ac:dyDescent="0.3">
      <c r="B14" s="78"/>
      <c r="C14" s="46" t="s">
        <v>180</v>
      </c>
      <c r="D14" s="45">
        <v>1</v>
      </c>
      <c r="E14" s="44">
        <v>5.681818181818182E-3</v>
      </c>
    </row>
    <row r="15" spans="1:5" s="47" customFormat="1" ht="15" customHeight="1" x14ac:dyDescent="0.2">
      <c r="B15" s="76" t="s">
        <v>173</v>
      </c>
      <c r="C15" s="46" t="s">
        <v>179</v>
      </c>
      <c r="D15" s="45">
        <v>6</v>
      </c>
      <c r="E15" s="44">
        <v>3.4090909090909088E-2</v>
      </c>
    </row>
    <row r="16" spans="1:5" s="47" customFormat="1" ht="15" customHeight="1" x14ac:dyDescent="0.2">
      <c r="B16" s="77"/>
      <c r="C16" s="46" t="s">
        <v>178</v>
      </c>
      <c r="D16" s="45">
        <v>21</v>
      </c>
      <c r="E16" s="44">
        <v>0.11931818181818182</v>
      </c>
    </row>
    <row r="17" spans="2:5" s="47" customFormat="1" ht="15" customHeight="1" x14ac:dyDescent="0.2">
      <c r="B17" s="77"/>
      <c r="C17" s="46" t="s">
        <v>177</v>
      </c>
      <c r="D17" s="45">
        <v>22</v>
      </c>
      <c r="E17" s="44">
        <v>0.125</v>
      </c>
    </row>
    <row r="18" spans="2:5" s="47" customFormat="1" ht="15" customHeight="1" x14ac:dyDescent="0.2">
      <c r="B18" s="77"/>
      <c r="C18" s="46" t="s">
        <v>176</v>
      </c>
      <c r="D18" s="45">
        <v>8</v>
      </c>
      <c r="E18" s="44">
        <v>4.5454545454545456E-2</v>
      </c>
    </row>
    <row r="19" spans="2:5" s="47" customFormat="1" ht="15" customHeight="1" x14ac:dyDescent="0.2">
      <c r="B19" s="78"/>
      <c r="C19" s="46" t="s">
        <v>175</v>
      </c>
      <c r="D19" s="45">
        <v>1</v>
      </c>
      <c r="E19" s="44">
        <v>5.681818181818182E-3</v>
      </c>
    </row>
    <row r="20" spans="2:5" ht="15" customHeight="1" x14ac:dyDescent="0.3">
      <c r="B20" s="74" t="s">
        <v>18</v>
      </c>
      <c r="C20" s="75"/>
      <c r="D20" s="62">
        <v>176</v>
      </c>
      <c r="E20" s="63">
        <v>1</v>
      </c>
    </row>
    <row r="22" spans="2:5" ht="15" customHeight="1" x14ac:dyDescent="0.3">
      <c r="B22" s="20" t="s">
        <v>17</v>
      </c>
    </row>
    <row r="23" spans="2:5" ht="15" customHeight="1" x14ac:dyDescent="0.3">
      <c r="B23" s="22" t="s">
        <v>16</v>
      </c>
    </row>
    <row r="24" spans="2:5" ht="15" customHeight="1" x14ac:dyDescent="0.3">
      <c r="B24" s="21" t="s">
        <v>15</v>
      </c>
    </row>
    <row r="25" spans="2:5" ht="15" customHeight="1" x14ac:dyDescent="0.3">
      <c r="B25" s="20" t="s">
        <v>14</v>
      </c>
    </row>
    <row r="26" spans="2:5" ht="15" customHeight="1" x14ac:dyDescent="0.3">
      <c r="B26" s="20" t="s">
        <v>13</v>
      </c>
    </row>
    <row r="485" spans="2:2" s="38" customFormat="1" ht="15" customHeight="1" x14ac:dyDescent="0.3">
      <c r="B485" s="39"/>
    </row>
    <row r="486" spans="2:2" s="38" customFormat="1" ht="15" customHeight="1" x14ac:dyDescent="0.3">
      <c r="B486" s="40"/>
    </row>
    <row r="487" spans="2:2" s="38" customFormat="1" ht="15" customHeight="1" x14ac:dyDescent="0.3">
      <c r="B487" s="40"/>
    </row>
    <row r="488" spans="2:2" s="38" customFormat="1" ht="15" customHeight="1" x14ac:dyDescent="0.3">
      <c r="B488" s="39"/>
    </row>
    <row r="489" spans="2:2" s="38" customFormat="1" ht="15" customHeight="1" x14ac:dyDescent="0.3">
      <c r="B489" s="39"/>
    </row>
  </sheetData>
  <mergeCells count="4">
    <mergeCell ref="B7:E8"/>
    <mergeCell ref="B10:B14"/>
    <mergeCell ref="B15:B19"/>
    <mergeCell ref="B20:C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1"/>
  <sheetViews>
    <sheetView showGridLines="0" tabSelected="1" topLeftCell="A5" zoomScaleNormal="100" zoomScaleSheetLayoutView="115" workbookViewId="0">
      <selection activeCell="H9" sqref="H9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196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195</v>
      </c>
      <c r="C11" s="32" t="s">
        <v>43</v>
      </c>
      <c r="D11" s="31" t="s">
        <v>42</v>
      </c>
    </row>
    <row r="12" spans="2:4" ht="15" customHeight="1" x14ac:dyDescent="0.3">
      <c r="B12" s="28" t="s">
        <v>194</v>
      </c>
      <c r="C12" s="27">
        <v>98</v>
      </c>
      <c r="D12" s="26">
        <v>0.55681818181818177</v>
      </c>
    </row>
    <row r="13" spans="2:4" x14ac:dyDescent="0.3">
      <c r="B13" s="28" t="s">
        <v>193</v>
      </c>
      <c r="C13" s="27">
        <v>24</v>
      </c>
      <c r="D13" s="26">
        <v>0.13636363636363635</v>
      </c>
    </row>
    <row r="14" spans="2:4" s="29" customFormat="1" ht="15" x14ac:dyDescent="0.3">
      <c r="B14" s="28" t="s">
        <v>192</v>
      </c>
      <c r="C14" s="27">
        <v>12</v>
      </c>
      <c r="D14" s="26">
        <v>6.8181818181818177E-2</v>
      </c>
    </row>
    <row r="15" spans="2:4" s="29" customFormat="1" ht="15" x14ac:dyDescent="0.3">
      <c r="B15" s="28" t="s">
        <v>191</v>
      </c>
      <c r="C15" s="27">
        <v>12</v>
      </c>
      <c r="D15" s="26">
        <v>6.8181818181818177E-2</v>
      </c>
    </row>
    <row r="16" spans="2:4" x14ac:dyDescent="0.3">
      <c r="B16" s="28" t="s">
        <v>190</v>
      </c>
      <c r="C16" s="27">
        <v>9</v>
      </c>
      <c r="D16" s="26">
        <v>5.113636363636364E-2</v>
      </c>
    </row>
    <row r="17" spans="2:4" x14ac:dyDescent="0.3">
      <c r="B17" s="28" t="s">
        <v>189</v>
      </c>
      <c r="C17" s="27">
        <v>7</v>
      </c>
      <c r="D17" s="26">
        <v>3.9772727272727272E-2</v>
      </c>
    </row>
    <row r="18" spans="2:4" x14ac:dyDescent="0.3">
      <c r="B18" s="28" t="s">
        <v>188</v>
      </c>
      <c r="C18" s="27">
        <v>5</v>
      </c>
      <c r="D18" s="26">
        <v>2.8409090909090908E-2</v>
      </c>
    </row>
    <row r="19" spans="2:4" x14ac:dyDescent="0.3">
      <c r="B19" s="28" t="s">
        <v>187</v>
      </c>
      <c r="C19" s="27">
        <v>3</v>
      </c>
      <c r="D19" s="26">
        <v>1.7045454545454544E-2</v>
      </c>
    </row>
    <row r="20" spans="2:4" x14ac:dyDescent="0.3">
      <c r="B20" s="28" t="s">
        <v>186</v>
      </c>
      <c r="C20" s="27">
        <v>2</v>
      </c>
      <c r="D20" s="26">
        <v>1.1363636363636364E-2</v>
      </c>
    </row>
    <row r="21" spans="2:4" x14ac:dyDescent="0.3">
      <c r="B21" s="28" t="s">
        <v>185</v>
      </c>
      <c r="C21" s="27">
        <v>1</v>
      </c>
      <c r="D21" s="26">
        <v>5.681818181818182E-3</v>
      </c>
    </row>
    <row r="22" spans="2:4" x14ac:dyDescent="0.3">
      <c r="B22" s="28" t="s">
        <v>184</v>
      </c>
      <c r="C22" s="27">
        <v>1</v>
      </c>
      <c r="D22" s="26">
        <v>5.681818181818182E-3</v>
      </c>
    </row>
    <row r="23" spans="2:4" x14ac:dyDescent="0.3">
      <c r="B23" s="28" t="s">
        <v>183</v>
      </c>
      <c r="C23" s="27">
        <v>1</v>
      </c>
      <c r="D23" s="26">
        <v>5.681818181818182E-3</v>
      </c>
    </row>
    <row r="24" spans="2:4" x14ac:dyDescent="0.3">
      <c r="B24" s="28" t="s">
        <v>182</v>
      </c>
      <c r="C24" s="27">
        <v>1</v>
      </c>
      <c r="D24" s="26">
        <v>5.681818181818182E-3</v>
      </c>
    </row>
    <row r="25" spans="2:4" x14ac:dyDescent="0.3">
      <c r="B25" s="25" t="s">
        <v>18</v>
      </c>
      <c r="C25" s="24">
        <v>176</v>
      </c>
      <c r="D25" s="23">
        <v>1</v>
      </c>
    </row>
    <row r="27" spans="2:4" x14ac:dyDescent="0.3">
      <c r="B27" s="20" t="s">
        <v>17</v>
      </c>
    </row>
    <row r="28" spans="2:4" x14ac:dyDescent="0.3">
      <c r="B28" s="22" t="s">
        <v>16</v>
      </c>
    </row>
    <row r="29" spans="2:4" x14ac:dyDescent="0.3">
      <c r="B29" s="21" t="s">
        <v>15</v>
      </c>
    </row>
    <row r="30" spans="2:4" x14ac:dyDescent="0.3">
      <c r="B30" s="20" t="s">
        <v>14</v>
      </c>
    </row>
    <row r="31" spans="2:4" x14ac:dyDescent="0.3">
      <c r="B31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Hawaii_Edomexgral</vt:lpstr>
      <vt:lpstr>Hawaii_EDOMEX</vt:lpstr>
      <vt:lpstr>Hawaii_Educagral</vt:lpstr>
      <vt:lpstr>Hawaii_Eduedo</vt:lpstr>
      <vt:lpstr>Hawaii_gengral</vt:lpstr>
      <vt:lpstr>Hawaii_edomexgen</vt:lpstr>
      <vt:lpstr>Hawaii_edadgen</vt:lpstr>
      <vt:lpstr>Hawaii_ocupgral</vt:lpstr>
      <vt:lpstr>Hawaii_edadgen!Área_de_impresión</vt:lpstr>
      <vt:lpstr>Hawaii_EDOMEX!Área_de_impresión</vt:lpstr>
      <vt:lpstr>Hawaii_edomexgen!Área_de_impresión</vt:lpstr>
      <vt:lpstr>Hawaii_Eduedo!Área_de_impresión</vt:lpstr>
      <vt:lpstr>Hawaii_edadgen!Títulos_a_imprimir</vt:lpstr>
      <vt:lpstr>Hawaii_EDOMEX!Títulos_a_imprimir</vt:lpstr>
      <vt:lpstr>Hawaii_edomexgen!Títulos_a_imprimir</vt:lpstr>
      <vt:lpstr>Hawaii_Edomexgral!Títulos_a_imprimir</vt:lpstr>
      <vt:lpstr>Hawaii_Educagral!Títulos_a_imprimir</vt:lpstr>
      <vt:lpstr>Hawaii_Eduedo!Títulos_a_imprimir</vt:lpstr>
      <vt:lpstr>Hawaii_gengral!Títulos_a_imprimir</vt:lpstr>
      <vt:lpstr>Hawaii_ocupgral!Títulos_a_imprimir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2020-06-18T20:41:32Z</dcterms:created>
  <dcterms:modified xsi:type="dcterms:W3CDTF">2020-08-07T16:13:10Z</dcterms:modified>
</cp:coreProperties>
</file>