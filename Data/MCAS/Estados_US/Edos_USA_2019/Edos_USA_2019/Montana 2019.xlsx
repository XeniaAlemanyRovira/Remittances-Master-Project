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823" firstSheet="2" activeTab="8"/>
  </bookViews>
  <sheets>
    <sheet name="Índice" sheetId="1" r:id="rId1"/>
    <sheet name="Montana_Edomexgral" sheetId="2" r:id="rId2"/>
    <sheet name="Montana_EDOMEX" sheetId="11" r:id="rId3"/>
    <sheet name="Montana_Educagral" sheetId="4" r:id="rId4"/>
    <sheet name="Montana_Eduedo" sheetId="10" r:id="rId5"/>
    <sheet name="Montana_gengral" sheetId="6" r:id="rId6"/>
    <sheet name="Montana_edomexgen" sheetId="7" r:id="rId7"/>
    <sheet name="Montana_edadgen" sheetId="8" r:id="rId8"/>
    <sheet name="Montana_ocupgral" sheetId="9" r:id="rId9"/>
  </sheets>
  <definedNames>
    <definedName name="_xlnm._FilterDatabase" localSheetId="7" hidden="1">Montana_edadgen!$B$9:$E$13</definedName>
    <definedName name="_xlnm._FilterDatabase" localSheetId="2" hidden="1">Montana_EDOMEX!$B$9:$E$13</definedName>
    <definedName name="_xlnm._FilterDatabase" localSheetId="6" hidden="1">Montana_edomexgen!$B$9:$E$12</definedName>
    <definedName name="_xlnm._FilterDatabase" localSheetId="1" hidden="1">Montana_Edomexgral!$B$11:$D$12</definedName>
    <definedName name="_xlnm._FilterDatabase" localSheetId="3" hidden="1">Montana_Educagral!$B$11:$D$12</definedName>
    <definedName name="_xlnm._FilterDatabase" localSheetId="4" hidden="1">Montana_Eduedo!$B$9:$E$13</definedName>
    <definedName name="_xlnm._FilterDatabase" localSheetId="5" hidden="1">Montana_gengral!$B$11:$D$12</definedName>
    <definedName name="_xlnm._FilterDatabase" localSheetId="8" hidden="1">Montana_ocupgral!$B$11:$D$12</definedName>
    <definedName name="_xlnm.Print_Area" localSheetId="7">Montana_edadgen!$A$1:$E$25</definedName>
    <definedName name="_xlnm.Print_Area" localSheetId="2">Montana_EDOMEX!$A$1:$E$96</definedName>
    <definedName name="_xlnm.Print_Area" localSheetId="6">Montana_edomexgen!$A$1:$E$74</definedName>
    <definedName name="_xlnm.Print_Area" localSheetId="4">Montana_Eduedo!$A$1:$E$82</definedName>
    <definedName name="_xlnm.Print_Titles" localSheetId="7">Montana_edadgen!$1:$9</definedName>
    <definedName name="_xlnm.Print_Titles" localSheetId="2">Montana_EDOMEX!$1:$9</definedName>
    <definedName name="_xlnm.Print_Titles" localSheetId="6">Montana_edomexgen!$1:$9</definedName>
    <definedName name="_xlnm.Print_Titles" localSheetId="1">Montana_Edomexgral!$1:$11</definedName>
    <definedName name="_xlnm.Print_Titles" localSheetId="3">Montana_Educagral!$1:$11</definedName>
    <definedName name="_xlnm.Print_Titles" localSheetId="4">Montana_Eduedo!$1:$9</definedName>
    <definedName name="_xlnm.Print_Titles" localSheetId="5">Montana_gengral!$1:$11</definedName>
    <definedName name="_xlnm.Print_Titles" localSheetId="8">Montana_ocupgral!$1:$11</definedName>
  </definedNames>
  <calcPr calcId="152511"/>
</workbook>
</file>

<file path=xl/calcChain.xml><?xml version="1.0" encoding="utf-8"?>
<calcChain xmlns="http://schemas.openxmlformats.org/spreadsheetml/2006/main">
  <c r="D90" i="11" l="1"/>
  <c r="D68" i="7" l="1"/>
</calcChain>
</file>

<file path=xl/sharedStrings.xml><?xml version="1.0" encoding="utf-8"?>
<sst xmlns="http://schemas.openxmlformats.org/spreadsheetml/2006/main" count="411" uniqueCount="141">
  <si>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</si>
  <si>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</si>
  <si>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</si>
  <si>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</si>
  <si>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</si>
  <si>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</si>
  <si>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</si>
  <si>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</si>
  <si>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</si>
  <si>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</si>
  <si>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</si>
  <si>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</si>
  <si>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</si>
  <si>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</si>
  <si>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</si>
  <si>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</si>
  <si>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</si>
  <si>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</si>
  <si>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Tamaulipas</t>
  </si>
  <si>
    <t>Tabasco</t>
  </si>
  <si>
    <t>Quintana Roo</t>
  </si>
  <si>
    <t>Hidalgo</t>
  </si>
  <si>
    <t>Durango</t>
  </si>
  <si>
    <t>Coahuila</t>
  </si>
  <si>
    <t>Zacatecas</t>
  </si>
  <si>
    <t>Sonora</t>
  </si>
  <si>
    <t>Sinaloa</t>
  </si>
  <si>
    <t>Puebla</t>
  </si>
  <si>
    <t>Oaxaca</t>
  </si>
  <si>
    <t>Nayarit</t>
  </si>
  <si>
    <t>Aguascalientes</t>
  </si>
  <si>
    <t>Ciudad de México</t>
  </si>
  <si>
    <t>Chiapas</t>
  </si>
  <si>
    <t>San Luis Potosí</t>
  </si>
  <si>
    <t>Guerrero</t>
  </si>
  <si>
    <t>Guanajuato</t>
  </si>
  <si>
    <t>Estado de México</t>
  </si>
  <si>
    <t>Chihuahua</t>
  </si>
  <si>
    <t>Veracruz</t>
  </si>
  <si>
    <t>Michoacán</t>
  </si>
  <si>
    <t>Jalisco</t>
  </si>
  <si>
    <t>Porcentaje de Matrículas</t>
  </si>
  <si>
    <t>Número de Matrículas</t>
  </si>
  <si>
    <t>Estado de Origen</t>
  </si>
  <si>
    <t>MATRÍCULAS CONSULARES DE ALTA SEGURIDAD EXPEDIDAS EN EL ESTADO DE MONTANA EN EE.UU. POR ESTADO DE LA REPÚBLICA MEXICANA DURANTE EL 2019</t>
  </si>
  <si>
    <t>Miguel Auza</t>
  </si>
  <si>
    <t>Jalpa</t>
  </si>
  <si>
    <t>Santiago Tuxtla</t>
  </si>
  <si>
    <t>Mecayapan</t>
  </si>
  <si>
    <t>Coscomatepec</t>
  </si>
  <si>
    <t>Amatlán de los Reyes</t>
  </si>
  <si>
    <t>Reynosa</t>
  </si>
  <si>
    <t>Jalapa</t>
  </si>
  <si>
    <t>Yécora</t>
  </si>
  <si>
    <t>Caborca</t>
  </si>
  <si>
    <t>Culiacán</t>
  </si>
  <si>
    <t>San Nicolás Tolentino</t>
  </si>
  <si>
    <t>Salinas</t>
  </si>
  <si>
    <t>Moctezuma</t>
  </si>
  <si>
    <t>Othón P. Blanco</t>
  </si>
  <si>
    <t>Quimixtlán</t>
  </si>
  <si>
    <t>Ocotepec</t>
  </si>
  <si>
    <t>Zapotitlán Palmas</t>
  </si>
  <si>
    <t>Tepic</t>
  </si>
  <si>
    <t>Rosamorada</t>
  </si>
  <si>
    <t>Zinapécuaro</t>
  </si>
  <si>
    <t>Múgica</t>
  </si>
  <si>
    <t>Contepec</t>
  </si>
  <si>
    <t>Coeneo</t>
  </si>
  <si>
    <t>Zapopan</t>
  </si>
  <si>
    <t>Villa Corona</t>
  </si>
  <si>
    <t>Unión de Tula</t>
  </si>
  <si>
    <t>Tala</t>
  </si>
  <si>
    <t>Jesús María</t>
  </si>
  <si>
    <t>Guadalajara</t>
  </si>
  <si>
    <t>Cuautitlán de García Barragán</t>
  </si>
  <si>
    <t>Ayutla</t>
  </si>
  <si>
    <t>Arandas</t>
  </si>
  <si>
    <t>Tezontepec de Aldama</t>
  </si>
  <si>
    <t>General Heliodoro Castillo</t>
  </si>
  <si>
    <t>Chilpancingo de los Bravo</t>
  </si>
  <si>
    <t>Atoyac de Álvarez</t>
  </si>
  <si>
    <t>Salvatierra</t>
  </si>
  <si>
    <t>Pénjamo</t>
  </si>
  <si>
    <t>Celaya</t>
  </si>
  <si>
    <t>Acámbaro</t>
  </si>
  <si>
    <t>Villa Guerrero</t>
  </si>
  <si>
    <t>Ozumba</t>
  </si>
  <si>
    <t>Naucalpan de Juárez</t>
  </si>
  <si>
    <t>Ecatepec de Morelos</t>
  </si>
  <si>
    <t>Venustiano Carranza</t>
  </si>
  <si>
    <t>Gustavo A. Madero</t>
  </si>
  <si>
    <t>Torreón</t>
  </si>
  <si>
    <t>Valle de Zaragoza</t>
  </si>
  <si>
    <t>Nuevo Casas Grandes</t>
  </si>
  <si>
    <t>Hidalgo del Parral</t>
  </si>
  <si>
    <t>Camargo</t>
  </si>
  <si>
    <t>Mapastepec</t>
  </si>
  <si>
    <t>Cacahoatán</t>
  </si>
  <si>
    <t>Calvillo</t>
  </si>
  <si>
    <t>Municipio Origen</t>
  </si>
  <si>
    <t>Profesional Titulado</t>
  </si>
  <si>
    <t>Profesional pasante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</si>
  <si>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</si>
  <si>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</si>
  <si>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</si>
  <si>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</si>
  <si>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</si>
  <si>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</si>
  <si>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</si>
  <si>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</si>
  <si>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</si>
  <si>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1° Primaria</t>
  </si>
  <si>
    <t>Nivel de Estudios</t>
  </si>
  <si>
    <t>MATRÍCULAS CONSULARES EXPEDIDAS EN EL ESTADO DE MONTANA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</si>
  <si>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</si>
  <si>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</si>
  <si>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</si>
  <si>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</si>
  <si>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MONTANA, POR GÉNERO 2019</t>
  </si>
  <si>
    <t>Mujer</t>
  </si>
  <si>
    <t>Hombre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</si>
  <si>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</si>
  <si>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</si>
  <si>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</si>
  <si>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</si>
  <si>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</si>
  <si>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</si>
  <si>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Profesionista</t>
  </si>
  <si>
    <t>Obrero(a)</t>
  </si>
  <si>
    <t>Cocinero(a)</t>
  </si>
  <si>
    <t>Albañil</t>
  </si>
  <si>
    <t>Campesino(a)</t>
  </si>
  <si>
    <t>Estudiante</t>
  </si>
  <si>
    <t>Hogar</t>
  </si>
  <si>
    <t>Empleado(a)</t>
  </si>
  <si>
    <t>Ocupación</t>
  </si>
  <si>
    <t>MATRÍCULAS CONSULARES DE ALTA SEGURIDAD EXPEDIDAS EN EE.UU A MEXICANOS EN EL ESTADO DE  MONTANA, POR PERFIL OCUPACIONAL 2019</t>
  </si>
  <si>
    <t>Matrículas consulares expedidas a mexicanos  en el estado de Montana en el 2019</t>
  </si>
  <si>
    <t>Profesional titulado</t>
  </si>
  <si>
    <t>Santiago Papasquiaro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</si>
</sst>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85">
    <xf numFmtId="0" fontId="0" fillId="0" borderId="0" xfId="0"/>
    <xf numFmtId="0" fontId="2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6" fillId="0" borderId="0" xfId="0" applyFont="1" applyBorder="1"/>
    <xf numFmtId="0" fontId="16" fillId="0" borderId="0" xfId="0" applyFont="1" applyBorder="1" applyAlignment="1">
      <alignment vertical="top"/>
    </xf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5" fontId="7" fillId="6" borderId="9" xfId="1" applyNumberFormat="1" applyFont="1" applyFill="1" applyBorder="1" applyAlignment="1">
      <alignment vertical="center" wrapText="1"/>
    </xf>
    <xf numFmtId="3" fontId="7" fillId="6" borderId="9" xfId="3" applyNumberFormat="1" applyFont="1" applyFill="1" applyBorder="1" applyAlignment="1">
      <alignment horizontal="right" vertical="center" wrapText="1"/>
    </xf>
    <xf numFmtId="49" fontId="7" fillId="6" borderId="9" xfId="3" applyNumberFormat="1" applyFont="1" applyFill="1" applyBorder="1" applyAlignment="1">
      <alignment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18" fillId="3" borderId="0" xfId="0" applyFont="1" applyFill="1"/>
    <xf numFmtId="0" fontId="19" fillId="2" borderId="10" xfId="4" applyFont="1" applyFill="1" applyBorder="1" applyAlignment="1">
      <alignment horizontal="center" vertical="center" wrapText="1"/>
    </xf>
    <xf numFmtId="1" fontId="19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justify" vertical="center"/>
    </xf>
    <xf numFmtId="3" fontId="10" fillId="3" borderId="0" xfId="0" applyNumberFormat="1" applyFont="1" applyFill="1"/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3" fontId="7" fillId="4" borderId="9" xfId="0" applyNumberFormat="1" applyFont="1" applyFill="1" applyBorder="1" applyAlignment="1">
      <alignment horizontal="right" vertical="center" wrapText="1"/>
    </xf>
    <xf numFmtId="164" fontId="7" fillId="4" borderId="9" xfId="0" applyNumberFormat="1" applyFont="1" applyFill="1" applyBorder="1" applyAlignment="1">
      <alignment horizontal="right" vertical="center" wrapText="1"/>
    </xf>
    <xf numFmtId="0" fontId="23" fillId="0" borderId="0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3" fillId="0" borderId="0" xfId="2" applyFont="1" applyBorder="1" applyAlignment="1">
      <alignment horizontal="center"/>
    </xf>
    <xf numFmtId="0" fontId="23" fillId="0" borderId="4" xfId="2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49" fontId="7" fillId="4" borderId="13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49" fontId="17" fillId="3" borderId="10" xfId="3" applyNumberFormat="1" applyFont="1" applyFill="1" applyBorder="1" applyAlignment="1">
      <alignment horizontal="center" vertical="center" wrapText="1"/>
    </xf>
    <xf numFmtId="49" fontId="17" fillId="3" borderId="14" xfId="3" applyNumberFormat="1" applyFont="1" applyFill="1" applyBorder="1" applyAlignment="1">
      <alignment horizontal="center" vertical="center" wrapText="1"/>
    </xf>
    <xf numFmtId="49" fontId="17" fillId="3" borderId="15" xfId="3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365817</xdr:colOff>
      <xdr:row>2</xdr:row>
      <xdr:rowOff>8175</xdr:rowOff>
    </xdr:from>
    <xdr:to>
      <xdr:col>3</xdr:col>
      <xdr:colOff>877914</xdr:colOff>
      <xdr:row>3</xdr:row>
      <xdr:rowOff>8176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93964" y="73655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47625</xdr:rowOff>
    </xdr:from>
    <xdr:to>
      <xdr:col>5</xdr:col>
      <xdr:colOff>169197</xdr:colOff>
      <xdr:row>8</xdr:row>
      <xdr:rowOff>36420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716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161925</xdr:rowOff>
    </xdr:from>
    <xdr:to>
      <xdr:col>4</xdr:col>
      <xdr:colOff>1064547</xdr:colOff>
      <xdr:row>7</xdr:row>
      <xdr:rowOff>352426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171450</xdr:rowOff>
    </xdr:from>
    <xdr:to>
      <xdr:col>5</xdr:col>
      <xdr:colOff>235872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6257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MONTANA,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472966</xdr:colOff>
      <xdr:row>7</xdr:row>
      <xdr:rowOff>118241</xdr:rowOff>
    </xdr:from>
    <xdr:to>
      <xdr:col>4</xdr:col>
      <xdr:colOff>985063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6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MONTANA,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151086</xdr:rowOff>
    </xdr:from>
    <xdr:to>
      <xdr:col>4</xdr:col>
      <xdr:colOff>1077028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MONTANA,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111672</xdr:rowOff>
    </xdr:from>
    <xdr:to>
      <xdr:col>4</xdr:col>
      <xdr:colOff>1037614</xdr:colOff>
      <xdr:row>7</xdr:row>
      <xdr:rowOff>290967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5244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419100</xdr:colOff>
      <xdr:row>6</xdr:row>
      <xdr:rowOff>161925</xdr:rowOff>
    </xdr:from>
    <xdr:to>
      <xdr:col>5</xdr:col>
      <xdr:colOff>312072</xdr:colOff>
      <xdr:row>7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848225" y="1495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J9" sqref="J9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138</v>
      </c>
      <c r="B1" s="69"/>
      <c r="C1" s="69"/>
      <c r="D1" s="70"/>
    </row>
    <row r="2" spans="1:4" ht="18" x14ac:dyDescent="0.4">
      <c r="A2" s="48"/>
      <c r="B2" s="49"/>
      <c r="C2" s="49"/>
      <c r="D2" s="50"/>
    </row>
    <row r="3" spans="1:4" x14ac:dyDescent="0.4">
      <c r="A3" s="71" t="s">
        <v>11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51"/>
      <c r="B5" s="52"/>
      <c r="C5" s="52"/>
      <c r="D5" s="53"/>
    </row>
    <row r="6" spans="1:4" ht="18" x14ac:dyDescent="0.4">
      <c r="A6" s="67" t="s">
        <v>10</v>
      </c>
      <c r="B6" s="65"/>
      <c r="C6" s="65"/>
      <c r="D6" s="66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9</v>
      </c>
      <c r="B8" s="58"/>
      <c r="C8" s="58"/>
      <c r="D8" s="59"/>
    </row>
    <row r="9" spans="1:4" ht="18" x14ac:dyDescent="0.4">
      <c r="A9" s="57"/>
      <c r="B9" s="74" t="s">
        <v>8</v>
      </c>
      <c r="C9" s="74"/>
      <c r="D9" s="75"/>
    </row>
    <row r="10" spans="1:4" ht="18" x14ac:dyDescent="0.4">
      <c r="A10" s="57" t="s">
        <v>7</v>
      </c>
      <c r="B10" s="58"/>
      <c r="C10" s="58"/>
      <c r="D10" s="59"/>
    </row>
    <row r="11" spans="1:4" ht="18" x14ac:dyDescent="0.4">
      <c r="A11" s="57"/>
      <c r="B11" s="65" t="s">
        <v>6</v>
      </c>
      <c r="C11" s="65"/>
      <c r="D11" s="66"/>
    </row>
    <row r="12" spans="1:4" ht="18" x14ac:dyDescent="0.4">
      <c r="A12" s="57"/>
      <c r="B12" s="65" t="s">
        <v>5</v>
      </c>
      <c r="C12" s="65"/>
      <c r="D12" s="66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4</v>
      </c>
      <c r="B14" s="58"/>
      <c r="C14" s="58"/>
      <c r="D14" s="59"/>
    </row>
    <row r="15" spans="1:4" ht="18" x14ac:dyDescent="0.4">
      <c r="A15" s="57"/>
      <c r="B15" s="65" t="s">
        <v>3</v>
      </c>
      <c r="C15" s="65"/>
      <c r="D15" s="66"/>
    </row>
    <row r="16" spans="1:4" ht="18" x14ac:dyDescent="0.4">
      <c r="A16" s="57"/>
      <c r="B16" s="65" t="s">
        <v>2</v>
      </c>
      <c r="C16" s="65"/>
      <c r="D16" s="66"/>
    </row>
    <row r="17" spans="1:4" ht="18" x14ac:dyDescent="0.4">
      <c r="A17" s="57"/>
      <c r="B17" s="58"/>
      <c r="C17" s="58"/>
      <c r="D17" s="59"/>
    </row>
    <row r="18" spans="1:4" ht="18" x14ac:dyDescent="0.4">
      <c r="A18" s="67" t="s">
        <v>1</v>
      </c>
      <c r="B18" s="65"/>
      <c r="C18" s="65"/>
      <c r="D18" s="66"/>
    </row>
    <row r="19" spans="1:4" ht="18" x14ac:dyDescent="0.4">
      <c r="A19" s="57"/>
      <c r="B19" s="58"/>
      <c r="C19" s="58"/>
      <c r="D19" s="59"/>
    </row>
    <row r="20" spans="1:4" ht="18" x14ac:dyDescent="0.4">
      <c r="A20" s="67" t="s">
        <v>0</v>
      </c>
      <c r="B20" s="65"/>
      <c r="C20" s="65"/>
      <c r="D20" s="66"/>
    </row>
    <row r="21" spans="1:4" ht="18.600000000000001" thickBot="1" x14ac:dyDescent="0.45">
      <c r="A21" s="60"/>
      <c r="B21" s="61"/>
      <c r="C21" s="61"/>
      <c r="D21" s="6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ontana_Edomexgral!A1" display="1. Por Estados de la República Mexicana"/>
    <hyperlink ref="B9" location="Montana_EDOMEX!A1" display="2.1 Por estado de la República Mexicana y municipio de origen"/>
    <hyperlink ref="B11:D11" location="Montana_Educagral!A1" display="3.1 Educación general"/>
    <hyperlink ref="B12:D12" location="Montana_Eduedo!A1" display="3.2 Por Estado de la República Mexicana"/>
    <hyperlink ref="B15:D15" location="Montana_gengral!A1" display="4.1 Género General"/>
    <hyperlink ref="B16:D16" location="Montana_edomexgen!A1" display="4.2 Por Estados de la República Mexicana"/>
    <hyperlink ref="A18:D18" location="Montana_edadgen!A1" display="5. Por estructura de Edad"/>
    <hyperlink ref="A20:D20" location="Montana_ocupgral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1"/>
  <sheetViews>
    <sheetView showGridLines="0" topLeftCell="A25" zoomScaleNormal="100" zoomScaleSheetLayoutView="115" workbookViewId="0">
      <selection activeCell="A43" sqref="A35:XFD43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6" t="s">
        <v>44</v>
      </c>
      <c r="C7" s="76"/>
      <c r="D7" s="76"/>
    </row>
    <row r="8" spans="2:4" s="14" customFormat="1" ht="15" customHeight="1" x14ac:dyDescent="0.2">
      <c r="B8" s="76"/>
      <c r="C8" s="76"/>
      <c r="D8" s="76"/>
    </row>
    <row r="9" spans="2:4" s="14" customFormat="1" ht="33" customHeight="1" x14ac:dyDescent="0.2">
      <c r="B9" s="76"/>
      <c r="C9" s="76"/>
      <c r="D9" s="76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43</v>
      </c>
      <c r="C11" s="16" t="s">
        <v>42</v>
      </c>
      <c r="D11" s="15" t="s">
        <v>41</v>
      </c>
    </row>
    <row r="12" spans="2:4" ht="15" customHeight="1" x14ac:dyDescent="0.3">
      <c r="B12" s="12" t="s">
        <v>40</v>
      </c>
      <c r="C12" s="11">
        <v>9</v>
      </c>
      <c r="D12" s="10">
        <v>0.13846153846153847</v>
      </c>
    </row>
    <row r="13" spans="2:4" x14ac:dyDescent="0.3">
      <c r="B13" s="12" t="s">
        <v>39</v>
      </c>
      <c r="C13" s="11">
        <v>5</v>
      </c>
      <c r="D13" s="10">
        <v>7.6923076923076927E-2</v>
      </c>
    </row>
    <row r="14" spans="2:4" s="13" customFormat="1" ht="15" x14ac:dyDescent="0.3">
      <c r="B14" s="12" t="s">
        <v>38</v>
      </c>
      <c r="C14" s="11">
        <v>5</v>
      </c>
      <c r="D14" s="10">
        <v>7.6923076923076927E-2</v>
      </c>
    </row>
    <row r="15" spans="2:4" s="13" customFormat="1" ht="15" x14ac:dyDescent="0.3">
      <c r="B15" s="12" t="s">
        <v>37</v>
      </c>
      <c r="C15" s="11">
        <v>4</v>
      </c>
      <c r="D15" s="10">
        <v>6.1538461538461542E-2</v>
      </c>
    </row>
    <row r="16" spans="2:4" x14ac:dyDescent="0.3">
      <c r="B16" s="12" t="s">
        <v>36</v>
      </c>
      <c r="C16" s="11">
        <v>4</v>
      </c>
      <c r="D16" s="10">
        <v>6.1538461538461542E-2</v>
      </c>
    </row>
    <row r="17" spans="2:4" x14ac:dyDescent="0.3">
      <c r="B17" s="12" t="s">
        <v>35</v>
      </c>
      <c r="C17" s="11">
        <v>4</v>
      </c>
      <c r="D17" s="10">
        <v>6.1538461538461542E-2</v>
      </c>
    </row>
    <row r="18" spans="2:4" x14ac:dyDescent="0.3">
      <c r="B18" s="12" t="s">
        <v>34</v>
      </c>
      <c r="C18" s="11">
        <v>4</v>
      </c>
      <c r="D18" s="10">
        <v>6.1538461538461542E-2</v>
      </c>
    </row>
    <row r="19" spans="2:4" x14ac:dyDescent="0.3">
      <c r="B19" s="12" t="s">
        <v>33</v>
      </c>
      <c r="C19" s="11">
        <v>4</v>
      </c>
      <c r="D19" s="10">
        <v>6.1538461538461542E-2</v>
      </c>
    </row>
    <row r="20" spans="2:4" x14ac:dyDescent="0.3">
      <c r="B20" s="12" t="s">
        <v>32</v>
      </c>
      <c r="C20" s="11">
        <v>3</v>
      </c>
      <c r="D20" s="10">
        <v>4.6153846153846156E-2</v>
      </c>
    </row>
    <row r="21" spans="2:4" x14ac:dyDescent="0.3">
      <c r="B21" s="12" t="s">
        <v>31</v>
      </c>
      <c r="C21" s="11">
        <v>3</v>
      </c>
      <c r="D21" s="10">
        <v>4.6153846153846156E-2</v>
      </c>
    </row>
    <row r="22" spans="2:4" x14ac:dyDescent="0.3">
      <c r="B22" s="12" t="s">
        <v>30</v>
      </c>
      <c r="C22" s="11">
        <v>2</v>
      </c>
      <c r="D22" s="10">
        <v>3.0769230769230771E-2</v>
      </c>
    </row>
    <row r="23" spans="2:4" x14ac:dyDescent="0.3">
      <c r="B23" s="12" t="s">
        <v>29</v>
      </c>
      <c r="C23" s="11">
        <v>2</v>
      </c>
      <c r="D23" s="10">
        <v>3.0769230769230771E-2</v>
      </c>
    </row>
    <row r="24" spans="2:4" x14ac:dyDescent="0.3">
      <c r="B24" s="12" t="s">
        <v>28</v>
      </c>
      <c r="C24" s="11">
        <v>2</v>
      </c>
      <c r="D24" s="10">
        <v>3.0769230769230771E-2</v>
      </c>
    </row>
    <row r="25" spans="2:4" x14ac:dyDescent="0.3">
      <c r="B25" s="12" t="s">
        <v>27</v>
      </c>
      <c r="C25" s="11">
        <v>2</v>
      </c>
      <c r="D25" s="10">
        <v>3.0769230769230771E-2</v>
      </c>
    </row>
    <row r="26" spans="2:4" x14ac:dyDescent="0.3">
      <c r="B26" s="12" t="s">
        <v>26</v>
      </c>
      <c r="C26" s="11">
        <v>2</v>
      </c>
      <c r="D26" s="10">
        <v>3.0769230769230771E-2</v>
      </c>
    </row>
    <row r="27" spans="2:4" x14ac:dyDescent="0.3">
      <c r="B27" s="12" t="s">
        <v>25</v>
      </c>
      <c r="C27" s="11">
        <v>2</v>
      </c>
      <c r="D27" s="10">
        <v>3.0769230769230771E-2</v>
      </c>
    </row>
    <row r="28" spans="2:4" x14ac:dyDescent="0.3">
      <c r="B28" s="12" t="s">
        <v>24</v>
      </c>
      <c r="C28" s="11">
        <v>2</v>
      </c>
      <c r="D28" s="10">
        <v>3.0769230769230771E-2</v>
      </c>
    </row>
    <row r="29" spans="2:4" x14ac:dyDescent="0.3">
      <c r="B29" s="12" t="s">
        <v>23</v>
      </c>
      <c r="C29" s="11">
        <v>1</v>
      </c>
      <c r="D29" s="10">
        <v>1.5384615384615385E-2</v>
      </c>
    </row>
    <row r="30" spans="2:4" x14ac:dyDescent="0.3">
      <c r="B30" s="12" t="s">
        <v>22</v>
      </c>
      <c r="C30" s="11">
        <v>1</v>
      </c>
      <c r="D30" s="10">
        <v>1.5384615384615385E-2</v>
      </c>
    </row>
    <row r="31" spans="2:4" x14ac:dyDescent="0.3">
      <c r="B31" s="12" t="s">
        <v>21</v>
      </c>
      <c r="C31" s="11">
        <v>1</v>
      </c>
      <c r="D31" s="10">
        <v>1.5384615384615385E-2</v>
      </c>
    </row>
    <row r="32" spans="2:4" x14ac:dyDescent="0.3">
      <c r="B32" s="12" t="s">
        <v>20</v>
      </c>
      <c r="C32" s="11">
        <v>1</v>
      </c>
      <c r="D32" s="10">
        <v>1.5384615384615385E-2</v>
      </c>
    </row>
    <row r="33" spans="2:4" x14ac:dyDescent="0.3">
      <c r="B33" s="12" t="s">
        <v>19</v>
      </c>
      <c r="C33" s="11">
        <v>1</v>
      </c>
      <c r="D33" s="10">
        <v>1.5384615384615385E-2</v>
      </c>
    </row>
    <row r="34" spans="2:4" x14ac:dyDescent="0.3">
      <c r="B34" s="12" t="s">
        <v>18</v>
      </c>
      <c r="C34" s="11">
        <v>1</v>
      </c>
      <c r="D34" s="10">
        <v>1.5384615384615385E-2</v>
      </c>
    </row>
    <row r="35" spans="2:4" x14ac:dyDescent="0.3">
      <c r="B35" s="9" t="s">
        <v>17</v>
      </c>
      <c r="C35" s="8">
        <v>65</v>
      </c>
      <c r="D35" s="7">
        <v>1</v>
      </c>
    </row>
    <row r="37" spans="2:4" x14ac:dyDescent="0.3">
      <c r="B37" s="4" t="s">
        <v>16</v>
      </c>
    </row>
    <row r="38" spans="2:4" x14ac:dyDescent="0.3">
      <c r="B38" s="6" t="s">
        <v>15</v>
      </c>
    </row>
    <row r="39" spans="2:4" x14ac:dyDescent="0.3">
      <c r="B39" s="5" t="s">
        <v>14</v>
      </c>
    </row>
    <row r="40" spans="2:4" x14ac:dyDescent="0.3">
      <c r="B40" s="4" t="s">
        <v>13</v>
      </c>
    </row>
    <row r="41" spans="2:4" x14ac:dyDescent="0.3">
      <c r="B41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73" zoomScaleNormal="100" zoomScaleSheetLayoutView="100" workbookViewId="0">
      <selection activeCell="G108" sqref="G108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3"/>
      <c r="D6" s="33"/>
      <c r="E6" s="33"/>
    </row>
    <row r="7" spans="1:5" s="37" customFormat="1" ht="26.25" customHeight="1" x14ac:dyDescent="0.25">
      <c r="A7" s="38"/>
      <c r="B7" s="82"/>
      <c r="C7" s="82"/>
      <c r="D7" s="82"/>
      <c r="E7" s="82"/>
    </row>
    <row r="8" spans="1:5" s="37" customFormat="1" ht="33" customHeight="1" x14ac:dyDescent="0.25">
      <c r="A8" s="38"/>
      <c r="B8" s="82"/>
      <c r="C8" s="82"/>
      <c r="D8" s="82"/>
      <c r="E8" s="82"/>
    </row>
    <row r="9" spans="1:5" s="14" customFormat="1" ht="40.5" customHeight="1" x14ac:dyDescent="0.2">
      <c r="B9" s="34" t="s">
        <v>43</v>
      </c>
      <c r="C9" s="36" t="s">
        <v>100</v>
      </c>
      <c r="D9" s="35" t="s">
        <v>42</v>
      </c>
      <c r="E9" s="34" t="s">
        <v>41</v>
      </c>
    </row>
    <row r="10" spans="1:5" ht="15" customHeight="1" x14ac:dyDescent="0.3">
      <c r="B10" s="79" t="s">
        <v>30</v>
      </c>
      <c r="C10" s="32" t="s">
        <v>30</v>
      </c>
      <c r="D10" s="31">
        <v>1</v>
      </c>
      <c r="E10" s="30">
        <v>1.5384615384615385E-2</v>
      </c>
    </row>
    <row r="11" spans="1:5" ht="15" customHeight="1" x14ac:dyDescent="0.3">
      <c r="B11" s="81"/>
      <c r="C11" s="32" t="s">
        <v>99</v>
      </c>
      <c r="D11" s="31">
        <v>1</v>
      </c>
      <c r="E11" s="30">
        <v>1.5384615384615385E-2</v>
      </c>
    </row>
    <row r="12" spans="1:5" ht="15" customHeight="1" x14ac:dyDescent="0.3">
      <c r="B12" s="80"/>
      <c r="C12" s="29" t="s">
        <v>17</v>
      </c>
      <c r="D12" s="28">
        <v>2</v>
      </c>
      <c r="E12" s="27">
        <v>3.0769230769230771E-2</v>
      </c>
    </row>
    <row r="13" spans="1:5" ht="15" customHeight="1" x14ac:dyDescent="0.3">
      <c r="B13" s="79" t="s">
        <v>32</v>
      </c>
      <c r="C13" s="32" t="s">
        <v>98</v>
      </c>
      <c r="D13" s="31">
        <v>1</v>
      </c>
      <c r="E13" s="30">
        <v>1.5384615384615385E-2</v>
      </c>
    </row>
    <row r="14" spans="1:5" ht="15" customHeight="1" x14ac:dyDescent="0.3">
      <c r="B14" s="81"/>
      <c r="C14" s="32" t="s">
        <v>97</v>
      </c>
      <c r="D14" s="31">
        <v>2</v>
      </c>
      <c r="E14" s="30">
        <v>3.0769230769230771E-2</v>
      </c>
    </row>
    <row r="15" spans="1:5" s="33" customFormat="1" ht="15" customHeight="1" x14ac:dyDescent="0.2">
      <c r="B15" s="80"/>
      <c r="C15" s="29" t="s">
        <v>17</v>
      </c>
      <c r="D15" s="28">
        <v>3</v>
      </c>
      <c r="E15" s="27">
        <v>4.6153846153846156E-2</v>
      </c>
    </row>
    <row r="16" spans="1:5" s="33" customFormat="1" ht="15" customHeight="1" x14ac:dyDescent="0.2">
      <c r="B16" s="79" t="s">
        <v>37</v>
      </c>
      <c r="C16" s="32" t="s">
        <v>96</v>
      </c>
      <c r="D16" s="31">
        <v>1</v>
      </c>
      <c r="E16" s="30">
        <v>1.5384615384615385E-2</v>
      </c>
    </row>
    <row r="17" spans="2:5" s="33" customFormat="1" ht="15" customHeight="1" x14ac:dyDescent="0.2">
      <c r="B17" s="81"/>
      <c r="C17" s="32" t="s">
        <v>95</v>
      </c>
      <c r="D17" s="31">
        <v>1</v>
      </c>
      <c r="E17" s="30">
        <v>1.5384615384615385E-2</v>
      </c>
    </row>
    <row r="18" spans="2:5" s="33" customFormat="1" ht="15" customHeight="1" x14ac:dyDescent="0.2">
      <c r="B18" s="81"/>
      <c r="C18" s="32" t="s">
        <v>94</v>
      </c>
      <c r="D18" s="31">
        <v>1</v>
      </c>
      <c r="E18" s="30">
        <v>1.5384615384615385E-2</v>
      </c>
    </row>
    <row r="19" spans="2:5" s="33" customFormat="1" ht="15" customHeight="1" x14ac:dyDescent="0.2">
      <c r="B19" s="81"/>
      <c r="C19" s="32" t="s">
        <v>93</v>
      </c>
      <c r="D19" s="31">
        <v>1</v>
      </c>
      <c r="E19" s="30">
        <v>1.5384615384615385E-2</v>
      </c>
    </row>
    <row r="20" spans="2:5" ht="15" customHeight="1" x14ac:dyDescent="0.3">
      <c r="B20" s="80"/>
      <c r="C20" s="29" t="s">
        <v>17</v>
      </c>
      <c r="D20" s="28">
        <v>4</v>
      </c>
      <c r="E20" s="27">
        <v>6.1538461538461542E-2</v>
      </c>
    </row>
    <row r="21" spans="2:5" ht="15" customHeight="1" x14ac:dyDescent="0.3">
      <c r="B21" s="79" t="s">
        <v>23</v>
      </c>
      <c r="C21" s="32" t="s">
        <v>92</v>
      </c>
      <c r="D21" s="31">
        <v>1</v>
      </c>
      <c r="E21" s="30">
        <v>1.5384615384615385E-2</v>
      </c>
    </row>
    <row r="22" spans="2:5" ht="15" customHeight="1" x14ac:dyDescent="0.3">
      <c r="B22" s="80"/>
      <c r="C22" s="29" t="s">
        <v>17</v>
      </c>
      <c r="D22" s="28">
        <v>1</v>
      </c>
      <c r="E22" s="27">
        <v>1.5384615384615385E-2</v>
      </c>
    </row>
    <row r="23" spans="2:5" ht="15" customHeight="1" x14ac:dyDescent="0.3">
      <c r="B23" s="79" t="s">
        <v>31</v>
      </c>
      <c r="C23" s="32" t="s">
        <v>91</v>
      </c>
      <c r="D23" s="31">
        <v>2</v>
      </c>
      <c r="E23" s="30">
        <v>3.0769230769230771E-2</v>
      </c>
    </row>
    <row r="24" spans="2:5" ht="15" customHeight="1" x14ac:dyDescent="0.3">
      <c r="B24" s="81"/>
      <c r="C24" s="32" t="s">
        <v>90</v>
      </c>
      <c r="D24" s="31">
        <v>1</v>
      </c>
      <c r="E24" s="30">
        <v>1.5384615384615385E-2</v>
      </c>
    </row>
    <row r="25" spans="2:5" ht="15" customHeight="1" x14ac:dyDescent="0.3">
      <c r="B25" s="80"/>
      <c r="C25" s="29" t="s">
        <v>17</v>
      </c>
      <c r="D25" s="28">
        <v>3</v>
      </c>
      <c r="E25" s="27">
        <v>4.6153846153846156E-2</v>
      </c>
    </row>
    <row r="26" spans="2:5" ht="15" customHeight="1" x14ac:dyDescent="0.3">
      <c r="B26" s="79" t="s">
        <v>22</v>
      </c>
      <c r="C26" s="32" t="s">
        <v>140</v>
      </c>
      <c r="D26" s="31">
        <v>1</v>
      </c>
      <c r="E26" s="30">
        <v>1.5384615384615385E-2</v>
      </c>
    </row>
    <row r="27" spans="2:5" ht="15" customHeight="1" x14ac:dyDescent="0.3">
      <c r="B27" s="80"/>
      <c r="C27" s="29" t="s">
        <v>17</v>
      </c>
      <c r="D27" s="28">
        <v>1</v>
      </c>
      <c r="E27" s="27">
        <v>1.5384615384615385E-2</v>
      </c>
    </row>
    <row r="28" spans="2:5" ht="15" customHeight="1" x14ac:dyDescent="0.3">
      <c r="B28" s="79" t="s">
        <v>36</v>
      </c>
      <c r="C28" s="32" t="s">
        <v>89</v>
      </c>
      <c r="D28" s="31">
        <v>1</v>
      </c>
      <c r="E28" s="30">
        <v>1.5384615384615385E-2</v>
      </c>
    </row>
    <row r="29" spans="2:5" ht="15" customHeight="1" x14ac:dyDescent="0.3">
      <c r="B29" s="81"/>
      <c r="C29" s="32" t="s">
        <v>88</v>
      </c>
      <c r="D29" s="31">
        <v>1</v>
      </c>
      <c r="E29" s="30">
        <v>1.5384615384615385E-2</v>
      </c>
    </row>
    <row r="30" spans="2:5" ht="15" customHeight="1" x14ac:dyDescent="0.3">
      <c r="B30" s="81"/>
      <c r="C30" s="32" t="s">
        <v>87</v>
      </c>
      <c r="D30" s="31">
        <v>1</v>
      </c>
      <c r="E30" s="30">
        <v>1.5384615384615385E-2</v>
      </c>
    </row>
    <row r="31" spans="2:5" ht="15" customHeight="1" x14ac:dyDescent="0.3">
      <c r="B31" s="81"/>
      <c r="C31" s="32" t="s">
        <v>86</v>
      </c>
      <c r="D31" s="31">
        <v>1</v>
      </c>
      <c r="E31" s="30">
        <v>1.5384615384615385E-2</v>
      </c>
    </row>
    <row r="32" spans="2:5" ht="15" customHeight="1" x14ac:dyDescent="0.3">
      <c r="B32" s="80"/>
      <c r="C32" s="29" t="s">
        <v>17</v>
      </c>
      <c r="D32" s="28">
        <v>4</v>
      </c>
      <c r="E32" s="27">
        <v>6.1538461538461542E-2</v>
      </c>
    </row>
    <row r="33" spans="2:5" ht="15" customHeight="1" x14ac:dyDescent="0.3">
      <c r="B33" s="79" t="s">
        <v>35</v>
      </c>
      <c r="C33" s="32" t="s">
        <v>85</v>
      </c>
      <c r="D33" s="31">
        <v>1</v>
      </c>
      <c r="E33" s="30">
        <v>1.5384615384615385E-2</v>
      </c>
    </row>
    <row r="34" spans="2:5" ht="15" customHeight="1" x14ac:dyDescent="0.3">
      <c r="B34" s="81"/>
      <c r="C34" s="32" t="s">
        <v>84</v>
      </c>
      <c r="D34" s="31">
        <v>1</v>
      </c>
      <c r="E34" s="30">
        <v>1.5384615384615385E-2</v>
      </c>
    </row>
    <row r="35" spans="2:5" ht="15" customHeight="1" x14ac:dyDescent="0.3">
      <c r="B35" s="81"/>
      <c r="C35" s="32" t="s">
        <v>83</v>
      </c>
      <c r="D35" s="31">
        <v>1</v>
      </c>
      <c r="E35" s="30">
        <v>1.5384615384615385E-2</v>
      </c>
    </row>
    <row r="36" spans="2:5" ht="15" customHeight="1" x14ac:dyDescent="0.3">
      <c r="B36" s="81"/>
      <c r="C36" s="32" t="s">
        <v>82</v>
      </c>
      <c r="D36" s="31">
        <v>1</v>
      </c>
      <c r="E36" s="30">
        <v>1.5384615384615385E-2</v>
      </c>
    </row>
    <row r="37" spans="2:5" ht="15" customHeight="1" x14ac:dyDescent="0.3">
      <c r="B37" s="80"/>
      <c r="C37" s="29" t="s">
        <v>17</v>
      </c>
      <c r="D37" s="28">
        <v>4</v>
      </c>
      <c r="E37" s="27">
        <v>6.1538461538461542E-2</v>
      </c>
    </row>
    <row r="38" spans="2:5" ht="15" customHeight="1" x14ac:dyDescent="0.3">
      <c r="B38" s="79" t="s">
        <v>34</v>
      </c>
      <c r="C38" s="32" t="s">
        <v>81</v>
      </c>
      <c r="D38" s="31">
        <v>2</v>
      </c>
      <c r="E38" s="30">
        <v>3.0769230769230771E-2</v>
      </c>
    </row>
    <row r="39" spans="2:5" ht="15" customHeight="1" x14ac:dyDescent="0.3">
      <c r="B39" s="81"/>
      <c r="C39" s="32" t="s">
        <v>80</v>
      </c>
      <c r="D39" s="31">
        <v>1</v>
      </c>
      <c r="E39" s="30">
        <v>1.5384615384615385E-2</v>
      </c>
    </row>
    <row r="40" spans="2:5" ht="15" customHeight="1" x14ac:dyDescent="0.3">
      <c r="B40" s="81"/>
      <c r="C40" s="32" t="s">
        <v>79</v>
      </c>
      <c r="D40" s="31">
        <v>1</v>
      </c>
      <c r="E40" s="30">
        <v>1.5384615384615385E-2</v>
      </c>
    </row>
    <row r="41" spans="2:5" ht="15" customHeight="1" x14ac:dyDescent="0.3">
      <c r="B41" s="80"/>
      <c r="C41" s="29" t="s">
        <v>17</v>
      </c>
      <c r="D41" s="28">
        <v>4</v>
      </c>
      <c r="E41" s="27">
        <v>6.1538461538461542E-2</v>
      </c>
    </row>
    <row r="42" spans="2:5" ht="15" customHeight="1" x14ac:dyDescent="0.3">
      <c r="B42" s="79" t="s">
        <v>21</v>
      </c>
      <c r="C42" s="32" t="s">
        <v>78</v>
      </c>
      <c r="D42" s="31">
        <v>1</v>
      </c>
      <c r="E42" s="30">
        <v>1.5384615384615385E-2</v>
      </c>
    </row>
    <row r="43" spans="2:5" ht="15" customHeight="1" x14ac:dyDescent="0.3">
      <c r="B43" s="80"/>
      <c r="C43" s="29" t="s">
        <v>17</v>
      </c>
      <c r="D43" s="28">
        <v>1</v>
      </c>
      <c r="E43" s="27">
        <v>1.5384615384615385E-2</v>
      </c>
    </row>
    <row r="44" spans="2:5" ht="15" customHeight="1" x14ac:dyDescent="0.3">
      <c r="B44" s="79" t="s">
        <v>40</v>
      </c>
      <c r="C44" s="32" t="s">
        <v>77</v>
      </c>
      <c r="D44" s="31">
        <v>1</v>
      </c>
      <c r="E44" s="30">
        <v>1.5384615384615385E-2</v>
      </c>
    </row>
    <row r="45" spans="2:5" ht="15" customHeight="1" x14ac:dyDescent="0.3">
      <c r="B45" s="81"/>
      <c r="C45" s="32" t="s">
        <v>76</v>
      </c>
      <c r="D45" s="31">
        <v>1</v>
      </c>
      <c r="E45" s="30">
        <v>1.5384615384615385E-2</v>
      </c>
    </row>
    <row r="46" spans="2:5" ht="15" customHeight="1" x14ac:dyDescent="0.3">
      <c r="B46" s="81"/>
      <c r="C46" s="32" t="s">
        <v>75</v>
      </c>
      <c r="D46" s="31">
        <v>1</v>
      </c>
      <c r="E46" s="30">
        <v>1.5384615384615385E-2</v>
      </c>
    </row>
    <row r="47" spans="2:5" ht="15" customHeight="1" x14ac:dyDescent="0.3">
      <c r="B47" s="81"/>
      <c r="C47" s="32" t="s">
        <v>74</v>
      </c>
      <c r="D47" s="31">
        <v>1</v>
      </c>
      <c r="E47" s="30">
        <v>1.5384615384615385E-2</v>
      </c>
    </row>
    <row r="48" spans="2:5" ht="15" customHeight="1" x14ac:dyDescent="0.3">
      <c r="B48" s="81"/>
      <c r="C48" s="32" t="s">
        <v>73</v>
      </c>
      <c r="D48" s="31">
        <v>1</v>
      </c>
      <c r="E48" s="30">
        <v>1.5384615384615385E-2</v>
      </c>
    </row>
    <row r="49" spans="2:5" ht="15" customHeight="1" x14ac:dyDescent="0.3">
      <c r="B49" s="81"/>
      <c r="C49" s="32" t="s">
        <v>72</v>
      </c>
      <c r="D49" s="31">
        <v>1</v>
      </c>
      <c r="E49" s="30">
        <v>1.5384615384615385E-2</v>
      </c>
    </row>
    <row r="50" spans="2:5" ht="15" customHeight="1" x14ac:dyDescent="0.3">
      <c r="B50" s="81"/>
      <c r="C50" s="32" t="s">
        <v>71</v>
      </c>
      <c r="D50" s="31">
        <v>1</v>
      </c>
      <c r="E50" s="30">
        <v>1.5384615384615385E-2</v>
      </c>
    </row>
    <row r="51" spans="2:5" ht="15" customHeight="1" x14ac:dyDescent="0.3">
      <c r="B51" s="81"/>
      <c r="C51" s="32" t="s">
        <v>70</v>
      </c>
      <c r="D51" s="31">
        <v>1</v>
      </c>
      <c r="E51" s="30">
        <v>1.5384615384615385E-2</v>
      </c>
    </row>
    <row r="52" spans="2:5" ht="15" customHeight="1" x14ac:dyDescent="0.3">
      <c r="B52" s="81"/>
      <c r="C52" s="32" t="s">
        <v>69</v>
      </c>
      <c r="D52" s="31">
        <v>1</v>
      </c>
      <c r="E52" s="30">
        <v>1.5384615384615385E-2</v>
      </c>
    </row>
    <row r="53" spans="2:5" ht="15" customHeight="1" x14ac:dyDescent="0.3">
      <c r="B53" s="80"/>
      <c r="C53" s="29" t="s">
        <v>17</v>
      </c>
      <c r="D53" s="28">
        <v>9</v>
      </c>
      <c r="E53" s="27">
        <v>0.13846153846153847</v>
      </c>
    </row>
    <row r="54" spans="2:5" ht="15" customHeight="1" x14ac:dyDescent="0.3">
      <c r="B54" s="79" t="s">
        <v>39</v>
      </c>
      <c r="C54" s="32" t="s">
        <v>68</v>
      </c>
      <c r="D54" s="31">
        <v>1</v>
      </c>
      <c r="E54" s="30">
        <v>1.5384615384615385E-2</v>
      </c>
    </row>
    <row r="55" spans="2:5" ht="15" customHeight="1" x14ac:dyDescent="0.3">
      <c r="B55" s="81"/>
      <c r="C55" s="32" t="s">
        <v>67</v>
      </c>
      <c r="D55" s="31">
        <v>1</v>
      </c>
      <c r="E55" s="30">
        <v>1.5384615384615385E-2</v>
      </c>
    </row>
    <row r="56" spans="2:5" ht="15" customHeight="1" x14ac:dyDescent="0.3">
      <c r="B56" s="81"/>
      <c r="C56" s="32" t="s">
        <v>66</v>
      </c>
      <c r="D56" s="31">
        <v>1</v>
      </c>
      <c r="E56" s="30">
        <v>1.5384615384615385E-2</v>
      </c>
    </row>
    <row r="57" spans="2:5" ht="15" customHeight="1" x14ac:dyDescent="0.3">
      <c r="B57" s="81"/>
      <c r="C57" s="32" t="s">
        <v>65</v>
      </c>
      <c r="D57" s="31">
        <v>2</v>
      </c>
      <c r="E57" s="30">
        <v>3.0769230769230771E-2</v>
      </c>
    </row>
    <row r="58" spans="2:5" ht="15" customHeight="1" x14ac:dyDescent="0.3">
      <c r="B58" s="80"/>
      <c r="C58" s="29" t="s">
        <v>17</v>
      </c>
      <c r="D58" s="28">
        <v>5</v>
      </c>
      <c r="E58" s="27">
        <v>7.6923076923076927E-2</v>
      </c>
    </row>
    <row r="59" spans="2:5" ht="15" customHeight="1" x14ac:dyDescent="0.3">
      <c r="B59" s="79" t="s">
        <v>29</v>
      </c>
      <c r="C59" s="32" t="s">
        <v>64</v>
      </c>
      <c r="D59" s="31">
        <v>1</v>
      </c>
      <c r="E59" s="30">
        <v>1.5384615384615385E-2</v>
      </c>
    </row>
    <row r="60" spans="2:5" ht="15" customHeight="1" x14ac:dyDescent="0.3">
      <c r="B60" s="81"/>
      <c r="C60" s="32" t="s">
        <v>63</v>
      </c>
      <c r="D60" s="31">
        <v>1</v>
      </c>
      <c r="E60" s="30">
        <v>1.5384615384615385E-2</v>
      </c>
    </row>
    <row r="61" spans="2:5" ht="15" customHeight="1" x14ac:dyDescent="0.3">
      <c r="B61" s="80"/>
      <c r="C61" s="29" t="s">
        <v>17</v>
      </c>
      <c r="D61" s="28">
        <v>2</v>
      </c>
      <c r="E61" s="27">
        <v>3.0769230769230771E-2</v>
      </c>
    </row>
    <row r="62" spans="2:5" ht="15" customHeight="1" x14ac:dyDescent="0.3">
      <c r="B62" s="79" t="s">
        <v>28</v>
      </c>
      <c r="C62" s="32" t="s">
        <v>62</v>
      </c>
      <c r="D62" s="31">
        <v>2</v>
      </c>
      <c r="E62" s="30">
        <v>3.0769230769230771E-2</v>
      </c>
    </row>
    <row r="63" spans="2:5" ht="15" customHeight="1" x14ac:dyDescent="0.3">
      <c r="B63" s="80"/>
      <c r="C63" s="29" t="s">
        <v>17</v>
      </c>
      <c r="D63" s="28">
        <v>2</v>
      </c>
      <c r="E63" s="27">
        <v>3.0769230769230771E-2</v>
      </c>
    </row>
    <row r="64" spans="2:5" ht="15" customHeight="1" x14ac:dyDescent="0.3">
      <c r="B64" s="79" t="s">
        <v>27</v>
      </c>
      <c r="C64" s="32" t="s">
        <v>61</v>
      </c>
      <c r="D64" s="31">
        <v>1</v>
      </c>
      <c r="E64" s="30">
        <v>1.5384615384615385E-2</v>
      </c>
    </row>
    <row r="65" spans="2:5" ht="15" customHeight="1" x14ac:dyDescent="0.3">
      <c r="B65" s="81"/>
      <c r="C65" s="32" t="s">
        <v>60</v>
      </c>
      <c r="D65" s="31">
        <v>1</v>
      </c>
      <c r="E65" s="30">
        <v>1.5384615384615385E-2</v>
      </c>
    </row>
    <row r="66" spans="2:5" ht="15" customHeight="1" x14ac:dyDescent="0.3">
      <c r="B66" s="80"/>
      <c r="C66" s="29" t="s">
        <v>17</v>
      </c>
      <c r="D66" s="28">
        <v>2</v>
      </c>
      <c r="E66" s="27">
        <v>3.0769230769230771E-2</v>
      </c>
    </row>
    <row r="67" spans="2:5" ht="15" customHeight="1" x14ac:dyDescent="0.3">
      <c r="B67" s="79" t="s">
        <v>20</v>
      </c>
      <c r="C67" s="32" t="s">
        <v>59</v>
      </c>
      <c r="D67" s="31">
        <v>1</v>
      </c>
      <c r="E67" s="30">
        <v>1.5384615384615385E-2</v>
      </c>
    </row>
    <row r="68" spans="2:5" ht="15" customHeight="1" x14ac:dyDescent="0.3">
      <c r="B68" s="80"/>
      <c r="C68" s="29" t="s">
        <v>17</v>
      </c>
      <c r="D68" s="28">
        <v>1</v>
      </c>
      <c r="E68" s="27">
        <v>1.5384615384615385E-2</v>
      </c>
    </row>
    <row r="69" spans="2:5" ht="15" customHeight="1" x14ac:dyDescent="0.3">
      <c r="B69" s="79" t="s">
        <v>33</v>
      </c>
      <c r="C69" s="32" t="s">
        <v>58</v>
      </c>
      <c r="D69" s="31">
        <v>1</v>
      </c>
      <c r="E69" s="30">
        <v>1.5384615384615385E-2</v>
      </c>
    </row>
    <row r="70" spans="2:5" ht="15" customHeight="1" x14ac:dyDescent="0.3">
      <c r="B70" s="81"/>
      <c r="C70" s="32" t="s">
        <v>57</v>
      </c>
      <c r="D70" s="31">
        <v>2</v>
      </c>
      <c r="E70" s="30">
        <v>3.0769230769230771E-2</v>
      </c>
    </row>
    <row r="71" spans="2:5" ht="15" customHeight="1" x14ac:dyDescent="0.3">
      <c r="B71" s="81"/>
      <c r="C71" s="32" t="s">
        <v>56</v>
      </c>
      <c r="D71" s="31">
        <v>1</v>
      </c>
      <c r="E71" s="30">
        <v>1.5384615384615385E-2</v>
      </c>
    </row>
    <row r="72" spans="2:5" ht="15" customHeight="1" x14ac:dyDescent="0.3">
      <c r="B72" s="80"/>
      <c r="C72" s="29" t="s">
        <v>17</v>
      </c>
      <c r="D72" s="28">
        <v>4</v>
      </c>
      <c r="E72" s="27">
        <v>6.1538461538461542E-2</v>
      </c>
    </row>
    <row r="73" spans="2:5" ht="15" customHeight="1" x14ac:dyDescent="0.3">
      <c r="B73" s="79" t="s">
        <v>26</v>
      </c>
      <c r="C73" s="32" t="s">
        <v>55</v>
      </c>
      <c r="D73" s="31">
        <v>2</v>
      </c>
      <c r="E73" s="30">
        <v>3.0769230769230771E-2</v>
      </c>
    </row>
    <row r="74" spans="2:5" ht="15" customHeight="1" x14ac:dyDescent="0.3">
      <c r="B74" s="80"/>
      <c r="C74" s="29" t="s">
        <v>17</v>
      </c>
      <c r="D74" s="28">
        <v>2</v>
      </c>
      <c r="E74" s="27">
        <v>3.0769230769230771E-2</v>
      </c>
    </row>
    <row r="75" spans="2:5" ht="15" customHeight="1" x14ac:dyDescent="0.3">
      <c r="B75" s="79" t="s">
        <v>25</v>
      </c>
      <c r="C75" s="32" t="s">
        <v>54</v>
      </c>
      <c r="D75" s="31">
        <v>1</v>
      </c>
      <c r="E75" s="30">
        <v>1.5384615384615385E-2</v>
      </c>
    </row>
    <row r="76" spans="2:5" ht="15" customHeight="1" x14ac:dyDescent="0.3">
      <c r="B76" s="81"/>
      <c r="C76" s="32" t="s">
        <v>53</v>
      </c>
      <c r="D76" s="31">
        <v>1</v>
      </c>
      <c r="E76" s="30">
        <v>1.5384615384615385E-2</v>
      </c>
    </row>
    <row r="77" spans="2:5" ht="15" customHeight="1" x14ac:dyDescent="0.3">
      <c r="B77" s="80"/>
      <c r="C77" s="29" t="s">
        <v>17</v>
      </c>
      <c r="D77" s="28">
        <v>2</v>
      </c>
      <c r="E77" s="27">
        <v>3.0769230769230771E-2</v>
      </c>
    </row>
    <row r="78" spans="2:5" ht="15" customHeight="1" x14ac:dyDescent="0.3">
      <c r="B78" s="79" t="s">
        <v>19</v>
      </c>
      <c r="C78" s="32" t="s">
        <v>52</v>
      </c>
      <c r="D78" s="31">
        <v>1</v>
      </c>
      <c r="E78" s="30">
        <v>1.5384615384615385E-2</v>
      </c>
    </row>
    <row r="79" spans="2:5" ht="15" customHeight="1" x14ac:dyDescent="0.3">
      <c r="B79" s="80"/>
      <c r="C79" s="29" t="s">
        <v>17</v>
      </c>
      <c r="D79" s="28">
        <v>1</v>
      </c>
      <c r="E79" s="27">
        <v>1.5384615384615385E-2</v>
      </c>
    </row>
    <row r="80" spans="2:5" ht="15" customHeight="1" x14ac:dyDescent="0.3">
      <c r="B80" s="79" t="s">
        <v>18</v>
      </c>
      <c r="C80" s="32" t="s">
        <v>51</v>
      </c>
      <c r="D80" s="31">
        <v>1</v>
      </c>
      <c r="E80" s="30">
        <v>1.5384615384615385E-2</v>
      </c>
    </row>
    <row r="81" spans="2:5" ht="15" customHeight="1" x14ac:dyDescent="0.3">
      <c r="B81" s="80"/>
      <c r="C81" s="29" t="s">
        <v>17</v>
      </c>
      <c r="D81" s="28">
        <v>1</v>
      </c>
      <c r="E81" s="27">
        <v>1.5384615384615385E-2</v>
      </c>
    </row>
    <row r="82" spans="2:5" ht="15" customHeight="1" x14ac:dyDescent="0.3">
      <c r="B82" s="79" t="s">
        <v>38</v>
      </c>
      <c r="C82" s="32" t="s">
        <v>50</v>
      </c>
      <c r="D82" s="31">
        <v>1</v>
      </c>
      <c r="E82" s="30">
        <v>1.5384615384615385E-2</v>
      </c>
    </row>
    <row r="83" spans="2:5" ht="15" customHeight="1" x14ac:dyDescent="0.3">
      <c r="B83" s="81"/>
      <c r="C83" s="32" t="s">
        <v>49</v>
      </c>
      <c r="D83" s="31">
        <v>2</v>
      </c>
      <c r="E83" s="30">
        <v>3.0769230769230771E-2</v>
      </c>
    </row>
    <row r="84" spans="2:5" ht="15" customHeight="1" x14ac:dyDescent="0.3">
      <c r="B84" s="81"/>
      <c r="C84" s="32" t="s">
        <v>48</v>
      </c>
      <c r="D84" s="31">
        <v>1</v>
      </c>
      <c r="E84" s="30">
        <v>1.5384615384615385E-2</v>
      </c>
    </row>
    <row r="85" spans="2:5" ht="15" customHeight="1" x14ac:dyDescent="0.3">
      <c r="B85" s="81"/>
      <c r="C85" s="32" t="s">
        <v>47</v>
      </c>
      <c r="D85" s="31">
        <v>1</v>
      </c>
      <c r="E85" s="30">
        <v>1.5384615384615385E-2</v>
      </c>
    </row>
    <row r="86" spans="2:5" ht="15" customHeight="1" x14ac:dyDescent="0.3">
      <c r="B86" s="80"/>
      <c r="C86" s="29" t="s">
        <v>17</v>
      </c>
      <c r="D86" s="28">
        <v>5</v>
      </c>
      <c r="E86" s="27">
        <v>7.6923076923076927E-2</v>
      </c>
    </row>
    <row r="87" spans="2:5" ht="15" customHeight="1" x14ac:dyDescent="0.3">
      <c r="B87" s="79" t="s">
        <v>24</v>
      </c>
      <c r="C87" s="32" t="s">
        <v>46</v>
      </c>
      <c r="D87" s="31">
        <v>1</v>
      </c>
      <c r="E87" s="30">
        <v>1.5384615384615385E-2</v>
      </c>
    </row>
    <row r="88" spans="2:5" ht="15" customHeight="1" x14ac:dyDescent="0.3">
      <c r="B88" s="81"/>
      <c r="C88" s="32" t="s">
        <v>45</v>
      </c>
      <c r="D88" s="31">
        <v>1</v>
      </c>
      <c r="E88" s="30">
        <v>1.5384615384615385E-2</v>
      </c>
    </row>
    <row r="89" spans="2:5" ht="15" customHeight="1" x14ac:dyDescent="0.3">
      <c r="B89" s="80"/>
      <c r="C89" s="29" t="s">
        <v>17</v>
      </c>
      <c r="D89" s="28">
        <v>2</v>
      </c>
      <c r="E89" s="27">
        <v>3.0769230769230771E-2</v>
      </c>
    </row>
    <row r="90" spans="2:5" ht="15" customHeight="1" x14ac:dyDescent="0.3">
      <c r="B90" s="77" t="s">
        <v>17</v>
      </c>
      <c r="C90" s="78"/>
      <c r="D90" s="63">
        <f>SUMIF(C$10:C89,"Total",D$10:D89)</f>
        <v>65</v>
      </c>
      <c r="E90" s="64">
        <v>1</v>
      </c>
    </row>
    <row r="92" spans="2:5" ht="15" customHeight="1" x14ac:dyDescent="0.3">
      <c r="B92" s="4" t="s">
        <v>16</v>
      </c>
    </row>
    <row r="93" spans="2:5" ht="15" customHeight="1" x14ac:dyDescent="0.3">
      <c r="B93" s="6" t="s">
        <v>15</v>
      </c>
    </row>
    <row r="94" spans="2:5" ht="15" customHeight="1" x14ac:dyDescent="0.3">
      <c r="B94" s="5" t="s">
        <v>14</v>
      </c>
    </row>
    <row r="95" spans="2:5" ht="15" customHeight="1" x14ac:dyDescent="0.3">
      <c r="B95" s="4" t="s">
        <v>13</v>
      </c>
    </row>
    <row r="96" spans="2:5" ht="15" customHeight="1" x14ac:dyDescent="0.3">
      <c r="B96" s="4" t="s">
        <v>12</v>
      </c>
    </row>
    <row r="484" spans="1:2" s="22" customFormat="1" ht="15" customHeight="1" x14ac:dyDescent="0.3">
      <c r="A484" s="21"/>
      <c r="B484" s="23"/>
    </row>
    <row r="485" spans="1:2" s="22" customFormat="1" ht="15" customHeight="1" x14ac:dyDescent="0.3">
      <c r="A485" s="21"/>
      <c r="B485" s="24"/>
    </row>
    <row r="486" spans="1:2" s="22" customFormat="1" ht="15" customHeight="1" x14ac:dyDescent="0.3">
      <c r="A486" s="21"/>
      <c r="B486" s="24"/>
    </row>
    <row r="487" spans="1:2" s="22" customFormat="1" ht="15" customHeight="1" x14ac:dyDescent="0.3">
      <c r="A487" s="21"/>
      <c r="B487" s="23"/>
    </row>
    <row r="488" spans="1:2" s="22" customFormat="1" ht="15" customHeight="1" x14ac:dyDescent="0.3">
      <c r="A488" s="21"/>
      <c r="B488" s="23"/>
    </row>
  </sheetData>
  <mergeCells count="25">
    <mergeCell ref="B23:B25"/>
    <mergeCell ref="B7:E8"/>
    <mergeCell ref="B10:B12"/>
    <mergeCell ref="B13:B15"/>
    <mergeCell ref="B16:B20"/>
    <mergeCell ref="B21:B22"/>
    <mergeCell ref="B69:B72"/>
    <mergeCell ref="B26:B27"/>
    <mergeCell ref="B28:B32"/>
    <mergeCell ref="B33:B37"/>
    <mergeCell ref="B38:B41"/>
    <mergeCell ref="B42:B43"/>
    <mergeCell ref="B44:B53"/>
    <mergeCell ref="B54:B58"/>
    <mergeCell ref="B59:B61"/>
    <mergeCell ref="B62:B63"/>
    <mergeCell ref="B64:B66"/>
    <mergeCell ref="B67:B68"/>
    <mergeCell ref="B90:C90"/>
    <mergeCell ref="B73:B74"/>
    <mergeCell ref="B75:B77"/>
    <mergeCell ref="B78:B79"/>
    <mergeCell ref="B80:B81"/>
    <mergeCell ref="B82:B86"/>
    <mergeCell ref="B87:B89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rowBreaks count="2" manualBreakCount="2">
    <brk id="43" max="4" man="1"/>
    <brk id="8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0"/>
  <sheetViews>
    <sheetView showGridLines="0" zoomScaleNormal="100" zoomScaleSheetLayoutView="115" workbookViewId="0"/>
  </sheetViews>
  <sheetFormatPr baseColWidth="10" defaultColWidth="11.44140625" defaultRowHeight="14.4" x14ac:dyDescent="0.3"/>
  <cols>
    <col min="1" max="1" width="9.33203125" style="2" customWidth="1"/>
    <col min="2" max="2" width="30.554687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6" t="s">
        <v>114</v>
      </c>
      <c r="C7" s="76"/>
      <c r="D7" s="76"/>
    </row>
    <row r="8" spans="2:4" s="14" customFormat="1" ht="15" customHeight="1" x14ac:dyDescent="0.2">
      <c r="B8" s="76"/>
      <c r="C8" s="76"/>
      <c r="D8" s="76"/>
    </row>
    <row r="9" spans="2:4" s="14" customFormat="1" ht="33" customHeight="1" x14ac:dyDescent="0.2">
      <c r="B9" s="76"/>
      <c r="C9" s="76"/>
      <c r="D9" s="76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113</v>
      </c>
      <c r="C11" s="16" t="s">
        <v>42</v>
      </c>
      <c r="D11" s="15" t="s">
        <v>41</v>
      </c>
    </row>
    <row r="12" spans="2:4" ht="15" customHeight="1" x14ac:dyDescent="0.3">
      <c r="B12" s="12" t="s">
        <v>112</v>
      </c>
      <c r="C12" s="11">
        <v>1</v>
      </c>
      <c r="D12" s="10">
        <v>1.5384615384615385E-2</v>
      </c>
    </row>
    <row r="13" spans="2:4" x14ac:dyDescent="0.3">
      <c r="B13" s="12" t="s">
        <v>111</v>
      </c>
      <c r="C13" s="11">
        <v>1</v>
      </c>
      <c r="D13" s="10">
        <v>1.5384615384615385E-2</v>
      </c>
    </row>
    <row r="14" spans="2:4" s="13" customFormat="1" ht="15" x14ac:dyDescent="0.3">
      <c r="B14" s="12" t="s">
        <v>110</v>
      </c>
      <c r="C14" s="11">
        <v>6</v>
      </c>
      <c r="D14" s="10">
        <v>9.2307692307692313E-2</v>
      </c>
    </row>
    <row r="15" spans="2:4" s="13" customFormat="1" ht="15" x14ac:dyDescent="0.3">
      <c r="B15" s="12" t="s">
        <v>109</v>
      </c>
      <c r="C15" s="11">
        <v>12</v>
      </c>
      <c r="D15" s="10">
        <v>0.18461538461538463</v>
      </c>
    </row>
    <row r="16" spans="2:4" x14ac:dyDescent="0.3">
      <c r="B16" s="12" t="s">
        <v>108</v>
      </c>
      <c r="C16" s="11">
        <v>2</v>
      </c>
      <c r="D16" s="10">
        <v>3.0769230769230771E-2</v>
      </c>
    </row>
    <row r="17" spans="2:4" x14ac:dyDescent="0.3">
      <c r="B17" s="12" t="s">
        <v>107</v>
      </c>
      <c r="C17" s="11">
        <v>2</v>
      </c>
      <c r="D17" s="10">
        <v>3.0769230769230771E-2</v>
      </c>
    </row>
    <row r="18" spans="2:4" x14ac:dyDescent="0.3">
      <c r="B18" s="12" t="s">
        <v>106</v>
      </c>
      <c r="C18" s="11">
        <v>4</v>
      </c>
      <c r="D18" s="10">
        <v>6.1538461538461542E-2</v>
      </c>
    </row>
    <row r="19" spans="2:4" x14ac:dyDescent="0.3">
      <c r="B19" s="12" t="s">
        <v>105</v>
      </c>
      <c r="C19" s="11">
        <v>18</v>
      </c>
      <c r="D19" s="10">
        <v>0.27692307692307694</v>
      </c>
    </row>
    <row r="20" spans="2:4" x14ac:dyDescent="0.3">
      <c r="B20" s="12" t="s">
        <v>104</v>
      </c>
      <c r="C20" s="11">
        <v>4</v>
      </c>
      <c r="D20" s="10">
        <v>6.1538461538461542E-2</v>
      </c>
    </row>
    <row r="21" spans="2:4" x14ac:dyDescent="0.3">
      <c r="B21" s="12" t="s">
        <v>103</v>
      </c>
      <c r="C21" s="11">
        <v>13</v>
      </c>
      <c r="D21" s="10">
        <v>0.2</v>
      </c>
    </row>
    <row r="22" spans="2:4" x14ac:dyDescent="0.3">
      <c r="B22" s="12" t="s">
        <v>102</v>
      </c>
      <c r="C22" s="11">
        <v>1</v>
      </c>
      <c r="D22" s="10">
        <v>1.5384615384615385E-2</v>
      </c>
    </row>
    <row r="23" spans="2:4" x14ac:dyDescent="0.3">
      <c r="B23" s="12" t="s">
        <v>101</v>
      </c>
      <c r="C23" s="11">
        <v>1</v>
      </c>
      <c r="D23" s="10">
        <v>1.5384615384615385E-2</v>
      </c>
    </row>
    <row r="24" spans="2:4" x14ac:dyDescent="0.3">
      <c r="B24" s="9" t="s">
        <v>17</v>
      </c>
      <c r="C24" s="8">
        <v>65</v>
      </c>
      <c r="D24" s="7">
        <v>1</v>
      </c>
    </row>
    <row r="26" spans="2:4" x14ac:dyDescent="0.3">
      <c r="B26" s="4" t="s">
        <v>16</v>
      </c>
    </row>
    <row r="27" spans="2:4" x14ac:dyDescent="0.3">
      <c r="B27" s="6" t="s">
        <v>15</v>
      </c>
    </row>
    <row r="28" spans="2:4" x14ac:dyDescent="0.3">
      <c r="B28" s="5" t="s">
        <v>14</v>
      </c>
    </row>
    <row r="29" spans="2:4" x14ac:dyDescent="0.3">
      <c r="B29" s="4" t="s">
        <v>13</v>
      </c>
    </row>
    <row r="30" spans="2:4" x14ac:dyDescent="0.3">
      <c r="B30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2"/>
  <sheetViews>
    <sheetView zoomScale="145" zoomScaleNormal="145" zoomScaleSheetLayoutView="100" workbookViewId="0">
      <selection activeCell="D77" sqref="D77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3"/>
      <c r="D6" s="33"/>
      <c r="E6" s="33"/>
    </row>
    <row r="7" spans="1:5" s="37" customFormat="1" ht="26.25" customHeight="1" x14ac:dyDescent="0.25">
      <c r="A7" s="38"/>
      <c r="B7" s="82"/>
      <c r="C7" s="82"/>
      <c r="D7" s="82"/>
      <c r="E7" s="82"/>
    </row>
    <row r="8" spans="1:5" s="37" customFormat="1" ht="33" customHeight="1" x14ac:dyDescent="0.25">
      <c r="A8" s="38"/>
      <c r="B8" s="82"/>
      <c r="C8" s="82"/>
      <c r="D8" s="82"/>
      <c r="E8" s="82"/>
    </row>
    <row r="9" spans="1:5" s="14" customFormat="1" ht="40.5" customHeight="1" x14ac:dyDescent="0.2">
      <c r="B9" s="34" t="s">
        <v>113</v>
      </c>
      <c r="C9" s="36" t="s">
        <v>43</v>
      </c>
      <c r="D9" s="35" t="s">
        <v>42</v>
      </c>
      <c r="E9" s="34" t="s">
        <v>41</v>
      </c>
    </row>
    <row r="10" spans="1:5" ht="15" customHeight="1" x14ac:dyDescent="0.3">
      <c r="B10" s="79" t="s">
        <v>112</v>
      </c>
      <c r="C10" s="32" t="s">
        <v>32</v>
      </c>
      <c r="D10" s="31">
        <v>1</v>
      </c>
      <c r="E10" s="30">
        <v>1.5384615384615385E-2</v>
      </c>
    </row>
    <row r="11" spans="1:5" ht="15" customHeight="1" x14ac:dyDescent="0.3">
      <c r="B11" s="80"/>
      <c r="C11" s="29" t="s">
        <v>17</v>
      </c>
      <c r="D11" s="28">
        <v>1</v>
      </c>
      <c r="E11" s="27">
        <v>1.5384615384615385E-2</v>
      </c>
    </row>
    <row r="12" spans="1:5" ht="15" customHeight="1" x14ac:dyDescent="0.3">
      <c r="B12" s="79" t="s">
        <v>111</v>
      </c>
      <c r="C12" s="32" t="s">
        <v>34</v>
      </c>
      <c r="D12" s="31">
        <v>1</v>
      </c>
      <c r="E12" s="30">
        <v>1.5384615384615385E-2</v>
      </c>
    </row>
    <row r="13" spans="1:5" ht="15" customHeight="1" x14ac:dyDescent="0.3">
      <c r="B13" s="80"/>
      <c r="C13" s="29" t="s">
        <v>17</v>
      </c>
      <c r="D13" s="28">
        <v>1</v>
      </c>
      <c r="E13" s="27">
        <v>1.5384615384615385E-2</v>
      </c>
    </row>
    <row r="14" spans="1:5" ht="15" customHeight="1" x14ac:dyDescent="0.3">
      <c r="B14" s="79" t="s">
        <v>110</v>
      </c>
      <c r="C14" s="32" t="s">
        <v>37</v>
      </c>
      <c r="D14" s="31">
        <v>2</v>
      </c>
      <c r="E14" s="30">
        <v>3.0769230769230771E-2</v>
      </c>
    </row>
    <row r="15" spans="1:5" s="33" customFormat="1" ht="15" customHeight="1" x14ac:dyDescent="0.3">
      <c r="A15" s="21"/>
      <c r="B15" s="81"/>
      <c r="C15" s="32" t="s">
        <v>36</v>
      </c>
      <c r="D15" s="31">
        <v>1</v>
      </c>
      <c r="E15" s="30">
        <v>1.5384615384615385E-2</v>
      </c>
    </row>
    <row r="16" spans="1:5" s="33" customFormat="1" ht="15" customHeight="1" x14ac:dyDescent="0.3">
      <c r="A16" s="21"/>
      <c r="B16" s="81"/>
      <c r="C16" s="32" t="s">
        <v>34</v>
      </c>
      <c r="D16" s="31">
        <v>1</v>
      </c>
      <c r="E16" s="30">
        <v>1.5384615384615385E-2</v>
      </c>
    </row>
    <row r="17" spans="1:5" s="33" customFormat="1" ht="15" customHeight="1" x14ac:dyDescent="0.3">
      <c r="A17" s="21"/>
      <c r="B17" s="81"/>
      <c r="C17" s="32" t="s">
        <v>40</v>
      </c>
      <c r="D17" s="31">
        <v>1</v>
      </c>
      <c r="E17" s="30">
        <v>1.5384615384615385E-2</v>
      </c>
    </row>
    <row r="18" spans="1:5" s="33" customFormat="1" ht="15" customHeight="1" x14ac:dyDescent="0.3">
      <c r="A18" s="21"/>
      <c r="B18" s="81"/>
      <c r="C18" s="32" t="s">
        <v>25</v>
      </c>
      <c r="D18" s="31">
        <v>1</v>
      </c>
      <c r="E18" s="30">
        <v>1.5384615384615385E-2</v>
      </c>
    </row>
    <row r="19" spans="1:5" s="33" customFormat="1" ht="15" customHeight="1" x14ac:dyDescent="0.3">
      <c r="A19" s="21"/>
      <c r="B19" s="80"/>
      <c r="C19" s="29" t="s">
        <v>17</v>
      </c>
      <c r="D19" s="28">
        <v>6</v>
      </c>
      <c r="E19" s="27">
        <v>9.2307692307692313E-2</v>
      </c>
    </row>
    <row r="20" spans="1:5" ht="15" customHeight="1" x14ac:dyDescent="0.3">
      <c r="B20" s="79" t="s">
        <v>109</v>
      </c>
      <c r="C20" s="32" t="s">
        <v>32</v>
      </c>
      <c r="D20" s="31">
        <v>1</v>
      </c>
      <c r="E20" s="30">
        <v>1.5384615384615385E-2</v>
      </c>
    </row>
    <row r="21" spans="1:5" ht="15" customHeight="1" x14ac:dyDescent="0.3">
      <c r="B21" s="81"/>
      <c r="C21" s="32" t="s">
        <v>36</v>
      </c>
      <c r="D21" s="31">
        <v>1</v>
      </c>
      <c r="E21" s="30">
        <v>1.5384615384615385E-2</v>
      </c>
    </row>
    <row r="22" spans="1:5" ht="15" customHeight="1" x14ac:dyDescent="0.3">
      <c r="B22" s="81"/>
      <c r="C22" s="32" t="s">
        <v>35</v>
      </c>
      <c r="D22" s="31">
        <v>1</v>
      </c>
      <c r="E22" s="30">
        <v>1.5384615384615385E-2</v>
      </c>
    </row>
    <row r="23" spans="1:5" ht="15" customHeight="1" x14ac:dyDescent="0.3">
      <c r="B23" s="81"/>
      <c r="C23" s="32" t="s">
        <v>40</v>
      </c>
      <c r="D23" s="31">
        <v>1</v>
      </c>
      <c r="E23" s="30">
        <v>1.5384615384615385E-2</v>
      </c>
    </row>
    <row r="24" spans="1:5" ht="15" customHeight="1" x14ac:dyDescent="0.3">
      <c r="B24" s="81"/>
      <c r="C24" s="32" t="s">
        <v>39</v>
      </c>
      <c r="D24" s="31">
        <v>2</v>
      </c>
      <c r="E24" s="30">
        <v>3.0769230769230771E-2</v>
      </c>
    </row>
    <row r="25" spans="1:5" ht="15" customHeight="1" x14ac:dyDescent="0.3">
      <c r="B25" s="81"/>
      <c r="C25" s="32" t="s">
        <v>28</v>
      </c>
      <c r="D25" s="31">
        <v>1</v>
      </c>
      <c r="E25" s="30">
        <v>1.5384615384615385E-2</v>
      </c>
    </row>
    <row r="26" spans="1:5" ht="15" customHeight="1" x14ac:dyDescent="0.3">
      <c r="B26" s="81"/>
      <c r="C26" s="32" t="s">
        <v>27</v>
      </c>
      <c r="D26" s="31">
        <v>2</v>
      </c>
      <c r="E26" s="30">
        <v>3.0769230769230771E-2</v>
      </c>
    </row>
    <row r="27" spans="1:5" ht="15" customHeight="1" x14ac:dyDescent="0.3">
      <c r="B27" s="81"/>
      <c r="C27" s="32" t="s">
        <v>33</v>
      </c>
      <c r="D27" s="31">
        <v>2</v>
      </c>
      <c r="E27" s="30">
        <v>3.0769230769230771E-2</v>
      </c>
    </row>
    <row r="28" spans="1:5" ht="15" customHeight="1" x14ac:dyDescent="0.3">
      <c r="B28" s="81"/>
      <c r="C28" s="32" t="s">
        <v>24</v>
      </c>
      <c r="D28" s="31">
        <v>1</v>
      </c>
      <c r="E28" s="30">
        <v>1.5384615384615385E-2</v>
      </c>
    </row>
    <row r="29" spans="1:5" ht="15" customHeight="1" x14ac:dyDescent="0.3">
      <c r="B29" s="80"/>
      <c r="C29" s="29" t="s">
        <v>17</v>
      </c>
      <c r="D29" s="28">
        <v>12</v>
      </c>
      <c r="E29" s="27">
        <v>0.18461538461538463</v>
      </c>
    </row>
    <row r="30" spans="1:5" ht="15" customHeight="1" x14ac:dyDescent="0.3">
      <c r="B30" s="79" t="s">
        <v>108</v>
      </c>
      <c r="C30" s="32" t="s">
        <v>37</v>
      </c>
      <c r="D30" s="31">
        <v>1</v>
      </c>
      <c r="E30" s="30">
        <v>1.5384615384615385E-2</v>
      </c>
    </row>
    <row r="31" spans="1:5" ht="15" customHeight="1" x14ac:dyDescent="0.3">
      <c r="B31" s="81"/>
      <c r="C31" s="32" t="s">
        <v>33</v>
      </c>
      <c r="D31" s="31">
        <v>1</v>
      </c>
      <c r="E31" s="30">
        <v>1.5384615384615385E-2</v>
      </c>
    </row>
    <row r="32" spans="1:5" ht="15" customHeight="1" x14ac:dyDescent="0.3">
      <c r="B32" s="80"/>
      <c r="C32" s="29" t="s">
        <v>17</v>
      </c>
      <c r="D32" s="28">
        <v>2</v>
      </c>
      <c r="E32" s="27">
        <v>3.0769230769230771E-2</v>
      </c>
    </row>
    <row r="33" spans="2:5" ht="15" customHeight="1" x14ac:dyDescent="0.3">
      <c r="B33" s="79" t="s">
        <v>107</v>
      </c>
      <c r="C33" s="32" t="s">
        <v>35</v>
      </c>
      <c r="D33" s="31">
        <v>1</v>
      </c>
      <c r="E33" s="30">
        <v>1.5384615384615385E-2</v>
      </c>
    </row>
    <row r="34" spans="2:5" ht="15" customHeight="1" x14ac:dyDescent="0.3">
      <c r="B34" s="81"/>
      <c r="C34" s="32" t="s">
        <v>40</v>
      </c>
      <c r="D34" s="31">
        <v>1</v>
      </c>
      <c r="E34" s="30">
        <v>1.5384615384615385E-2</v>
      </c>
    </row>
    <row r="35" spans="2:5" ht="15" customHeight="1" x14ac:dyDescent="0.3">
      <c r="B35" s="80"/>
      <c r="C35" s="29" t="s">
        <v>17</v>
      </c>
      <c r="D35" s="28">
        <v>2</v>
      </c>
      <c r="E35" s="27">
        <v>3.0769230769230771E-2</v>
      </c>
    </row>
    <row r="36" spans="2:5" ht="15" customHeight="1" x14ac:dyDescent="0.3">
      <c r="B36" s="79" t="s">
        <v>106</v>
      </c>
      <c r="C36" s="32" t="s">
        <v>30</v>
      </c>
      <c r="D36" s="31">
        <v>1</v>
      </c>
      <c r="E36" s="30">
        <v>1.5384615384615385E-2</v>
      </c>
    </row>
    <row r="37" spans="2:5" ht="15" customHeight="1" x14ac:dyDescent="0.3">
      <c r="B37" s="81"/>
      <c r="C37" s="32" t="s">
        <v>40</v>
      </c>
      <c r="D37" s="31">
        <v>1</v>
      </c>
      <c r="E37" s="30">
        <v>1.5384615384615385E-2</v>
      </c>
    </row>
    <row r="38" spans="2:5" ht="15" customHeight="1" x14ac:dyDescent="0.3">
      <c r="B38" s="81"/>
      <c r="C38" s="32" t="s">
        <v>20</v>
      </c>
      <c r="D38" s="31">
        <v>1</v>
      </c>
      <c r="E38" s="30">
        <v>1.5384615384615385E-2</v>
      </c>
    </row>
    <row r="39" spans="2:5" ht="15" customHeight="1" x14ac:dyDescent="0.3">
      <c r="B39" s="81"/>
      <c r="C39" s="32" t="s">
        <v>26</v>
      </c>
      <c r="D39" s="31">
        <v>1</v>
      </c>
      <c r="E39" s="30">
        <v>1.5384615384615385E-2</v>
      </c>
    </row>
    <row r="40" spans="2:5" ht="15" customHeight="1" x14ac:dyDescent="0.3">
      <c r="B40" s="80"/>
      <c r="C40" s="29" t="s">
        <v>17</v>
      </c>
      <c r="D40" s="28">
        <v>4</v>
      </c>
      <c r="E40" s="27">
        <v>6.1538461538461542E-2</v>
      </c>
    </row>
    <row r="41" spans="2:5" ht="15" customHeight="1" x14ac:dyDescent="0.3">
      <c r="B41" s="79" t="s">
        <v>105</v>
      </c>
      <c r="C41" s="32" t="s">
        <v>30</v>
      </c>
      <c r="D41" s="31">
        <v>1</v>
      </c>
      <c r="E41" s="30">
        <v>1.5384615384615385E-2</v>
      </c>
    </row>
    <row r="42" spans="2:5" ht="15" customHeight="1" x14ac:dyDescent="0.3">
      <c r="B42" s="81"/>
      <c r="C42" s="32" t="s">
        <v>32</v>
      </c>
      <c r="D42" s="31">
        <v>1</v>
      </c>
      <c r="E42" s="30">
        <v>1.5384615384615385E-2</v>
      </c>
    </row>
    <row r="43" spans="2:5" ht="15" customHeight="1" x14ac:dyDescent="0.3">
      <c r="B43" s="81"/>
      <c r="C43" s="32" t="s">
        <v>31</v>
      </c>
      <c r="D43" s="31">
        <v>1</v>
      </c>
      <c r="E43" s="30">
        <v>1.5384615384615385E-2</v>
      </c>
    </row>
    <row r="44" spans="2:5" ht="15" customHeight="1" x14ac:dyDescent="0.3">
      <c r="B44" s="81"/>
      <c r="C44" s="32" t="s">
        <v>22</v>
      </c>
      <c r="D44" s="31">
        <v>1</v>
      </c>
      <c r="E44" s="30">
        <v>1.5384615384615385E-2</v>
      </c>
    </row>
    <row r="45" spans="2:5" ht="15" customHeight="1" x14ac:dyDescent="0.3">
      <c r="B45" s="81"/>
      <c r="C45" s="32" t="s">
        <v>35</v>
      </c>
      <c r="D45" s="31">
        <v>1</v>
      </c>
      <c r="E45" s="30">
        <v>1.5384615384615385E-2</v>
      </c>
    </row>
    <row r="46" spans="2:5" ht="15" customHeight="1" x14ac:dyDescent="0.3">
      <c r="B46" s="81"/>
      <c r="C46" s="32" t="s">
        <v>34</v>
      </c>
      <c r="D46" s="31">
        <v>1</v>
      </c>
      <c r="E46" s="30">
        <v>1.5384615384615385E-2</v>
      </c>
    </row>
    <row r="47" spans="2:5" ht="15" customHeight="1" x14ac:dyDescent="0.3">
      <c r="B47" s="81"/>
      <c r="C47" s="32" t="s">
        <v>40</v>
      </c>
      <c r="D47" s="31">
        <v>3</v>
      </c>
      <c r="E47" s="30">
        <v>4.6153846153846156E-2</v>
      </c>
    </row>
    <row r="48" spans="2:5" ht="15" customHeight="1" x14ac:dyDescent="0.3">
      <c r="B48" s="81"/>
      <c r="C48" s="32" t="s">
        <v>39</v>
      </c>
      <c r="D48" s="31">
        <v>2</v>
      </c>
      <c r="E48" s="30">
        <v>3.0769230769230771E-2</v>
      </c>
    </row>
    <row r="49" spans="2:5" ht="15" customHeight="1" x14ac:dyDescent="0.3">
      <c r="B49" s="81"/>
      <c r="C49" s="32" t="s">
        <v>28</v>
      </c>
      <c r="D49" s="31">
        <v>1</v>
      </c>
      <c r="E49" s="30">
        <v>1.5384615384615385E-2</v>
      </c>
    </row>
    <row r="50" spans="2:5" ht="15" customHeight="1" x14ac:dyDescent="0.3">
      <c r="B50" s="81"/>
      <c r="C50" s="32" t="s">
        <v>33</v>
      </c>
      <c r="D50" s="31">
        <v>1</v>
      </c>
      <c r="E50" s="30">
        <v>1.5384615384615385E-2</v>
      </c>
    </row>
    <row r="51" spans="2:5" ht="15" customHeight="1" x14ac:dyDescent="0.3">
      <c r="B51" s="81"/>
      <c r="C51" s="32" t="s">
        <v>25</v>
      </c>
      <c r="D51" s="31">
        <v>1</v>
      </c>
      <c r="E51" s="30">
        <v>1.5384615384615385E-2</v>
      </c>
    </row>
    <row r="52" spans="2:5" ht="15" customHeight="1" x14ac:dyDescent="0.3">
      <c r="B52" s="81"/>
      <c r="C52" s="32" t="s">
        <v>19</v>
      </c>
      <c r="D52" s="31">
        <v>1</v>
      </c>
      <c r="E52" s="30">
        <v>1.5384615384615385E-2</v>
      </c>
    </row>
    <row r="53" spans="2:5" ht="15" customHeight="1" x14ac:dyDescent="0.3">
      <c r="B53" s="81"/>
      <c r="C53" s="32" t="s">
        <v>38</v>
      </c>
      <c r="D53" s="31">
        <v>2</v>
      </c>
      <c r="E53" s="30">
        <v>3.0769230769230771E-2</v>
      </c>
    </row>
    <row r="54" spans="2:5" ht="15" customHeight="1" x14ac:dyDescent="0.3">
      <c r="B54" s="81"/>
      <c r="C54" s="32" t="s">
        <v>24</v>
      </c>
      <c r="D54" s="31">
        <v>1</v>
      </c>
      <c r="E54" s="30">
        <v>1.5384615384615385E-2</v>
      </c>
    </row>
    <row r="55" spans="2:5" ht="15" customHeight="1" x14ac:dyDescent="0.3">
      <c r="B55" s="80"/>
      <c r="C55" s="29" t="s">
        <v>17</v>
      </c>
      <c r="D55" s="28">
        <v>18</v>
      </c>
      <c r="E55" s="27">
        <v>0.27692307692307694</v>
      </c>
    </row>
    <row r="56" spans="2:5" ht="15" customHeight="1" x14ac:dyDescent="0.3">
      <c r="B56" s="79" t="s">
        <v>104</v>
      </c>
      <c r="C56" s="32" t="s">
        <v>39</v>
      </c>
      <c r="D56" s="31">
        <v>1</v>
      </c>
      <c r="E56" s="30">
        <v>1.5384615384615385E-2</v>
      </c>
    </row>
    <row r="57" spans="2:5" ht="15" customHeight="1" x14ac:dyDescent="0.3">
      <c r="B57" s="81"/>
      <c r="C57" s="32" t="s">
        <v>29</v>
      </c>
      <c r="D57" s="31">
        <v>2</v>
      </c>
      <c r="E57" s="30">
        <v>3.0769230769230771E-2</v>
      </c>
    </row>
    <row r="58" spans="2:5" ht="15" customHeight="1" x14ac:dyDescent="0.3">
      <c r="B58" s="81"/>
      <c r="C58" s="32" t="s">
        <v>38</v>
      </c>
      <c r="D58" s="31">
        <v>1</v>
      </c>
      <c r="E58" s="30">
        <v>1.5384615384615385E-2</v>
      </c>
    </row>
    <row r="59" spans="2:5" ht="15" customHeight="1" x14ac:dyDescent="0.3">
      <c r="B59" s="80"/>
      <c r="C59" s="29" t="s">
        <v>17</v>
      </c>
      <c r="D59" s="28">
        <v>4</v>
      </c>
      <c r="E59" s="27">
        <v>6.1538461538461542E-2</v>
      </c>
    </row>
    <row r="60" spans="2:5" ht="15" customHeight="1" x14ac:dyDescent="0.3">
      <c r="B60" s="79" t="s">
        <v>103</v>
      </c>
      <c r="C60" s="32" t="s">
        <v>37</v>
      </c>
      <c r="D60" s="31">
        <v>1</v>
      </c>
      <c r="E60" s="30">
        <v>1.5384615384615385E-2</v>
      </c>
    </row>
    <row r="61" spans="2:5" ht="15" customHeight="1" x14ac:dyDescent="0.3">
      <c r="B61" s="81"/>
      <c r="C61" s="32" t="s">
        <v>23</v>
      </c>
      <c r="D61" s="31">
        <v>1</v>
      </c>
      <c r="E61" s="30">
        <v>1.5384615384615385E-2</v>
      </c>
    </row>
    <row r="62" spans="2:5" ht="15" customHeight="1" x14ac:dyDescent="0.3">
      <c r="B62" s="81"/>
      <c r="C62" s="32" t="s">
        <v>31</v>
      </c>
      <c r="D62" s="31">
        <v>2</v>
      </c>
      <c r="E62" s="30">
        <v>3.0769230769230771E-2</v>
      </c>
    </row>
    <row r="63" spans="2:5" ht="15" customHeight="1" x14ac:dyDescent="0.3">
      <c r="B63" s="81"/>
      <c r="C63" s="32" t="s">
        <v>36</v>
      </c>
      <c r="D63" s="31">
        <v>1</v>
      </c>
      <c r="E63" s="30">
        <v>1.5384615384615385E-2</v>
      </c>
    </row>
    <row r="64" spans="2:5" ht="15" customHeight="1" x14ac:dyDescent="0.3">
      <c r="B64" s="81"/>
      <c r="C64" s="32" t="s">
        <v>35</v>
      </c>
      <c r="D64" s="31">
        <v>1</v>
      </c>
      <c r="E64" s="30">
        <v>1.5384615384615385E-2</v>
      </c>
    </row>
    <row r="65" spans="2:5" ht="15" customHeight="1" x14ac:dyDescent="0.3">
      <c r="B65" s="81"/>
      <c r="C65" s="32" t="s">
        <v>34</v>
      </c>
      <c r="D65" s="31">
        <v>1</v>
      </c>
      <c r="E65" s="30">
        <v>1.5384615384615385E-2</v>
      </c>
    </row>
    <row r="66" spans="2:5" ht="15" customHeight="1" x14ac:dyDescent="0.3">
      <c r="B66" s="81"/>
      <c r="C66" s="32" t="s">
        <v>21</v>
      </c>
      <c r="D66" s="31">
        <v>1</v>
      </c>
      <c r="E66" s="30">
        <v>1.5384615384615385E-2</v>
      </c>
    </row>
    <row r="67" spans="2:5" ht="15" customHeight="1" x14ac:dyDescent="0.3">
      <c r="B67" s="81"/>
      <c r="C67" s="32" t="s">
        <v>40</v>
      </c>
      <c r="D67" s="31">
        <v>1</v>
      </c>
      <c r="E67" s="30">
        <v>1.5384615384615385E-2</v>
      </c>
    </row>
    <row r="68" spans="2:5" ht="15" customHeight="1" x14ac:dyDescent="0.3">
      <c r="B68" s="81"/>
      <c r="C68" s="32" t="s">
        <v>26</v>
      </c>
      <c r="D68" s="31">
        <v>1</v>
      </c>
      <c r="E68" s="30">
        <v>1.5384615384615385E-2</v>
      </c>
    </row>
    <row r="69" spans="2:5" ht="15" customHeight="1" x14ac:dyDescent="0.3">
      <c r="B69" s="81"/>
      <c r="C69" s="32" t="s">
        <v>18</v>
      </c>
      <c r="D69" s="31">
        <v>1</v>
      </c>
      <c r="E69" s="30">
        <v>1.5384615384615385E-2</v>
      </c>
    </row>
    <row r="70" spans="2:5" ht="15" customHeight="1" x14ac:dyDescent="0.3">
      <c r="B70" s="81"/>
      <c r="C70" s="32" t="s">
        <v>38</v>
      </c>
      <c r="D70" s="31">
        <v>2</v>
      </c>
      <c r="E70" s="30">
        <v>3.0769230769230771E-2</v>
      </c>
    </row>
    <row r="71" spans="2:5" ht="15" customHeight="1" x14ac:dyDescent="0.3">
      <c r="B71" s="80"/>
      <c r="C71" s="29" t="s">
        <v>17</v>
      </c>
      <c r="D71" s="28">
        <v>13</v>
      </c>
      <c r="E71" s="27">
        <v>0.2</v>
      </c>
    </row>
    <row r="72" spans="2:5" ht="15" customHeight="1" x14ac:dyDescent="0.3">
      <c r="B72" s="79" t="s">
        <v>102</v>
      </c>
      <c r="C72" s="32" t="s">
        <v>40</v>
      </c>
      <c r="D72" s="31">
        <v>1</v>
      </c>
      <c r="E72" s="30">
        <v>1.5384615384615385E-2</v>
      </c>
    </row>
    <row r="73" spans="2:5" ht="15" customHeight="1" x14ac:dyDescent="0.3">
      <c r="B73" s="80"/>
      <c r="C73" s="29" t="s">
        <v>17</v>
      </c>
      <c r="D73" s="28">
        <v>1</v>
      </c>
      <c r="E73" s="27">
        <v>1.5384615384615385E-2</v>
      </c>
    </row>
    <row r="74" spans="2:5" ht="15" customHeight="1" x14ac:dyDescent="0.3">
      <c r="B74" s="79" t="s">
        <v>139</v>
      </c>
      <c r="C74" s="32" t="s">
        <v>36</v>
      </c>
      <c r="D74" s="31">
        <v>1</v>
      </c>
      <c r="E74" s="30">
        <v>1.5384615384615385E-2</v>
      </c>
    </row>
    <row r="75" spans="2:5" ht="15" customHeight="1" x14ac:dyDescent="0.3">
      <c r="B75" s="80"/>
      <c r="C75" s="29" t="s">
        <v>17</v>
      </c>
      <c r="D75" s="28">
        <v>1</v>
      </c>
      <c r="E75" s="27">
        <v>1.5384615384615385E-2</v>
      </c>
    </row>
    <row r="76" spans="2:5" ht="15" customHeight="1" x14ac:dyDescent="0.3">
      <c r="B76" s="83" t="s">
        <v>17</v>
      </c>
      <c r="C76" s="84"/>
      <c r="D76" s="26">
        <v>65</v>
      </c>
      <c r="E76" s="25">
        <v>1</v>
      </c>
    </row>
    <row r="78" spans="2:5" ht="15" customHeight="1" x14ac:dyDescent="0.3">
      <c r="B78" s="4" t="s">
        <v>16</v>
      </c>
    </row>
    <row r="79" spans="2:5" ht="15" customHeight="1" x14ac:dyDescent="0.3">
      <c r="B79" s="6" t="s">
        <v>15</v>
      </c>
    </row>
    <row r="80" spans="2:5" ht="15" customHeight="1" x14ac:dyDescent="0.3">
      <c r="B80" s="5" t="s">
        <v>14</v>
      </c>
    </row>
    <row r="81" spans="2:2" ht="15" customHeight="1" x14ac:dyDescent="0.3">
      <c r="B81" s="4" t="s">
        <v>13</v>
      </c>
    </row>
    <row r="82" spans="2:2" ht="15" customHeight="1" x14ac:dyDescent="0.3">
      <c r="B82" s="4" t="s">
        <v>12</v>
      </c>
    </row>
  </sheetData>
  <mergeCells count="14">
    <mergeCell ref="B7:E8"/>
    <mergeCell ref="B10:B11"/>
    <mergeCell ref="B12:B13"/>
    <mergeCell ref="B14:B19"/>
    <mergeCell ref="B20:B29"/>
    <mergeCell ref="B30:B32"/>
    <mergeCell ref="B74:B75"/>
    <mergeCell ref="B76:C76"/>
    <mergeCell ref="B33:B35"/>
    <mergeCell ref="B36:B40"/>
    <mergeCell ref="B41:B55"/>
    <mergeCell ref="B56:B59"/>
    <mergeCell ref="B60:B71"/>
    <mergeCell ref="B72:B7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0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6" t="s">
        <v>119</v>
      </c>
      <c r="C7" s="76"/>
      <c r="D7" s="76"/>
    </row>
    <row r="8" spans="2:4" s="14" customFormat="1" ht="15" customHeight="1" x14ac:dyDescent="0.2">
      <c r="B8" s="76"/>
      <c r="C8" s="76"/>
      <c r="D8" s="76"/>
    </row>
    <row r="9" spans="2:4" s="14" customFormat="1" ht="33" customHeight="1" x14ac:dyDescent="0.2">
      <c r="B9" s="76"/>
      <c r="C9" s="76"/>
      <c r="D9" s="76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118</v>
      </c>
      <c r="C11" s="16" t="s">
        <v>42</v>
      </c>
      <c r="D11" s="15" t="s">
        <v>41</v>
      </c>
    </row>
    <row r="12" spans="2:4" ht="15" customHeight="1" x14ac:dyDescent="0.3">
      <c r="B12" s="12" t="s">
        <v>117</v>
      </c>
      <c r="C12" s="11">
        <v>43</v>
      </c>
      <c r="D12" s="10">
        <v>0.66153846153846152</v>
      </c>
    </row>
    <row r="13" spans="2:4" ht="15" customHeight="1" x14ac:dyDescent="0.3">
      <c r="B13" s="12" t="s">
        <v>116</v>
      </c>
      <c r="C13" s="11">
        <v>22</v>
      </c>
      <c r="D13" s="10">
        <v>0.33846153846153848</v>
      </c>
    </row>
    <row r="14" spans="2:4" x14ac:dyDescent="0.3">
      <c r="B14" s="9" t="s">
        <v>115</v>
      </c>
      <c r="C14" s="8">
        <v>65</v>
      </c>
      <c r="D14" s="7">
        <v>1</v>
      </c>
    </row>
    <row r="15" spans="2:4" s="13" customFormat="1" ht="15" x14ac:dyDescent="0.3">
      <c r="C15" s="47"/>
    </row>
    <row r="16" spans="2:4" s="13" customFormat="1" ht="15" x14ac:dyDescent="0.3">
      <c r="B16" s="4" t="s">
        <v>16</v>
      </c>
      <c r="C16" s="47"/>
    </row>
    <row r="17" spans="2:4" x14ac:dyDescent="0.3">
      <c r="B17" s="6" t="s">
        <v>15</v>
      </c>
      <c r="C17" s="46"/>
      <c r="D17" s="46"/>
    </row>
    <row r="18" spans="2:4" x14ac:dyDescent="0.3">
      <c r="B18" s="5" t="s">
        <v>14</v>
      </c>
      <c r="C18" s="45"/>
      <c r="D18" s="45"/>
    </row>
    <row r="19" spans="2:4" x14ac:dyDescent="0.3">
      <c r="B19" s="4" t="s">
        <v>13</v>
      </c>
    </row>
    <row r="20" spans="2:4" x14ac:dyDescent="0.3">
      <c r="B20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51"/>
  <sheetViews>
    <sheetView zoomScale="90" zoomScaleNormal="90" zoomScaleSheetLayoutView="100" workbookViewId="0">
      <selection activeCell="F65" sqref="F65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3"/>
      <c r="D6" s="33"/>
      <c r="E6" s="33"/>
    </row>
    <row r="7" spans="1:5" s="37" customFormat="1" ht="26.25" customHeight="1" x14ac:dyDescent="0.25">
      <c r="A7" s="38"/>
      <c r="B7" s="82"/>
      <c r="C7" s="82"/>
      <c r="D7" s="82"/>
      <c r="E7" s="82"/>
    </row>
    <row r="8" spans="1:5" s="37" customFormat="1" ht="33" customHeight="1" x14ac:dyDescent="0.25">
      <c r="A8" s="38"/>
      <c r="B8" s="82"/>
      <c r="C8" s="82"/>
      <c r="D8" s="82"/>
      <c r="E8" s="82"/>
    </row>
    <row r="9" spans="1:5" s="14" customFormat="1" ht="40.5" customHeight="1" x14ac:dyDescent="0.2">
      <c r="B9" s="34" t="s">
        <v>43</v>
      </c>
      <c r="C9" s="36" t="s">
        <v>118</v>
      </c>
      <c r="D9" s="35" t="s">
        <v>42</v>
      </c>
      <c r="E9" s="34" t="s">
        <v>41</v>
      </c>
    </row>
    <row r="10" spans="1:5" ht="15" customHeight="1" x14ac:dyDescent="0.3">
      <c r="B10" s="79" t="s">
        <v>30</v>
      </c>
      <c r="C10" s="32" t="s">
        <v>121</v>
      </c>
      <c r="D10" s="31">
        <v>1</v>
      </c>
      <c r="E10" s="30">
        <v>1.5384615384615385E-2</v>
      </c>
    </row>
    <row r="11" spans="1:5" ht="15" customHeight="1" x14ac:dyDescent="0.3">
      <c r="B11" s="81"/>
      <c r="C11" s="32" t="s">
        <v>120</v>
      </c>
      <c r="D11" s="31">
        <v>1</v>
      </c>
      <c r="E11" s="30">
        <v>1.5384615384615385E-2</v>
      </c>
    </row>
    <row r="12" spans="1:5" ht="15" customHeight="1" x14ac:dyDescent="0.3">
      <c r="B12" s="80"/>
      <c r="C12" s="29" t="s">
        <v>17</v>
      </c>
      <c r="D12" s="28">
        <v>2</v>
      </c>
      <c r="E12" s="27">
        <v>3.0769230769230771E-2</v>
      </c>
    </row>
    <row r="13" spans="1:5" ht="15" customHeight="1" x14ac:dyDescent="0.3">
      <c r="B13" s="79" t="s">
        <v>32</v>
      </c>
      <c r="C13" s="32" t="s">
        <v>121</v>
      </c>
      <c r="D13" s="31">
        <v>2</v>
      </c>
      <c r="E13" s="30">
        <v>3.0769230769230771E-2</v>
      </c>
    </row>
    <row r="14" spans="1:5" ht="15" customHeight="1" x14ac:dyDescent="0.3">
      <c r="B14" s="81"/>
      <c r="C14" s="32" t="s">
        <v>120</v>
      </c>
      <c r="D14" s="31">
        <v>1</v>
      </c>
      <c r="E14" s="30">
        <v>1.5384615384615385E-2</v>
      </c>
    </row>
    <row r="15" spans="1:5" ht="15" customHeight="1" x14ac:dyDescent="0.3">
      <c r="B15" s="80"/>
      <c r="C15" s="29" t="s">
        <v>17</v>
      </c>
      <c r="D15" s="28">
        <v>3</v>
      </c>
      <c r="E15" s="27">
        <v>4.6153846153846156E-2</v>
      </c>
    </row>
    <row r="16" spans="1:5" ht="15" customHeight="1" x14ac:dyDescent="0.3">
      <c r="B16" s="79" t="s">
        <v>37</v>
      </c>
      <c r="C16" s="32" t="s">
        <v>121</v>
      </c>
      <c r="D16" s="31">
        <v>4</v>
      </c>
      <c r="E16" s="30">
        <v>6.1538461538461542E-2</v>
      </c>
    </row>
    <row r="17" spans="2:5" ht="15" customHeight="1" x14ac:dyDescent="0.3">
      <c r="B17" s="80"/>
      <c r="C17" s="29" t="s">
        <v>17</v>
      </c>
      <c r="D17" s="28">
        <v>4</v>
      </c>
      <c r="E17" s="27">
        <v>6.1538461538461542E-2</v>
      </c>
    </row>
    <row r="18" spans="2:5" ht="15" customHeight="1" x14ac:dyDescent="0.3">
      <c r="B18" s="81" t="s">
        <v>23</v>
      </c>
      <c r="C18" s="32" t="s">
        <v>120</v>
      </c>
      <c r="D18" s="31">
        <v>1</v>
      </c>
      <c r="E18" s="30">
        <v>1.5384615384615385E-2</v>
      </c>
    </row>
    <row r="19" spans="2:5" ht="15" customHeight="1" x14ac:dyDescent="0.3">
      <c r="B19" s="80"/>
      <c r="C19" s="29" t="s">
        <v>17</v>
      </c>
      <c r="D19" s="28">
        <v>1</v>
      </c>
      <c r="E19" s="27">
        <v>1.5384615384615385E-2</v>
      </c>
    </row>
    <row r="20" spans="2:5" ht="15" customHeight="1" x14ac:dyDescent="0.3">
      <c r="B20" s="79" t="s">
        <v>31</v>
      </c>
      <c r="C20" s="32" t="s">
        <v>121</v>
      </c>
      <c r="D20" s="31">
        <v>3</v>
      </c>
      <c r="E20" s="30">
        <v>4.6153846153846156E-2</v>
      </c>
    </row>
    <row r="21" spans="2:5" ht="15" customHeight="1" x14ac:dyDescent="0.3">
      <c r="B21" s="80"/>
      <c r="C21" s="29" t="s">
        <v>17</v>
      </c>
      <c r="D21" s="28">
        <v>3</v>
      </c>
      <c r="E21" s="27">
        <v>4.6153846153846156E-2</v>
      </c>
    </row>
    <row r="22" spans="2:5" ht="15" customHeight="1" x14ac:dyDescent="0.3">
      <c r="B22" s="79" t="s">
        <v>22</v>
      </c>
      <c r="C22" s="32" t="s">
        <v>121</v>
      </c>
      <c r="D22" s="31">
        <v>1</v>
      </c>
      <c r="E22" s="30">
        <v>1.5384615384615385E-2</v>
      </c>
    </row>
    <row r="23" spans="2:5" ht="15" customHeight="1" x14ac:dyDescent="0.3">
      <c r="B23" s="80"/>
      <c r="C23" s="29" t="s">
        <v>17</v>
      </c>
      <c r="D23" s="28">
        <v>1</v>
      </c>
      <c r="E23" s="27">
        <v>1.5384615384615385E-2</v>
      </c>
    </row>
    <row r="24" spans="2:5" ht="15" customHeight="1" x14ac:dyDescent="0.3">
      <c r="B24" s="79" t="s">
        <v>36</v>
      </c>
      <c r="C24" s="32" t="s">
        <v>121</v>
      </c>
      <c r="D24" s="31">
        <v>2</v>
      </c>
      <c r="E24" s="30">
        <v>3.0769230769230771E-2</v>
      </c>
    </row>
    <row r="25" spans="2:5" ht="15" customHeight="1" x14ac:dyDescent="0.3">
      <c r="B25" s="81"/>
      <c r="C25" s="32" t="s">
        <v>120</v>
      </c>
      <c r="D25" s="31">
        <v>2</v>
      </c>
      <c r="E25" s="30">
        <v>3.0769230769230771E-2</v>
      </c>
    </row>
    <row r="26" spans="2:5" ht="15" customHeight="1" x14ac:dyDescent="0.3">
      <c r="B26" s="80"/>
      <c r="C26" s="29" t="s">
        <v>17</v>
      </c>
      <c r="D26" s="28">
        <v>4</v>
      </c>
      <c r="E26" s="27">
        <v>6.1538461538461542E-2</v>
      </c>
    </row>
    <row r="27" spans="2:5" ht="15" customHeight="1" x14ac:dyDescent="0.3">
      <c r="B27" s="79" t="s">
        <v>35</v>
      </c>
      <c r="C27" s="32" t="s">
        <v>121</v>
      </c>
      <c r="D27" s="31">
        <v>2</v>
      </c>
      <c r="E27" s="30">
        <v>3.0769230769230771E-2</v>
      </c>
    </row>
    <row r="28" spans="2:5" ht="15" customHeight="1" x14ac:dyDescent="0.3">
      <c r="B28" s="81"/>
      <c r="C28" s="32" t="s">
        <v>120</v>
      </c>
      <c r="D28" s="31">
        <v>2</v>
      </c>
      <c r="E28" s="30">
        <v>3.0769230769230771E-2</v>
      </c>
    </row>
    <row r="29" spans="2:5" ht="15" customHeight="1" x14ac:dyDescent="0.3">
      <c r="B29" s="80"/>
      <c r="C29" s="29" t="s">
        <v>17</v>
      </c>
      <c r="D29" s="28">
        <v>4</v>
      </c>
      <c r="E29" s="27">
        <v>6.1538461538461542E-2</v>
      </c>
    </row>
    <row r="30" spans="2:5" ht="15" customHeight="1" x14ac:dyDescent="0.3">
      <c r="B30" s="79" t="s">
        <v>34</v>
      </c>
      <c r="C30" s="32" t="s">
        <v>121</v>
      </c>
      <c r="D30" s="31">
        <v>2</v>
      </c>
      <c r="E30" s="30">
        <v>3.0769230769230771E-2</v>
      </c>
    </row>
    <row r="31" spans="2:5" ht="15" customHeight="1" x14ac:dyDescent="0.3">
      <c r="B31" s="81"/>
      <c r="C31" s="32" t="s">
        <v>120</v>
      </c>
      <c r="D31" s="31">
        <v>2</v>
      </c>
      <c r="E31" s="30">
        <v>3.0769230769230771E-2</v>
      </c>
    </row>
    <row r="32" spans="2:5" ht="15" customHeight="1" x14ac:dyDescent="0.3">
      <c r="B32" s="80"/>
      <c r="C32" s="29" t="s">
        <v>17</v>
      </c>
      <c r="D32" s="28">
        <v>4</v>
      </c>
      <c r="E32" s="27">
        <v>6.1538461538461542E-2</v>
      </c>
    </row>
    <row r="33" spans="2:5" ht="15" customHeight="1" x14ac:dyDescent="0.3">
      <c r="B33" s="79" t="s">
        <v>21</v>
      </c>
      <c r="C33" s="32" t="s">
        <v>121</v>
      </c>
      <c r="D33" s="31">
        <v>1</v>
      </c>
      <c r="E33" s="30">
        <v>1.5384615384615385E-2</v>
      </c>
    </row>
    <row r="34" spans="2:5" ht="15" customHeight="1" x14ac:dyDescent="0.3">
      <c r="B34" s="80"/>
      <c r="C34" s="29" t="s">
        <v>17</v>
      </c>
      <c r="D34" s="28">
        <v>1</v>
      </c>
      <c r="E34" s="27">
        <v>1.5384615384615385E-2</v>
      </c>
    </row>
    <row r="35" spans="2:5" ht="15" customHeight="1" x14ac:dyDescent="0.3">
      <c r="B35" s="79" t="s">
        <v>40</v>
      </c>
      <c r="C35" s="32" t="s">
        <v>121</v>
      </c>
      <c r="D35" s="31">
        <v>6</v>
      </c>
      <c r="E35" s="30">
        <v>9.2307692307692313E-2</v>
      </c>
    </row>
    <row r="36" spans="2:5" ht="15" customHeight="1" x14ac:dyDescent="0.3">
      <c r="B36" s="81"/>
      <c r="C36" s="32" t="s">
        <v>120</v>
      </c>
      <c r="D36" s="31">
        <v>3</v>
      </c>
      <c r="E36" s="30">
        <v>4.6153846153846156E-2</v>
      </c>
    </row>
    <row r="37" spans="2:5" ht="15" customHeight="1" x14ac:dyDescent="0.3">
      <c r="B37" s="80"/>
      <c r="C37" s="29" t="s">
        <v>17</v>
      </c>
      <c r="D37" s="28">
        <v>9</v>
      </c>
      <c r="E37" s="27">
        <v>0.13846153846153847</v>
      </c>
    </row>
    <row r="38" spans="2:5" ht="15" customHeight="1" x14ac:dyDescent="0.3">
      <c r="B38" s="79" t="s">
        <v>39</v>
      </c>
      <c r="C38" s="32" t="s">
        <v>121</v>
      </c>
      <c r="D38" s="31">
        <v>4</v>
      </c>
      <c r="E38" s="30">
        <v>6.1538461538461542E-2</v>
      </c>
    </row>
    <row r="39" spans="2:5" ht="15" customHeight="1" x14ac:dyDescent="0.3">
      <c r="B39" s="81"/>
      <c r="C39" s="32" t="s">
        <v>120</v>
      </c>
      <c r="D39" s="31">
        <v>1</v>
      </c>
      <c r="E39" s="30">
        <v>1.5384615384615385E-2</v>
      </c>
    </row>
    <row r="40" spans="2:5" ht="15" customHeight="1" x14ac:dyDescent="0.3">
      <c r="B40" s="80"/>
      <c r="C40" s="29" t="s">
        <v>17</v>
      </c>
      <c r="D40" s="28">
        <v>5</v>
      </c>
      <c r="E40" s="27">
        <v>7.6923076923076927E-2</v>
      </c>
    </row>
    <row r="41" spans="2:5" ht="15" customHeight="1" x14ac:dyDescent="0.3">
      <c r="B41" s="81" t="s">
        <v>29</v>
      </c>
      <c r="C41" s="32" t="s">
        <v>120</v>
      </c>
      <c r="D41" s="31">
        <v>2</v>
      </c>
      <c r="E41" s="30">
        <v>3.0769230769230771E-2</v>
      </c>
    </row>
    <row r="42" spans="2:5" ht="15" customHeight="1" x14ac:dyDescent="0.3">
      <c r="B42" s="80"/>
      <c r="C42" s="29" t="s">
        <v>17</v>
      </c>
      <c r="D42" s="28">
        <v>2</v>
      </c>
      <c r="E42" s="27">
        <v>3.0769230769230771E-2</v>
      </c>
    </row>
    <row r="43" spans="2:5" ht="15" customHeight="1" x14ac:dyDescent="0.3">
      <c r="B43" s="79" t="s">
        <v>28</v>
      </c>
      <c r="C43" s="32" t="s">
        <v>121</v>
      </c>
      <c r="D43" s="31">
        <v>1</v>
      </c>
      <c r="E43" s="30">
        <v>1.5384615384615385E-2</v>
      </c>
    </row>
    <row r="44" spans="2:5" ht="15" customHeight="1" x14ac:dyDescent="0.3">
      <c r="B44" s="81"/>
      <c r="C44" s="32" t="s">
        <v>120</v>
      </c>
      <c r="D44" s="31">
        <v>1</v>
      </c>
      <c r="E44" s="30">
        <v>1.5384615384615385E-2</v>
      </c>
    </row>
    <row r="45" spans="2:5" ht="15" customHeight="1" x14ac:dyDescent="0.3">
      <c r="B45" s="80"/>
      <c r="C45" s="29" t="s">
        <v>17</v>
      </c>
      <c r="D45" s="28">
        <v>2</v>
      </c>
      <c r="E45" s="27">
        <v>3.0769230769230771E-2</v>
      </c>
    </row>
    <row r="46" spans="2:5" ht="15" customHeight="1" x14ac:dyDescent="0.3">
      <c r="B46" s="79" t="s">
        <v>27</v>
      </c>
      <c r="C46" s="32" t="s">
        <v>121</v>
      </c>
      <c r="D46" s="31">
        <v>2</v>
      </c>
      <c r="E46" s="30">
        <v>3.0769230769230771E-2</v>
      </c>
    </row>
    <row r="47" spans="2:5" ht="15" customHeight="1" x14ac:dyDescent="0.3">
      <c r="B47" s="80"/>
      <c r="C47" s="29" t="s">
        <v>17</v>
      </c>
      <c r="D47" s="28">
        <v>2</v>
      </c>
      <c r="E47" s="27">
        <v>3.0769230769230771E-2</v>
      </c>
    </row>
    <row r="48" spans="2:5" ht="15" customHeight="1" x14ac:dyDescent="0.3">
      <c r="B48" s="79" t="s">
        <v>20</v>
      </c>
      <c r="C48" s="32" t="s">
        <v>121</v>
      </c>
      <c r="D48" s="31">
        <v>1</v>
      </c>
      <c r="E48" s="30">
        <v>1.5384615384615385E-2</v>
      </c>
    </row>
    <row r="49" spans="2:5" ht="15" customHeight="1" x14ac:dyDescent="0.3">
      <c r="B49" s="80"/>
      <c r="C49" s="29" t="s">
        <v>17</v>
      </c>
      <c r="D49" s="28">
        <v>1</v>
      </c>
      <c r="E49" s="27">
        <v>1.5384615384615385E-2</v>
      </c>
    </row>
    <row r="50" spans="2:5" ht="15" customHeight="1" x14ac:dyDescent="0.3">
      <c r="B50" s="79" t="s">
        <v>33</v>
      </c>
      <c r="C50" s="32" t="s">
        <v>121</v>
      </c>
      <c r="D50" s="31">
        <v>2</v>
      </c>
      <c r="E50" s="30">
        <v>3.0769230769230771E-2</v>
      </c>
    </row>
    <row r="51" spans="2:5" ht="15" customHeight="1" x14ac:dyDescent="0.3">
      <c r="B51" s="81"/>
      <c r="C51" s="32" t="s">
        <v>120</v>
      </c>
      <c r="D51" s="31">
        <v>2</v>
      </c>
      <c r="E51" s="30">
        <v>3.0769230769230771E-2</v>
      </c>
    </row>
    <row r="52" spans="2:5" ht="15" customHeight="1" x14ac:dyDescent="0.3">
      <c r="B52" s="80"/>
      <c r="C52" s="29" t="s">
        <v>17</v>
      </c>
      <c r="D52" s="28">
        <v>4</v>
      </c>
      <c r="E52" s="27">
        <v>6.1538461538461542E-2</v>
      </c>
    </row>
    <row r="53" spans="2:5" ht="15" customHeight="1" x14ac:dyDescent="0.3">
      <c r="B53" s="79" t="s">
        <v>26</v>
      </c>
      <c r="C53" s="32" t="s">
        <v>121</v>
      </c>
      <c r="D53" s="31">
        <v>1</v>
      </c>
      <c r="E53" s="30">
        <v>1.5384615384615385E-2</v>
      </c>
    </row>
    <row r="54" spans="2:5" ht="15" customHeight="1" x14ac:dyDescent="0.3">
      <c r="B54" s="81"/>
      <c r="C54" s="32" t="s">
        <v>120</v>
      </c>
      <c r="D54" s="31">
        <v>1</v>
      </c>
      <c r="E54" s="30">
        <v>1.5384615384615385E-2</v>
      </c>
    </row>
    <row r="55" spans="2:5" ht="15" customHeight="1" x14ac:dyDescent="0.3">
      <c r="B55" s="80"/>
      <c r="C55" s="29" t="s">
        <v>17</v>
      </c>
      <c r="D55" s="28">
        <v>2</v>
      </c>
      <c r="E55" s="27">
        <v>3.0769230769230771E-2</v>
      </c>
    </row>
    <row r="56" spans="2:5" ht="15" customHeight="1" x14ac:dyDescent="0.3">
      <c r="B56" s="79" t="s">
        <v>25</v>
      </c>
      <c r="C56" s="32" t="s">
        <v>121</v>
      </c>
      <c r="D56" s="31">
        <v>1</v>
      </c>
      <c r="E56" s="30">
        <v>1.5384615384615385E-2</v>
      </c>
    </row>
    <row r="57" spans="2:5" ht="15" customHeight="1" x14ac:dyDescent="0.3">
      <c r="B57" s="81"/>
      <c r="C57" s="32" t="s">
        <v>120</v>
      </c>
      <c r="D57" s="31">
        <v>1</v>
      </c>
      <c r="E57" s="30">
        <v>1.5384615384615385E-2</v>
      </c>
    </row>
    <row r="58" spans="2:5" ht="15" customHeight="1" x14ac:dyDescent="0.3">
      <c r="B58" s="80"/>
      <c r="C58" s="29" t="s">
        <v>17</v>
      </c>
      <c r="D58" s="28">
        <v>2</v>
      </c>
      <c r="E58" s="27">
        <v>3.0769230769230771E-2</v>
      </c>
    </row>
    <row r="59" spans="2:5" ht="15" customHeight="1" x14ac:dyDescent="0.3">
      <c r="B59" s="79" t="s">
        <v>19</v>
      </c>
      <c r="C59" s="32" t="s">
        <v>121</v>
      </c>
      <c r="D59" s="31">
        <v>1</v>
      </c>
      <c r="E59" s="30">
        <v>1.5384615384615385E-2</v>
      </c>
    </row>
    <row r="60" spans="2:5" ht="15" customHeight="1" x14ac:dyDescent="0.3">
      <c r="B60" s="80"/>
      <c r="C60" s="29" t="s">
        <v>17</v>
      </c>
      <c r="D60" s="28">
        <v>1</v>
      </c>
      <c r="E60" s="27">
        <v>1.5384615384615385E-2</v>
      </c>
    </row>
    <row r="61" spans="2:5" ht="15" customHeight="1" x14ac:dyDescent="0.3">
      <c r="B61" s="79" t="s">
        <v>18</v>
      </c>
      <c r="C61" s="32" t="s">
        <v>121</v>
      </c>
      <c r="D61" s="31">
        <v>1</v>
      </c>
      <c r="E61" s="30">
        <v>1.5384615384615385E-2</v>
      </c>
    </row>
    <row r="62" spans="2:5" ht="15" customHeight="1" x14ac:dyDescent="0.3">
      <c r="B62" s="80"/>
      <c r="C62" s="29" t="s">
        <v>17</v>
      </c>
      <c r="D62" s="28">
        <v>1</v>
      </c>
      <c r="E62" s="27">
        <v>1.5384615384615385E-2</v>
      </c>
    </row>
    <row r="63" spans="2:5" ht="15" customHeight="1" x14ac:dyDescent="0.3">
      <c r="B63" s="79" t="s">
        <v>38</v>
      </c>
      <c r="C63" s="32" t="s">
        <v>121</v>
      </c>
      <c r="D63" s="31">
        <v>3</v>
      </c>
      <c r="E63" s="30">
        <v>4.6153846153846156E-2</v>
      </c>
    </row>
    <row r="64" spans="2:5" ht="15" customHeight="1" x14ac:dyDescent="0.3">
      <c r="B64" s="81"/>
      <c r="C64" s="32" t="s">
        <v>120</v>
      </c>
      <c r="D64" s="31">
        <v>2</v>
      </c>
      <c r="E64" s="30">
        <v>3.0769230769230771E-2</v>
      </c>
    </row>
    <row r="65" spans="2:5" ht="15" customHeight="1" x14ac:dyDescent="0.3">
      <c r="B65" s="80"/>
      <c r="C65" s="29" t="s">
        <v>17</v>
      </c>
      <c r="D65" s="28">
        <v>5</v>
      </c>
      <c r="E65" s="27">
        <v>7.6923076923076927E-2</v>
      </c>
    </row>
    <row r="66" spans="2:5" ht="15" customHeight="1" x14ac:dyDescent="0.3">
      <c r="B66" s="79" t="s">
        <v>24</v>
      </c>
      <c r="C66" s="32" t="s">
        <v>121</v>
      </c>
      <c r="D66" s="31">
        <v>2</v>
      </c>
      <c r="E66" s="30">
        <v>3.0769230769230771E-2</v>
      </c>
    </row>
    <row r="67" spans="2:5" ht="15" customHeight="1" x14ac:dyDescent="0.3">
      <c r="B67" s="80"/>
      <c r="C67" s="29" t="s">
        <v>17</v>
      </c>
      <c r="D67" s="28">
        <v>2</v>
      </c>
      <c r="E67" s="27">
        <v>3.0769230769230771E-2</v>
      </c>
    </row>
    <row r="68" spans="2:5" ht="15" customHeight="1" x14ac:dyDescent="0.3">
      <c r="B68" s="83" t="s">
        <v>17</v>
      </c>
      <c r="C68" s="84"/>
      <c r="D68" s="26">
        <f>SUMIF(C10:C67,"TOTAL",D10:D67)</f>
        <v>65</v>
      </c>
      <c r="E68" s="25">
        <v>1</v>
      </c>
    </row>
    <row r="70" spans="2:5" ht="15" customHeight="1" x14ac:dyDescent="0.3">
      <c r="B70" s="4" t="s">
        <v>16</v>
      </c>
    </row>
    <row r="71" spans="2:5" ht="15" customHeight="1" x14ac:dyDescent="0.3">
      <c r="B71" s="6" t="s">
        <v>15</v>
      </c>
    </row>
    <row r="72" spans="2:5" ht="15" customHeight="1" x14ac:dyDescent="0.3">
      <c r="B72" s="5" t="s">
        <v>14</v>
      </c>
    </row>
    <row r="73" spans="2:5" ht="15" customHeight="1" x14ac:dyDescent="0.3">
      <c r="B73" s="4" t="s">
        <v>13</v>
      </c>
    </row>
    <row r="74" spans="2:5" ht="15" customHeight="1" x14ac:dyDescent="0.3">
      <c r="B74" s="4" t="s">
        <v>12</v>
      </c>
    </row>
    <row r="447" spans="2:2" s="22" customFormat="1" ht="15" customHeight="1" x14ac:dyDescent="0.3">
      <c r="B447" s="23"/>
    </row>
    <row r="448" spans="2:2" s="22" customFormat="1" ht="15" customHeight="1" x14ac:dyDescent="0.3">
      <c r="B448" s="24"/>
    </row>
    <row r="449" spans="2:2" s="22" customFormat="1" ht="15" customHeight="1" x14ac:dyDescent="0.3">
      <c r="B449" s="24"/>
    </row>
    <row r="450" spans="2:2" s="22" customFormat="1" ht="15" customHeight="1" x14ac:dyDescent="0.3">
      <c r="B450" s="23"/>
    </row>
    <row r="451" spans="2:2" s="22" customFormat="1" ht="15" customHeight="1" x14ac:dyDescent="0.3">
      <c r="B451" s="23"/>
    </row>
  </sheetData>
  <mergeCells count="25">
    <mergeCell ref="B7:E8"/>
    <mergeCell ref="B10:B12"/>
    <mergeCell ref="B22:B23"/>
    <mergeCell ref="B24:B26"/>
    <mergeCell ref="B27:B29"/>
    <mergeCell ref="B30:B32"/>
    <mergeCell ref="B33:B34"/>
    <mergeCell ref="B13:B15"/>
    <mergeCell ref="B16:B17"/>
    <mergeCell ref="B18:B19"/>
    <mergeCell ref="B20:B21"/>
    <mergeCell ref="B43:B45"/>
    <mergeCell ref="B46:B47"/>
    <mergeCell ref="B48:B49"/>
    <mergeCell ref="B63:B65"/>
    <mergeCell ref="B35:B37"/>
    <mergeCell ref="B38:B40"/>
    <mergeCell ref="B41:B42"/>
    <mergeCell ref="B66:B67"/>
    <mergeCell ref="B68:C68"/>
    <mergeCell ref="B50:B52"/>
    <mergeCell ref="B53:B55"/>
    <mergeCell ref="B56:B58"/>
    <mergeCell ref="B59:B60"/>
    <mergeCell ref="B61:B6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34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100" workbookViewId="0"/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3"/>
      <c r="D6" s="33"/>
      <c r="E6" s="33"/>
    </row>
    <row r="7" spans="1:5" s="37" customFormat="1" ht="26.25" customHeight="1" x14ac:dyDescent="0.25">
      <c r="A7" s="38"/>
      <c r="B7" s="82"/>
      <c r="C7" s="82"/>
      <c r="D7" s="82"/>
      <c r="E7" s="82"/>
    </row>
    <row r="8" spans="1:5" s="37" customFormat="1" ht="33" customHeight="1" x14ac:dyDescent="0.25">
      <c r="A8" s="38"/>
      <c r="B8" s="82"/>
      <c r="C8" s="82"/>
      <c r="D8" s="82"/>
      <c r="E8" s="82"/>
    </row>
    <row r="9" spans="1:5" s="14" customFormat="1" ht="40.5" customHeight="1" x14ac:dyDescent="0.2">
      <c r="B9" s="34" t="s">
        <v>118</v>
      </c>
      <c r="C9" s="36" t="s">
        <v>127</v>
      </c>
      <c r="D9" s="35" t="s">
        <v>42</v>
      </c>
      <c r="E9" s="34" t="s">
        <v>41</v>
      </c>
    </row>
    <row r="10" spans="1:5" ht="15" customHeight="1" x14ac:dyDescent="0.3">
      <c r="B10" s="79" t="s">
        <v>121</v>
      </c>
      <c r="C10" s="32" t="s">
        <v>125</v>
      </c>
      <c r="D10" s="31">
        <v>9</v>
      </c>
      <c r="E10" s="30">
        <v>0.13846153846153847</v>
      </c>
    </row>
    <row r="11" spans="1:5" ht="15" customHeight="1" x14ac:dyDescent="0.3">
      <c r="B11" s="81"/>
      <c r="C11" s="32" t="s">
        <v>124</v>
      </c>
      <c r="D11" s="31">
        <v>20</v>
      </c>
      <c r="E11" s="30">
        <v>0.30769230769230771</v>
      </c>
    </row>
    <row r="12" spans="1:5" ht="15" customHeight="1" x14ac:dyDescent="0.3">
      <c r="B12" s="81"/>
      <c r="C12" s="32" t="s">
        <v>123</v>
      </c>
      <c r="D12" s="31">
        <v>7</v>
      </c>
      <c r="E12" s="30">
        <v>0.1076923076923077</v>
      </c>
    </row>
    <row r="13" spans="1:5" ht="15" customHeight="1" x14ac:dyDescent="0.3">
      <c r="B13" s="80"/>
      <c r="C13" s="32" t="s">
        <v>122</v>
      </c>
      <c r="D13" s="31">
        <v>7</v>
      </c>
      <c r="E13" s="30">
        <v>0.1076923076923077</v>
      </c>
    </row>
    <row r="14" spans="1:5" ht="15" customHeight="1" x14ac:dyDescent="0.3">
      <c r="B14" s="79" t="s">
        <v>120</v>
      </c>
      <c r="C14" s="32" t="s">
        <v>126</v>
      </c>
      <c r="D14" s="31">
        <v>1</v>
      </c>
      <c r="E14" s="30">
        <v>1.5384615384615385E-2</v>
      </c>
    </row>
    <row r="15" spans="1:5" s="33" customFormat="1" ht="15" customHeight="1" x14ac:dyDescent="0.2">
      <c r="B15" s="81"/>
      <c r="C15" s="32" t="s">
        <v>125</v>
      </c>
      <c r="D15" s="31">
        <v>4</v>
      </c>
      <c r="E15" s="30">
        <v>6.1538461538461542E-2</v>
      </c>
    </row>
    <row r="16" spans="1:5" s="33" customFormat="1" ht="15" customHeight="1" x14ac:dyDescent="0.2">
      <c r="B16" s="81"/>
      <c r="C16" s="32" t="s">
        <v>124</v>
      </c>
      <c r="D16" s="31">
        <v>7</v>
      </c>
      <c r="E16" s="30">
        <v>0.1076923076923077</v>
      </c>
    </row>
    <row r="17" spans="2:5" s="33" customFormat="1" ht="15" customHeight="1" x14ac:dyDescent="0.2">
      <c r="B17" s="81"/>
      <c r="C17" s="32" t="s">
        <v>123</v>
      </c>
      <c r="D17" s="31">
        <v>8</v>
      </c>
      <c r="E17" s="30">
        <v>0.12307692307692308</v>
      </c>
    </row>
    <row r="18" spans="2:5" s="33" customFormat="1" ht="15" customHeight="1" x14ac:dyDescent="0.2">
      <c r="B18" s="80"/>
      <c r="C18" s="32" t="s">
        <v>122</v>
      </c>
      <c r="D18" s="31">
        <v>2</v>
      </c>
      <c r="E18" s="30">
        <v>3.0769230769230771E-2</v>
      </c>
    </row>
    <row r="19" spans="2:5" s="33" customFormat="1" ht="15" customHeight="1" x14ac:dyDescent="0.2">
      <c r="B19" s="83" t="s">
        <v>17</v>
      </c>
      <c r="C19" s="84"/>
      <c r="D19" s="26">
        <v>65</v>
      </c>
      <c r="E19" s="25">
        <v>1</v>
      </c>
    </row>
    <row r="21" spans="2:5" ht="15" customHeight="1" x14ac:dyDescent="0.3">
      <c r="B21" s="4" t="s">
        <v>16</v>
      </c>
    </row>
    <row r="22" spans="2:5" ht="15" customHeight="1" x14ac:dyDescent="0.3">
      <c r="B22" s="6" t="s">
        <v>15</v>
      </c>
    </row>
    <row r="23" spans="2:5" ht="15" customHeight="1" x14ac:dyDescent="0.3">
      <c r="B23" s="5" t="s">
        <v>14</v>
      </c>
    </row>
    <row r="24" spans="2:5" ht="15" customHeight="1" x14ac:dyDescent="0.3">
      <c r="B24" s="4" t="s">
        <v>13</v>
      </c>
    </row>
    <row r="25" spans="2:5" ht="15" customHeight="1" x14ac:dyDescent="0.3">
      <c r="B25" s="4" t="s">
        <v>12</v>
      </c>
    </row>
    <row r="485" spans="2:2" s="22" customFormat="1" ht="15" customHeight="1" x14ac:dyDescent="0.3">
      <c r="B485" s="23"/>
    </row>
    <row r="486" spans="2:2" s="22" customFormat="1" ht="15" customHeight="1" x14ac:dyDescent="0.3">
      <c r="B486" s="24"/>
    </row>
    <row r="487" spans="2:2" s="22" customFormat="1" ht="15" customHeight="1" x14ac:dyDescent="0.3">
      <c r="B487" s="24"/>
    </row>
    <row r="488" spans="2:2" s="22" customFormat="1" ht="15" customHeight="1" x14ac:dyDescent="0.3">
      <c r="B488" s="23"/>
    </row>
    <row r="489" spans="2:2" s="22" customFormat="1" ht="15" customHeight="1" x14ac:dyDescent="0.3">
      <c r="B489" s="23"/>
    </row>
  </sheetData>
  <mergeCells count="4">
    <mergeCell ref="B7:E8"/>
    <mergeCell ref="B10:B13"/>
    <mergeCell ref="B14:B18"/>
    <mergeCell ref="B19:C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6"/>
  <sheetViews>
    <sheetView showGridLines="0" tabSelected="1" zoomScaleNormal="100" zoomScaleSheetLayoutView="115" workbookViewId="0">
      <selection activeCell="G19" sqref="G19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6" t="s">
        <v>137</v>
      </c>
      <c r="C7" s="76"/>
      <c r="D7" s="76"/>
    </row>
    <row r="8" spans="2:4" s="14" customFormat="1" ht="15" customHeight="1" x14ac:dyDescent="0.2">
      <c r="B8" s="76"/>
      <c r="C8" s="76"/>
      <c r="D8" s="76"/>
    </row>
    <row r="9" spans="2:4" s="14" customFormat="1" ht="33" customHeight="1" x14ac:dyDescent="0.2">
      <c r="B9" s="76"/>
      <c r="C9" s="76"/>
      <c r="D9" s="76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136</v>
      </c>
      <c r="C11" s="16" t="s">
        <v>42</v>
      </c>
      <c r="D11" s="15" t="s">
        <v>41</v>
      </c>
    </row>
    <row r="12" spans="2:4" ht="15" customHeight="1" x14ac:dyDescent="0.3">
      <c r="B12" s="12" t="s">
        <v>135</v>
      </c>
      <c r="C12" s="11">
        <v>43</v>
      </c>
      <c r="D12" s="10">
        <v>0.66153846153846152</v>
      </c>
    </row>
    <row r="13" spans="2:4" x14ac:dyDescent="0.3">
      <c r="B13" s="12" t="s">
        <v>134</v>
      </c>
      <c r="C13" s="11">
        <v>11</v>
      </c>
      <c r="D13" s="10">
        <v>0.16923076923076924</v>
      </c>
    </row>
    <row r="14" spans="2:4" s="13" customFormat="1" ht="15" x14ac:dyDescent="0.3">
      <c r="B14" s="12" t="s">
        <v>133</v>
      </c>
      <c r="C14" s="11">
        <v>4</v>
      </c>
      <c r="D14" s="10">
        <v>6.1538461538461542E-2</v>
      </c>
    </row>
    <row r="15" spans="2:4" s="13" customFormat="1" ht="15" x14ac:dyDescent="0.3">
      <c r="B15" s="12" t="s">
        <v>132</v>
      </c>
      <c r="C15" s="11">
        <v>3</v>
      </c>
      <c r="D15" s="10">
        <v>4.6153846153846156E-2</v>
      </c>
    </row>
    <row r="16" spans="2:4" x14ac:dyDescent="0.3">
      <c r="B16" s="12" t="s">
        <v>131</v>
      </c>
      <c r="C16" s="11">
        <v>1</v>
      </c>
      <c r="D16" s="10">
        <v>1.5384615384615385E-2</v>
      </c>
    </row>
    <row r="17" spans="2:4" x14ac:dyDescent="0.3">
      <c r="B17" s="12" t="s">
        <v>130</v>
      </c>
      <c r="C17" s="11">
        <v>1</v>
      </c>
      <c r="D17" s="10">
        <v>1.5384615384615385E-2</v>
      </c>
    </row>
    <row r="18" spans="2:4" x14ac:dyDescent="0.3">
      <c r="B18" s="12" t="s">
        <v>129</v>
      </c>
      <c r="C18" s="11">
        <v>1</v>
      </c>
      <c r="D18" s="10">
        <v>1.5384615384615385E-2</v>
      </c>
    </row>
    <row r="19" spans="2:4" x14ac:dyDescent="0.3">
      <c r="B19" s="12" t="s">
        <v>128</v>
      </c>
      <c r="C19" s="11">
        <v>1</v>
      </c>
      <c r="D19" s="10">
        <v>1.5384615384615385E-2</v>
      </c>
    </row>
    <row r="20" spans="2:4" x14ac:dyDescent="0.3">
      <c r="B20" s="9" t="s">
        <v>17</v>
      </c>
      <c r="C20" s="8">
        <v>65</v>
      </c>
      <c r="D20" s="7">
        <v>1</v>
      </c>
    </row>
    <row r="22" spans="2:4" x14ac:dyDescent="0.3">
      <c r="B22" s="4" t="s">
        <v>16</v>
      </c>
    </row>
    <row r="23" spans="2:4" x14ac:dyDescent="0.3">
      <c r="B23" s="6" t="s">
        <v>15</v>
      </c>
    </row>
    <row r="24" spans="2:4" x14ac:dyDescent="0.3">
      <c r="B24" s="5" t="s">
        <v>14</v>
      </c>
    </row>
    <row r="25" spans="2:4" x14ac:dyDescent="0.3">
      <c r="B25" s="4" t="s">
        <v>13</v>
      </c>
    </row>
    <row r="26" spans="2:4" x14ac:dyDescent="0.3">
      <c r="B26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Montana_Edomexgral</vt:lpstr>
      <vt:lpstr>Montana_EDOMEX</vt:lpstr>
      <vt:lpstr>Montana_Educagral</vt:lpstr>
      <vt:lpstr>Montana_Eduedo</vt:lpstr>
      <vt:lpstr>Montana_gengral</vt:lpstr>
      <vt:lpstr>Montana_edomexgen</vt:lpstr>
      <vt:lpstr>Montana_edadgen</vt:lpstr>
      <vt:lpstr>Montana_ocupgral</vt:lpstr>
      <vt:lpstr>Montana_edadgen!Área_de_impresión</vt:lpstr>
      <vt:lpstr>Montana_EDOMEX!Área_de_impresión</vt:lpstr>
      <vt:lpstr>Montana_edomexgen!Área_de_impresión</vt:lpstr>
      <vt:lpstr>Montana_Eduedo!Área_de_impresión</vt:lpstr>
      <vt:lpstr>Montana_edadgen!Títulos_a_imprimir</vt:lpstr>
      <vt:lpstr>Montana_EDOMEX!Títulos_a_imprimir</vt:lpstr>
      <vt:lpstr>Montana_edomexgen!Títulos_a_imprimir</vt:lpstr>
      <vt:lpstr>Montana_Edomexgral!Títulos_a_imprimir</vt:lpstr>
      <vt:lpstr>Montana_Educagral!Títulos_a_imprimir</vt:lpstr>
      <vt:lpstr>Montana_Eduedo!Títulos_a_imprimir</vt:lpstr>
      <vt:lpstr>Montana_gengral!Títulos_a_imprimir</vt:lpstr>
      <vt:lpstr>Montana_ocupgral!Títulos_a_imprimir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2020-05-14T21:43:19Z</dcterms:created>
  <dcterms:modified xsi:type="dcterms:W3CDTF">2020-08-07T17:35:06Z</dcterms:modified>
</cp:coreProperties>
</file>