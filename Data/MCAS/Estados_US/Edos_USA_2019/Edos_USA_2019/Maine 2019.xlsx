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19\Tablas_estadísticas 2019\USA\Finales_USA 4.8.20\"/>
    </mc:Choice>
  </mc:AlternateContent>
  <bookViews>
    <workbookView xWindow="0" yWindow="0" windowWidth="11880" windowHeight="7320" tabRatio="758" firstSheet="1" activeTab="8"/>
  </bookViews>
  <sheets>
    <sheet name="Índice" sheetId="1" r:id="rId1"/>
    <sheet name="Maine_Edomexgral" sheetId="2" r:id="rId2"/>
    <sheet name="Maine_EDOMEX" sheetId="11" r:id="rId3"/>
    <sheet name="Maine_Educagral" sheetId="4" r:id="rId4"/>
    <sheet name="Maine_Eduedo" sheetId="10" r:id="rId5"/>
    <sheet name="Maine_gengral" sheetId="6" r:id="rId6"/>
    <sheet name="Maine_edomexgen" sheetId="7" r:id="rId7"/>
    <sheet name="Maine_edadgen" sheetId="8" r:id="rId8"/>
    <sheet name="Maine_ocupgral" sheetId="9" r:id="rId9"/>
  </sheets>
  <definedNames>
    <definedName name="_xlnm._FilterDatabase" localSheetId="7" hidden="1">Maine_edadgen!$B$9:$E$13</definedName>
    <definedName name="_xlnm._FilterDatabase" localSheetId="2" hidden="1">Maine_EDOMEX!$B$9:$E$13</definedName>
    <definedName name="_xlnm._FilterDatabase" localSheetId="6" hidden="1">Maine_edomexgen!$B$9:$E$9</definedName>
    <definedName name="_xlnm._FilterDatabase" localSheetId="1" hidden="1">Maine_Edomexgral!$B$11:$D$12</definedName>
    <definedName name="_xlnm._FilterDatabase" localSheetId="3" hidden="1">Maine_Educagral!$B$11:$D$12</definedName>
    <definedName name="_xlnm._FilterDatabase" localSheetId="4" hidden="1">Maine_Eduedo!$B$9:$E$13</definedName>
    <definedName name="_xlnm._FilterDatabase" localSheetId="5" hidden="1">Maine_gengral!$B$11:$D$12</definedName>
    <definedName name="_xlnm._FilterDatabase" localSheetId="8" hidden="1">Maine_ocupgral!$B$11:$D$12</definedName>
    <definedName name="_xlnm.Print_Area" localSheetId="7">Maine_edadgen!$A$1:$E$24</definedName>
    <definedName name="_xlnm.Print_Area" localSheetId="2">Maine_EDOMEX!$A$1:$E$45</definedName>
    <definedName name="_xlnm.Print_Area" localSheetId="6">Maine_edomexgen!$A$1:$E$37</definedName>
    <definedName name="_xlnm.Print_Area" localSheetId="4">Maine_Eduedo!$A$1:$E$51</definedName>
    <definedName name="_xlnm.Print_Titles" localSheetId="7">Maine_edadgen!$1:$9</definedName>
    <definedName name="_xlnm.Print_Titles" localSheetId="2">Maine_EDOMEX!$1:$9</definedName>
    <definedName name="_xlnm.Print_Titles" localSheetId="6">Maine_edomexgen!$1:$9</definedName>
    <definedName name="_xlnm.Print_Titles" localSheetId="1">Maine_Edomexgral!$1:$11</definedName>
    <definedName name="_xlnm.Print_Titles" localSheetId="3">Maine_Educagral!$1:$11</definedName>
    <definedName name="_xlnm.Print_Titles" localSheetId="4">Maine_Eduedo!$1:$9</definedName>
    <definedName name="_xlnm.Print_Titles" localSheetId="5">Maine_gengral!$1:$11</definedName>
    <definedName name="_xlnm.Print_Titles" localSheetId="8">Maine_ocupgral!$1:$11</definedName>
  </definedNames>
  <calcPr calcId="152511"/>
</workbook>
</file>

<file path=xl/calcChain.xml><?xml version="1.0" encoding="utf-8"?>
<calcChain xmlns="http://schemas.openxmlformats.org/spreadsheetml/2006/main">
  <c r="D39" i="11" l="1"/>
  <c r="D31" i="7" l="1"/>
</calcChain>
</file>

<file path=xl/sharedStrings.xml><?xml version="1.0" encoding="utf-8"?>
<sst xmlns="http://schemas.openxmlformats.org/spreadsheetml/2006/main" count="246" uniqueCount="86">
  <si>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</si>
  <si>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</si>
  <si>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</si>
  <si>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</si>
  <si>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</si>
  <si>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</si>
  <si>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</si>
  <si>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</si>
  <si>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</si>
  <si>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</si>
  <si>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</si>
  <si>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</si>
  <si>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Matrículas consulares expedidas a mexicanos  en el estado Maine en el 2019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</si>
  <si>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</si>
  <si>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</si>
  <si>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</si>
  <si>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</si>
  <si>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</si>
  <si>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</si>
  <si>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Michoacán</t>
  </si>
  <si>
    <t>Estado de México</t>
  </si>
  <si>
    <t>Tabasco</t>
  </si>
  <si>
    <t>Guanajuato</t>
  </si>
  <si>
    <t>Jalisco</t>
  </si>
  <si>
    <t>Guerrero</t>
  </si>
  <si>
    <t>Veracruz</t>
  </si>
  <si>
    <t>Puebla</t>
  </si>
  <si>
    <t>Chiapas</t>
  </si>
  <si>
    <t>Porcentaje de Matrículas</t>
  </si>
  <si>
    <t>Número de Matrículas</t>
  </si>
  <si>
    <t>Estado de Origen</t>
  </si>
  <si>
    <t>MATRÍCULAS CONSULARES DE ALTA SEGURIDAD EXPEDIDAS EN EL ESTADO DE MAINE EN EE.UU. POR ESTADO DE LA REPÚBLICA MEXICANA DURANTE EL 2019</t>
  </si>
  <si>
    <t>Texistepec</t>
  </si>
  <si>
    <t>Soteapan</t>
  </si>
  <si>
    <t>Atzalan</t>
  </si>
  <si>
    <t>Huimanguillo</t>
  </si>
  <si>
    <t>San Martín Texmelucan</t>
  </si>
  <si>
    <t>Huaquechula</t>
  </si>
  <si>
    <t>Hermenegildo Galeana</t>
  </si>
  <si>
    <t>La Piedad</t>
  </si>
  <si>
    <t>San Cristóbal de la Barranca</t>
  </si>
  <si>
    <t>Guadalajara</t>
  </si>
  <si>
    <t>Atlixtac</t>
  </si>
  <si>
    <t>Tarimoro</t>
  </si>
  <si>
    <t>Toluca</t>
  </si>
  <si>
    <t>Suchiate</t>
  </si>
  <si>
    <t>Motozintla</t>
  </si>
  <si>
    <t>Mazapa de Madero</t>
  </si>
  <si>
    <t>Las Margaritas</t>
  </si>
  <si>
    <t>Angel Albino Corzo</t>
  </si>
  <si>
    <t>Amatenango de la Frontera</t>
  </si>
  <si>
    <t>Municipio Origen</t>
  </si>
  <si>
    <t>Posgrado [Doctorado]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</si>
  <si>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</si>
  <si>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</si>
  <si>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</si>
  <si>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</si>
  <si>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</si>
  <si>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Secundaria con certificado</t>
  </si>
  <si>
    <t>3° Secundaria</t>
  </si>
  <si>
    <t>Primaria con certificado</t>
  </si>
  <si>
    <t>6° Primaria</t>
  </si>
  <si>
    <t>5° Primaria</t>
  </si>
  <si>
    <t>3° Primaria</t>
  </si>
  <si>
    <t>Nivel de Estudios</t>
  </si>
  <si>
    <t>MATRÍCULAS CONSULARES EXPEDIDAS EN EL ESTADO DE MAINE EN EE.UU. POR NIVEL DE EDUCACIÓN</t>
  </si>
  <si>
    <t>TOTAL</t>
  </si>
  <si>
    <t>MUJER</t>
  </si>
  <si>
    <t>HOMBRE</t>
  </si>
  <si>
    <t>Género</t>
  </si>
  <si>
    <t>MATRÍCULAS CONSULARES DE ALTA SEGURIDAD EXPEDIDAS EN EE.UU A MEXICANOS EN EL ESTADO DE MAINE, POR GÉNERO 2019</t>
  </si>
  <si>
    <t>Mujer</t>
  </si>
  <si>
    <t>Hombre</t>
  </si>
  <si>
    <t>Entre 40 y 49 Años</t>
  </si>
  <si>
    <t>Entre 29 y 39 Años</t>
  </si>
  <si>
    <t>Entre 18 y 28 Años</t>
  </si>
  <si>
    <t>Entre 11 y 17 Años</t>
  </si>
  <si>
    <t>Entre 50 y 65 Años</t>
  </si>
  <si>
    <t>Edad cumplida</t>
  </si>
  <si>
    <t>Mesero(a)</t>
  </si>
  <si>
    <t>Hogar</t>
  </si>
  <si>
    <t>Estudiante</t>
  </si>
  <si>
    <t>Campesino(a)</t>
  </si>
  <si>
    <t>Empleado(a)</t>
  </si>
  <si>
    <t>Ocupación</t>
  </si>
  <si>
    <t>MATRÍCULAS CONSULARES DE ALTA SEGURIDAD EXPEDIDAS EN EE.UU A MEXICANOS EN EL ESTADO DE  MAINE, POR PERFIL OCUPACIONAL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</si>
</sst>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1" fillId="0" borderId="0"/>
  </cellStyleXfs>
  <cellXfs count="80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8" fillId="0" borderId="0" xfId="0" applyFont="1" applyBorder="1"/>
    <xf numFmtId="0" fontId="18" fillId="0" borderId="0" xfId="0" applyFont="1" applyBorder="1" applyAlignment="1">
      <alignment vertical="top"/>
    </xf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164" fontId="19" fillId="3" borderId="9" xfId="3" applyNumberFormat="1" applyFont="1" applyFill="1" applyBorder="1" applyAlignment="1">
      <alignment horizontal="right" vertical="center" wrapText="1"/>
    </xf>
    <xf numFmtId="166" fontId="19" fillId="3" borderId="9" xfId="3" applyNumberFormat="1" applyFont="1" applyFill="1" applyBorder="1" applyAlignment="1">
      <alignment horizontal="right" vertical="center" wrapText="1"/>
    </xf>
    <xf numFmtId="49" fontId="19" fillId="3" borderId="9" xfId="3" applyNumberFormat="1" applyFont="1" applyFill="1" applyBorder="1" applyAlignment="1">
      <alignment vertical="center" wrapText="1"/>
    </xf>
    <xf numFmtId="0" fontId="20" fillId="3" borderId="0" xfId="0" applyFont="1" applyFill="1"/>
    <xf numFmtId="0" fontId="22" fillId="2" borderId="10" xfId="4" applyFont="1" applyFill="1" applyBorder="1" applyAlignment="1">
      <alignment horizontal="center" vertical="center" wrapText="1"/>
    </xf>
    <xf numFmtId="1" fontId="22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3" fillId="3" borderId="0" xfId="0" applyFont="1" applyFill="1" applyAlignment="1"/>
    <xf numFmtId="0" fontId="20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12" fillId="3" borderId="0" xfId="0" applyNumberFormat="1" applyFont="1" applyFill="1"/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9" fillId="3" borderId="10" xfId="3" applyNumberFormat="1" applyFont="1" applyFill="1" applyBorder="1" applyAlignment="1">
      <alignment horizontal="center" vertical="center" wrapText="1"/>
    </xf>
    <xf numFmtId="49" fontId="19" fillId="3" borderId="14" xfId="3" applyNumberFormat="1" applyFont="1" applyFill="1" applyBorder="1" applyAlignment="1">
      <alignment horizontal="center" vertical="center" wrapText="1"/>
    </xf>
    <xf numFmtId="49" fontId="19" fillId="3" borderId="15" xfId="3" applyNumberFormat="1" applyFont="1" applyFill="1" applyBorder="1" applyAlignment="1">
      <alignment horizontal="center" vertic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332198</xdr:colOff>
      <xdr:row>2</xdr:row>
      <xdr:rowOff>19380</xdr:rowOff>
    </xdr:from>
    <xdr:to>
      <xdr:col>3</xdr:col>
      <xdr:colOff>844295</xdr:colOff>
      <xdr:row>3</xdr:row>
      <xdr:rowOff>19381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56423" y="743280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207870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52575"/>
          <a:ext cx="654972" cy="16024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MAINE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183931</xdr:rowOff>
    </xdr:from>
    <xdr:to>
      <xdr:col>4</xdr:col>
      <xdr:colOff>1057321</xdr:colOff>
      <xdr:row>7</xdr:row>
      <xdr:rowOff>363226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924707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MAINE, POR NIVEL DE EDUCACIÓN Y ESTADO DE LA REPÚBLICA, DURANTE EL 2019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450082</xdr:colOff>
      <xdr:row>7</xdr:row>
      <xdr:rowOff>104670</xdr:rowOff>
    </xdr:from>
    <xdr:to>
      <xdr:col>4</xdr:col>
      <xdr:colOff>1004087</xdr:colOff>
      <xdr:row>7</xdr:row>
      <xdr:rowOff>299058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784582" y="1438170"/>
          <a:ext cx="554005" cy="8961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142875</xdr:rowOff>
    </xdr:from>
    <xdr:to>
      <xdr:col>5</xdr:col>
      <xdr:colOff>45372</xdr:colOff>
      <xdr:row>8</xdr:row>
      <xdr:rowOff>131670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6668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MAINE,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111672</xdr:rowOff>
    </xdr:from>
    <xdr:to>
      <xdr:col>4</xdr:col>
      <xdr:colOff>1031045</xdr:colOff>
      <xdr:row>7</xdr:row>
      <xdr:rowOff>290967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52448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MAINE,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542925</xdr:colOff>
      <xdr:row>7</xdr:row>
      <xdr:rowOff>152400</xdr:rowOff>
    </xdr:from>
    <xdr:to>
      <xdr:col>4</xdr:col>
      <xdr:colOff>1055022</xdr:colOff>
      <xdr:row>7</xdr:row>
      <xdr:rowOff>331695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89547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MAINE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152400</xdr:rowOff>
    </xdr:from>
    <xdr:to>
      <xdr:col>5</xdr:col>
      <xdr:colOff>7272</xdr:colOff>
      <xdr:row>8</xdr:row>
      <xdr:rowOff>141195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764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view="pageBreakPreview" topLeftCell="A2" zoomScaleNormal="100" zoomScaleSheetLayoutView="100" workbookViewId="0">
      <selection activeCell="J17" sqref="J17"/>
    </sheetView>
  </sheetViews>
  <sheetFormatPr baseColWidth="10" defaultColWidth="11.44140625" defaultRowHeight="16.8" x14ac:dyDescent="0.4"/>
  <cols>
    <col min="1" max="1" width="5.109375" style="1" customWidth="1"/>
    <col min="2" max="2" width="20" style="1" customWidth="1"/>
    <col min="3" max="3" width="24.6640625" style="1" customWidth="1"/>
    <col min="4" max="4" width="28.88671875" style="1" customWidth="1"/>
    <col min="5" max="16384" width="11.44140625" style="1"/>
  </cols>
  <sheetData>
    <row r="1" spans="1:4" ht="42" customHeight="1" thickBot="1" x14ac:dyDescent="0.45">
      <c r="A1" s="67" t="s">
        <v>12</v>
      </c>
      <c r="B1" s="68"/>
      <c r="C1" s="68"/>
      <c r="D1" s="69"/>
    </row>
    <row r="2" spans="1:4" ht="18" x14ac:dyDescent="0.4">
      <c r="A2" s="2"/>
      <c r="B2" s="3"/>
      <c r="C2" s="3"/>
      <c r="D2" s="4"/>
    </row>
    <row r="3" spans="1:4" x14ac:dyDescent="0.4">
      <c r="A3" s="70" t="s">
        <v>0</v>
      </c>
      <c r="B3" s="71"/>
      <c r="C3" s="71"/>
      <c r="D3" s="72"/>
    </row>
    <row r="4" spans="1:4" x14ac:dyDescent="0.4">
      <c r="A4" s="70"/>
      <c r="B4" s="71"/>
      <c r="C4" s="71"/>
      <c r="D4" s="72"/>
    </row>
    <row r="5" spans="1:4" ht="18" x14ac:dyDescent="0.4">
      <c r="A5" s="5"/>
      <c r="B5" s="6"/>
      <c r="C5" s="6"/>
      <c r="D5" s="7"/>
    </row>
    <row r="6" spans="1:4" ht="18" x14ac:dyDescent="0.4">
      <c r="A6" s="66" t="s">
        <v>1</v>
      </c>
      <c r="B6" s="64"/>
      <c r="C6" s="64"/>
      <c r="D6" s="65"/>
    </row>
    <row r="7" spans="1:4" ht="18" x14ac:dyDescent="0.4">
      <c r="A7" s="8"/>
      <c r="B7" s="9"/>
      <c r="C7" s="9"/>
      <c r="D7" s="10"/>
    </row>
    <row r="8" spans="1:4" ht="18" x14ac:dyDescent="0.4">
      <c r="A8" s="11" t="s">
        <v>2</v>
      </c>
      <c r="B8" s="12"/>
      <c r="C8" s="12"/>
      <c r="D8" s="13"/>
    </row>
    <row r="9" spans="1:4" ht="18" x14ac:dyDescent="0.4">
      <c r="A9" s="11"/>
      <c r="B9" s="64" t="s">
        <v>3</v>
      </c>
      <c r="C9" s="64"/>
      <c r="D9" s="65"/>
    </row>
    <row r="10" spans="1:4" ht="18" x14ac:dyDescent="0.4">
      <c r="A10" s="11" t="s">
        <v>4</v>
      </c>
      <c r="B10" s="12"/>
      <c r="C10" s="12"/>
      <c r="D10" s="13"/>
    </row>
    <row r="11" spans="1:4" ht="18" x14ac:dyDescent="0.4">
      <c r="A11" s="11"/>
      <c r="B11" s="64" t="s">
        <v>5</v>
      </c>
      <c r="C11" s="64"/>
      <c r="D11" s="65"/>
    </row>
    <row r="12" spans="1:4" ht="18" x14ac:dyDescent="0.4">
      <c r="A12" s="11"/>
      <c r="B12" s="64" t="s">
        <v>6</v>
      </c>
      <c r="C12" s="64"/>
      <c r="D12" s="65"/>
    </row>
    <row r="13" spans="1:4" ht="18" x14ac:dyDescent="0.4">
      <c r="A13" s="11"/>
      <c r="B13" s="12"/>
      <c r="C13" s="12"/>
      <c r="D13" s="13"/>
    </row>
    <row r="14" spans="1:4" ht="18" x14ac:dyDescent="0.4">
      <c r="A14" s="11" t="s">
        <v>7</v>
      </c>
      <c r="B14" s="12"/>
      <c r="C14" s="12"/>
      <c r="D14" s="13"/>
    </row>
    <row r="15" spans="1:4" ht="18" x14ac:dyDescent="0.4">
      <c r="A15" s="11"/>
      <c r="B15" s="64" t="s">
        <v>8</v>
      </c>
      <c r="C15" s="64"/>
      <c r="D15" s="65"/>
    </row>
    <row r="16" spans="1:4" ht="18" x14ac:dyDescent="0.4">
      <c r="A16" s="11"/>
      <c r="B16" s="64" t="s">
        <v>9</v>
      </c>
      <c r="C16" s="64"/>
      <c r="D16" s="65"/>
    </row>
    <row r="17" spans="1:4" ht="18" x14ac:dyDescent="0.4">
      <c r="A17" s="11"/>
      <c r="B17" s="12"/>
      <c r="C17" s="12"/>
      <c r="D17" s="13"/>
    </row>
    <row r="18" spans="1:4" ht="18" x14ac:dyDescent="0.4">
      <c r="A18" s="66" t="s">
        <v>10</v>
      </c>
      <c r="B18" s="64"/>
      <c r="C18" s="64"/>
      <c r="D18" s="65"/>
    </row>
    <row r="19" spans="1:4" ht="18" x14ac:dyDescent="0.4">
      <c r="A19" s="11"/>
      <c r="B19" s="12"/>
      <c r="C19" s="12"/>
      <c r="D19" s="13"/>
    </row>
    <row r="20" spans="1:4" ht="18" x14ac:dyDescent="0.4">
      <c r="A20" s="66" t="s">
        <v>11</v>
      </c>
      <c r="B20" s="64"/>
      <c r="C20" s="64"/>
      <c r="D20" s="65"/>
    </row>
    <row r="21" spans="1:4" ht="18.600000000000001" thickBot="1" x14ac:dyDescent="0.45">
      <c r="A21" s="14"/>
      <c r="B21" s="15"/>
      <c r="C21" s="15"/>
      <c r="D21" s="16"/>
    </row>
    <row r="22" spans="1:4" ht="18" x14ac:dyDescent="0.4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ine_Edomexgral!A1" display="1. Por Estados de la República Mexicana"/>
    <hyperlink ref="B9" location="Alabama_EDOMEX!Área_de_impresión" display="2.1 Por estado de la República Mexicana y municipio de origen"/>
    <hyperlink ref="B11:D11" location="Maine_Educagral!A1" display="3.1 Educación general"/>
    <hyperlink ref="B12:D12" location="Maine_Eduedo!A1" display="3.2 Por Estado de la República Mexicana"/>
    <hyperlink ref="B15:D15" location="Maine_gengral!A1" display="4.1 Género General"/>
    <hyperlink ref="B16:D16" location="Maine_edomexgen!A1" display="4.2 Por Estados de la República Mexicana"/>
    <hyperlink ref="A18:D18" location="Maine_edadgen!A1" display="5. Por estructura de Edad"/>
    <hyperlink ref="A20:D20" location="Maine_ocupgral!A1" display="6. Por Ocupación"/>
    <hyperlink ref="B9:D9" location="Maine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B1:D27"/>
  <sheetViews>
    <sheetView showGridLines="0" topLeftCell="A9" zoomScaleNormal="100" zoomScaleSheetLayoutView="115" workbookViewId="0">
      <selection activeCell="E27" sqref="E27"/>
    </sheetView>
  </sheetViews>
  <sheetFormatPr baseColWidth="10" defaultColWidth="11.44140625" defaultRowHeight="14.4" x14ac:dyDescent="0.3"/>
  <cols>
    <col min="1" max="1" width="9.33203125" style="18" customWidth="1"/>
    <col min="2" max="2" width="21.664062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3" t="s">
        <v>31</v>
      </c>
      <c r="C7" s="73"/>
      <c r="D7" s="73"/>
    </row>
    <row r="8" spans="2:4" s="30" customFormat="1" ht="15" customHeight="1" x14ac:dyDescent="0.2">
      <c r="B8" s="73"/>
      <c r="C8" s="73"/>
      <c r="D8" s="73"/>
    </row>
    <row r="9" spans="2:4" s="30" customFormat="1" ht="33" customHeight="1" x14ac:dyDescent="0.2">
      <c r="B9" s="73"/>
      <c r="C9" s="73"/>
      <c r="D9" s="73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30</v>
      </c>
      <c r="C11" s="32" t="s">
        <v>29</v>
      </c>
      <c r="D11" s="31" t="s">
        <v>28</v>
      </c>
    </row>
    <row r="12" spans="2:4" ht="15" customHeight="1" x14ac:dyDescent="0.3">
      <c r="B12" s="28" t="s">
        <v>27</v>
      </c>
      <c r="C12" s="27">
        <v>11</v>
      </c>
      <c r="D12" s="26">
        <v>0.35483870967741937</v>
      </c>
    </row>
    <row r="13" spans="2:4" x14ac:dyDescent="0.3">
      <c r="B13" s="28" t="s">
        <v>26</v>
      </c>
      <c r="C13" s="27">
        <v>4</v>
      </c>
      <c r="D13" s="26">
        <v>0.12903225806451613</v>
      </c>
    </row>
    <row r="14" spans="2:4" s="29" customFormat="1" ht="15" x14ac:dyDescent="0.3">
      <c r="B14" s="28" t="s">
        <v>25</v>
      </c>
      <c r="C14" s="27">
        <v>4</v>
      </c>
      <c r="D14" s="26">
        <v>0.12903225806451613</v>
      </c>
    </row>
    <row r="15" spans="2:4" s="29" customFormat="1" ht="15" x14ac:dyDescent="0.3">
      <c r="B15" s="28" t="s">
        <v>24</v>
      </c>
      <c r="C15" s="27">
        <v>3</v>
      </c>
      <c r="D15" s="26">
        <v>9.6774193548387094E-2</v>
      </c>
    </row>
    <row r="16" spans="2:4" x14ac:dyDescent="0.3">
      <c r="B16" s="28" t="s">
        <v>23</v>
      </c>
      <c r="C16" s="27">
        <v>3</v>
      </c>
      <c r="D16" s="26">
        <v>9.6774193548387094E-2</v>
      </c>
    </row>
    <row r="17" spans="2:4" x14ac:dyDescent="0.3">
      <c r="B17" s="28" t="s">
        <v>22</v>
      </c>
      <c r="C17" s="27">
        <v>2</v>
      </c>
      <c r="D17" s="26">
        <v>6.4516129032258063E-2</v>
      </c>
    </row>
    <row r="18" spans="2:4" x14ac:dyDescent="0.3">
      <c r="B18" s="28" t="s">
        <v>21</v>
      </c>
      <c r="C18" s="27">
        <v>2</v>
      </c>
      <c r="D18" s="26">
        <v>6.4516129032258063E-2</v>
      </c>
    </row>
    <row r="19" spans="2:4" x14ac:dyDescent="0.3">
      <c r="B19" s="28" t="s">
        <v>20</v>
      </c>
      <c r="C19" s="27">
        <v>1</v>
      </c>
      <c r="D19" s="26">
        <v>3.2258064516129031E-2</v>
      </c>
    </row>
    <row r="20" spans="2:4" x14ac:dyDescent="0.3">
      <c r="B20" s="28" t="s">
        <v>19</v>
      </c>
      <c r="C20" s="27">
        <v>1</v>
      </c>
      <c r="D20" s="26">
        <v>3.2258064516129031E-2</v>
      </c>
    </row>
    <row r="21" spans="2:4" x14ac:dyDescent="0.3">
      <c r="B21" s="25" t="s">
        <v>18</v>
      </c>
      <c r="C21" s="24">
        <v>31</v>
      </c>
      <c r="D21" s="23">
        <v>1</v>
      </c>
    </row>
    <row r="23" spans="2:4" x14ac:dyDescent="0.3">
      <c r="B23" s="20" t="s">
        <v>17</v>
      </c>
    </row>
    <row r="24" spans="2:4" x14ac:dyDescent="0.3">
      <c r="B24" s="22" t="s">
        <v>16</v>
      </c>
    </row>
    <row r="25" spans="2:4" x14ac:dyDescent="0.3">
      <c r="B25" s="21" t="s">
        <v>15</v>
      </c>
    </row>
    <row r="26" spans="2:4" x14ac:dyDescent="0.3">
      <c r="B26" s="20" t="s">
        <v>14</v>
      </c>
    </row>
    <row r="27" spans="2:4" x14ac:dyDescent="0.3">
      <c r="B27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88"/>
  <sheetViews>
    <sheetView topLeftCell="A19" zoomScaleNormal="100" zoomScaleSheetLayoutView="100" workbookViewId="0">
      <selection activeCell="F37" sqref="F37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79"/>
      <c r="C7" s="79"/>
      <c r="D7" s="79"/>
      <c r="E7" s="79"/>
    </row>
    <row r="8" spans="1:5" s="51" customFormat="1" ht="33" customHeight="1" x14ac:dyDescent="0.25">
      <c r="A8" s="52"/>
      <c r="B8" s="79"/>
      <c r="C8" s="79"/>
      <c r="D8" s="79"/>
      <c r="E8" s="79"/>
    </row>
    <row r="9" spans="1:5" s="30" customFormat="1" ht="40.5" customHeight="1" x14ac:dyDescent="0.2">
      <c r="B9" s="48" t="s">
        <v>30</v>
      </c>
      <c r="C9" s="50" t="s">
        <v>51</v>
      </c>
      <c r="D9" s="49" t="s">
        <v>29</v>
      </c>
      <c r="E9" s="48" t="s">
        <v>28</v>
      </c>
    </row>
    <row r="10" spans="1:5" ht="15" customHeight="1" x14ac:dyDescent="0.3">
      <c r="B10" s="74" t="s">
        <v>27</v>
      </c>
      <c r="C10" s="46" t="s">
        <v>50</v>
      </c>
      <c r="D10" s="45">
        <v>1</v>
      </c>
      <c r="E10" s="44">
        <v>3.2258064516129031E-2</v>
      </c>
    </row>
    <row r="11" spans="1:5" ht="15" customHeight="1" x14ac:dyDescent="0.3">
      <c r="B11" s="76"/>
      <c r="C11" s="46" t="s">
        <v>49</v>
      </c>
      <c r="D11" s="45">
        <v>1</v>
      </c>
      <c r="E11" s="44">
        <v>3.2258064516129031E-2</v>
      </c>
    </row>
    <row r="12" spans="1:5" ht="15" customHeight="1" x14ac:dyDescent="0.3">
      <c r="B12" s="76"/>
      <c r="C12" s="46" t="s">
        <v>48</v>
      </c>
      <c r="D12" s="45">
        <v>6</v>
      </c>
      <c r="E12" s="44">
        <v>0.19354838709677419</v>
      </c>
    </row>
    <row r="13" spans="1:5" ht="15" customHeight="1" x14ac:dyDescent="0.3">
      <c r="B13" s="76"/>
      <c r="C13" s="46" t="s">
        <v>47</v>
      </c>
      <c r="D13" s="45">
        <v>1</v>
      </c>
      <c r="E13" s="44">
        <v>3.2258064516129031E-2</v>
      </c>
    </row>
    <row r="14" spans="1:5" ht="15" customHeight="1" x14ac:dyDescent="0.3">
      <c r="B14" s="76"/>
      <c r="C14" s="46" t="s">
        <v>46</v>
      </c>
      <c r="D14" s="45">
        <v>1</v>
      </c>
      <c r="E14" s="44">
        <v>3.2258064516129031E-2</v>
      </c>
    </row>
    <row r="15" spans="1:5" s="47" customFormat="1" ht="15" customHeight="1" x14ac:dyDescent="0.2">
      <c r="B15" s="76"/>
      <c r="C15" s="46" t="s">
        <v>45</v>
      </c>
      <c r="D15" s="45">
        <v>1</v>
      </c>
      <c r="E15" s="44">
        <v>3.2258064516129031E-2</v>
      </c>
    </row>
    <row r="16" spans="1:5" s="47" customFormat="1" ht="15" customHeight="1" x14ac:dyDescent="0.2">
      <c r="B16" s="75"/>
      <c r="C16" s="43" t="s">
        <v>18</v>
      </c>
      <c r="D16" s="42">
        <v>11</v>
      </c>
      <c r="E16" s="41">
        <v>0.35483870967741937</v>
      </c>
    </row>
    <row r="17" spans="2:5" s="47" customFormat="1" ht="15" customHeight="1" x14ac:dyDescent="0.2">
      <c r="B17" s="74" t="s">
        <v>20</v>
      </c>
      <c r="C17" s="46" t="s">
        <v>44</v>
      </c>
      <c r="D17" s="45">
        <v>1</v>
      </c>
      <c r="E17" s="44">
        <v>3.2258064516129031E-2</v>
      </c>
    </row>
    <row r="18" spans="2:5" s="47" customFormat="1" ht="15" customHeight="1" x14ac:dyDescent="0.2">
      <c r="B18" s="75"/>
      <c r="C18" s="43" t="s">
        <v>18</v>
      </c>
      <c r="D18" s="42">
        <v>1</v>
      </c>
      <c r="E18" s="41">
        <v>3.2258064516129031E-2</v>
      </c>
    </row>
    <row r="19" spans="2:5" s="47" customFormat="1" ht="15" customHeight="1" x14ac:dyDescent="0.2">
      <c r="B19" s="74" t="s">
        <v>22</v>
      </c>
      <c r="C19" s="46" t="s">
        <v>43</v>
      </c>
      <c r="D19" s="45">
        <v>2</v>
      </c>
      <c r="E19" s="44">
        <v>6.4516129032258063E-2</v>
      </c>
    </row>
    <row r="20" spans="2:5" ht="15" customHeight="1" x14ac:dyDescent="0.3">
      <c r="B20" s="75"/>
      <c r="C20" s="43" t="s">
        <v>18</v>
      </c>
      <c r="D20" s="42">
        <v>2</v>
      </c>
      <c r="E20" s="41">
        <v>6.4516129032258063E-2</v>
      </c>
    </row>
    <row r="21" spans="2:5" ht="15" customHeight="1" x14ac:dyDescent="0.3">
      <c r="B21" s="74" t="s">
        <v>24</v>
      </c>
      <c r="C21" s="46" t="s">
        <v>42</v>
      </c>
      <c r="D21" s="45">
        <v>3</v>
      </c>
      <c r="E21" s="44">
        <v>9.6774193548387094E-2</v>
      </c>
    </row>
    <row r="22" spans="2:5" ht="15" customHeight="1" x14ac:dyDescent="0.3">
      <c r="B22" s="75"/>
      <c r="C22" s="43" t="s">
        <v>18</v>
      </c>
      <c r="D22" s="42">
        <v>3</v>
      </c>
      <c r="E22" s="41">
        <v>9.6774193548387094E-2</v>
      </c>
    </row>
    <row r="23" spans="2:5" ht="15" customHeight="1" x14ac:dyDescent="0.3">
      <c r="B23" s="74" t="s">
        <v>23</v>
      </c>
      <c r="C23" s="46" t="s">
        <v>41</v>
      </c>
      <c r="D23" s="45">
        <v>2</v>
      </c>
      <c r="E23" s="44">
        <v>6.4516129032258063E-2</v>
      </c>
    </row>
    <row r="24" spans="2:5" ht="15" customHeight="1" x14ac:dyDescent="0.3">
      <c r="B24" s="76"/>
      <c r="C24" s="46" t="s">
        <v>40</v>
      </c>
      <c r="D24" s="45">
        <v>1</v>
      </c>
      <c r="E24" s="44">
        <v>3.2258064516129031E-2</v>
      </c>
    </row>
    <row r="25" spans="2:5" ht="15" customHeight="1" x14ac:dyDescent="0.3">
      <c r="B25" s="75"/>
      <c r="C25" s="43" t="s">
        <v>18</v>
      </c>
      <c r="D25" s="42">
        <v>3</v>
      </c>
      <c r="E25" s="41">
        <v>9.6774193548387094E-2</v>
      </c>
    </row>
    <row r="26" spans="2:5" ht="15" customHeight="1" x14ac:dyDescent="0.3">
      <c r="B26" s="74" t="s">
        <v>19</v>
      </c>
      <c r="C26" s="46" t="s">
        <v>39</v>
      </c>
      <c r="D26" s="45">
        <v>1</v>
      </c>
      <c r="E26" s="44">
        <v>3.2258064516129031E-2</v>
      </c>
    </row>
    <row r="27" spans="2:5" ht="15" customHeight="1" x14ac:dyDescent="0.3">
      <c r="B27" s="75"/>
      <c r="C27" s="43" t="s">
        <v>18</v>
      </c>
      <c r="D27" s="42">
        <v>1</v>
      </c>
      <c r="E27" s="41">
        <v>3.2258064516129031E-2</v>
      </c>
    </row>
    <row r="28" spans="2:5" ht="15" customHeight="1" x14ac:dyDescent="0.3">
      <c r="B28" s="74" t="s">
        <v>26</v>
      </c>
      <c r="C28" s="46" t="s">
        <v>38</v>
      </c>
      <c r="D28" s="45">
        <v>1</v>
      </c>
      <c r="E28" s="44">
        <v>3.2258064516129031E-2</v>
      </c>
    </row>
    <row r="29" spans="2:5" ht="15" customHeight="1" x14ac:dyDescent="0.3">
      <c r="B29" s="76"/>
      <c r="C29" s="46" t="s">
        <v>37</v>
      </c>
      <c r="D29" s="45">
        <v>2</v>
      </c>
      <c r="E29" s="44">
        <v>6.4516129032258063E-2</v>
      </c>
    </row>
    <row r="30" spans="2:5" ht="15" customHeight="1" x14ac:dyDescent="0.3">
      <c r="B30" s="76"/>
      <c r="C30" s="46" t="s">
        <v>36</v>
      </c>
      <c r="D30" s="45">
        <v>1</v>
      </c>
      <c r="E30" s="44">
        <v>3.2258064516129031E-2</v>
      </c>
    </row>
    <row r="31" spans="2:5" ht="15" customHeight="1" x14ac:dyDescent="0.3">
      <c r="B31" s="75"/>
      <c r="C31" s="43" t="s">
        <v>18</v>
      </c>
      <c r="D31" s="42">
        <v>4</v>
      </c>
      <c r="E31" s="41">
        <v>0.12903225806451613</v>
      </c>
    </row>
    <row r="32" spans="2:5" ht="15" customHeight="1" x14ac:dyDescent="0.3">
      <c r="B32" s="74" t="s">
        <v>21</v>
      </c>
      <c r="C32" s="46" t="s">
        <v>35</v>
      </c>
      <c r="D32" s="45">
        <v>2</v>
      </c>
      <c r="E32" s="44">
        <v>6.4516129032258063E-2</v>
      </c>
    </row>
    <row r="33" spans="2:5" ht="15" customHeight="1" x14ac:dyDescent="0.3">
      <c r="B33" s="75"/>
      <c r="C33" s="43" t="s">
        <v>18</v>
      </c>
      <c r="D33" s="42">
        <v>2</v>
      </c>
      <c r="E33" s="41">
        <v>6.4516129032258063E-2</v>
      </c>
    </row>
    <row r="34" spans="2:5" ht="15" customHeight="1" x14ac:dyDescent="0.3">
      <c r="B34" s="74" t="s">
        <v>25</v>
      </c>
      <c r="C34" s="46" t="s">
        <v>34</v>
      </c>
      <c r="D34" s="45">
        <v>1</v>
      </c>
      <c r="E34" s="44">
        <v>3.2258064516129031E-2</v>
      </c>
    </row>
    <row r="35" spans="2:5" ht="15" customHeight="1" x14ac:dyDescent="0.3">
      <c r="B35" s="76"/>
      <c r="C35" s="46" t="s">
        <v>33</v>
      </c>
      <c r="D35" s="45">
        <v>1</v>
      </c>
      <c r="E35" s="44">
        <v>3.2258064516129031E-2</v>
      </c>
    </row>
    <row r="36" spans="2:5" ht="15" customHeight="1" x14ac:dyDescent="0.3">
      <c r="B36" s="76"/>
      <c r="C36" s="46" t="s">
        <v>32</v>
      </c>
      <c r="D36" s="45">
        <v>1</v>
      </c>
      <c r="E36" s="44">
        <v>3.2258064516129031E-2</v>
      </c>
    </row>
    <row r="37" spans="2:5" ht="15" customHeight="1" x14ac:dyDescent="0.3">
      <c r="B37" s="76"/>
      <c r="C37" s="46" t="s">
        <v>25</v>
      </c>
      <c r="D37" s="45">
        <v>1</v>
      </c>
      <c r="E37" s="44">
        <v>3.2258064516129031E-2</v>
      </c>
    </row>
    <row r="38" spans="2:5" ht="15" customHeight="1" x14ac:dyDescent="0.3">
      <c r="B38" s="75"/>
      <c r="C38" s="43" t="s">
        <v>18</v>
      </c>
      <c r="D38" s="42">
        <v>4</v>
      </c>
      <c r="E38" s="41">
        <v>0.12903225806451613</v>
      </c>
    </row>
    <row r="39" spans="2:5" ht="15" customHeight="1" x14ac:dyDescent="0.3">
      <c r="B39" s="77" t="s">
        <v>18</v>
      </c>
      <c r="C39" s="78"/>
      <c r="D39" s="59">
        <f>SUMIF(C$10:C38,"Total",D$10:D38)</f>
        <v>31</v>
      </c>
      <c r="E39" s="60">
        <v>1</v>
      </c>
    </row>
    <row r="41" spans="2:5" ht="15" customHeight="1" x14ac:dyDescent="0.3">
      <c r="B41" s="20" t="s">
        <v>17</v>
      </c>
    </row>
    <row r="42" spans="2:5" ht="15" customHeight="1" x14ac:dyDescent="0.3">
      <c r="B42" s="22" t="s">
        <v>16</v>
      </c>
    </row>
    <row r="43" spans="2:5" ht="15" customHeight="1" x14ac:dyDescent="0.3">
      <c r="B43" s="21" t="s">
        <v>15</v>
      </c>
    </row>
    <row r="44" spans="2:5" ht="15" customHeight="1" x14ac:dyDescent="0.3">
      <c r="B44" s="20" t="s">
        <v>14</v>
      </c>
    </row>
    <row r="45" spans="2:5" ht="15" customHeight="1" x14ac:dyDescent="0.3">
      <c r="B45" s="20" t="s">
        <v>13</v>
      </c>
    </row>
    <row r="484" spans="1:2" s="38" customFormat="1" ht="15" customHeight="1" x14ac:dyDescent="0.3">
      <c r="A484" s="37"/>
      <c r="B484" s="39"/>
    </row>
    <row r="485" spans="1:2" s="38" customFormat="1" ht="15" customHeight="1" x14ac:dyDescent="0.3">
      <c r="A485" s="37"/>
      <c r="B485" s="40"/>
    </row>
    <row r="486" spans="1:2" s="38" customFormat="1" ht="15" customHeight="1" x14ac:dyDescent="0.3">
      <c r="A486" s="37"/>
      <c r="B486" s="40"/>
    </row>
    <row r="487" spans="1:2" s="38" customFormat="1" ht="15" customHeight="1" x14ac:dyDescent="0.3">
      <c r="A487" s="37"/>
      <c r="B487" s="39"/>
    </row>
    <row r="488" spans="1:2" s="38" customFormat="1" ht="15" customHeight="1" x14ac:dyDescent="0.3">
      <c r="A488" s="37"/>
      <c r="B488" s="39"/>
    </row>
  </sheetData>
  <mergeCells count="11">
    <mergeCell ref="B23:B25"/>
    <mergeCell ref="B7:E8"/>
    <mergeCell ref="B10:B16"/>
    <mergeCell ref="B17:B18"/>
    <mergeCell ref="B19:B20"/>
    <mergeCell ref="B21:B22"/>
    <mergeCell ref="B26:B27"/>
    <mergeCell ref="B28:B31"/>
    <mergeCell ref="B32:B33"/>
    <mergeCell ref="B34:B38"/>
    <mergeCell ref="B39:C3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0"/>
  <sheetViews>
    <sheetView showGridLines="0" zoomScaleNormal="100" zoomScaleSheetLayoutView="115" workbookViewId="0">
      <selection activeCell="G13" sqref="G13"/>
    </sheetView>
  </sheetViews>
  <sheetFormatPr baseColWidth="10" defaultColWidth="11.44140625" defaultRowHeight="14.4" x14ac:dyDescent="0.3"/>
  <cols>
    <col min="1" max="1" width="9.33203125" style="18" customWidth="1"/>
    <col min="2" max="2" width="30.554687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3" t="s">
        <v>65</v>
      </c>
      <c r="C7" s="73"/>
      <c r="D7" s="73"/>
    </row>
    <row r="8" spans="2:4" s="30" customFormat="1" ht="15" customHeight="1" x14ac:dyDescent="0.2">
      <c r="B8" s="73"/>
      <c r="C8" s="73"/>
      <c r="D8" s="73"/>
    </row>
    <row r="9" spans="2:4" s="30" customFormat="1" ht="33" customHeight="1" x14ac:dyDescent="0.2">
      <c r="B9" s="73"/>
      <c r="C9" s="73"/>
      <c r="D9" s="73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64</v>
      </c>
      <c r="C11" s="32" t="s">
        <v>29</v>
      </c>
      <c r="D11" s="31" t="s">
        <v>28</v>
      </c>
    </row>
    <row r="12" spans="2:4" ht="15" customHeight="1" x14ac:dyDescent="0.3">
      <c r="B12" s="28" t="s">
        <v>63</v>
      </c>
      <c r="C12" s="27">
        <v>1</v>
      </c>
      <c r="D12" s="26">
        <v>3.2258064516129031E-2</v>
      </c>
    </row>
    <row r="13" spans="2:4" x14ac:dyDescent="0.3">
      <c r="B13" s="28" t="s">
        <v>62</v>
      </c>
      <c r="C13" s="27">
        <v>1</v>
      </c>
      <c r="D13" s="26">
        <v>3.2258064516129031E-2</v>
      </c>
    </row>
    <row r="14" spans="2:4" s="29" customFormat="1" ht="15" x14ac:dyDescent="0.3">
      <c r="B14" s="28" t="s">
        <v>61</v>
      </c>
      <c r="C14" s="27">
        <v>4</v>
      </c>
      <c r="D14" s="26">
        <v>0.12903225806451613</v>
      </c>
    </row>
    <row r="15" spans="2:4" s="29" customFormat="1" ht="15" x14ac:dyDescent="0.3">
      <c r="B15" s="28" t="s">
        <v>60</v>
      </c>
      <c r="C15" s="27">
        <v>2</v>
      </c>
      <c r="D15" s="26">
        <v>6.4516129032258063E-2</v>
      </c>
    </row>
    <row r="16" spans="2:4" x14ac:dyDescent="0.3">
      <c r="B16" s="28" t="s">
        <v>59</v>
      </c>
      <c r="C16" s="27">
        <v>2</v>
      </c>
      <c r="D16" s="26">
        <v>6.4516129032258063E-2</v>
      </c>
    </row>
    <row r="17" spans="2:4" x14ac:dyDescent="0.3">
      <c r="B17" s="28" t="s">
        <v>58</v>
      </c>
      <c r="C17" s="27">
        <v>10</v>
      </c>
      <c r="D17" s="26">
        <v>0.32258064516129031</v>
      </c>
    </row>
    <row r="18" spans="2:4" x14ac:dyDescent="0.3">
      <c r="B18" s="28" t="s">
        <v>57</v>
      </c>
      <c r="C18" s="27">
        <v>2</v>
      </c>
      <c r="D18" s="26">
        <v>6.4516129032258063E-2</v>
      </c>
    </row>
    <row r="19" spans="2:4" x14ac:dyDescent="0.3">
      <c r="B19" s="28" t="s">
        <v>56</v>
      </c>
      <c r="C19" s="27">
        <v>5</v>
      </c>
      <c r="D19" s="26">
        <v>0.16129032258064516</v>
      </c>
    </row>
    <row r="20" spans="2:4" x14ac:dyDescent="0.3">
      <c r="B20" s="28" t="s">
        <v>55</v>
      </c>
      <c r="C20" s="27">
        <v>1</v>
      </c>
      <c r="D20" s="26">
        <v>3.2258064516129031E-2</v>
      </c>
    </row>
    <row r="21" spans="2:4" x14ac:dyDescent="0.3">
      <c r="B21" s="28" t="s">
        <v>54</v>
      </c>
      <c r="C21" s="27">
        <v>1</v>
      </c>
      <c r="D21" s="26">
        <v>3.2258064516129031E-2</v>
      </c>
    </row>
    <row r="22" spans="2:4" x14ac:dyDescent="0.3">
      <c r="B22" s="28" t="s">
        <v>53</v>
      </c>
      <c r="C22" s="27">
        <v>1</v>
      </c>
      <c r="D22" s="26">
        <v>3.2258064516129031E-2</v>
      </c>
    </row>
    <row r="23" spans="2:4" x14ac:dyDescent="0.3">
      <c r="B23" s="28" t="s">
        <v>52</v>
      </c>
      <c r="C23" s="27">
        <v>1</v>
      </c>
      <c r="D23" s="26">
        <v>3.2258064516129031E-2</v>
      </c>
    </row>
    <row r="24" spans="2:4" x14ac:dyDescent="0.3">
      <c r="B24" s="25" t="s">
        <v>18</v>
      </c>
      <c r="C24" s="24">
        <v>31</v>
      </c>
      <c r="D24" s="23">
        <v>1</v>
      </c>
    </row>
    <row r="26" spans="2:4" x14ac:dyDescent="0.3">
      <c r="B26" s="20" t="s">
        <v>17</v>
      </c>
    </row>
    <row r="27" spans="2:4" x14ac:dyDescent="0.3">
      <c r="B27" s="22" t="s">
        <v>16</v>
      </c>
    </row>
    <row r="28" spans="2:4" x14ac:dyDescent="0.3">
      <c r="B28" s="21" t="s">
        <v>15</v>
      </c>
    </row>
    <row r="29" spans="2:4" x14ac:dyDescent="0.3">
      <c r="B29" s="20" t="s">
        <v>14</v>
      </c>
    </row>
    <row r="30" spans="2:4" x14ac:dyDescent="0.3">
      <c r="B30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1"/>
  <sheetViews>
    <sheetView topLeftCell="A25" zoomScale="91" zoomScaleNormal="91" zoomScaleSheetLayoutView="100" workbookViewId="0">
      <selection activeCell="F9" sqref="F9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79"/>
      <c r="C7" s="79"/>
      <c r="D7" s="79"/>
      <c r="E7" s="79"/>
    </row>
    <row r="8" spans="1:5" s="51" customFormat="1" ht="33" customHeight="1" x14ac:dyDescent="0.25">
      <c r="A8" s="52"/>
      <c r="B8" s="79"/>
      <c r="C8" s="79"/>
      <c r="D8" s="79"/>
      <c r="E8" s="79"/>
    </row>
    <row r="9" spans="1:5" s="30" customFormat="1" ht="40.5" customHeight="1" x14ac:dyDescent="0.2">
      <c r="B9" s="48" t="s">
        <v>64</v>
      </c>
      <c r="C9" s="50" t="s">
        <v>30</v>
      </c>
      <c r="D9" s="49" t="s">
        <v>29</v>
      </c>
      <c r="E9" s="48" t="s">
        <v>28</v>
      </c>
    </row>
    <row r="10" spans="1:5" ht="15" customHeight="1" x14ac:dyDescent="0.3">
      <c r="B10" s="74" t="s">
        <v>63</v>
      </c>
      <c r="C10" s="46" t="s">
        <v>22</v>
      </c>
      <c r="D10" s="45">
        <v>1</v>
      </c>
      <c r="E10" s="44">
        <v>3.2258064516129031E-2</v>
      </c>
    </row>
    <row r="11" spans="1:5" ht="15" customHeight="1" x14ac:dyDescent="0.3">
      <c r="B11" s="75"/>
      <c r="C11" s="43" t="s">
        <v>18</v>
      </c>
      <c r="D11" s="42">
        <v>1</v>
      </c>
      <c r="E11" s="41">
        <v>3.2258064516129031E-2</v>
      </c>
    </row>
    <row r="12" spans="1:5" ht="15" customHeight="1" x14ac:dyDescent="0.3">
      <c r="B12" s="74" t="s">
        <v>62</v>
      </c>
      <c r="C12" s="46" t="s">
        <v>27</v>
      </c>
      <c r="D12" s="45">
        <v>1</v>
      </c>
      <c r="E12" s="44">
        <v>3.2258064516129031E-2</v>
      </c>
    </row>
    <row r="13" spans="1:5" ht="15" customHeight="1" x14ac:dyDescent="0.3">
      <c r="B13" s="75"/>
      <c r="C13" s="43" t="s">
        <v>18</v>
      </c>
      <c r="D13" s="42">
        <v>1</v>
      </c>
      <c r="E13" s="41">
        <v>3.2258064516129031E-2</v>
      </c>
    </row>
    <row r="14" spans="1:5" ht="15" customHeight="1" x14ac:dyDescent="0.3">
      <c r="B14" s="74" t="s">
        <v>61</v>
      </c>
      <c r="C14" s="46" t="s">
        <v>22</v>
      </c>
      <c r="D14" s="45">
        <v>1</v>
      </c>
      <c r="E14" s="44">
        <v>3.2258064516129031E-2</v>
      </c>
    </row>
    <row r="15" spans="1:5" s="47" customFormat="1" ht="15" customHeight="1" x14ac:dyDescent="0.3">
      <c r="A15" s="37"/>
      <c r="B15" s="76"/>
      <c r="C15" s="46" t="s">
        <v>24</v>
      </c>
      <c r="D15" s="45">
        <v>2</v>
      </c>
      <c r="E15" s="44">
        <v>6.4516129032258063E-2</v>
      </c>
    </row>
    <row r="16" spans="1:5" s="47" customFormat="1" ht="15" customHeight="1" x14ac:dyDescent="0.3">
      <c r="A16" s="37"/>
      <c r="B16" s="76"/>
      <c r="C16" s="46" t="s">
        <v>26</v>
      </c>
      <c r="D16" s="45">
        <v>1</v>
      </c>
      <c r="E16" s="44">
        <v>3.2258064516129031E-2</v>
      </c>
    </row>
    <row r="17" spans="1:5" s="47" customFormat="1" ht="15" customHeight="1" x14ac:dyDescent="0.3">
      <c r="A17" s="37"/>
      <c r="B17" s="75"/>
      <c r="C17" s="43" t="s">
        <v>18</v>
      </c>
      <c r="D17" s="42">
        <v>4</v>
      </c>
      <c r="E17" s="41">
        <v>0.12903225806451613</v>
      </c>
    </row>
    <row r="18" spans="1:5" s="47" customFormat="1" ht="15" customHeight="1" x14ac:dyDescent="0.3">
      <c r="A18" s="37"/>
      <c r="B18" s="74" t="s">
        <v>60</v>
      </c>
      <c r="C18" s="46" t="s">
        <v>27</v>
      </c>
      <c r="D18" s="45">
        <v>1</v>
      </c>
      <c r="E18" s="44">
        <v>3.2258064516129031E-2</v>
      </c>
    </row>
    <row r="19" spans="1:5" s="47" customFormat="1" ht="15" customHeight="1" x14ac:dyDescent="0.3">
      <c r="A19" s="37"/>
      <c r="B19" s="76"/>
      <c r="C19" s="46" t="s">
        <v>26</v>
      </c>
      <c r="D19" s="45">
        <v>1</v>
      </c>
      <c r="E19" s="44">
        <v>3.2258064516129031E-2</v>
      </c>
    </row>
    <row r="20" spans="1:5" ht="15" customHeight="1" x14ac:dyDescent="0.3">
      <c r="B20" s="75"/>
      <c r="C20" s="43" t="s">
        <v>18</v>
      </c>
      <c r="D20" s="42">
        <v>2</v>
      </c>
      <c r="E20" s="41">
        <v>6.4516129032258063E-2</v>
      </c>
    </row>
    <row r="21" spans="1:5" ht="15" customHeight="1" x14ac:dyDescent="0.3">
      <c r="B21" s="74" t="s">
        <v>59</v>
      </c>
      <c r="C21" s="46" t="s">
        <v>27</v>
      </c>
      <c r="D21" s="45">
        <v>1</v>
      </c>
      <c r="E21" s="44">
        <v>3.2258064516129031E-2</v>
      </c>
    </row>
    <row r="22" spans="1:5" ht="15" customHeight="1" x14ac:dyDescent="0.3">
      <c r="B22" s="76"/>
      <c r="C22" s="46" t="s">
        <v>21</v>
      </c>
      <c r="D22" s="45">
        <v>1</v>
      </c>
      <c r="E22" s="44">
        <v>3.2258064516129031E-2</v>
      </c>
    </row>
    <row r="23" spans="1:5" ht="15" customHeight="1" x14ac:dyDescent="0.3">
      <c r="B23" s="75"/>
      <c r="C23" s="43" t="s">
        <v>18</v>
      </c>
      <c r="D23" s="42">
        <v>2</v>
      </c>
      <c r="E23" s="41">
        <v>6.4516129032258063E-2</v>
      </c>
    </row>
    <row r="24" spans="1:5" ht="15" customHeight="1" x14ac:dyDescent="0.3">
      <c r="B24" s="74" t="s">
        <v>58</v>
      </c>
      <c r="C24" s="46" t="s">
        <v>27</v>
      </c>
      <c r="D24" s="45">
        <v>5</v>
      </c>
      <c r="E24" s="44">
        <v>0.16129032258064516</v>
      </c>
    </row>
    <row r="25" spans="1:5" ht="15" customHeight="1" x14ac:dyDescent="0.3">
      <c r="B25" s="76"/>
      <c r="C25" s="46" t="s">
        <v>24</v>
      </c>
      <c r="D25" s="45">
        <v>1</v>
      </c>
      <c r="E25" s="44">
        <v>3.2258064516129031E-2</v>
      </c>
    </row>
    <row r="26" spans="1:5" ht="15" customHeight="1" x14ac:dyDescent="0.3">
      <c r="B26" s="76"/>
      <c r="C26" s="46" t="s">
        <v>23</v>
      </c>
      <c r="D26" s="45">
        <v>1</v>
      </c>
      <c r="E26" s="44">
        <v>3.2258064516129031E-2</v>
      </c>
    </row>
    <row r="27" spans="1:5" ht="15" customHeight="1" x14ac:dyDescent="0.3">
      <c r="B27" s="76"/>
      <c r="C27" s="46" t="s">
        <v>25</v>
      </c>
      <c r="D27" s="45">
        <v>3</v>
      </c>
      <c r="E27" s="44">
        <v>9.6774193548387094E-2</v>
      </c>
    </row>
    <row r="28" spans="1:5" ht="15" customHeight="1" x14ac:dyDescent="0.3">
      <c r="B28" s="75"/>
      <c r="C28" s="43" t="s">
        <v>18</v>
      </c>
      <c r="D28" s="42">
        <v>10</v>
      </c>
      <c r="E28" s="41">
        <v>0.32258064516129031</v>
      </c>
    </row>
    <row r="29" spans="1:5" ht="15" customHeight="1" x14ac:dyDescent="0.3">
      <c r="B29" s="74" t="s">
        <v>57</v>
      </c>
      <c r="C29" s="46" t="s">
        <v>23</v>
      </c>
      <c r="D29" s="45">
        <v>2</v>
      </c>
      <c r="E29" s="44">
        <v>6.4516129032258063E-2</v>
      </c>
    </row>
    <row r="30" spans="1:5" ht="15" customHeight="1" x14ac:dyDescent="0.3">
      <c r="B30" s="75"/>
      <c r="C30" s="43" t="s">
        <v>18</v>
      </c>
      <c r="D30" s="42">
        <v>2</v>
      </c>
      <c r="E30" s="41">
        <v>6.4516129032258063E-2</v>
      </c>
    </row>
    <row r="31" spans="1:5" ht="15" customHeight="1" x14ac:dyDescent="0.3">
      <c r="B31" s="74" t="s">
        <v>56</v>
      </c>
      <c r="C31" s="46" t="s">
        <v>27</v>
      </c>
      <c r="D31" s="45">
        <v>1</v>
      </c>
      <c r="E31" s="44">
        <v>3.2258064516129031E-2</v>
      </c>
    </row>
    <row r="32" spans="1:5" ht="15" customHeight="1" x14ac:dyDescent="0.3">
      <c r="B32" s="76"/>
      <c r="C32" s="46" t="s">
        <v>20</v>
      </c>
      <c r="D32" s="45">
        <v>1</v>
      </c>
      <c r="E32" s="44">
        <v>3.2258064516129031E-2</v>
      </c>
    </row>
    <row r="33" spans="2:5" ht="15" customHeight="1" x14ac:dyDescent="0.3">
      <c r="B33" s="76"/>
      <c r="C33" s="46" t="s">
        <v>19</v>
      </c>
      <c r="D33" s="45">
        <v>1</v>
      </c>
      <c r="E33" s="44">
        <v>3.2258064516129031E-2</v>
      </c>
    </row>
    <row r="34" spans="2:5" ht="15" customHeight="1" x14ac:dyDescent="0.3">
      <c r="B34" s="76"/>
      <c r="C34" s="46" t="s">
        <v>26</v>
      </c>
      <c r="D34" s="45">
        <v>1</v>
      </c>
      <c r="E34" s="44">
        <v>3.2258064516129031E-2</v>
      </c>
    </row>
    <row r="35" spans="2:5" ht="15" customHeight="1" x14ac:dyDescent="0.3">
      <c r="B35" s="76"/>
      <c r="C35" s="46" t="s">
        <v>21</v>
      </c>
      <c r="D35" s="45">
        <v>1</v>
      </c>
      <c r="E35" s="44">
        <v>3.2258064516129031E-2</v>
      </c>
    </row>
    <row r="36" spans="2:5" ht="15" customHeight="1" x14ac:dyDescent="0.3">
      <c r="B36" s="75"/>
      <c r="C36" s="43" t="s">
        <v>18</v>
      </c>
      <c r="D36" s="42">
        <v>5</v>
      </c>
      <c r="E36" s="41">
        <v>0.16129032258064516</v>
      </c>
    </row>
    <row r="37" spans="2:5" ht="15" customHeight="1" x14ac:dyDescent="0.3">
      <c r="B37" s="74" t="s">
        <v>55</v>
      </c>
      <c r="C37" s="46" t="s">
        <v>26</v>
      </c>
      <c r="D37" s="45">
        <v>1</v>
      </c>
      <c r="E37" s="44">
        <v>3.2258064516129031E-2</v>
      </c>
    </row>
    <row r="38" spans="2:5" ht="15" customHeight="1" x14ac:dyDescent="0.3">
      <c r="B38" s="75"/>
      <c r="C38" s="43" t="s">
        <v>18</v>
      </c>
      <c r="D38" s="42">
        <v>1</v>
      </c>
      <c r="E38" s="41">
        <v>3.2258064516129031E-2</v>
      </c>
    </row>
    <row r="39" spans="2:5" ht="15" customHeight="1" x14ac:dyDescent="0.3">
      <c r="B39" s="74" t="s">
        <v>54</v>
      </c>
      <c r="C39" s="46" t="s">
        <v>27</v>
      </c>
      <c r="D39" s="45">
        <v>1</v>
      </c>
      <c r="E39" s="44">
        <v>3.2258064516129031E-2</v>
      </c>
    </row>
    <row r="40" spans="2:5" ht="15" customHeight="1" x14ac:dyDescent="0.3">
      <c r="B40" s="75"/>
      <c r="C40" s="43" t="s">
        <v>18</v>
      </c>
      <c r="D40" s="42">
        <v>1</v>
      </c>
      <c r="E40" s="41">
        <v>3.2258064516129031E-2</v>
      </c>
    </row>
    <row r="41" spans="2:5" ht="15" customHeight="1" x14ac:dyDescent="0.3">
      <c r="B41" s="74" t="s">
        <v>53</v>
      </c>
      <c r="C41" s="46" t="s">
        <v>25</v>
      </c>
      <c r="D41" s="45">
        <v>1</v>
      </c>
      <c r="E41" s="44">
        <v>3.2258064516129031E-2</v>
      </c>
    </row>
    <row r="42" spans="2:5" ht="15" customHeight="1" x14ac:dyDescent="0.3">
      <c r="B42" s="75"/>
      <c r="C42" s="43" t="s">
        <v>18</v>
      </c>
      <c r="D42" s="42">
        <v>1</v>
      </c>
      <c r="E42" s="41">
        <v>3.2258064516129031E-2</v>
      </c>
    </row>
    <row r="43" spans="2:5" ht="15" customHeight="1" x14ac:dyDescent="0.3">
      <c r="B43" s="74" t="s">
        <v>52</v>
      </c>
      <c r="C43" s="46" t="s">
        <v>27</v>
      </c>
      <c r="D43" s="45">
        <v>1</v>
      </c>
      <c r="E43" s="44">
        <v>3.2258064516129031E-2</v>
      </c>
    </row>
    <row r="44" spans="2:5" ht="15" customHeight="1" x14ac:dyDescent="0.3">
      <c r="B44" s="75"/>
      <c r="C44" s="43" t="s">
        <v>18</v>
      </c>
      <c r="D44" s="42">
        <v>1</v>
      </c>
      <c r="E44" s="41">
        <v>3.2258064516129031E-2</v>
      </c>
    </row>
    <row r="45" spans="2:5" ht="15" customHeight="1" x14ac:dyDescent="0.3">
      <c r="B45" s="77" t="s">
        <v>18</v>
      </c>
      <c r="C45" s="78"/>
      <c r="D45" s="59">
        <v>31</v>
      </c>
      <c r="E45" s="60">
        <v>1</v>
      </c>
    </row>
    <row r="47" spans="2:5" ht="15" customHeight="1" x14ac:dyDescent="0.3">
      <c r="B47" s="20" t="s">
        <v>17</v>
      </c>
    </row>
    <row r="48" spans="2:5" ht="15" customHeight="1" x14ac:dyDescent="0.3">
      <c r="B48" s="22" t="s">
        <v>16</v>
      </c>
    </row>
    <row r="49" spans="2:2" ht="15" customHeight="1" x14ac:dyDescent="0.3">
      <c r="B49" s="21" t="s">
        <v>15</v>
      </c>
    </row>
    <row r="50" spans="2:2" ht="15" customHeight="1" x14ac:dyDescent="0.3">
      <c r="B50" s="20" t="s">
        <v>14</v>
      </c>
    </row>
    <row r="51" spans="2:2" ht="15" customHeight="1" x14ac:dyDescent="0.3">
      <c r="B51" s="20" t="s">
        <v>13</v>
      </c>
    </row>
  </sheetData>
  <mergeCells count="14">
    <mergeCell ref="B7:E8"/>
    <mergeCell ref="B10:B11"/>
    <mergeCell ref="B12:B13"/>
    <mergeCell ref="B14:B17"/>
    <mergeCell ref="B18:B20"/>
    <mergeCell ref="B21:B23"/>
    <mergeCell ref="B43:B44"/>
    <mergeCell ref="B45:C45"/>
    <mergeCell ref="B24:B28"/>
    <mergeCell ref="B29:B30"/>
    <mergeCell ref="B31:B36"/>
    <mergeCell ref="B37:B38"/>
    <mergeCell ref="B39:B40"/>
    <mergeCell ref="B41:B4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topLeftCell="A5" zoomScaleNormal="100" zoomScaleSheetLayoutView="115" workbookViewId="0">
      <selection activeCell="E9" sqref="E9"/>
    </sheetView>
  </sheetViews>
  <sheetFormatPr baseColWidth="10" defaultColWidth="11.44140625" defaultRowHeight="14.4" x14ac:dyDescent="0.3"/>
  <cols>
    <col min="1" max="1" width="9.33203125" style="18" customWidth="1"/>
    <col min="2" max="2" width="21.664062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3" t="s">
        <v>70</v>
      </c>
      <c r="C7" s="73"/>
      <c r="D7" s="73"/>
    </row>
    <row r="8" spans="2:4" s="30" customFormat="1" ht="15" customHeight="1" x14ac:dyDescent="0.2">
      <c r="B8" s="73"/>
      <c r="C8" s="73"/>
      <c r="D8" s="73"/>
    </row>
    <row r="9" spans="2:4" s="30" customFormat="1" ht="33" customHeight="1" x14ac:dyDescent="0.2">
      <c r="B9" s="73"/>
      <c r="C9" s="73"/>
      <c r="D9" s="73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69</v>
      </c>
      <c r="C11" s="32" t="s">
        <v>29</v>
      </c>
      <c r="D11" s="31" t="s">
        <v>28</v>
      </c>
    </row>
    <row r="12" spans="2:4" ht="15" customHeight="1" x14ac:dyDescent="0.3">
      <c r="B12" s="28" t="s">
        <v>68</v>
      </c>
      <c r="C12" s="27">
        <v>27</v>
      </c>
      <c r="D12" s="26">
        <v>0.87096774193548387</v>
      </c>
    </row>
    <row r="13" spans="2:4" ht="15" customHeight="1" x14ac:dyDescent="0.3">
      <c r="B13" s="28" t="s">
        <v>67</v>
      </c>
      <c r="C13" s="27">
        <v>4</v>
      </c>
      <c r="D13" s="26">
        <v>0.12903225806451613</v>
      </c>
    </row>
    <row r="14" spans="2:4" x14ac:dyDescent="0.3">
      <c r="B14" s="25" t="s">
        <v>66</v>
      </c>
      <c r="C14" s="24">
        <v>31</v>
      </c>
      <c r="D14" s="23">
        <v>1</v>
      </c>
    </row>
    <row r="15" spans="2:4" s="29" customFormat="1" ht="15" x14ac:dyDescent="0.3">
      <c r="C15" s="63"/>
    </row>
    <row r="16" spans="2:4" s="29" customFormat="1" ht="15" x14ac:dyDescent="0.3">
      <c r="B16" s="20" t="s">
        <v>17</v>
      </c>
      <c r="C16" s="63"/>
    </row>
    <row r="17" spans="2:4" x14ac:dyDescent="0.3">
      <c r="B17" s="22" t="s">
        <v>16</v>
      </c>
      <c r="C17" s="62"/>
      <c r="D17" s="62"/>
    </row>
    <row r="18" spans="2:4" x14ac:dyDescent="0.3">
      <c r="B18" s="21" t="s">
        <v>15</v>
      </c>
      <c r="C18" s="61"/>
      <c r="D18" s="61"/>
    </row>
    <row r="19" spans="2:4" x14ac:dyDescent="0.3">
      <c r="B19" s="20" t="s">
        <v>14</v>
      </c>
    </row>
    <row r="20" spans="2:4" x14ac:dyDescent="0.3">
      <c r="B20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14"/>
  <sheetViews>
    <sheetView zoomScale="90" zoomScaleNormal="90" zoomScaleSheetLayoutView="100" workbookViewId="0">
      <selection activeCell="G33" sqref="G33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79"/>
      <c r="C7" s="79"/>
      <c r="D7" s="79"/>
      <c r="E7" s="79"/>
    </row>
    <row r="8" spans="1:5" s="51" customFormat="1" ht="33" customHeight="1" x14ac:dyDescent="0.25">
      <c r="A8" s="52"/>
      <c r="B8" s="79"/>
      <c r="C8" s="79"/>
      <c r="D8" s="79"/>
      <c r="E8" s="79"/>
    </row>
    <row r="9" spans="1:5" s="30" customFormat="1" ht="40.5" customHeight="1" x14ac:dyDescent="0.2">
      <c r="B9" s="48" t="s">
        <v>30</v>
      </c>
      <c r="C9" s="50" t="s">
        <v>69</v>
      </c>
      <c r="D9" s="49" t="s">
        <v>29</v>
      </c>
      <c r="E9" s="48" t="s">
        <v>28</v>
      </c>
    </row>
    <row r="10" spans="1:5" ht="15" customHeight="1" x14ac:dyDescent="0.3">
      <c r="B10" s="74" t="s">
        <v>27</v>
      </c>
      <c r="C10" s="46" t="s">
        <v>72</v>
      </c>
      <c r="D10" s="45">
        <v>11</v>
      </c>
      <c r="E10" s="44">
        <v>0.35483870967741937</v>
      </c>
    </row>
    <row r="11" spans="1:5" ht="15" customHeight="1" x14ac:dyDescent="0.3">
      <c r="B11" s="75"/>
      <c r="C11" s="43" t="s">
        <v>18</v>
      </c>
      <c r="D11" s="42">
        <v>11</v>
      </c>
      <c r="E11" s="41">
        <v>0.35483870967741937</v>
      </c>
    </row>
    <row r="12" spans="1:5" ht="15" customHeight="1" x14ac:dyDescent="0.3">
      <c r="B12" s="74" t="s">
        <v>20</v>
      </c>
      <c r="C12" s="46" t="s">
        <v>72</v>
      </c>
      <c r="D12" s="45">
        <v>1</v>
      </c>
      <c r="E12" s="44">
        <v>3.2258064516129031E-2</v>
      </c>
    </row>
    <row r="13" spans="1:5" ht="15" customHeight="1" x14ac:dyDescent="0.3">
      <c r="B13" s="75"/>
      <c r="C13" s="43" t="s">
        <v>18</v>
      </c>
      <c r="D13" s="42">
        <v>1</v>
      </c>
      <c r="E13" s="41">
        <v>3.2258064516129031E-2</v>
      </c>
    </row>
    <row r="14" spans="1:5" ht="15" customHeight="1" x14ac:dyDescent="0.3">
      <c r="B14" s="74" t="s">
        <v>22</v>
      </c>
      <c r="C14" s="46" t="s">
        <v>72</v>
      </c>
      <c r="D14" s="45">
        <v>2</v>
      </c>
      <c r="E14" s="44">
        <v>6.4516129032258063E-2</v>
      </c>
    </row>
    <row r="15" spans="1:5" ht="15" customHeight="1" x14ac:dyDescent="0.3">
      <c r="B15" s="75"/>
      <c r="C15" s="43" t="s">
        <v>18</v>
      </c>
      <c r="D15" s="42">
        <v>2</v>
      </c>
      <c r="E15" s="41">
        <v>6.4516129032258063E-2</v>
      </c>
    </row>
    <row r="16" spans="1:5" ht="15" customHeight="1" x14ac:dyDescent="0.3">
      <c r="B16" s="74" t="s">
        <v>24</v>
      </c>
      <c r="C16" s="46" t="s">
        <v>72</v>
      </c>
      <c r="D16" s="45">
        <v>3</v>
      </c>
      <c r="E16" s="44">
        <v>9.6774193548387094E-2</v>
      </c>
    </row>
    <row r="17" spans="2:5" ht="15" customHeight="1" x14ac:dyDescent="0.3">
      <c r="B17" s="75"/>
      <c r="C17" s="43" t="s">
        <v>18</v>
      </c>
      <c r="D17" s="42">
        <v>3</v>
      </c>
      <c r="E17" s="41">
        <v>9.6774193548387094E-2</v>
      </c>
    </row>
    <row r="18" spans="2:5" ht="15" customHeight="1" x14ac:dyDescent="0.3">
      <c r="B18" s="74" t="s">
        <v>23</v>
      </c>
      <c r="C18" s="46" t="s">
        <v>72</v>
      </c>
      <c r="D18" s="45">
        <v>1</v>
      </c>
      <c r="E18" s="44">
        <v>3.2258064516129031E-2</v>
      </c>
    </row>
    <row r="19" spans="2:5" ht="15" customHeight="1" x14ac:dyDescent="0.3">
      <c r="B19" s="76"/>
      <c r="C19" s="46" t="s">
        <v>71</v>
      </c>
      <c r="D19" s="45">
        <v>2</v>
      </c>
      <c r="E19" s="44">
        <v>6.4516129032258063E-2</v>
      </c>
    </row>
    <row r="20" spans="2:5" ht="15" customHeight="1" x14ac:dyDescent="0.3">
      <c r="B20" s="75"/>
      <c r="C20" s="43" t="s">
        <v>18</v>
      </c>
      <c r="D20" s="42">
        <v>3</v>
      </c>
      <c r="E20" s="41">
        <v>9.6774193548387094E-2</v>
      </c>
    </row>
    <row r="21" spans="2:5" ht="15" customHeight="1" x14ac:dyDescent="0.3">
      <c r="B21" s="74" t="s">
        <v>19</v>
      </c>
      <c r="C21" s="46" t="s">
        <v>72</v>
      </c>
      <c r="D21" s="45">
        <v>1</v>
      </c>
      <c r="E21" s="44">
        <v>3.2258064516129031E-2</v>
      </c>
    </row>
    <row r="22" spans="2:5" ht="15" customHeight="1" x14ac:dyDescent="0.3">
      <c r="B22" s="75"/>
      <c r="C22" s="43" t="s">
        <v>18</v>
      </c>
      <c r="D22" s="42">
        <v>1</v>
      </c>
      <c r="E22" s="41">
        <v>3.2258064516129031E-2</v>
      </c>
    </row>
    <row r="23" spans="2:5" ht="15" customHeight="1" x14ac:dyDescent="0.3">
      <c r="B23" s="74" t="s">
        <v>26</v>
      </c>
      <c r="C23" s="46" t="s">
        <v>72</v>
      </c>
      <c r="D23" s="45">
        <v>3</v>
      </c>
      <c r="E23" s="44">
        <v>9.6774193548387094E-2</v>
      </c>
    </row>
    <row r="24" spans="2:5" ht="15" customHeight="1" x14ac:dyDescent="0.3">
      <c r="B24" s="76"/>
      <c r="C24" s="46" t="s">
        <v>71</v>
      </c>
      <c r="D24" s="45">
        <v>1</v>
      </c>
      <c r="E24" s="44">
        <v>3.2258064516129031E-2</v>
      </c>
    </row>
    <row r="25" spans="2:5" ht="15" customHeight="1" x14ac:dyDescent="0.3">
      <c r="B25" s="75"/>
      <c r="C25" s="43" t="s">
        <v>18</v>
      </c>
      <c r="D25" s="42">
        <v>4</v>
      </c>
      <c r="E25" s="41">
        <v>0.12903225806451613</v>
      </c>
    </row>
    <row r="26" spans="2:5" ht="15" customHeight="1" x14ac:dyDescent="0.3">
      <c r="B26" s="74" t="s">
        <v>21</v>
      </c>
      <c r="C26" s="46" t="s">
        <v>72</v>
      </c>
      <c r="D26" s="45">
        <v>1</v>
      </c>
      <c r="E26" s="44">
        <v>3.2258064516129031E-2</v>
      </c>
    </row>
    <row r="27" spans="2:5" ht="15" customHeight="1" x14ac:dyDescent="0.3">
      <c r="B27" s="76"/>
      <c r="C27" s="46" t="s">
        <v>71</v>
      </c>
      <c r="D27" s="45">
        <v>1</v>
      </c>
      <c r="E27" s="44">
        <v>3.2258064516129031E-2</v>
      </c>
    </row>
    <row r="28" spans="2:5" ht="15" customHeight="1" x14ac:dyDescent="0.3">
      <c r="B28" s="75"/>
      <c r="C28" s="43" t="s">
        <v>18</v>
      </c>
      <c r="D28" s="42">
        <v>2</v>
      </c>
      <c r="E28" s="41">
        <v>6.4516129032258063E-2</v>
      </c>
    </row>
    <row r="29" spans="2:5" ht="15" customHeight="1" x14ac:dyDescent="0.3">
      <c r="B29" s="74" t="s">
        <v>25</v>
      </c>
      <c r="C29" s="46" t="s">
        <v>72</v>
      </c>
      <c r="D29" s="45">
        <v>4</v>
      </c>
      <c r="E29" s="44">
        <v>0.12903225806451613</v>
      </c>
    </row>
    <row r="30" spans="2:5" ht="15" customHeight="1" x14ac:dyDescent="0.3">
      <c r="B30" s="75"/>
      <c r="C30" s="43" t="s">
        <v>18</v>
      </c>
      <c r="D30" s="42">
        <v>4</v>
      </c>
      <c r="E30" s="41">
        <v>0.12903225806451613</v>
      </c>
    </row>
    <row r="31" spans="2:5" ht="15" customHeight="1" x14ac:dyDescent="0.3">
      <c r="B31" s="77" t="s">
        <v>18</v>
      </c>
      <c r="C31" s="78"/>
      <c r="D31" s="59">
        <f>SUMIF(C10:C30,"TOTAL",D10:D30)</f>
        <v>31</v>
      </c>
      <c r="E31" s="60">
        <v>1</v>
      </c>
    </row>
    <row r="33" spans="2:2" ht="15" customHeight="1" x14ac:dyDescent="0.3">
      <c r="B33" s="20" t="s">
        <v>17</v>
      </c>
    </row>
    <row r="34" spans="2:2" ht="15" customHeight="1" x14ac:dyDescent="0.3">
      <c r="B34" s="22" t="s">
        <v>16</v>
      </c>
    </row>
    <row r="35" spans="2:2" ht="15" customHeight="1" x14ac:dyDescent="0.3">
      <c r="B35" s="21" t="s">
        <v>15</v>
      </c>
    </row>
    <row r="36" spans="2:2" ht="15" customHeight="1" x14ac:dyDescent="0.3">
      <c r="B36" s="20" t="s">
        <v>14</v>
      </c>
    </row>
    <row r="37" spans="2:2" ht="15" customHeight="1" x14ac:dyDescent="0.3">
      <c r="B37" s="20" t="s">
        <v>13</v>
      </c>
    </row>
    <row r="410" spans="2:2" s="38" customFormat="1" ht="15" customHeight="1" x14ac:dyDescent="0.3">
      <c r="B410" s="39"/>
    </row>
    <row r="411" spans="2:2" s="38" customFormat="1" ht="15" customHeight="1" x14ac:dyDescent="0.3">
      <c r="B411" s="40"/>
    </row>
    <row r="412" spans="2:2" s="38" customFormat="1" ht="15" customHeight="1" x14ac:dyDescent="0.3">
      <c r="B412" s="40"/>
    </row>
    <row r="413" spans="2:2" s="38" customFormat="1" ht="15" customHeight="1" x14ac:dyDescent="0.3">
      <c r="B413" s="39"/>
    </row>
    <row r="414" spans="2:2" s="38" customFormat="1" ht="15" customHeight="1" x14ac:dyDescent="0.3">
      <c r="B414" s="39"/>
    </row>
  </sheetData>
  <mergeCells count="11">
    <mergeCell ref="B31:C31"/>
    <mergeCell ref="B26:B28"/>
    <mergeCell ref="B18:B20"/>
    <mergeCell ref="B21:B22"/>
    <mergeCell ref="B23:B25"/>
    <mergeCell ref="B29:B30"/>
    <mergeCell ref="B10:B11"/>
    <mergeCell ref="B12:B13"/>
    <mergeCell ref="B14:B15"/>
    <mergeCell ref="B16:B17"/>
    <mergeCell ref="B7:E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1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89"/>
  <sheetViews>
    <sheetView zoomScaleNormal="100" zoomScaleSheetLayoutView="100" workbookViewId="0">
      <selection activeCell="F8" sqref="F8"/>
    </sheetView>
  </sheetViews>
  <sheetFormatPr baseColWidth="10" defaultColWidth="35" defaultRowHeight="15" customHeight="1" x14ac:dyDescent="0.3"/>
  <cols>
    <col min="1" max="1" width="1" style="37" customWidth="1"/>
    <col min="2" max="2" width="22.88671875" style="38" customWidth="1"/>
    <col min="3" max="3" width="31.44140625" style="38" customWidth="1"/>
    <col min="4" max="4" width="14.33203125" style="38" customWidth="1"/>
    <col min="5" max="5" width="16.88671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25">
      <c r="A7" s="52"/>
      <c r="B7" s="79"/>
      <c r="C7" s="79"/>
      <c r="D7" s="79"/>
      <c r="E7" s="79"/>
    </row>
    <row r="8" spans="1:5" s="51" customFormat="1" ht="33" customHeight="1" x14ac:dyDescent="0.25">
      <c r="A8" s="52"/>
      <c r="B8" s="79"/>
      <c r="C8" s="79"/>
      <c r="D8" s="79"/>
      <c r="E8" s="79"/>
    </row>
    <row r="9" spans="1:5" s="30" customFormat="1" ht="40.5" customHeight="1" x14ac:dyDescent="0.2">
      <c r="B9" s="48" t="s">
        <v>69</v>
      </c>
      <c r="C9" s="50" t="s">
        <v>78</v>
      </c>
      <c r="D9" s="49" t="s">
        <v>29</v>
      </c>
      <c r="E9" s="48" t="s">
        <v>28</v>
      </c>
    </row>
    <row r="10" spans="1:5" ht="15" customHeight="1" x14ac:dyDescent="0.3">
      <c r="B10" s="74" t="s">
        <v>72</v>
      </c>
      <c r="C10" s="46" t="s">
        <v>75</v>
      </c>
      <c r="D10" s="45">
        <v>11</v>
      </c>
      <c r="E10" s="44">
        <v>0.35483870967741937</v>
      </c>
    </row>
    <row r="11" spans="1:5" ht="15" customHeight="1" x14ac:dyDescent="0.3">
      <c r="B11" s="76"/>
      <c r="C11" s="46" t="s">
        <v>74</v>
      </c>
      <c r="D11" s="45">
        <v>11</v>
      </c>
      <c r="E11" s="44">
        <v>0.35483870967741937</v>
      </c>
    </row>
    <row r="12" spans="1:5" ht="15" customHeight="1" x14ac:dyDescent="0.3">
      <c r="B12" s="76"/>
      <c r="C12" s="46" t="s">
        <v>73</v>
      </c>
      <c r="D12" s="45">
        <v>4</v>
      </c>
      <c r="E12" s="44">
        <v>0.12903225806451613</v>
      </c>
    </row>
    <row r="13" spans="1:5" ht="15" customHeight="1" x14ac:dyDescent="0.3">
      <c r="B13" s="75"/>
      <c r="C13" s="46" t="s">
        <v>77</v>
      </c>
      <c r="D13" s="45">
        <v>1</v>
      </c>
      <c r="E13" s="44">
        <v>3.2258064516129031E-2</v>
      </c>
    </row>
    <row r="14" spans="1:5" ht="15" customHeight="1" x14ac:dyDescent="0.3">
      <c r="B14" s="74" t="s">
        <v>71</v>
      </c>
      <c r="C14" s="46" t="s">
        <v>76</v>
      </c>
      <c r="D14" s="45">
        <v>1</v>
      </c>
      <c r="E14" s="44">
        <v>3.2258064516129031E-2</v>
      </c>
    </row>
    <row r="15" spans="1:5" s="47" customFormat="1" ht="15" customHeight="1" x14ac:dyDescent="0.2">
      <c r="B15" s="76"/>
      <c r="C15" s="46" t="s">
        <v>75</v>
      </c>
      <c r="D15" s="45">
        <v>1</v>
      </c>
      <c r="E15" s="44">
        <v>3.2258064516129031E-2</v>
      </c>
    </row>
    <row r="16" spans="1:5" s="47" customFormat="1" ht="15" customHeight="1" x14ac:dyDescent="0.2">
      <c r="B16" s="76"/>
      <c r="C16" s="46" t="s">
        <v>74</v>
      </c>
      <c r="D16" s="45">
        <v>1</v>
      </c>
      <c r="E16" s="44">
        <v>3.2258064516129031E-2</v>
      </c>
    </row>
    <row r="17" spans="2:5" s="47" customFormat="1" ht="15" customHeight="1" x14ac:dyDescent="0.2">
      <c r="B17" s="75"/>
      <c r="C17" s="46" t="s">
        <v>73</v>
      </c>
      <c r="D17" s="45">
        <v>1</v>
      </c>
      <c r="E17" s="44">
        <v>3.2258064516129031E-2</v>
      </c>
    </row>
    <row r="18" spans="2:5" s="47" customFormat="1" ht="15" customHeight="1" x14ac:dyDescent="0.2">
      <c r="B18" s="77" t="s">
        <v>18</v>
      </c>
      <c r="C18" s="78"/>
      <c r="D18" s="59">
        <v>31</v>
      </c>
      <c r="E18" s="60">
        <v>1</v>
      </c>
    </row>
    <row r="19" spans="2:5" s="47" customFormat="1" ht="15" customHeight="1" x14ac:dyDescent="0.2">
      <c r="B19" s="20"/>
    </row>
    <row r="20" spans="2:5" ht="15" customHeight="1" x14ac:dyDescent="0.3">
      <c r="B20" s="20" t="s">
        <v>17</v>
      </c>
    </row>
    <row r="21" spans="2:5" ht="15" customHeight="1" x14ac:dyDescent="0.3">
      <c r="B21" s="22" t="s">
        <v>16</v>
      </c>
    </row>
    <row r="22" spans="2:5" ht="15" customHeight="1" x14ac:dyDescent="0.3">
      <c r="B22" s="21" t="s">
        <v>15</v>
      </c>
    </row>
    <row r="23" spans="2:5" ht="15" customHeight="1" x14ac:dyDescent="0.3">
      <c r="B23" s="20" t="s">
        <v>14</v>
      </c>
    </row>
    <row r="24" spans="2:5" ht="15" customHeight="1" x14ac:dyDescent="0.3">
      <c r="B24" s="20" t="s">
        <v>13</v>
      </c>
    </row>
    <row r="485" spans="2:2" s="38" customFormat="1" ht="15" customHeight="1" x14ac:dyDescent="0.3">
      <c r="B485" s="39"/>
    </row>
    <row r="486" spans="2:2" s="38" customFormat="1" ht="15" customHeight="1" x14ac:dyDescent="0.3">
      <c r="B486" s="40"/>
    </row>
    <row r="487" spans="2:2" s="38" customFormat="1" ht="15" customHeight="1" x14ac:dyDescent="0.3">
      <c r="B487" s="40"/>
    </row>
    <row r="488" spans="2:2" s="38" customFormat="1" ht="15" customHeight="1" x14ac:dyDescent="0.3">
      <c r="B488" s="39"/>
    </row>
    <row r="489" spans="2:2" s="38" customFormat="1" ht="15" customHeight="1" x14ac:dyDescent="0.3">
      <c r="B489" s="39"/>
    </row>
  </sheetData>
  <mergeCells count="4">
    <mergeCell ref="B7:E8"/>
    <mergeCell ref="B10:B13"/>
    <mergeCell ref="B14:B17"/>
    <mergeCell ref="B18:C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3"/>
  <sheetViews>
    <sheetView showGridLines="0" tabSelected="1" topLeftCell="A5" zoomScaleNormal="100" zoomScaleSheetLayoutView="115" workbookViewId="0">
      <selection activeCell="J24" sqref="J24"/>
    </sheetView>
  </sheetViews>
  <sheetFormatPr baseColWidth="10" defaultColWidth="11.44140625" defaultRowHeight="14.4" x14ac:dyDescent="0.3"/>
  <cols>
    <col min="1" max="1" width="9.33203125" style="18" customWidth="1"/>
    <col min="2" max="2" width="21.6640625" style="18" customWidth="1"/>
    <col min="3" max="3" width="17.6640625" style="19" customWidth="1"/>
    <col min="4" max="4" width="17.6640625" style="18" customWidth="1"/>
    <col min="5" max="5" width="9.33203125" style="18" customWidth="1"/>
    <col min="6" max="6" width="5.6640625" style="18" customWidth="1"/>
    <col min="7" max="16384" width="11.44140625" style="18"/>
  </cols>
  <sheetData>
    <row r="1" spans="2:4" s="30" customFormat="1" ht="15" customHeight="1" x14ac:dyDescent="0.2">
      <c r="C1" s="36"/>
    </row>
    <row r="2" spans="2:4" s="30" customFormat="1" ht="15" customHeight="1" x14ac:dyDescent="0.2">
      <c r="C2" s="36"/>
    </row>
    <row r="3" spans="2:4" s="30" customFormat="1" ht="15" customHeight="1" x14ac:dyDescent="0.2">
      <c r="C3" s="36"/>
    </row>
    <row r="4" spans="2:4" s="30" customFormat="1" ht="30" customHeight="1" x14ac:dyDescent="0.2">
      <c r="C4" s="36"/>
      <c r="D4" s="35"/>
    </row>
    <row r="5" spans="2:4" s="30" customFormat="1" ht="15" customHeight="1" x14ac:dyDescent="0.2">
      <c r="C5" s="36"/>
      <c r="D5" s="35"/>
    </row>
    <row r="6" spans="2:4" s="30" customFormat="1" ht="15" customHeight="1" x14ac:dyDescent="0.2">
      <c r="C6" s="36"/>
      <c r="D6" s="35"/>
    </row>
    <row r="7" spans="2:4" s="30" customFormat="1" ht="15" customHeight="1" x14ac:dyDescent="0.2">
      <c r="B7" s="73" t="s">
        <v>85</v>
      </c>
      <c r="C7" s="73"/>
      <c r="D7" s="73"/>
    </row>
    <row r="8" spans="2:4" s="30" customFormat="1" ht="15" customHeight="1" x14ac:dyDescent="0.2">
      <c r="B8" s="73"/>
      <c r="C8" s="73"/>
      <c r="D8" s="73"/>
    </row>
    <row r="9" spans="2:4" s="30" customFormat="1" ht="33" customHeight="1" x14ac:dyDescent="0.2">
      <c r="B9" s="73"/>
      <c r="C9" s="73"/>
      <c r="D9" s="73"/>
    </row>
    <row r="10" spans="2:4" s="30" customFormat="1" ht="4.5" customHeight="1" x14ac:dyDescent="0.2">
      <c r="B10" s="34"/>
      <c r="C10" s="34"/>
      <c r="D10" s="34"/>
    </row>
    <row r="11" spans="2:4" s="30" customFormat="1" ht="33" customHeight="1" x14ac:dyDescent="0.2">
      <c r="B11" s="33" t="s">
        <v>84</v>
      </c>
      <c r="C11" s="32" t="s">
        <v>29</v>
      </c>
      <c r="D11" s="31" t="s">
        <v>28</v>
      </c>
    </row>
    <row r="12" spans="2:4" ht="15" customHeight="1" x14ac:dyDescent="0.3">
      <c r="B12" s="28" t="s">
        <v>83</v>
      </c>
      <c r="C12" s="27">
        <v>21</v>
      </c>
      <c r="D12" s="26">
        <v>0.67741935483870963</v>
      </c>
    </row>
    <row r="13" spans="2:4" x14ac:dyDescent="0.3">
      <c r="B13" s="28" t="s">
        <v>82</v>
      </c>
      <c r="C13" s="27">
        <v>4</v>
      </c>
      <c r="D13" s="26">
        <v>0.12903225806451613</v>
      </c>
    </row>
    <row r="14" spans="2:4" s="29" customFormat="1" ht="15" x14ac:dyDescent="0.3">
      <c r="B14" s="28" t="s">
        <v>81</v>
      </c>
      <c r="C14" s="27">
        <v>3</v>
      </c>
      <c r="D14" s="26">
        <v>9.6774193548387094E-2</v>
      </c>
    </row>
    <row r="15" spans="2:4" s="29" customFormat="1" ht="15" x14ac:dyDescent="0.3">
      <c r="B15" s="28" t="s">
        <v>80</v>
      </c>
      <c r="C15" s="27">
        <v>2</v>
      </c>
      <c r="D15" s="26">
        <v>6.4516129032258063E-2</v>
      </c>
    </row>
    <row r="16" spans="2:4" x14ac:dyDescent="0.3">
      <c r="B16" s="28" t="s">
        <v>79</v>
      </c>
      <c r="C16" s="27">
        <v>1</v>
      </c>
      <c r="D16" s="26">
        <v>3.2258064516129031E-2</v>
      </c>
    </row>
    <row r="17" spans="2:4" x14ac:dyDescent="0.3">
      <c r="B17" s="25" t="s">
        <v>18</v>
      </c>
      <c r="C17" s="24">
        <v>31</v>
      </c>
      <c r="D17" s="23">
        <v>1</v>
      </c>
    </row>
    <row r="18" spans="2:4" x14ac:dyDescent="0.3">
      <c r="B18" s="20"/>
    </row>
    <row r="19" spans="2:4" x14ac:dyDescent="0.3">
      <c r="B19" s="20" t="s">
        <v>17</v>
      </c>
    </row>
    <row r="20" spans="2:4" x14ac:dyDescent="0.3">
      <c r="B20" s="22" t="s">
        <v>16</v>
      </c>
    </row>
    <row r="21" spans="2:4" x14ac:dyDescent="0.3">
      <c r="B21" s="21" t="s">
        <v>15</v>
      </c>
    </row>
    <row r="22" spans="2:4" x14ac:dyDescent="0.3">
      <c r="B22" s="20" t="s">
        <v>14</v>
      </c>
    </row>
    <row r="23" spans="2:4" x14ac:dyDescent="0.3">
      <c r="B23" s="20" t="s">
        <v>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Maine_Edomexgral</vt:lpstr>
      <vt:lpstr>Maine_EDOMEX</vt:lpstr>
      <vt:lpstr>Maine_Educagral</vt:lpstr>
      <vt:lpstr>Maine_Eduedo</vt:lpstr>
      <vt:lpstr>Maine_gengral</vt:lpstr>
      <vt:lpstr>Maine_edomexgen</vt:lpstr>
      <vt:lpstr>Maine_edadgen</vt:lpstr>
      <vt:lpstr>Maine_ocupgral</vt:lpstr>
      <vt:lpstr>Maine_edadgen!Área_de_impresión</vt:lpstr>
      <vt:lpstr>Maine_EDOMEX!Área_de_impresión</vt:lpstr>
      <vt:lpstr>Maine_edomexgen!Área_de_impresión</vt:lpstr>
      <vt:lpstr>Maine_Eduedo!Área_de_impresión</vt:lpstr>
      <vt:lpstr>Maine_edadgen!Títulos_a_imprimir</vt:lpstr>
      <vt:lpstr>Maine_EDOMEX!Títulos_a_imprimir</vt:lpstr>
      <vt:lpstr>Maine_edomexgen!Títulos_a_imprimir</vt:lpstr>
      <vt:lpstr>Maine_Edomexgral!Títulos_a_imprimir</vt:lpstr>
      <vt:lpstr>Maine_Educagral!Títulos_a_imprimir</vt:lpstr>
      <vt:lpstr>Maine_Eduedo!Títulos_a_imprimir</vt:lpstr>
      <vt:lpstr>Maine_gengral!Títulos_a_imprimir</vt:lpstr>
      <vt:lpstr>Maine_ocupgral!Títulos_a_imprimir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2020-06-24T18:42:18Z</dcterms:created>
  <dcterms:modified xsi:type="dcterms:W3CDTF">2020-08-07T17:09:34Z</dcterms:modified>
</cp:coreProperties>
</file>