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" r:id="rId1"/>
    <sheet name="Massachusetts_Edomexgral" sheetId="2" r:id="rId2"/>
    <sheet name="Massachusetts_EDOMEX" sheetId="11" r:id="rId3"/>
    <sheet name="Massachusetts_Educagral" sheetId="4" r:id="rId4"/>
    <sheet name="Massachusetts_Eduedo" sheetId="10" r:id="rId5"/>
    <sheet name="Massachusetts_gengral" sheetId="6" r:id="rId6"/>
    <sheet name="Massachusetts_edomexgen" sheetId="7" r:id="rId7"/>
    <sheet name="Massachusetts_edadgen" sheetId="8" r:id="rId8"/>
    <sheet name="Massachusetts_ocupgral" sheetId="9" r:id="rId9"/>
  </sheets>
  <definedNames>
    <definedName name="_xlnm._FilterDatabase" localSheetId="7" hidden="1">Massachusetts_edadgen!$B$9:$E$13</definedName>
    <definedName name="_xlnm._FilterDatabase" localSheetId="2" hidden="1">Massachusetts_EDOMEX!$B$9:$E$13</definedName>
    <definedName name="_xlnm._FilterDatabase" localSheetId="6" hidden="1">Massachusetts_edomexgen!$B$9:$E$13</definedName>
    <definedName name="_xlnm._FilterDatabase" localSheetId="1" hidden="1">Massachusetts_Edomexgral!$B$11:$D$12</definedName>
    <definedName name="_xlnm._FilterDatabase" localSheetId="3" hidden="1">Massachusetts_Educagral!$B$11:$D$12</definedName>
    <definedName name="_xlnm._FilterDatabase" localSheetId="4" hidden="1">Massachusetts_Eduedo!$B$9:$E$13</definedName>
    <definedName name="_xlnm._FilterDatabase" localSheetId="5" hidden="1">Massachusetts_gengral!$B$11:$D$12</definedName>
    <definedName name="_xlnm._FilterDatabase" localSheetId="8" hidden="1">Massachusetts_ocupgral!$B$11:$D$12</definedName>
    <definedName name="_xlnm.Print_Area" localSheetId="7">Massachusetts_edadgen!$A$1:$E$27</definedName>
    <definedName name="_xlnm.Print_Area" localSheetId="2">Massachusetts_EDOMEX!$A$1:$E$309</definedName>
    <definedName name="_xlnm.Print_Area" localSheetId="6">Massachusetts_edomexgen!$A$1:$E$98</definedName>
    <definedName name="_xlnm.Print_Area" localSheetId="4">Massachusetts_Eduedo!$A$1:$E$209</definedName>
    <definedName name="_xlnm.Print_Titles" localSheetId="7">Massachusetts_edadgen!$1:$9</definedName>
    <definedName name="_xlnm.Print_Titles" localSheetId="2">Massachusetts_EDOMEX!$1:$9</definedName>
    <definedName name="_xlnm.Print_Titles" localSheetId="6">Massachusetts_edomexgen!$1:$9</definedName>
    <definedName name="_xlnm.Print_Titles" localSheetId="1">Massachusetts_Edomexgral!$1:$11</definedName>
    <definedName name="_xlnm.Print_Titles" localSheetId="3">Massachusetts_Educagral!$1:$11</definedName>
    <definedName name="_xlnm.Print_Titles" localSheetId="4">Massachusetts_Eduedo!$1:$9</definedName>
    <definedName name="_xlnm.Print_Titles" localSheetId="5">Massachusetts_gengral!$1:$11</definedName>
    <definedName name="_xlnm.Print_Titles" localSheetId="8">Massachusetts_ocupgral!$1:$11</definedName>
  </definedNames>
  <calcPr calcId="152511"/>
</workbook>
</file>

<file path=xl/calcChain.xml><?xml version="1.0" encoding="utf-8"?>
<calcChain xmlns="http://schemas.openxmlformats.org/spreadsheetml/2006/main">
  <c r="D303" i="11" l="1"/>
  <c r="D92" i="7" l="1"/>
</calcChain>
</file>

<file path=xl/sharedStrings.xml><?xml version="1.0" encoding="utf-8"?>
<sst xmlns="http://schemas.openxmlformats.org/spreadsheetml/2006/main" count="821" uniqueCount="358">
  <si>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</si>
  <si>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</si>
  <si>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</si>
  <si>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</si>
  <si>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</si>
  <si>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</si>
  <si>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</si>
  <si>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</si>
  <si>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</si>
  <si>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</si>
  <si>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</si>
  <si>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</si>
  <si>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Massachusetts en el 2019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</si>
  <si>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</si>
  <si>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</si>
  <si>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</si>
  <si>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</si>
  <si>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</si>
  <si>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</si>
  <si>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Zacatecas</t>
  </si>
  <si>
    <t>Yucatán</t>
  </si>
  <si>
    <t>Sinaloa</t>
  </si>
  <si>
    <t>Quintana Roo</t>
  </si>
  <si>
    <t>Durango</t>
  </si>
  <si>
    <t>Colima</t>
  </si>
  <si>
    <t>Campeche</t>
  </si>
  <si>
    <t>Tabasco</t>
  </si>
  <si>
    <t>Nayarit</t>
  </si>
  <si>
    <t>Chihuahua</t>
  </si>
  <si>
    <t>Baja California</t>
  </si>
  <si>
    <t>Aguascalientes</t>
  </si>
  <si>
    <t>Tlaxcala</t>
  </si>
  <si>
    <t>Tamaulipas</t>
  </si>
  <si>
    <t>Nuevo León</t>
  </si>
  <si>
    <t>Sonora</t>
  </si>
  <si>
    <t>Morelos</t>
  </si>
  <si>
    <t>San Luis Potosí</t>
  </si>
  <si>
    <t>Querétaro</t>
  </si>
  <si>
    <t>Hidalgo</t>
  </si>
  <si>
    <t>Estado de México</t>
  </si>
  <si>
    <t>Guanajuato</t>
  </si>
  <si>
    <t>Ciudad de México</t>
  </si>
  <si>
    <t>Michoacán</t>
  </si>
  <si>
    <t>Puebla</t>
  </si>
  <si>
    <t>Veracruz</t>
  </si>
  <si>
    <t>Oaxaca</t>
  </si>
  <si>
    <t>Jalisco</t>
  </si>
  <si>
    <t>Chiapas</t>
  </si>
  <si>
    <t>Guerrero</t>
  </si>
  <si>
    <t>Porcentaje de Matrículas</t>
  </si>
  <si>
    <t>Número de Matrículas</t>
  </si>
  <si>
    <t>Estado de Origen</t>
  </si>
  <si>
    <t>MATRÍCULAS CONSULARES DE ALTA SEGURIDAD EXPEDIDAS EN EL ESTADO DE MASSACHUSETTS EN EE.UU. POR ESTADO DE LA REPÚBLICA MEXICANA DURANTE EL 2019</t>
  </si>
  <si>
    <t>Pinos</t>
  </si>
  <si>
    <t>Motul</t>
  </si>
  <si>
    <t>Zentla</t>
  </si>
  <si>
    <t>Tlalixcoyan</t>
  </si>
  <si>
    <t>Tierra Blanca</t>
  </si>
  <si>
    <t>Álamo Temapache</t>
  </si>
  <si>
    <t>Soledad de Doblado</t>
  </si>
  <si>
    <t>San Juan Evangelista</t>
  </si>
  <si>
    <t>San Andrés Tuxtla</t>
  </si>
  <si>
    <t>Puente Nacional</t>
  </si>
  <si>
    <t>Poza Rica de Hidalgo</t>
  </si>
  <si>
    <t>Papantla</t>
  </si>
  <si>
    <t>Nanchital de Lázaro Cárdenas del Río</t>
  </si>
  <si>
    <t>Minatitlán</t>
  </si>
  <si>
    <t>Martínez de la Torre</t>
  </si>
  <si>
    <t>Las Choapas</t>
  </si>
  <si>
    <t>José Azueta</t>
  </si>
  <si>
    <t>Jesús Carranza</t>
  </si>
  <si>
    <t>Isla</t>
  </si>
  <si>
    <t>Ignacio de la Llave</t>
  </si>
  <si>
    <t>Huatusco</t>
  </si>
  <si>
    <t>Cosoleacaque</t>
  </si>
  <si>
    <t>Cosamaloapan de Carpio</t>
  </si>
  <si>
    <t>Córdoba</t>
  </si>
  <si>
    <t>Colipa</t>
  </si>
  <si>
    <t>Coatzacoalcos</t>
  </si>
  <si>
    <t>Chumatlán</t>
  </si>
  <si>
    <t>Calcahualco</t>
  </si>
  <si>
    <t>Atzalan</t>
  </si>
  <si>
    <t>Actopan</t>
  </si>
  <si>
    <t>Xaltocan</t>
  </si>
  <si>
    <t>Tenancingo</t>
  </si>
  <si>
    <t>Chiautempan</t>
  </si>
  <si>
    <t>Tampico</t>
  </si>
  <si>
    <t>Reynosa</t>
  </si>
  <si>
    <t>Matamoros</t>
  </si>
  <si>
    <t>Huimanguillo</t>
  </si>
  <si>
    <t>Balancán</t>
  </si>
  <si>
    <t>Quiriego</t>
  </si>
  <si>
    <t>Nogales</t>
  </si>
  <si>
    <t>Empalme</t>
  </si>
  <si>
    <t>Cajeme</t>
  </si>
  <si>
    <t>Guasave</t>
  </si>
  <si>
    <t>Villa de Reyes</t>
  </si>
  <si>
    <t>Salinas</t>
  </si>
  <si>
    <t>Huehuetlán</t>
  </si>
  <si>
    <t>Charcas</t>
  </si>
  <si>
    <t>Othón P. Blanco</t>
  </si>
  <si>
    <t>San Juan del Río</t>
  </si>
  <si>
    <t>Huimilpan</t>
  </si>
  <si>
    <t>El Marqués</t>
  </si>
  <si>
    <t>Zacapoaxtla</t>
  </si>
  <si>
    <t>Tzicatlacoyan</t>
  </si>
  <si>
    <t>Tuzamapan de Galeana</t>
  </si>
  <si>
    <t>Tochimilco</t>
  </si>
  <si>
    <t>Tlatlauquitepec</t>
  </si>
  <si>
    <t>Tlaltenango</t>
  </si>
  <si>
    <t>Tlahuapan</t>
  </si>
  <si>
    <t>Tianguismanalco</t>
  </si>
  <si>
    <t>Tepexco</t>
  </si>
  <si>
    <t>Tepeaca</t>
  </si>
  <si>
    <t>San Martín Texmelucan</t>
  </si>
  <si>
    <t>San Jerónimo Xayacatlán</t>
  </si>
  <si>
    <t>Ocoyucan</t>
  </si>
  <si>
    <t>Nealtican</t>
  </si>
  <si>
    <t>Izúcar de Matamoros</t>
  </si>
  <si>
    <t>Huejotzingo</t>
  </si>
  <si>
    <t>Chignahuapan</t>
  </si>
  <si>
    <t>Chiautzingo</t>
  </si>
  <si>
    <t>Chiautla</t>
  </si>
  <si>
    <t>Cañada Morelos</t>
  </si>
  <si>
    <t>Caltepec</t>
  </si>
  <si>
    <t>Calpan</t>
  </si>
  <si>
    <t>Atlixco</t>
  </si>
  <si>
    <t>Ajalpan</t>
  </si>
  <si>
    <t>Ahuehuetitla</t>
  </si>
  <si>
    <t>Totontepec Villa de Morelos</t>
  </si>
  <si>
    <t>Tlacolula de Matamoros</t>
  </si>
  <si>
    <t>Tezoatlán de Segura y Luna</t>
  </si>
  <si>
    <t>Tamazulápam del Espíritu Santo</t>
  </si>
  <si>
    <t>Santos Reyes Nopala</t>
  </si>
  <si>
    <t>Santo Domingo Tomaltepec</t>
  </si>
  <si>
    <t>Santo Domingo Tehuantepec</t>
  </si>
  <si>
    <t>Santiago Chazumba</t>
  </si>
  <si>
    <t>Santa María Zacatepec</t>
  </si>
  <si>
    <t>Santa Cruz Zenzontepec</t>
  </si>
  <si>
    <t>San Sebastián Coatlán</t>
  </si>
  <si>
    <t>San Pedro Yólox</t>
  </si>
  <si>
    <t>San Pedro y San Pablo Teposcolula</t>
  </si>
  <si>
    <t>San Pedro Mixtepec - Distr. 22 -</t>
  </si>
  <si>
    <t>San Miguel del Puerto</t>
  </si>
  <si>
    <t>San Juan Lalana</t>
  </si>
  <si>
    <t>San Juan Lachao</t>
  </si>
  <si>
    <t>San Jerónimo Coatlán</t>
  </si>
  <si>
    <t>San Dionisio del Mar</t>
  </si>
  <si>
    <t>San Carlos Yautepec</t>
  </si>
  <si>
    <t>San Antonino Monte Verde</t>
  </si>
  <si>
    <t>San Agustín Yatareni</t>
  </si>
  <si>
    <t>Putla Villa de Guerrero</t>
  </si>
  <si>
    <t>Pinotepa de Don Luis</t>
  </si>
  <si>
    <t>Oaxaca de Juárez</t>
  </si>
  <si>
    <t>Heroica Ciudad de Juchitán de Zaragoza</t>
  </si>
  <si>
    <t>Monterrey</t>
  </si>
  <si>
    <t>Tecuala</t>
  </si>
  <si>
    <t>Rosamorada</t>
  </si>
  <si>
    <t>Xochitepec</t>
  </si>
  <si>
    <t>Tlaquiltenango</t>
  </si>
  <si>
    <t>Tetela del Volcán</t>
  </si>
  <si>
    <t>Puente de Ixtla</t>
  </si>
  <si>
    <t>Ocuituco</t>
  </si>
  <si>
    <t>Cuautla</t>
  </si>
  <si>
    <t>Ziracuaretiro</t>
  </si>
  <si>
    <t>Zinapécuaro</t>
  </si>
  <si>
    <t>Zamora</t>
  </si>
  <si>
    <t>Venustiano Carranza</t>
  </si>
  <si>
    <t>Tuzantla</t>
  </si>
  <si>
    <t>Tuxpan</t>
  </si>
  <si>
    <t>Tingambato</t>
  </si>
  <si>
    <t>Tacámbaro</t>
  </si>
  <si>
    <t>San Lucas</t>
  </si>
  <si>
    <t>Salvador Escalante</t>
  </si>
  <si>
    <t>Quiroga</t>
  </si>
  <si>
    <t>Pátzcuaro</t>
  </si>
  <si>
    <t>Morelia</t>
  </si>
  <si>
    <t>Los Reyes</t>
  </si>
  <si>
    <t>Huetamo</t>
  </si>
  <si>
    <t>Cherán</t>
  </si>
  <si>
    <t>Apatzingán</t>
  </si>
  <si>
    <t>Zapopan</t>
  </si>
  <si>
    <t>Unión de Tula</t>
  </si>
  <si>
    <t>Tomatlán</t>
  </si>
  <si>
    <t>San Pedro Tlaquepaque</t>
  </si>
  <si>
    <t>Tlajomulco de Zúñiga</t>
  </si>
  <si>
    <t>Tizapán el Alto</t>
  </si>
  <si>
    <t>San Miguel el Alto</t>
  </si>
  <si>
    <t>La Manzanilla de la Paz</t>
  </si>
  <si>
    <t>Jilotlán de los Dolores</t>
  </si>
  <si>
    <t>Jesús María</t>
  </si>
  <si>
    <t>Jalostotitlán</t>
  </si>
  <si>
    <t>Guadalajara</t>
  </si>
  <si>
    <t>El Salto</t>
  </si>
  <si>
    <t>Cuautitlán de García Barragán</t>
  </si>
  <si>
    <t>Chiquilistlán</t>
  </si>
  <si>
    <t>Casimiro Castillo</t>
  </si>
  <si>
    <t>Ayutla</t>
  </si>
  <si>
    <t>Ayotlán</t>
  </si>
  <si>
    <t>Autlán de Navarro</t>
  </si>
  <si>
    <t>Atenguillo</t>
  </si>
  <si>
    <t>Arandas</t>
  </si>
  <si>
    <t>Ameca</t>
  </si>
  <si>
    <t>Zimapán</t>
  </si>
  <si>
    <t>Tasquillo</t>
  </si>
  <si>
    <t>Nopala de Villagrán</t>
  </si>
  <si>
    <t>Ixmiquilpan</t>
  </si>
  <si>
    <t>Huichapan</t>
  </si>
  <si>
    <t>Francisco I. Madero</t>
  </si>
  <si>
    <t>Alfajayucan</t>
  </si>
  <si>
    <t>Xalpatláhuac</t>
  </si>
  <si>
    <t>Tlapehuala</t>
  </si>
  <si>
    <t>Tlapa de Comonfort</t>
  </si>
  <si>
    <t>Tetipac</t>
  </si>
  <si>
    <t>Tecoanapa</t>
  </si>
  <si>
    <t>Taxco de Alarcón</t>
  </si>
  <si>
    <t>San Luis Acatlán</t>
  </si>
  <si>
    <t>Ometepec</t>
  </si>
  <si>
    <t>Mártir de Cuilapan</t>
  </si>
  <si>
    <t>Malinaltepec</t>
  </si>
  <si>
    <t>Iguala de la Independencia</t>
  </si>
  <si>
    <t>Huitzuco de los Figueroa</t>
  </si>
  <si>
    <t>General Heliodoro Castillo</t>
  </si>
  <si>
    <t>Cuajinicuilapa</t>
  </si>
  <si>
    <t>Coyuca de Catalán</t>
  </si>
  <si>
    <t>Copanatoyac</t>
  </si>
  <si>
    <t>Chilapa de Álvarez</t>
  </si>
  <si>
    <t>Ayutla de los Libres</t>
  </si>
  <si>
    <t>Apaxtla</t>
  </si>
  <si>
    <t>Ahuacuotzingo</t>
  </si>
  <si>
    <t>Acapulco de Juárez</t>
  </si>
  <si>
    <t>Uriangato</t>
  </si>
  <si>
    <t>Tarimoro</t>
  </si>
  <si>
    <t>Silao de la Victoria</t>
  </si>
  <si>
    <t>San Luis de la Paz</t>
  </si>
  <si>
    <t>San José Iturbide</t>
  </si>
  <si>
    <t>San Francisco del Rincón</t>
  </si>
  <si>
    <t>Pénjamo</t>
  </si>
  <si>
    <t>León</t>
  </si>
  <si>
    <t>Jerécuaro</t>
  </si>
  <si>
    <t>Irapuato</t>
  </si>
  <si>
    <t>Dolores Hidalgo Cuna de la Independencia Nacional</t>
  </si>
  <si>
    <t>Cortazar</t>
  </si>
  <si>
    <t>Celaya</t>
  </si>
  <si>
    <t>Apaseo el Grande</t>
  </si>
  <si>
    <t>Toluca</t>
  </si>
  <si>
    <t>Teoloyucan</t>
  </si>
  <si>
    <t>Tejupilco</t>
  </si>
  <si>
    <t>San Felipe del Progreso</t>
  </si>
  <si>
    <t>Otumba</t>
  </si>
  <si>
    <t>Nezahualcóyotl</t>
  </si>
  <si>
    <t>Ixtapan de la Sal</t>
  </si>
  <si>
    <t>Ixtapaluca</t>
  </si>
  <si>
    <t>Ecatepec de Morelos</t>
  </si>
  <si>
    <t>Cuautitlán Izcalli</t>
  </si>
  <si>
    <t>Cuautitlán</t>
  </si>
  <si>
    <t>Aculco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</si>
  <si>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</si>
  <si>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</si>
  <si>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</si>
  <si>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</si>
  <si>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</si>
  <si>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</si>
  <si>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</si>
  <si>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</si>
  <si>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Coyoacán</t>
  </si>
  <si>
    <t>Benito Juárez</t>
  </si>
  <si>
    <t>Azcapotzalco</t>
  </si>
  <si>
    <t>Álvaro Obregón</t>
  </si>
  <si>
    <t>Juárez</t>
  </si>
  <si>
    <t>Hidalgo del Parral</t>
  </si>
  <si>
    <t>Unión Juárez</t>
  </si>
  <si>
    <t>Teopisca</t>
  </si>
  <si>
    <t>Tenejapa</t>
  </si>
  <si>
    <t>Tapachula</t>
  </si>
  <si>
    <t>Suchiate</t>
  </si>
  <si>
    <t>Siltepec</t>
  </si>
  <si>
    <t>San Cristóbal de las Casas</t>
  </si>
  <si>
    <t>Sabanilla</t>
  </si>
  <si>
    <t>Palenque</t>
  </si>
  <si>
    <t>Ocozocoautla de Espinosa</t>
  </si>
  <si>
    <t>Ocosingo</t>
  </si>
  <si>
    <t>Motozintla</t>
  </si>
  <si>
    <t>Mazatán</t>
  </si>
  <si>
    <t>Mazapa de Madero</t>
  </si>
  <si>
    <t>Las Margaritas</t>
  </si>
  <si>
    <t>La Trinitaria</t>
  </si>
  <si>
    <t>La Concordia</t>
  </si>
  <si>
    <t>Huixtla</t>
  </si>
  <si>
    <t>Huehuetán</t>
  </si>
  <si>
    <t>Frontera Hidalgo</t>
  </si>
  <si>
    <t>Frontera Comalapa</t>
  </si>
  <si>
    <t>Escuintla</t>
  </si>
  <si>
    <t>El Porvenir</t>
  </si>
  <si>
    <t>Comitán de Domínguez</t>
  </si>
  <si>
    <t>Chenalhó</t>
  </si>
  <si>
    <t>Chapultenango</t>
  </si>
  <si>
    <t>Chamula</t>
  </si>
  <si>
    <t>Bejucal de Ocampo</t>
  </si>
  <si>
    <t>Acacoyagua</t>
  </si>
  <si>
    <t>Champotón</t>
  </si>
  <si>
    <t>Tijuana</t>
  </si>
  <si>
    <t>Municipio Origen</t>
  </si>
  <si>
    <t>Posgrado [Doctorado]</t>
  </si>
  <si>
    <t>Posgrado [Maestría]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</si>
  <si>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</si>
  <si>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</si>
  <si>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</si>
  <si>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</si>
  <si>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</si>
  <si>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</si>
  <si>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</si>
  <si>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</si>
  <si>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</si>
  <si>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</si>
  <si>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</si>
  <si>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</si>
  <si>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</si>
  <si>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</si>
  <si>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</si>
  <si>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</si>
  <si>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</si>
  <si>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</si>
  <si>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</si>
  <si>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</si>
  <si>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MASSACHUSETTS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</si>
  <si>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</si>
  <si>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</si>
  <si>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</si>
  <si>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</si>
  <si>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MASSACHUSETTS,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</si>
  <si>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</si>
  <si>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</si>
  <si>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</si>
  <si>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</si>
  <si>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</si>
  <si>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</si>
  <si>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</si>
  <si>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</si>
  <si>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</si>
  <si>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Profesionista</t>
  </si>
  <si>
    <t>Pintor(a)</t>
  </si>
  <si>
    <t>Panadero(a)</t>
  </si>
  <si>
    <t>Jubilado(a)</t>
  </si>
  <si>
    <t>Jardinero(a)</t>
  </si>
  <si>
    <t>Albañil</t>
  </si>
  <si>
    <t>Otro</t>
  </si>
  <si>
    <t>Campesino(a)</t>
  </si>
  <si>
    <t>Obrero(a)</t>
  </si>
  <si>
    <t>Estudiante</t>
  </si>
  <si>
    <t>Cocinero(a)</t>
  </si>
  <si>
    <t>Hogar</t>
  </si>
  <si>
    <t>Empleado(a)</t>
  </si>
  <si>
    <t>Ocupación</t>
  </si>
  <si>
    <t>MATRÍCULAS CONSULARES DE ALTA SEGURIDAD EXPEDIDAS EN EE.UU A MEXICANOS EN EL ESTADO DE  MASSACHUSETTS, POR PERFIL OCUPACIONAL 2019</t>
  </si>
  <si>
    <t>Profesional titulado</t>
  </si>
  <si>
    <t>Capacitación técnica</t>
  </si>
  <si>
    <t>Nazas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</si>
</sst>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12" fillId="3" borderId="0" xfId="0" applyNumberFormat="1" applyFont="1" applyFill="1"/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7</xdr:row>
      <xdr:rowOff>38100</xdr:rowOff>
    </xdr:from>
    <xdr:to>
      <xdr:col>5</xdr:col>
      <xdr:colOff>26322</xdr:colOff>
      <xdr:row>8</xdr:row>
      <xdr:rowOff>26895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181350" y="1371600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MASSACHUSETTS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481263</xdr:colOff>
      <xdr:row>7</xdr:row>
      <xdr:rowOff>160421</xdr:rowOff>
    </xdr:from>
    <xdr:to>
      <xdr:col>4</xdr:col>
      <xdr:colOff>993360</xdr:colOff>
      <xdr:row>7</xdr:row>
      <xdr:rowOff>339716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9938" y="1903496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MASSACHUSETTS,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447092</xdr:colOff>
      <xdr:row>7</xdr:row>
      <xdr:rowOff>126353</xdr:rowOff>
    </xdr:from>
    <xdr:to>
      <xdr:col>4</xdr:col>
      <xdr:colOff>1001097</xdr:colOff>
      <xdr:row>7</xdr:row>
      <xdr:rowOff>320741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92959" y="1875843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104775</xdr:colOff>
      <xdr:row>8</xdr:row>
      <xdr:rowOff>19050</xdr:rowOff>
    </xdr:from>
    <xdr:to>
      <xdr:col>4</xdr:col>
      <xdr:colOff>616872</xdr:colOff>
      <xdr:row>8</xdr:row>
      <xdr:rowOff>198345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33900" y="17335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MASSACHUSETTS,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542925</xdr:colOff>
      <xdr:row>7</xdr:row>
      <xdr:rowOff>200026</xdr:rowOff>
    </xdr:from>
    <xdr:to>
      <xdr:col>4</xdr:col>
      <xdr:colOff>1057275</xdr:colOff>
      <xdr:row>7</xdr:row>
      <xdr:rowOff>371476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1600" y="1943101"/>
          <a:ext cx="514350" cy="1714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MASSACHUSETTS,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545224</xdr:colOff>
      <xdr:row>7</xdr:row>
      <xdr:rowOff>197069</xdr:rowOff>
    </xdr:from>
    <xdr:to>
      <xdr:col>4</xdr:col>
      <xdr:colOff>1057321</xdr:colOff>
      <xdr:row>7</xdr:row>
      <xdr:rowOff>376364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2914" y="193784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MASSACHUSETTS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8</xdr:row>
      <xdr:rowOff>0</xdr:rowOff>
    </xdr:from>
    <xdr:to>
      <xdr:col>5</xdr:col>
      <xdr:colOff>7272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topLeftCell="D2" zoomScaleNormal="100" zoomScaleSheetLayoutView="100" workbookViewId="0">
      <selection activeCell="I11" sqref="I11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7" t="s">
        <v>12</v>
      </c>
      <c r="B1" s="68"/>
      <c r="C1" s="68"/>
      <c r="D1" s="69"/>
    </row>
    <row r="2" spans="1:4" ht="18" x14ac:dyDescent="0.4">
      <c r="A2" s="2"/>
      <c r="B2" s="3"/>
      <c r="C2" s="3"/>
      <c r="D2" s="4"/>
    </row>
    <row r="3" spans="1:4" x14ac:dyDescent="0.4">
      <c r="A3" s="70" t="s">
        <v>0</v>
      </c>
      <c r="B3" s="71"/>
      <c r="C3" s="71"/>
      <c r="D3" s="72"/>
    </row>
    <row r="4" spans="1:4" x14ac:dyDescent="0.4">
      <c r="A4" s="70"/>
      <c r="B4" s="71"/>
      <c r="C4" s="71"/>
      <c r="D4" s="72"/>
    </row>
    <row r="5" spans="1:4" ht="18" x14ac:dyDescent="0.4">
      <c r="A5" s="5"/>
      <c r="B5" s="6"/>
      <c r="C5" s="6"/>
      <c r="D5" s="7"/>
    </row>
    <row r="6" spans="1:4" ht="18" x14ac:dyDescent="0.4">
      <c r="A6" s="66" t="s">
        <v>1</v>
      </c>
      <c r="B6" s="64"/>
      <c r="C6" s="64"/>
      <c r="D6" s="65"/>
    </row>
    <row r="7" spans="1:4" ht="18" x14ac:dyDescent="0.4">
      <c r="A7" s="8"/>
      <c r="B7" s="9"/>
      <c r="C7" s="9"/>
      <c r="D7" s="10"/>
    </row>
    <row r="8" spans="1:4" ht="18" x14ac:dyDescent="0.4">
      <c r="A8" s="11" t="s">
        <v>2</v>
      </c>
      <c r="B8" s="12"/>
      <c r="C8" s="12"/>
      <c r="D8" s="13"/>
    </row>
    <row r="9" spans="1:4" ht="18" x14ac:dyDescent="0.4">
      <c r="A9" s="11"/>
      <c r="B9" s="64" t="s">
        <v>3</v>
      </c>
      <c r="C9" s="64"/>
      <c r="D9" s="65"/>
    </row>
    <row r="10" spans="1:4" ht="18" x14ac:dyDescent="0.4">
      <c r="A10" s="11" t="s">
        <v>4</v>
      </c>
      <c r="B10" s="12"/>
      <c r="C10" s="12"/>
      <c r="D10" s="13"/>
    </row>
    <row r="11" spans="1:4" ht="18" x14ac:dyDescent="0.4">
      <c r="A11" s="11"/>
      <c r="B11" s="64" t="s">
        <v>5</v>
      </c>
      <c r="C11" s="64"/>
      <c r="D11" s="65"/>
    </row>
    <row r="12" spans="1:4" ht="18" x14ac:dyDescent="0.4">
      <c r="A12" s="11"/>
      <c r="B12" s="64" t="s">
        <v>6</v>
      </c>
      <c r="C12" s="64"/>
      <c r="D12" s="65"/>
    </row>
    <row r="13" spans="1:4" ht="18" x14ac:dyDescent="0.4">
      <c r="A13" s="11"/>
      <c r="B13" s="12"/>
      <c r="C13" s="12"/>
      <c r="D13" s="13"/>
    </row>
    <row r="14" spans="1:4" ht="18" x14ac:dyDescent="0.4">
      <c r="A14" s="11" t="s">
        <v>7</v>
      </c>
      <c r="B14" s="12"/>
      <c r="C14" s="12"/>
      <c r="D14" s="13"/>
    </row>
    <row r="15" spans="1:4" ht="18" x14ac:dyDescent="0.4">
      <c r="A15" s="11"/>
      <c r="B15" s="64" t="s">
        <v>8</v>
      </c>
      <c r="C15" s="64"/>
      <c r="D15" s="65"/>
    </row>
    <row r="16" spans="1:4" ht="18" x14ac:dyDescent="0.4">
      <c r="A16" s="11"/>
      <c r="B16" s="64" t="s">
        <v>9</v>
      </c>
      <c r="C16" s="64"/>
      <c r="D16" s="65"/>
    </row>
    <row r="17" spans="1:4" ht="18" x14ac:dyDescent="0.4">
      <c r="A17" s="11"/>
      <c r="B17" s="12"/>
      <c r="C17" s="12"/>
      <c r="D17" s="13"/>
    </row>
    <row r="18" spans="1:4" ht="18" x14ac:dyDescent="0.4">
      <c r="A18" s="66" t="s">
        <v>10</v>
      </c>
      <c r="B18" s="64"/>
      <c r="C18" s="64"/>
      <c r="D18" s="65"/>
    </row>
    <row r="19" spans="1:4" ht="18" x14ac:dyDescent="0.4">
      <c r="A19" s="11"/>
      <c r="B19" s="12"/>
      <c r="C19" s="12"/>
      <c r="D19" s="13"/>
    </row>
    <row r="20" spans="1:4" ht="18" x14ac:dyDescent="0.4">
      <c r="A20" s="66" t="s">
        <v>11</v>
      </c>
      <c r="B20" s="64"/>
      <c r="C20" s="64"/>
      <c r="D20" s="65"/>
    </row>
    <row r="21" spans="1:4" ht="18.600000000000001" thickBot="1" x14ac:dyDescent="0.45">
      <c r="A21" s="14"/>
      <c r="B21" s="15"/>
      <c r="C21" s="15"/>
      <c r="D21" s="16"/>
    </row>
    <row r="22" spans="1:4" ht="18" x14ac:dyDescent="0.4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assachusetts_Edomexgral!A1" display="1. Por Estados de la República Mexicana"/>
    <hyperlink ref="B9" location="Alabama_EDOMEX!Área_de_impresión" display="2.1 Por estado de la República Mexicana y municipio de origen"/>
    <hyperlink ref="B11:D11" location="Massachusetts_Educagral!A1" display="3.1 Educación general"/>
    <hyperlink ref="B12:D12" location="Massachusetts_Eduedo!A1" display="3.2 Por Estado de la República Mexicana"/>
    <hyperlink ref="B15:D15" location="Massachusetts_gengral!A1" display="4.1 Género General"/>
    <hyperlink ref="B16:D16" location="Massachusetts_edomexgen!A1" display="4.2 Por Estados de la República Mexicana"/>
    <hyperlink ref="A18:D18" location="Massachusetts_edadgen!A1" display="5. Por estructura de Edad"/>
    <hyperlink ref="A20:D20" location="Massachusetts_ocupgral!A1" display="6. Por Ocupación"/>
    <hyperlink ref="B9:D9" location="Massachusetts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B1:D48"/>
  <sheetViews>
    <sheetView showGridLines="0" topLeftCell="A26" zoomScaleNormal="100" zoomScaleSheetLayoutView="115" workbookViewId="0">
      <selection activeCell="D40" sqref="D40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52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51</v>
      </c>
      <c r="C11" s="32" t="s">
        <v>50</v>
      </c>
      <c r="D11" s="31" t="s">
        <v>49</v>
      </c>
    </row>
    <row r="12" spans="2:4" ht="15" customHeight="1" x14ac:dyDescent="0.3">
      <c r="B12" s="28" t="s">
        <v>48</v>
      </c>
      <c r="C12" s="27">
        <v>70</v>
      </c>
      <c r="D12" s="26">
        <v>0.13487475915221581</v>
      </c>
    </row>
    <row r="13" spans="2:4" x14ac:dyDescent="0.3">
      <c r="B13" s="28" t="s">
        <v>47</v>
      </c>
      <c r="C13" s="27">
        <v>65</v>
      </c>
      <c r="D13" s="26">
        <v>0.12524084778420039</v>
      </c>
    </row>
    <row r="14" spans="2:4" s="29" customFormat="1" ht="15" x14ac:dyDescent="0.3">
      <c r="B14" s="28" t="s">
        <v>46</v>
      </c>
      <c r="C14" s="27">
        <v>48</v>
      </c>
      <c r="D14" s="26">
        <v>9.2485549132947972E-2</v>
      </c>
    </row>
    <row r="15" spans="2:4" s="29" customFormat="1" ht="15" x14ac:dyDescent="0.3">
      <c r="B15" s="28" t="s">
        <v>45</v>
      </c>
      <c r="C15" s="27">
        <v>45</v>
      </c>
      <c r="D15" s="26">
        <v>8.6705202312138727E-2</v>
      </c>
    </row>
    <row r="16" spans="2:4" x14ac:dyDescent="0.3">
      <c r="B16" s="28" t="s">
        <v>44</v>
      </c>
      <c r="C16" s="27">
        <v>44</v>
      </c>
      <c r="D16" s="26">
        <v>8.477842003853564E-2</v>
      </c>
    </row>
    <row r="17" spans="2:4" x14ac:dyDescent="0.3">
      <c r="B17" s="28" t="s">
        <v>43</v>
      </c>
      <c r="C17" s="27">
        <v>43</v>
      </c>
      <c r="D17" s="26">
        <v>8.2851637764932567E-2</v>
      </c>
    </row>
    <row r="18" spans="2:4" x14ac:dyDescent="0.3">
      <c r="B18" s="28" t="s">
        <v>42</v>
      </c>
      <c r="C18" s="27">
        <v>34</v>
      </c>
      <c r="D18" s="26">
        <v>6.5510597302504817E-2</v>
      </c>
    </row>
    <row r="19" spans="2:4" x14ac:dyDescent="0.3">
      <c r="B19" s="28" t="s">
        <v>41</v>
      </c>
      <c r="C19" s="27">
        <v>32</v>
      </c>
      <c r="D19" s="26">
        <v>6.1657032755298651E-2</v>
      </c>
    </row>
    <row r="20" spans="2:4" x14ac:dyDescent="0.3">
      <c r="B20" s="28" t="s">
        <v>40</v>
      </c>
      <c r="C20" s="27">
        <v>23</v>
      </c>
      <c r="D20" s="26">
        <v>4.4315992292870907E-2</v>
      </c>
    </row>
    <row r="21" spans="2:4" x14ac:dyDescent="0.3">
      <c r="B21" s="28" t="s">
        <v>39</v>
      </c>
      <c r="C21" s="27">
        <v>19</v>
      </c>
      <c r="D21" s="26">
        <v>3.6608863198458574E-2</v>
      </c>
    </row>
    <row r="22" spans="2:4" x14ac:dyDescent="0.3">
      <c r="B22" s="28" t="s">
        <v>38</v>
      </c>
      <c r="C22" s="27">
        <v>15</v>
      </c>
      <c r="D22" s="26">
        <v>2.8901734104046242E-2</v>
      </c>
    </row>
    <row r="23" spans="2:4" x14ac:dyDescent="0.3">
      <c r="B23" s="28" t="s">
        <v>37</v>
      </c>
      <c r="C23" s="27">
        <v>15</v>
      </c>
      <c r="D23" s="26">
        <v>2.8901734104046242E-2</v>
      </c>
    </row>
    <row r="24" spans="2:4" x14ac:dyDescent="0.3">
      <c r="B24" s="28" t="s">
        <v>36</v>
      </c>
      <c r="C24" s="27">
        <v>14</v>
      </c>
      <c r="D24" s="26">
        <v>2.6974951830443159E-2</v>
      </c>
    </row>
    <row r="25" spans="2:4" x14ac:dyDescent="0.3">
      <c r="B25" s="28" t="s">
        <v>35</v>
      </c>
      <c r="C25" s="27">
        <v>8</v>
      </c>
      <c r="D25" s="26">
        <v>1.5414258188824663E-2</v>
      </c>
    </row>
    <row r="26" spans="2:4" x14ac:dyDescent="0.3">
      <c r="B26" s="28" t="s">
        <v>34</v>
      </c>
      <c r="C26" s="27">
        <v>6</v>
      </c>
      <c r="D26" s="26">
        <v>1.1560693641618497E-2</v>
      </c>
    </row>
    <row r="27" spans="2:4" x14ac:dyDescent="0.3">
      <c r="B27" s="28" t="s">
        <v>33</v>
      </c>
      <c r="C27" s="27">
        <v>5</v>
      </c>
      <c r="D27" s="26">
        <v>9.6339113680154135E-3</v>
      </c>
    </row>
    <row r="28" spans="2:4" x14ac:dyDescent="0.3">
      <c r="B28" s="28" t="s">
        <v>32</v>
      </c>
      <c r="C28" s="27">
        <v>4</v>
      </c>
      <c r="D28" s="26">
        <v>7.7071290944123313E-3</v>
      </c>
    </row>
    <row r="29" spans="2:4" x14ac:dyDescent="0.3">
      <c r="B29" s="28" t="s">
        <v>31</v>
      </c>
      <c r="C29" s="27">
        <v>4</v>
      </c>
      <c r="D29" s="26">
        <v>7.7071290944123313E-3</v>
      </c>
    </row>
    <row r="30" spans="2:4" x14ac:dyDescent="0.3">
      <c r="B30" s="28" t="s">
        <v>30</v>
      </c>
      <c r="C30" s="27">
        <v>3</v>
      </c>
      <c r="D30" s="26">
        <v>5.7803468208092483E-3</v>
      </c>
    </row>
    <row r="31" spans="2:4" x14ac:dyDescent="0.3">
      <c r="B31" s="28" t="s">
        <v>29</v>
      </c>
      <c r="C31" s="27">
        <v>3</v>
      </c>
      <c r="D31" s="26">
        <v>5.7803468208092483E-3</v>
      </c>
    </row>
    <row r="32" spans="2:4" x14ac:dyDescent="0.3">
      <c r="B32" s="28" t="s">
        <v>28</v>
      </c>
      <c r="C32" s="27">
        <v>3</v>
      </c>
      <c r="D32" s="26">
        <v>5.7803468208092483E-3</v>
      </c>
    </row>
    <row r="33" spans="2:4" x14ac:dyDescent="0.3">
      <c r="B33" s="28" t="s">
        <v>27</v>
      </c>
      <c r="C33" s="27">
        <v>3</v>
      </c>
      <c r="D33" s="26">
        <v>5.7803468208092483E-3</v>
      </c>
    </row>
    <row r="34" spans="2:4" x14ac:dyDescent="0.3">
      <c r="B34" s="28" t="s">
        <v>26</v>
      </c>
      <c r="C34" s="27">
        <v>3</v>
      </c>
      <c r="D34" s="26">
        <v>5.7803468208092483E-3</v>
      </c>
    </row>
    <row r="35" spans="2:4" x14ac:dyDescent="0.3">
      <c r="B35" s="28" t="s">
        <v>25</v>
      </c>
      <c r="C35" s="27">
        <v>2</v>
      </c>
      <c r="D35" s="26">
        <v>3.8535645472061657E-3</v>
      </c>
    </row>
    <row r="36" spans="2:4" x14ac:dyDescent="0.3">
      <c r="B36" s="28" t="s">
        <v>24</v>
      </c>
      <c r="C36" s="27">
        <v>2</v>
      </c>
      <c r="D36" s="26">
        <v>3.8535645472061657E-3</v>
      </c>
    </row>
    <row r="37" spans="2:4" x14ac:dyDescent="0.3">
      <c r="B37" s="28" t="s">
        <v>23</v>
      </c>
      <c r="C37" s="27">
        <v>2</v>
      </c>
      <c r="D37" s="26">
        <v>3.8535645472061657E-3</v>
      </c>
    </row>
    <row r="38" spans="2:4" x14ac:dyDescent="0.3">
      <c r="B38" s="28" t="s">
        <v>22</v>
      </c>
      <c r="C38" s="27">
        <v>1</v>
      </c>
      <c r="D38" s="26">
        <v>1.9267822736030828E-3</v>
      </c>
    </row>
    <row r="39" spans="2:4" x14ac:dyDescent="0.3">
      <c r="B39" s="28" t="s">
        <v>21</v>
      </c>
      <c r="C39" s="27">
        <v>1</v>
      </c>
      <c r="D39" s="26">
        <v>1.9267822736030828E-3</v>
      </c>
    </row>
    <row r="40" spans="2:4" x14ac:dyDescent="0.3">
      <c r="B40" s="28" t="s">
        <v>20</v>
      </c>
      <c r="C40" s="27">
        <v>1</v>
      </c>
      <c r="D40" s="26">
        <v>1.9267822736030828E-3</v>
      </c>
    </row>
    <row r="41" spans="2:4" x14ac:dyDescent="0.3">
      <c r="B41" s="28" t="s">
        <v>19</v>
      </c>
      <c r="C41" s="27">
        <v>1</v>
      </c>
      <c r="D41" s="26">
        <v>1.9267822736030828E-3</v>
      </c>
    </row>
    <row r="42" spans="2:4" x14ac:dyDescent="0.3">
      <c r="B42" s="25" t="s">
        <v>18</v>
      </c>
      <c r="C42" s="24">
        <v>519</v>
      </c>
      <c r="D42" s="23">
        <v>1</v>
      </c>
    </row>
    <row r="44" spans="2:4" x14ac:dyDescent="0.3">
      <c r="B44" s="20" t="s">
        <v>17</v>
      </c>
    </row>
    <row r="45" spans="2:4" x14ac:dyDescent="0.3">
      <c r="B45" s="22" t="s">
        <v>16</v>
      </c>
    </row>
    <row r="46" spans="2:4" x14ac:dyDescent="0.3">
      <c r="B46" s="21" t="s">
        <v>15</v>
      </c>
    </row>
    <row r="47" spans="2:4" x14ac:dyDescent="0.3">
      <c r="B47" s="20" t="s">
        <v>14</v>
      </c>
    </row>
    <row r="48" spans="2:4" x14ac:dyDescent="0.3">
      <c r="B48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9" zoomScale="95" zoomScaleNormal="95" zoomScaleSheetLayoutView="100" workbookViewId="0">
      <selection activeCell="D9" sqref="D9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51</v>
      </c>
      <c r="C9" s="50" t="s">
        <v>302</v>
      </c>
      <c r="D9" s="49" t="s">
        <v>50</v>
      </c>
      <c r="E9" s="48" t="s">
        <v>49</v>
      </c>
    </row>
    <row r="10" spans="1:5" ht="15" customHeight="1" x14ac:dyDescent="0.3">
      <c r="B10" s="74" t="s">
        <v>30</v>
      </c>
      <c r="C10" s="46" t="s">
        <v>30</v>
      </c>
      <c r="D10" s="45">
        <v>3</v>
      </c>
      <c r="E10" s="44">
        <v>5.7803468208092483E-3</v>
      </c>
    </row>
    <row r="11" spans="1:5" ht="15" customHeight="1" x14ac:dyDescent="0.3">
      <c r="B11" s="75"/>
      <c r="C11" s="43" t="s">
        <v>18</v>
      </c>
      <c r="D11" s="42">
        <v>3</v>
      </c>
      <c r="E11" s="41">
        <v>5.7803468208092483E-3</v>
      </c>
    </row>
    <row r="12" spans="1:5" ht="15" customHeight="1" x14ac:dyDescent="0.3">
      <c r="B12" s="74" t="s">
        <v>29</v>
      </c>
      <c r="C12" s="46" t="s">
        <v>301</v>
      </c>
      <c r="D12" s="45">
        <v>3</v>
      </c>
      <c r="E12" s="44">
        <v>5.7803468208092483E-3</v>
      </c>
    </row>
    <row r="13" spans="1:5" ht="15" customHeight="1" x14ac:dyDescent="0.3">
      <c r="B13" s="75"/>
      <c r="C13" s="43" t="s">
        <v>18</v>
      </c>
      <c r="D13" s="42">
        <v>3</v>
      </c>
      <c r="E13" s="41">
        <v>5.7803468208092483E-3</v>
      </c>
    </row>
    <row r="14" spans="1:5" ht="15" customHeight="1" x14ac:dyDescent="0.3">
      <c r="B14" s="74" t="s">
        <v>25</v>
      </c>
      <c r="C14" s="46" t="s">
        <v>25</v>
      </c>
      <c r="D14" s="45">
        <v>1</v>
      </c>
      <c r="E14" s="44">
        <v>1.9267822736030828E-3</v>
      </c>
    </row>
    <row r="15" spans="1:5" s="47" customFormat="1" ht="15" customHeight="1" x14ac:dyDescent="0.2">
      <c r="B15" s="78"/>
      <c r="C15" s="46" t="s">
        <v>300</v>
      </c>
      <c r="D15" s="45">
        <v>1</v>
      </c>
      <c r="E15" s="44">
        <v>1.9267822736030828E-3</v>
      </c>
    </row>
    <row r="16" spans="1:5" s="47" customFormat="1" ht="15" customHeight="1" x14ac:dyDescent="0.2">
      <c r="B16" s="75"/>
      <c r="C16" s="43" t="s">
        <v>18</v>
      </c>
      <c r="D16" s="42">
        <v>2</v>
      </c>
      <c r="E16" s="41">
        <v>3.8535645472061657E-3</v>
      </c>
    </row>
    <row r="17" spans="2:5" s="47" customFormat="1" ht="15" customHeight="1" x14ac:dyDescent="0.2">
      <c r="B17" s="74" t="s">
        <v>47</v>
      </c>
      <c r="C17" s="46" t="s">
        <v>299</v>
      </c>
      <c r="D17" s="45">
        <v>1</v>
      </c>
      <c r="E17" s="44">
        <v>1.9267822736030828E-3</v>
      </c>
    </row>
    <row r="18" spans="2:5" s="47" customFormat="1" ht="15" customHeight="1" x14ac:dyDescent="0.2">
      <c r="B18" s="78"/>
      <c r="C18" s="46" t="s">
        <v>298</v>
      </c>
      <c r="D18" s="45">
        <v>3</v>
      </c>
      <c r="E18" s="44">
        <v>5.7803468208092483E-3</v>
      </c>
    </row>
    <row r="19" spans="2:5" s="47" customFormat="1" ht="15" customHeight="1" x14ac:dyDescent="0.2">
      <c r="B19" s="78"/>
      <c r="C19" s="46" t="s">
        <v>297</v>
      </c>
      <c r="D19" s="45">
        <v>4</v>
      </c>
      <c r="E19" s="44">
        <v>7.7071290944123313E-3</v>
      </c>
    </row>
    <row r="20" spans="2:5" ht="15" customHeight="1" x14ac:dyDescent="0.3">
      <c r="B20" s="78"/>
      <c r="C20" s="46" t="s">
        <v>296</v>
      </c>
      <c r="D20" s="45">
        <v>4</v>
      </c>
      <c r="E20" s="44">
        <v>7.7071290944123313E-3</v>
      </c>
    </row>
    <row r="21" spans="2:5" ht="15" customHeight="1" x14ac:dyDescent="0.3">
      <c r="B21" s="78"/>
      <c r="C21" s="46" t="s">
        <v>295</v>
      </c>
      <c r="D21" s="45">
        <v>1</v>
      </c>
      <c r="E21" s="44">
        <v>1.9267822736030828E-3</v>
      </c>
    </row>
    <row r="22" spans="2:5" ht="15" customHeight="1" x14ac:dyDescent="0.3">
      <c r="B22" s="78"/>
      <c r="C22" s="46" t="s">
        <v>294</v>
      </c>
      <c r="D22" s="45">
        <v>1</v>
      </c>
      <c r="E22" s="44">
        <v>1.9267822736030828E-3</v>
      </c>
    </row>
    <row r="23" spans="2:5" ht="15" customHeight="1" x14ac:dyDescent="0.3">
      <c r="B23" s="78"/>
      <c r="C23" s="46" t="s">
        <v>293</v>
      </c>
      <c r="D23" s="45">
        <v>2</v>
      </c>
      <c r="E23" s="44">
        <v>3.8535645472061657E-3</v>
      </c>
    </row>
    <row r="24" spans="2:5" ht="15" customHeight="1" x14ac:dyDescent="0.3">
      <c r="B24" s="78"/>
      <c r="C24" s="46" t="s">
        <v>292</v>
      </c>
      <c r="D24" s="45">
        <v>1</v>
      </c>
      <c r="E24" s="44">
        <v>1.9267822736030828E-3</v>
      </c>
    </row>
    <row r="25" spans="2:5" ht="15" customHeight="1" x14ac:dyDescent="0.3">
      <c r="B25" s="78"/>
      <c r="C25" s="46" t="s">
        <v>291</v>
      </c>
      <c r="D25" s="45">
        <v>1</v>
      </c>
      <c r="E25" s="44">
        <v>1.9267822736030828E-3</v>
      </c>
    </row>
    <row r="26" spans="2:5" ht="15" customHeight="1" x14ac:dyDescent="0.3">
      <c r="B26" s="78"/>
      <c r="C26" s="46" t="s">
        <v>290</v>
      </c>
      <c r="D26" s="45">
        <v>1</v>
      </c>
      <c r="E26" s="44">
        <v>1.9267822736030828E-3</v>
      </c>
    </row>
    <row r="27" spans="2:5" ht="15" customHeight="1" x14ac:dyDescent="0.3">
      <c r="B27" s="78"/>
      <c r="C27" s="46" t="s">
        <v>289</v>
      </c>
      <c r="D27" s="45">
        <v>2</v>
      </c>
      <c r="E27" s="44">
        <v>3.8535645472061657E-3</v>
      </c>
    </row>
    <row r="28" spans="2:5" ht="15" customHeight="1" x14ac:dyDescent="0.3">
      <c r="B28" s="78"/>
      <c r="C28" s="46" t="s">
        <v>288</v>
      </c>
      <c r="D28" s="45">
        <v>1</v>
      </c>
      <c r="E28" s="44">
        <v>1.9267822736030828E-3</v>
      </c>
    </row>
    <row r="29" spans="2:5" ht="15" customHeight="1" x14ac:dyDescent="0.3">
      <c r="B29" s="78"/>
      <c r="C29" s="46" t="s">
        <v>287</v>
      </c>
      <c r="D29" s="45">
        <v>3</v>
      </c>
      <c r="E29" s="44">
        <v>5.7803468208092483E-3</v>
      </c>
    </row>
    <row r="30" spans="2:5" ht="15" customHeight="1" x14ac:dyDescent="0.3">
      <c r="B30" s="78"/>
      <c r="C30" s="46" t="s">
        <v>286</v>
      </c>
      <c r="D30" s="45">
        <v>1</v>
      </c>
      <c r="E30" s="44">
        <v>1.9267822736030828E-3</v>
      </c>
    </row>
    <row r="31" spans="2:5" ht="15" customHeight="1" x14ac:dyDescent="0.3">
      <c r="B31" s="78"/>
      <c r="C31" s="46" t="s">
        <v>285</v>
      </c>
      <c r="D31" s="45">
        <v>4</v>
      </c>
      <c r="E31" s="44">
        <v>7.7071290944123313E-3</v>
      </c>
    </row>
    <row r="32" spans="2:5" ht="15" customHeight="1" x14ac:dyDescent="0.3">
      <c r="B32" s="78"/>
      <c r="C32" s="46" t="s">
        <v>284</v>
      </c>
      <c r="D32" s="45">
        <v>5</v>
      </c>
      <c r="E32" s="44">
        <v>9.6339113680154135E-3</v>
      </c>
    </row>
    <row r="33" spans="2:5" ht="15" customHeight="1" x14ac:dyDescent="0.3">
      <c r="B33" s="78"/>
      <c r="C33" s="46" t="s">
        <v>283</v>
      </c>
      <c r="D33" s="45">
        <v>1</v>
      </c>
      <c r="E33" s="44">
        <v>1.9267822736030828E-3</v>
      </c>
    </row>
    <row r="34" spans="2:5" ht="15" customHeight="1" x14ac:dyDescent="0.3">
      <c r="B34" s="78"/>
      <c r="C34" s="46" t="s">
        <v>282</v>
      </c>
      <c r="D34" s="45">
        <v>3</v>
      </c>
      <c r="E34" s="44">
        <v>5.7803468208092483E-3</v>
      </c>
    </row>
    <row r="35" spans="2:5" ht="15" customHeight="1" x14ac:dyDescent="0.3">
      <c r="B35" s="78"/>
      <c r="C35" s="46" t="s">
        <v>281</v>
      </c>
      <c r="D35" s="45">
        <v>2</v>
      </c>
      <c r="E35" s="44">
        <v>3.8535645472061657E-3</v>
      </c>
    </row>
    <row r="36" spans="2:5" ht="15" customHeight="1" x14ac:dyDescent="0.3">
      <c r="B36" s="78"/>
      <c r="C36" s="46" t="s">
        <v>280</v>
      </c>
      <c r="D36" s="45">
        <v>1</v>
      </c>
      <c r="E36" s="44">
        <v>1.9267822736030828E-3</v>
      </c>
    </row>
    <row r="37" spans="2:5" ht="15" customHeight="1" x14ac:dyDescent="0.3">
      <c r="B37" s="78"/>
      <c r="C37" s="46" t="s">
        <v>279</v>
      </c>
      <c r="D37" s="45">
        <v>3</v>
      </c>
      <c r="E37" s="44">
        <v>5.7803468208092483E-3</v>
      </c>
    </row>
    <row r="38" spans="2:5" ht="15" customHeight="1" x14ac:dyDescent="0.3">
      <c r="B38" s="78"/>
      <c r="C38" s="46" t="s">
        <v>278</v>
      </c>
      <c r="D38" s="45">
        <v>2</v>
      </c>
      <c r="E38" s="44">
        <v>3.8535645472061657E-3</v>
      </c>
    </row>
    <row r="39" spans="2:5" ht="15" customHeight="1" x14ac:dyDescent="0.3">
      <c r="B39" s="78"/>
      <c r="C39" s="46" t="s">
        <v>277</v>
      </c>
      <c r="D39" s="45">
        <v>1</v>
      </c>
      <c r="E39" s="44">
        <v>1.9267822736030828E-3</v>
      </c>
    </row>
    <row r="40" spans="2:5" ht="15" customHeight="1" x14ac:dyDescent="0.3">
      <c r="B40" s="78"/>
      <c r="C40" s="46" t="s">
        <v>276</v>
      </c>
      <c r="D40" s="45">
        <v>1</v>
      </c>
      <c r="E40" s="44">
        <v>1.9267822736030828E-3</v>
      </c>
    </row>
    <row r="41" spans="2:5" ht="15" customHeight="1" x14ac:dyDescent="0.3">
      <c r="B41" s="78"/>
      <c r="C41" s="46" t="s">
        <v>275</v>
      </c>
      <c r="D41" s="45">
        <v>2</v>
      </c>
      <c r="E41" s="44">
        <v>3.8535645472061657E-3</v>
      </c>
    </row>
    <row r="42" spans="2:5" ht="15" customHeight="1" x14ac:dyDescent="0.3">
      <c r="B42" s="78"/>
      <c r="C42" s="46" t="s">
        <v>274</v>
      </c>
      <c r="D42" s="45">
        <v>9</v>
      </c>
      <c r="E42" s="44">
        <v>1.7341040462427744E-2</v>
      </c>
    </row>
    <row r="43" spans="2:5" ht="15" customHeight="1" x14ac:dyDescent="0.3">
      <c r="B43" s="78"/>
      <c r="C43" s="46" t="s">
        <v>273</v>
      </c>
      <c r="D43" s="45">
        <v>2</v>
      </c>
      <c r="E43" s="44">
        <v>3.8535645472061657E-3</v>
      </c>
    </row>
    <row r="44" spans="2:5" ht="15" customHeight="1" x14ac:dyDescent="0.3">
      <c r="B44" s="78"/>
      <c r="C44" s="46" t="s">
        <v>272</v>
      </c>
      <c r="D44" s="45">
        <v>1</v>
      </c>
      <c r="E44" s="44">
        <v>1.9267822736030828E-3</v>
      </c>
    </row>
    <row r="45" spans="2:5" ht="15" customHeight="1" x14ac:dyDescent="0.3">
      <c r="B45" s="78"/>
      <c r="C45" s="46" t="s">
        <v>271</v>
      </c>
      <c r="D45" s="45">
        <v>2</v>
      </c>
      <c r="E45" s="44">
        <v>3.8535645472061657E-3</v>
      </c>
    </row>
    <row r="46" spans="2:5" ht="15" customHeight="1" x14ac:dyDescent="0.3">
      <c r="B46" s="75"/>
      <c r="C46" s="43" t="s">
        <v>18</v>
      </c>
      <c r="D46" s="42">
        <v>65</v>
      </c>
      <c r="E46" s="41">
        <v>0.12524084778420039</v>
      </c>
    </row>
    <row r="47" spans="2:5" ht="15" customHeight="1" x14ac:dyDescent="0.3">
      <c r="B47" s="74" t="s">
        <v>28</v>
      </c>
      <c r="C47" s="46" t="s">
        <v>48</v>
      </c>
      <c r="D47" s="45">
        <v>1</v>
      </c>
      <c r="E47" s="44">
        <v>1.9267822736030828E-3</v>
      </c>
    </row>
    <row r="48" spans="2:5" ht="15" customHeight="1" x14ac:dyDescent="0.3">
      <c r="B48" s="78"/>
      <c r="C48" s="46" t="s">
        <v>270</v>
      </c>
      <c r="D48" s="45">
        <v>1</v>
      </c>
      <c r="E48" s="44">
        <v>1.9267822736030828E-3</v>
      </c>
    </row>
    <row r="49" spans="2:5" ht="15" customHeight="1" x14ac:dyDescent="0.3">
      <c r="B49" s="78"/>
      <c r="C49" s="46" t="s">
        <v>269</v>
      </c>
      <c r="D49" s="45">
        <v>1</v>
      </c>
      <c r="E49" s="44">
        <v>1.9267822736030828E-3</v>
      </c>
    </row>
    <row r="50" spans="2:5" ht="15" customHeight="1" x14ac:dyDescent="0.3">
      <c r="B50" s="75"/>
      <c r="C50" s="43" t="s">
        <v>18</v>
      </c>
      <c r="D50" s="42">
        <v>3</v>
      </c>
      <c r="E50" s="41">
        <v>5.7803468208092483E-3</v>
      </c>
    </row>
    <row r="51" spans="2:5" ht="15" customHeight="1" x14ac:dyDescent="0.3">
      <c r="B51" s="74" t="s">
        <v>24</v>
      </c>
      <c r="C51" s="46" t="s">
        <v>24</v>
      </c>
      <c r="D51" s="45">
        <v>2</v>
      </c>
      <c r="E51" s="44">
        <v>3.8535645472061657E-3</v>
      </c>
    </row>
    <row r="52" spans="2:5" ht="15" customHeight="1" x14ac:dyDescent="0.3">
      <c r="B52" s="75"/>
      <c r="C52" s="43" t="s">
        <v>18</v>
      </c>
      <c r="D52" s="42">
        <v>2</v>
      </c>
      <c r="E52" s="41">
        <v>3.8535645472061657E-3</v>
      </c>
    </row>
    <row r="53" spans="2:5" ht="15" customHeight="1" x14ac:dyDescent="0.3">
      <c r="B53" s="74" t="s">
        <v>41</v>
      </c>
      <c r="C53" s="46" t="s">
        <v>268</v>
      </c>
      <c r="D53" s="45">
        <v>3</v>
      </c>
      <c r="E53" s="44">
        <v>5.7803468208092483E-3</v>
      </c>
    </row>
    <row r="54" spans="2:5" ht="15" customHeight="1" x14ac:dyDescent="0.3">
      <c r="B54" s="78"/>
      <c r="C54" s="46" t="s">
        <v>267</v>
      </c>
      <c r="D54" s="45">
        <v>4</v>
      </c>
      <c r="E54" s="44">
        <v>7.7071290944123313E-3</v>
      </c>
    </row>
    <row r="55" spans="2:5" ht="15" customHeight="1" x14ac:dyDescent="0.3">
      <c r="B55" s="78"/>
      <c r="C55" s="46" t="s">
        <v>266</v>
      </c>
      <c r="D55" s="45">
        <v>1</v>
      </c>
      <c r="E55" s="44">
        <v>1.9267822736030828E-3</v>
      </c>
    </row>
    <row r="56" spans="2:5" ht="15" customHeight="1" x14ac:dyDescent="0.3">
      <c r="B56" s="78"/>
      <c r="C56" s="46" t="s">
        <v>265</v>
      </c>
      <c r="D56" s="45">
        <v>1</v>
      </c>
      <c r="E56" s="44">
        <v>1.9267822736030828E-3</v>
      </c>
    </row>
    <row r="57" spans="2:5" ht="15" customHeight="1" x14ac:dyDescent="0.3">
      <c r="B57" s="78"/>
      <c r="C57" s="46" t="s">
        <v>264</v>
      </c>
      <c r="D57" s="45">
        <v>1</v>
      </c>
      <c r="E57" s="44">
        <v>1.9267822736030828E-3</v>
      </c>
    </row>
    <row r="58" spans="2:5" ht="15" customHeight="1" x14ac:dyDescent="0.3">
      <c r="B58" s="78"/>
      <c r="C58" s="46" t="s">
        <v>263</v>
      </c>
      <c r="D58" s="45">
        <v>5</v>
      </c>
      <c r="E58" s="44">
        <v>9.6339113680154135E-3</v>
      </c>
    </row>
    <row r="59" spans="2:5" ht="15" customHeight="1" x14ac:dyDescent="0.3">
      <c r="B59" s="78"/>
      <c r="C59" s="46" t="s">
        <v>262</v>
      </c>
      <c r="D59" s="45">
        <v>2</v>
      </c>
      <c r="E59" s="44">
        <v>3.8535645472061657E-3</v>
      </c>
    </row>
    <row r="60" spans="2:5" ht="15" customHeight="1" x14ac:dyDescent="0.3">
      <c r="B60" s="78"/>
      <c r="C60" s="46" t="s">
        <v>261</v>
      </c>
      <c r="D60" s="45">
        <v>4</v>
      </c>
      <c r="E60" s="44">
        <v>7.7071290944123313E-3</v>
      </c>
    </row>
    <row r="61" spans="2:5" ht="15" customHeight="1" x14ac:dyDescent="0.3">
      <c r="B61" s="78"/>
      <c r="C61" s="46" t="s">
        <v>260</v>
      </c>
      <c r="D61" s="45">
        <v>1</v>
      </c>
      <c r="E61" s="44">
        <v>1.9267822736030828E-3</v>
      </c>
    </row>
    <row r="62" spans="2:5" ht="15" customHeight="1" x14ac:dyDescent="0.3">
      <c r="B62" s="78"/>
      <c r="C62" s="46" t="s">
        <v>259</v>
      </c>
      <c r="D62" s="45">
        <v>1</v>
      </c>
      <c r="E62" s="44">
        <v>1.9267822736030828E-3</v>
      </c>
    </row>
    <row r="63" spans="2:5" ht="15" customHeight="1" x14ac:dyDescent="0.3">
      <c r="B63" s="78"/>
      <c r="C63" s="46" t="s">
        <v>258</v>
      </c>
      <c r="D63" s="45">
        <v>4</v>
      </c>
      <c r="E63" s="44">
        <v>7.7071290944123313E-3</v>
      </c>
    </row>
    <row r="64" spans="2:5" ht="15" customHeight="1" x14ac:dyDescent="0.3">
      <c r="B64" s="78"/>
      <c r="C64" s="46" t="s">
        <v>167</v>
      </c>
      <c r="D64" s="45">
        <v>2</v>
      </c>
      <c r="E64" s="44">
        <v>3.8535645472061657E-3</v>
      </c>
    </row>
    <row r="65" spans="2:5" ht="15" customHeight="1" x14ac:dyDescent="0.3">
      <c r="B65" s="78"/>
      <c r="C65" s="46" t="s">
        <v>257</v>
      </c>
      <c r="D65" s="45">
        <v>3</v>
      </c>
      <c r="E65" s="44">
        <v>5.7803468208092483E-3</v>
      </c>
    </row>
    <row r="66" spans="2:5" ht="15" customHeight="1" x14ac:dyDescent="0.3">
      <c r="B66" s="75"/>
      <c r="C66" s="43" t="s">
        <v>18</v>
      </c>
      <c r="D66" s="42">
        <v>32</v>
      </c>
      <c r="E66" s="41">
        <v>6.1657032755298651E-2</v>
      </c>
    </row>
    <row r="67" spans="2:5" ht="15" customHeight="1" x14ac:dyDescent="0.3">
      <c r="B67" s="74" t="s">
        <v>23</v>
      </c>
      <c r="C67" s="46" t="s">
        <v>23</v>
      </c>
      <c r="D67" s="45">
        <v>1</v>
      </c>
      <c r="E67" s="44">
        <v>1.9267822736030828E-3</v>
      </c>
    </row>
    <row r="68" spans="2:5" ht="15" customHeight="1" x14ac:dyDescent="0.3">
      <c r="B68" s="78"/>
      <c r="C68" s="46" t="s">
        <v>357</v>
      </c>
      <c r="D68" s="45">
        <v>1</v>
      </c>
      <c r="E68" s="44">
        <v>1.9267822736030828E-3</v>
      </c>
    </row>
    <row r="69" spans="2:5" ht="15" customHeight="1" x14ac:dyDescent="0.3">
      <c r="B69" s="75"/>
      <c r="C69" s="43" t="s">
        <v>18</v>
      </c>
      <c r="D69" s="42">
        <v>2</v>
      </c>
      <c r="E69" s="41">
        <v>3.8535645472061657E-3</v>
      </c>
    </row>
    <row r="70" spans="2:5" ht="15" customHeight="1" x14ac:dyDescent="0.3">
      <c r="B70" s="74" t="s">
        <v>39</v>
      </c>
      <c r="C70" s="46" t="s">
        <v>256</v>
      </c>
      <c r="D70" s="45">
        <v>1</v>
      </c>
      <c r="E70" s="44">
        <v>1.9267822736030828E-3</v>
      </c>
    </row>
    <row r="71" spans="2:5" ht="15" customHeight="1" x14ac:dyDescent="0.3">
      <c r="B71" s="78"/>
      <c r="C71" s="46" t="s">
        <v>255</v>
      </c>
      <c r="D71" s="45">
        <v>1</v>
      </c>
      <c r="E71" s="44">
        <v>1.9267822736030828E-3</v>
      </c>
    </row>
    <row r="72" spans="2:5" ht="15" customHeight="1" x14ac:dyDescent="0.3">
      <c r="B72" s="78"/>
      <c r="C72" s="46" t="s">
        <v>254</v>
      </c>
      <c r="D72" s="45">
        <v>1</v>
      </c>
      <c r="E72" s="44">
        <v>1.9267822736030828E-3</v>
      </c>
    </row>
    <row r="73" spans="2:5" ht="15" customHeight="1" x14ac:dyDescent="0.3">
      <c r="B73" s="78"/>
      <c r="C73" s="46" t="s">
        <v>253</v>
      </c>
      <c r="D73" s="45">
        <v>1</v>
      </c>
      <c r="E73" s="44">
        <v>1.9267822736030828E-3</v>
      </c>
    </row>
    <row r="74" spans="2:5" ht="15" customHeight="1" x14ac:dyDescent="0.3">
      <c r="B74" s="78"/>
      <c r="C74" s="46" t="s">
        <v>252</v>
      </c>
      <c r="D74" s="45">
        <v>1</v>
      </c>
      <c r="E74" s="44">
        <v>1.9267822736030828E-3</v>
      </c>
    </row>
    <row r="75" spans="2:5" ht="15" customHeight="1" x14ac:dyDescent="0.3">
      <c r="B75" s="78"/>
      <c r="C75" s="46" t="s">
        <v>251</v>
      </c>
      <c r="D75" s="45">
        <v>2</v>
      </c>
      <c r="E75" s="44">
        <v>3.8535645472061657E-3</v>
      </c>
    </row>
    <row r="76" spans="2:5" ht="15" customHeight="1" x14ac:dyDescent="0.3">
      <c r="B76" s="78"/>
      <c r="C76" s="46" t="s">
        <v>250</v>
      </c>
      <c r="D76" s="45">
        <v>3</v>
      </c>
      <c r="E76" s="44">
        <v>5.7803468208092483E-3</v>
      </c>
    </row>
    <row r="77" spans="2:5" ht="15" customHeight="1" x14ac:dyDescent="0.3">
      <c r="B77" s="78"/>
      <c r="C77" s="46" t="s">
        <v>249</v>
      </c>
      <c r="D77" s="45">
        <v>1</v>
      </c>
      <c r="E77" s="44">
        <v>1.9267822736030828E-3</v>
      </c>
    </row>
    <row r="78" spans="2:5" ht="15" customHeight="1" x14ac:dyDescent="0.3">
      <c r="B78" s="78"/>
      <c r="C78" s="46" t="s">
        <v>248</v>
      </c>
      <c r="D78" s="45">
        <v>1</v>
      </c>
      <c r="E78" s="44">
        <v>1.9267822736030828E-3</v>
      </c>
    </row>
    <row r="79" spans="2:5" ht="15" customHeight="1" x14ac:dyDescent="0.3">
      <c r="B79" s="78"/>
      <c r="C79" s="46" t="s">
        <v>247</v>
      </c>
      <c r="D79" s="45">
        <v>1</v>
      </c>
      <c r="E79" s="44">
        <v>1.9267822736030828E-3</v>
      </c>
    </row>
    <row r="80" spans="2:5" ht="15" customHeight="1" x14ac:dyDescent="0.3">
      <c r="B80" s="78"/>
      <c r="C80" s="46" t="s">
        <v>246</v>
      </c>
      <c r="D80" s="45">
        <v>1</v>
      </c>
      <c r="E80" s="44">
        <v>1.9267822736030828E-3</v>
      </c>
    </row>
    <row r="81" spans="2:5" ht="15" customHeight="1" x14ac:dyDescent="0.3">
      <c r="B81" s="78"/>
      <c r="C81" s="46" t="s">
        <v>245</v>
      </c>
      <c r="D81" s="45">
        <v>5</v>
      </c>
      <c r="E81" s="44">
        <v>9.6339113680154135E-3</v>
      </c>
    </row>
    <row r="82" spans="2:5" ht="15" customHeight="1" x14ac:dyDescent="0.3">
      <c r="B82" s="75"/>
      <c r="C82" s="43" t="s">
        <v>18</v>
      </c>
      <c r="D82" s="42">
        <v>19</v>
      </c>
      <c r="E82" s="41">
        <v>3.6608863198458574E-2</v>
      </c>
    </row>
    <row r="83" spans="2:5" ht="15" customHeight="1" x14ac:dyDescent="0.3">
      <c r="B83" s="74" t="s">
        <v>40</v>
      </c>
      <c r="C83" s="46" t="s">
        <v>244</v>
      </c>
      <c r="D83" s="45">
        <v>1</v>
      </c>
      <c r="E83" s="44">
        <v>1.9267822736030828E-3</v>
      </c>
    </row>
    <row r="84" spans="2:5" ht="15" customHeight="1" x14ac:dyDescent="0.3">
      <c r="B84" s="78"/>
      <c r="C84" s="46" t="s">
        <v>243</v>
      </c>
      <c r="D84" s="45">
        <v>6</v>
      </c>
      <c r="E84" s="44">
        <v>1.1560693641618497E-2</v>
      </c>
    </row>
    <row r="85" spans="2:5" ht="15" customHeight="1" x14ac:dyDescent="0.3">
      <c r="B85" s="78"/>
      <c r="C85" s="46" t="s">
        <v>242</v>
      </c>
      <c r="D85" s="45">
        <v>1</v>
      </c>
      <c r="E85" s="44">
        <v>1.9267822736030828E-3</v>
      </c>
    </row>
    <row r="86" spans="2:5" ht="15" customHeight="1" x14ac:dyDescent="0.3">
      <c r="B86" s="78"/>
      <c r="C86" s="46" t="s">
        <v>241</v>
      </c>
      <c r="D86" s="45">
        <v>1</v>
      </c>
      <c r="E86" s="44">
        <v>1.9267822736030828E-3</v>
      </c>
    </row>
    <row r="87" spans="2:5" ht="15" customHeight="1" x14ac:dyDescent="0.3">
      <c r="B87" s="78"/>
      <c r="C87" s="46" t="s">
        <v>240</v>
      </c>
      <c r="D87" s="45">
        <v>1</v>
      </c>
      <c r="E87" s="44">
        <v>1.9267822736030828E-3</v>
      </c>
    </row>
    <row r="88" spans="2:5" ht="15" customHeight="1" x14ac:dyDescent="0.3">
      <c r="B88" s="78"/>
      <c r="C88" s="46" t="s">
        <v>239</v>
      </c>
      <c r="D88" s="45">
        <v>1</v>
      </c>
      <c r="E88" s="44">
        <v>1.9267822736030828E-3</v>
      </c>
    </row>
    <row r="89" spans="2:5" ht="15" customHeight="1" x14ac:dyDescent="0.3">
      <c r="B89" s="78"/>
      <c r="C89" s="46" t="s">
        <v>238</v>
      </c>
      <c r="D89" s="45">
        <v>4</v>
      </c>
      <c r="E89" s="44">
        <v>7.7071290944123313E-3</v>
      </c>
    </row>
    <row r="90" spans="2:5" ht="15" customHeight="1" x14ac:dyDescent="0.3">
      <c r="B90" s="78"/>
      <c r="C90" s="46" t="s">
        <v>237</v>
      </c>
      <c r="D90" s="45">
        <v>1</v>
      </c>
      <c r="E90" s="44">
        <v>1.9267822736030828E-3</v>
      </c>
    </row>
    <row r="91" spans="2:5" ht="15" customHeight="1" x14ac:dyDescent="0.3">
      <c r="B91" s="78"/>
      <c r="C91" s="46" t="s">
        <v>236</v>
      </c>
      <c r="D91" s="45">
        <v>1</v>
      </c>
      <c r="E91" s="44">
        <v>1.9267822736030828E-3</v>
      </c>
    </row>
    <row r="92" spans="2:5" ht="15" customHeight="1" x14ac:dyDescent="0.3">
      <c r="B92" s="78"/>
      <c r="C92" s="46" t="s">
        <v>235</v>
      </c>
      <c r="D92" s="45">
        <v>1</v>
      </c>
      <c r="E92" s="44">
        <v>1.9267822736030828E-3</v>
      </c>
    </row>
    <row r="93" spans="2:5" ht="15" customHeight="1" x14ac:dyDescent="0.3">
      <c r="B93" s="78"/>
      <c r="C93" s="46" t="s">
        <v>234</v>
      </c>
      <c r="D93" s="45">
        <v>2</v>
      </c>
      <c r="E93" s="44">
        <v>3.8535645472061657E-3</v>
      </c>
    </row>
    <row r="94" spans="2:5" ht="15" customHeight="1" x14ac:dyDescent="0.3">
      <c r="B94" s="78"/>
      <c r="C94" s="46" t="s">
        <v>233</v>
      </c>
      <c r="D94" s="45">
        <v>1</v>
      </c>
      <c r="E94" s="44">
        <v>1.9267822736030828E-3</v>
      </c>
    </row>
    <row r="95" spans="2:5" ht="15" customHeight="1" x14ac:dyDescent="0.3">
      <c r="B95" s="78"/>
      <c r="C95" s="46" t="s">
        <v>232</v>
      </c>
      <c r="D95" s="45">
        <v>1</v>
      </c>
      <c r="E95" s="44">
        <v>1.9267822736030828E-3</v>
      </c>
    </row>
    <row r="96" spans="2:5" ht="15" customHeight="1" x14ac:dyDescent="0.3">
      <c r="B96" s="78"/>
      <c r="C96" s="46" t="s">
        <v>231</v>
      </c>
      <c r="D96" s="45">
        <v>1</v>
      </c>
      <c r="E96" s="44">
        <v>1.9267822736030828E-3</v>
      </c>
    </row>
    <row r="97" spans="2:5" ht="15" customHeight="1" x14ac:dyDescent="0.3">
      <c r="B97" s="75"/>
      <c r="C97" s="43" t="s">
        <v>18</v>
      </c>
      <c r="D97" s="42">
        <v>23</v>
      </c>
      <c r="E97" s="41">
        <v>4.4315992292870907E-2</v>
      </c>
    </row>
    <row r="98" spans="2:5" ht="15" customHeight="1" x14ac:dyDescent="0.3">
      <c r="B98" s="74" t="s">
        <v>48</v>
      </c>
      <c r="C98" s="46" t="s">
        <v>230</v>
      </c>
      <c r="D98" s="45">
        <v>9</v>
      </c>
      <c r="E98" s="44">
        <v>1.7341040462427744E-2</v>
      </c>
    </row>
    <row r="99" spans="2:5" ht="15" customHeight="1" x14ac:dyDescent="0.3">
      <c r="B99" s="78"/>
      <c r="C99" s="46" t="s">
        <v>229</v>
      </c>
      <c r="D99" s="45">
        <v>2</v>
      </c>
      <c r="E99" s="44">
        <v>3.8535645472061657E-3</v>
      </c>
    </row>
    <row r="100" spans="2:5" ht="15" customHeight="1" x14ac:dyDescent="0.3">
      <c r="B100" s="78"/>
      <c r="C100" s="46" t="s">
        <v>228</v>
      </c>
      <c r="D100" s="45">
        <v>1</v>
      </c>
      <c r="E100" s="44">
        <v>1.9267822736030828E-3</v>
      </c>
    </row>
    <row r="101" spans="2:5" ht="15" customHeight="1" x14ac:dyDescent="0.3">
      <c r="B101" s="78"/>
      <c r="C101" s="46" t="s">
        <v>227</v>
      </c>
      <c r="D101" s="45">
        <v>2</v>
      </c>
      <c r="E101" s="44">
        <v>3.8535645472061657E-3</v>
      </c>
    </row>
    <row r="102" spans="2:5" ht="15" customHeight="1" x14ac:dyDescent="0.3">
      <c r="B102" s="78"/>
      <c r="C102" s="46" t="s">
        <v>226</v>
      </c>
      <c r="D102" s="45">
        <v>2</v>
      </c>
      <c r="E102" s="44">
        <v>3.8535645472061657E-3</v>
      </c>
    </row>
    <row r="103" spans="2:5" ht="15" customHeight="1" x14ac:dyDescent="0.3">
      <c r="B103" s="78"/>
      <c r="C103" s="46" t="s">
        <v>225</v>
      </c>
      <c r="D103" s="45">
        <v>4</v>
      </c>
      <c r="E103" s="44">
        <v>7.7071290944123313E-3</v>
      </c>
    </row>
    <row r="104" spans="2:5" ht="15" customHeight="1" x14ac:dyDescent="0.3">
      <c r="B104" s="78"/>
      <c r="C104" s="46" t="s">
        <v>224</v>
      </c>
      <c r="D104" s="45">
        <v>1</v>
      </c>
      <c r="E104" s="44">
        <v>1.9267822736030828E-3</v>
      </c>
    </row>
    <row r="105" spans="2:5" ht="15" customHeight="1" x14ac:dyDescent="0.3">
      <c r="B105" s="78"/>
      <c r="C105" s="46" t="s">
        <v>223</v>
      </c>
      <c r="D105" s="45">
        <v>1</v>
      </c>
      <c r="E105" s="44">
        <v>1.9267822736030828E-3</v>
      </c>
    </row>
    <row r="106" spans="2:5" ht="15" customHeight="1" x14ac:dyDescent="0.3">
      <c r="B106" s="78"/>
      <c r="C106" s="46" t="s">
        <v>222</v>
      </c>
      <c r="D106" s="45">
        <v>1</v>
      </c>
      <c r="E106" s="44">
        <v>1.9267822736030828E-3</v>
      </c>
    </row>
    <row r="107" spans="2:5" ht="15" customHeight="1" x14ac:dyDescent="0.3">
      <c r="B107" s="78"/>
      <c r="C107" s="46" t="s">
        <v>221</v>
      </c>
      <c r="D107" s="45">
        <v>1</v>
      </c>
      <c r="E107" s="44">
        <v>1.9267822736030828E-3</v>
      </c>
    </row>
    <row r="108" spans="2:5" ht="15" customHeight="1" x14ac:dyDescent="0.3">
      <c r="B108" s="78"/>
      <c r="C108" s="46" t="s">
        <v>220</v>
      </c>
      <c r="D108" s="45">
        <v>2</v>
      </c>
      <c r="E108" s="44">
        <v>3.8535645472061657E-3</v>
      </c>
    </row>
    <row r="109" spans="2:5" ht="15" customHeight="1" x14ac:dyDescent="0.3">
      <c r="B109" s="78"/>
      <c r="C109" s="46" t="s">
        <v>219</v>
      </c>
      <c r="D109" s="45">
        <v>3</v>
      </c>
      <c r="E109" s="44">
        <v>5.7803468208092483E-3</v>
      </c>
    </row>
    <row r="110" spans="2:5" ht="15" customHeight="1" x14ac:dyDescent="0.3">
      <c r="B110" s="78"/>
      <c r="C110" s="46" t="s">
        <v>218</v>
      </c>
      <c r="D110" s="45">
        <v>1</v>
      </c>
      <c r="E110" s="44">
        <v>1.9267822736030828E-3</v>
      </c>
    </row>
    <row r="111" spans="2:5" ht="15" customHeight="1" x14ac:dyDescent="0.3">
      <c r="B111" s="78"/>
      <c r="C111" s="46" t="s">
        <v>217</v>
      </c>
      <c r="D111" s="45">
        <v>1</v>
      </c>
      <c r="E111" s="44">
        <v>1.9267822736030828E-3</v>
      </c>
    </row>
    <row r="112" spans="2:5" ht="15" customHeight="1" x14ac:dyDescent="0.3">
      <c r="B112" s="78"/>
      <c r="C112" s="46" t="s">
        <v>216</v>
      </c>
      <c r="D112" s="45">
        <v>25</v>
      </c>
      <c r="E112" s="44">
        <v>4.8169556840077073E-2</v>
      </c>
    </row>
    <row r="113" spans="2:5" ht="15" customHeight="1" x14ac:dyDescent="0.3">
      <c r="B113" s="78"/>
      <c r="C113" s="46" t="s">
        <v>215</v>
      </c>
      <c r="D113" s="45">
        <v>1</v>
      </c>
      <c r="E113" s="44">
        <v>1.9267822736030828E-3</v>
      </c>
    </row>
    <row r="114" spans="2:5" ht="15" customHeight="1" x14ac:dyDescent="0.3">
      <c r="B114" s="78"/>
      <c r="C114" s="46" t="s">
        <v>214</v>
      </c>
      <c r="D114" s="45">
        <v>2</v>
      </c>
      <c r="E114" s="44">
        <v>3.8535645472061657E-3</v>
      </c>
    </row>
    <row r="115" spans="2:5" ht="15" customHeight="1" x14ac:dyDescent="0.3">
      <c r="B115" s="78"/>
      <c r="C115" s="46" t="s">
        <v>213</v>
      </c>
      <c r="D115" s="45">
        <v>1</v>
      </c>
      <c r="E115" s="44">
        <v>1.9267822736030828E-3</v>
      </c>
    </row>
    <row r="116" spans="2:5" ht="15" customHeight="1" x14ac:dyDescent="0.3">
      <c r="B116" s="78"/>
      <c r="C116" s="46" t="s">
        <v>212</v>
      </c>
      <c r="D116" s="45">
        <v>1</v>
      </c>
      <c r="E116" s="44">
        <v>1.9267822736030828E-3</v>
      </c>
    </row>
    <row r="117" spans="2:5" ht="15" customHeight="1" x14ac:dyDescent="0.3">
      <c r="B117" s="78"/>
      <c r="C117" s="46" t="s">
        <v>211</v>
      </c>
      <c r="D117" s="45">
        <v>2</v>
      </c>
      <c r="E117" s="44">
        <v>3.8535645472061657E-3</v>
      </c>
    </row>
    <row r="118" spans="2:5" ht="15" customHeight="1" x14ac:dyDescent="0.3">
      <c r="B118" s="78"/>
      <c r="C118" s="46" t="s">
        <v>210</v>
      </c>
      <c r="D118" s="45">
        <v>7</v>
      </c>
      <c r="E118" s="44">
        <v>1.348747591522158E-2</v>
      </c>
    </row>
    <row r="119" spans="2:5" ht="15" customHeight="1" x14ac:dyDescent="0.3">
      <c r="B119" s="75"/>
      <c r="C119" s="43" t="s">
        <v>18</v>
      </c>
      <c r="D119" s="42">
        <v>70</v>
      </c>
      <c r="E119" s="41">
        <v>0.13487475915221581</v>
      </c>
    </row>
    <row r="120" spans="2:5" ht="15" customHeight="1" x14ac:dyDescent="0.3">
      <c r="B120" s="74" t="s">
        <v>38</v>
      </c>
      <c r="C120" s="46" t="s">
        <v>82</v>
      </c>
      <c r="D120" s="45">
        <v>2</v>
      </c>
      <c r="E120" s="44">
        <v>3.8535645472061657E-3</v>
      </c>
    </row>
    <row r="121" spans="2:5" ht="15" customHeight="1" x14ac:dyDescent="0.3">
      <c r="B121" s="78"/>
      <c r="C121" s="46" t="s">
        <v>209</v>
      </c>
      <c r="D121" s="45">
        <v>3</v>
      </c>
      <c r="E121" s="44">
        <v>5.7803468208092483E-3</v>
      </c>
    </row>
    <row r="122" spans="2:5" ht="15" customHeight="1" x14ac:dyDescent="0.3">
      <c r="B122" s="78"/>
      <c r="C122" s="46" t="s">
        <v>208</v>
      </c>
      <c r="D122" s="45">
        <v>3</v>
      </c>
      <c r="E122" s="44">
        <v>5.7803468208092483E-3</v>
      </c>
    </row>
    <row r="123" spans="2:5" ht="15" customHeight="1" x14ac:dyDescent="0.3">
      <c r="B123" s="78"/>
      <c r="C123" s="46" t="s">
        <v>207</v>
      </c>
      <c r="D123" s="45">
        <v>1</v>
      </c>
      <c r="E123" s="44">
        <v>1.9267822736030828E-3</v>
      </c>
    </row>
    <row r="124" spans="2:5" ht="15" customHeight="1" x14ac:dyDescent="0.3">
      <c r="B124" s="78"/>
      <c r="C124" s="46" t="s">
        <v>206</v>
      </c>
      <c r="D124" s="45">
        <v>2</v>
      </c>
      <c r="E124" s="44">
        <v>3.8535645472061657E-3</v>
      </c>
    </row>
    <row r="125" spans="2:5" ht="15" customHeight="1" x14ac:dyDescent="0.3">
      <c r="B125" s="78"/>
      <c r="C125" s="46" t="s">
        <v>205</v>
      </c>
      <c r="D125" s="45">
        <v>1</v>
      </c>
      <c r="E125" s="44">
        <v>1.9267822736030828E-3</v>
      </c>
    </row>
    <row r="126" spans="2:5" ht="15" customHeight="1" x14ac:dyDescent="0.3">
      <c r="B126" s="78"/>
      <c r="C126" s="46" t="s">
        <v>204</v>
      </c>
      <c r="D126" s="45">
        <v>2</v>
      </c>
      <c r="E126" s="44">
        <v>3.8535645472061657E-3</v>
      </c>
    </row>
    <row r="127" spans="2:5" ht="15" customHeight="1" x14ac:dyDescent="0.3">
      <c r="B127" s="78"/>
      <c r="C127" s="46" t="s">
        <v>203</v>
      </c>
      <c r="D127" s="45">
        <v>1</v>
      </c>
      <c r="E127" s="44">
        <v>1.9267822736030828E-3</v>
      </c>
    </row>
    <row r="128" spans="2:5" ht="15" customHeight="1" x14ac:dyDescent="0.3">
      <c r="B128" s="75"/>
      <c r="C128" s="43" t="s">
        <v>18</v>
      </c>
      <c r="D128" s="42">
        <v>15</v>
      </c>
      <c r="E128" s="41">
        <v>2.8901734104046242E-2</v>
      </c>
    </row>
    <row r="129" spans="2:5" ht="15" customHeight="1" x14ac:dyDescent="0.3">
      <c r="B129" s="74" t="s">
        <v>46</v>
      </c>
      <c r="C129" s="46" t="s">
        <v>202</v>
      </c>
      <c r="D129" s="45">
        <v>1</v>
      </c>
      <c r="E129" s="44">
        <v>1.9267822736030828E-3</v>
      </c>
    </row>
    <row r="130" spans="2:5" ht="15" customHeight="1" x14ac:dyDescent="0.3">
      <c r="B130" s="78"/>
      <c r="C130" s="46" t="s">
        <v>201</v>
      </c>
      <c r="D130" s="45">
        <v>2</v>
      </c>
      <c r="E130" s="44">
        <v>3.8535645472061657E-3</v>
      </c>
    </row>
    <row r="131" spans="2:5" ht="15" customHeight="1" x14ac:dyDescent="0.3">
      <c r="B131" s="78"/>
      <c r="C131" s="46" t="s">
        <v>200</v>
      </c>
      <c r="D131" s="45">
        <v>1</v>
      </c>
      <c r="E131" s="44">
        <v>1.9267822736030828E-3</v>
      </c>
    </row>
    <row r="132" spans="2:5" ht="15" customHeight="1" x14ac:dyDescent="0.3">
      <c r="B132" s="78"/>
      <c r="C132" s="46" t="s">
        <v>199</v>
      </c>
      <c r="D132" s="45">
        <v>2</v>
      </c>
      <c r="E132" s="44">
        <v>3.8535645472061657E-3</v>
      </c>
    </row>
    <row r="133" spans="2:5" ht="15" customHeight="1" x14ac:dyDescent="0.3">
      <c r="B133" s="78"/>
      <c r="C133" s="46" t="s">
        <v>198</v>
      </c>
      <c r="D133" s="45">
        <v>1</v>
      </c>
      <c r="E133" s="44">
        <v>1.9267822736030828E-3</v>
      </c>
    </row>
    <row r="134" spans="2:5" ht="15" customHeight="1" x14ac:dyDescent="0.3">
      <c r="B134" s="78"/>
      <c r="C134" s="46" t="s">
        <v>197</v>
      </c>
      <c r="D134" s="45">
        <v>3</v>
      </c>
      <c r="E134" s="44">
        <v>5.7803468208092483E-3</v>
      </c>
    </row>
    <row r="135" spans="2:5" ht="15" customHeight="1" x14ac:dyDescent="0.3">
      <c r="B135" s="78"/>
      <c r="C135" s="46" t="s">
        <v>196</v>
      </c>
      <c r="D135" s="45">
        <v>1</v>
      </c>
      <c r="E135" s="44">
        <v>1.9267822736030828E-3</v>
      </c>
    </row>
    <row r="136" spans="2:5" ht="15" customHeight="1" x14ac:dyDescent="0.3">
      <c r="B136" s="78"/>
      <c r="C136" s="46" t="s">
        <v>195</v>
      </c>
      <c r="D136" s="45">
        <v>1</v>
      </c>
      <c r="E136" s="44">
        <v>1.9267822736030828E-3</v>
      </c>
    </row>
    <row r="137" spans="2:5" ht="15" customHeight="1" x14ac:dyDescent="0.3">
      <c r="B137" s="78"/>
      <c r="C137" s="46" t="s">
        <v>194</v>
      </c>
      <c r="D137" s="45">
        <v>1</v>
      </c>
      <c r="E137" s="44">
        <v>1.9267822736030828E-3</v>
      </c>
    </row>
    <row r="138" spans="2:5" ht="15" customHeight="1" x14ac:dyDescent="0.3">
      <c r="B138" s="78"/>
      <c r="C138" s="46" t="s">
        <v>193</v>
      </c>
      <c r="D138" s="45">
        <v>1</v>
      </c>
      <c r="E138" s="44">
        <v>1.9267822736030828E-3</v>
      </c>
    </row>
    <row r="139" spans="2:5" ht="15" customHeight="1" x14ac:dyDescent="0.3">
      <c r="B139" s="78"/>
      <c r="C139" s="46" t="s">
        <v>192</v>
      </c>
      <c r="D139" s="45">
        <v>13</v>
      </c>
      <c r="E139" s="44">
        <v>2.5048169556840076E-2</v>
      </c>
    </row>
    <row r="140" spans="2:5" ht="15" customHeight="1" x14ac:dyDescent="0.3">
      <c r="B140" s="78"/>
      <c r="C140" s="46" t="s">
        <v>191</v>
      </c>
      <c r="D140" s="45">
        <v>2</v>
      </c>
      <c r="E140" s="44">
        <v>3.8535645472061657E-3</v>
      </c>
    </row>
    <row r="141" spans="2:5" ht="15" customHeight="1" x14ac:dyDescent="0.3">
      <c r="B141" s="78"/>
      <c r="C141" s="46" t="s">
        <v>190</v>
      </c>
      <c r="D141" s="45">
        <v>1</v>
      </c>
      <c r="E141" s="44">
        <v>1.9267822736030828E-3</v>
      </c>
    </row>
    <row r="142" spans="2:5" ht="15" customHeight="1" x14ac:dyDescent="0.3">
      <c r="B142" s="78"/>
      <c r="C142" s="46" t="s">
        <v>189</v>
      </c>
      <c r="D142" s="45">
        <v>1</v>
      </c>
      <c r="E142" s="44">
        <v>1.9267822736030828E-3</v>
      </c>
    </row>
    <row r="143" spans="2:5" ht="15" customHeight="1" x14ac:dyDescent="0.3">
      <c r="B143" s="78"/>
      <c r="C143" s="46" t="s">
        <v>188</v>
      </c>
      <c r="D143" s="45">
        <v>1</v>
      </c>
      <c r="E143" s="44">
        <v>1.9267822736030828E-3</v>
      </c>
    </row>
    <row r="144" spans="2:5" ht="15" customHeight="1" x14ac:dyDescent="0.3">
      <c r="B144" s="78"/>
      <c r="C144" s="46" t="s">
        <v>187</v>
      </c>
      <c r="D144" s="45">
        <v>1</v>
      </c>
      <c r="E144" s="44">
        <v>1.9267822736030828E-3</v>
      </c>
    </row>
    <row r="145" spans="2:5" ht="15" customHeight="1" x14ac:dyDescent="0.3">
      <c r="B145" s="78"/>
      <c r="C145" s="46" t="s">
        <v>186</v>
      </c>
      <c r="D145" s="45">
        <v>2</v>
      </c>
      <c r="E145" s="44">
        <v>3.8535645472061657E-3</v>
      </c>
    </row>
    <row r="146" spans="2:5" ht="15" customHeight="1" x14ac:dyDescent="0.3">
      <c r="B146" s="78"/>
      <c r="C146" s="46" t="s">
        <v>185</v>
      </c>
      <c r="D146" s="45">
        <v>2</v>
      </c>
      <c r="E146" s="44">
        <v>3.8535645472061657E-3</v>
      </c>
    </row>
    <row r="147" spans="2:5" ht="15" customHeight="1" x14ac:dyDescent="0.3">
      <c r="B147" s="78"/>
      <c r="C147" s="46" t="s">
        <v>184</v>
      </c>
      <c r="D147" s="45">
        <v>3</v>
      </c>
      <c r="E147" s="44">
        <v>5.7803468208092483E-3</v>
      </c>
    </row>
    <row r="148" spans="2:5" ht="15" customHeight="1" x14ac:dyDescent="0.3">
      <c r="B148" s="78"/>
      <c r="C148" s="46" t="s">
        <v>183</v>
      </c>
      <c r="D148" s="45">
        <v>1</v>
      </c>
      <c r="E148" s="44">
        <v>1.9267822736030828E-3</v>
      </c>
    </row>
    <row r="149" spans="2:5" ht="15" customHeight="1" x14ac:dyDescent="0.3">
      <c r="B149" s="78"/>
      <c r="C149" s="46" t="s">
        <v>182</v>
      </c>
      <c r="D149" s="45">
        <v>5</v>
      </c>
      <c r="E149" s="44">
        <v>9.6339113680154135E-3</v>
      </c>
    </row>
    <row r="150" spans="2:5" ht="15" customHeight="1" x14ac:dyDescent="0.3">
      <c r="B150" s="78"/>
      <c r="C150" s="46" t="s">
        <v>181</v>
      </c>
      <c r="D150" s="45">
        <v>2</v>
      </c>
      <c r="E150" s="44">
        <v>3.8535645472061657E-3</v>
      </c>
    </row>
    <row r="151" spans="2:5" ht="15" customHeight="1" x14ac:dyDescent="0.3">
      <c r="B151" s="75"/>
      <c r="C151" s="43" t="s">
        <v>18</v>
      </c>
      <c r="D151" s="42">
        <v>48</v>
      </c>
      <c r="E151" s="41">
        <v>9.2485549132947972E-2</v>
      </c>
    </row>
    <row r="152" spans="2:5" ht="15" customHeight="1" x14ac:dyDescent="0.3">
      <c r="B152" s="74" t="s">
        <v>42</v>
      </c>
      <c r="C152" s="46" t="s">
        <v>180</v>
      </c>
      <c r="D152" s="45">
        <v>2</v>
      </c>
      <c r="E152" s="44">
        <v>3.8535645472061657E-3</v>
      </c>
    </row>
    <row r="153" spans="2:5" ht="15" customHeight="1" x14ac:dyDescent="0.3">
      <c r="B153" s="78"/>
      <c r="C153" s="46" t="s">
        <v>179</v>
      </c>
      <c r="D153" s="45">
        <v>1</v>
      </c>
      <c r="E153" s="44">
        <v>1.9267822736030828E-3</v>
      </c>
    </row>
    <row r="154" spans="2:5" ht="15" customHeight="1" x14ac:dyDescent="0.3">
      <c r="B154" s="78"/>
      <c r="C154" s="46" t="s">
        <v>38</v>
      </c>
      <c r="D154" s="45">
        <v>1</v>
      </c>
      <c r="E154" s="44">
        <v>1.9267822736030828E-3</v>
      </c>
    </row>
    <row r="155" spans="2:5" ht="15" customHeight="1" x14ac:dyDescent="0.3">
      <c r="B155" s="78"/>
      <c r="C155" s="46" t="s">
        <v>178</v>
      </c>
      <c r="D155" s="45">
        <v>1</v>
      </c>
      <c r="E155" s="44">
        <v>1.9267822736030828E-3</v>
      </c>
    </row>
    <row r="156" spans="2:5" ht="15" customHeight="1" x14ac:dyDescent="0.3">
      <c r="B156" s="78"/>
      <c r="C156" s="46" t="s">
        <v>177</v>
      </c>
      <c r="D156" s="45">
        <v>1</v>
      </c>
      <c r="E156" s="44">
        <v>1.9267822736030828E-3</v>
      </c>
    </row>
    <row r="157" spans="2:5" ht="15" customHeight="1" x14ac:dyDescent="0.3">
      <c r="B157" s="78"/>
      <c r="C157" s="46" t="s">
        <v>176</v>
      </c>
      <c r="D157" s="45">
        <v>3</v>
      </c>
      <c r="E157" s="44">
        <v>5.7803468208092483E-3</v>
      </c>
    </row>
    <row r="158" spans="2:5" ht="15" customHeight="1" x14ac:dyDescent="0.3">
      <c r="B158" s="78"/>
      <c r="C158" s="46" t="s">
        <v>175</v>
      </c>
      <c r="D158" s="45">
        <v>6</v>
      </c>
      <c r="E158" s="44">
        <v>1.1560693641618497E-2</v>
      </c>
    </row>
    <row r="159" spans="2:5" ht="15" customHeight="1" x14ac:dyDescent="0.3">
      <c r="B159" s="78"/>
      <c r="C159" s="46" t="s">
        <v>174</v>
      </c>
      <c r="D159" s="45">
        <v>3</v>
      </c>
      <c r="E159" s="44">
        <v>5.7803468208092483E-3</v>
      </c>
    </row>
    <row r="160" spans="2:5" ht="15" customHeight="1" x14ac:dyDescent="0.3">
      <c r="B160" s="78"/>
      <c r="C160" s="46" t="s">
        <v>173</v>
      </c>
      <c r="D160" s="45">
        <v>1</v>
      </c>
      <c r="E160" s="44">
        <v>1.9267822736030828E-3</v>
      </c>
    </row>
    <row r="161" spans="2:5" ht="15" customHeight="1" x14ac:dyDescent="0.3">
      <c r="B161" s="78"/>
      <c r="C161" s="46" t="s">
        <v>172</v>
      </c>
      <c r="D161" s="45">
        <v>1</v>
      </c>
      <c r="E161" s="44">
        <v>1.9267822736030828E-3</v>
      </c>
    </row>
    <row r="162" spans="2:5" ht="15" customHeight="1" x14ac:dyDescent="0.3">
      <c r="B162" s="78"/>
      <c r="C162" s="46" t="s">
        <v>171</v>
      </c>
      <c r="D162" s="45">
        <v>3</v>
      </c>
      <c r="E162" s="44">
        <v>5.7803468208092483E-3</v>
      </c>
    </row>
    <row r="163" spans="2:5" ht="15" customHeight="1" x14ac:dyDescent="0.3">
      <c r="B163" s="78"/>
      <c r="C163" s="46" t="s">
        <v>170</v>
      </c>
      <c r="D163" s="45">
        <v>1</v>
      </c>
      <c r="E163" s="44">
        <v>1.9267822736030828E-3</v>
      </c>
    </row>
    <row r="164" spans="2:5" ht="15" customHeight="1" x14ac:dyDescent="0.3">
      <c r="B164" s="78"/>
      <c r="C164" s="46" t="s">
        <v>169</v>
      </c>
      <c r="D164" s="45">
        <v>3</v>
      </c>
      <c r="E164" s="44">
        <v>5.7803468208092483E-3</v>
      </c>
    </row>
    <row r="165" spans="2:5" ht="15" customHeight="1" x14ac:dyDescent="0.3">
      <c r="B165" s="78"/>
      <c r="C165" s="46" t="s">
        <v>168</v>
      </c>
      <c r="D165" s="45">
        <v>1</v>
      </c>
      <c r="E165" s="44">
        <v>1.9267822736030828E-3</v>
      </c>
    </row>
    <row r="166" spans="2:5" ht="15" customHeight="1" x14ac:dyDescent="0.3">
      <c r="B166" s="78"/>
      <c r="C166" s="46" t="s">
        <v>167</v>
      </c>
      <c r="D166" s="45">
        <v>1</v>
      </c>
      <c r="E166" s="44">
        <v>1.9267822736030828E-3</v>
      </c>
    </row>
    <row r="167" spans="2:5" ht="15" customHeight="1" x14ac:dyDescent="0.3">
      <c r="B167" s="78"/>
      <c r="C167" s="46" t="s">
        <v>166</v>
      </c>
      <c r="D167" s="45">
        <v>1</v>
      </c>
      <c r="E167" s="44">
        <v>1.9267822736030828E-3</v>
      </c>
    </row>
    <row r="168" spans="2:5" ht="15" customHeight="1" x14ac:dyDescent="0.3">
      <c r="B168" s="78"/>
      <c r="C168" s="46" t="s">
        <v>165</v>
      </c>
      <c r="D168" s="45">
        <v>1</v>
      </c>
      <c r="E168" s="44">
        <v>1.9267822736030828E-3</v>
      </c>
    </row>
    <row r="169" spans="2:5" ht="15" customHeight="1" x14ac:dyDescent="0.3">
      <c r="B169" s="78"/>
      <c r="C169" s="46" t="s">
        <v>164</v>
      </c>
      <c r="D169" s="45">
        <v>3</v>
      </c>
      <c r="E169" s="44">
        <v>5.7803468208092483E-3</v>
      </c>
    </row>
    <row r="170" spans="2:5" ht="15" customHeight="1" x14ac:dyDescent="0.3">
      <c r="B170" s="75"/>
      <c r="C170" s="43" t="s">
        <v>18</v>
      </c>
      <c r="D170" s="42">
        <v>34</v>
      </c>
      <c r="E170" s="41">
        <v>6.5510597302504817E-2</v>
      </c>
    </row>
    <row r="171" spans="2:5" ht="15" customHeight="1" x14ac:dyDescent="0.3">
      <c r="B171" s="74" t="s">
        <v>35</v>
      </c>
      <c r="C171" s="46" t="s">
        <v>163</v>
      </c>
      <c r="D171" s="45">
        <v>2</v>
      </c>
      <c r="E171" s="44">
        <v>3.8535645472061657E-3</v>
      </c>
    </row>
    <row r="172" spans="2:5" ht="15" customHeight="1" x14ac:dyDescent="0.3">
      <c r="B172" s="78"/>
      <c r="C172" s="46" t="s">
        <v>162</v>
      </c>
      <c r="D172" s="45">
        <v>2</v>
      </c>
      <c r="E172" s="44">
        <v>3.8535645472061657E-3</v>
      </c>
    </row>
    <row r="173" spans="2:5" ht="15" customHeight="1" x14ac:dyDescent="0.3">
      <c r="B173" s="78"/>
      <c r="C173" s="46" t="s">
        <v>161</v>
      </c>
      <c r="D173" s="45">
        <v>1</v>
      </c>
      <c r="E173" s="44">
        <v>1.9267822736030828E-3</v>
      </c>
    </row>
    <row r="174" spans="2:5" ht="15" customHeight="1" x14ac:dyDescent="0.3">
      <c r="B174" s="78"/>
      <c r="C174" s="46" t="s">
        <v>160</v>
      </c>
      <c r="D174" s="45">
        <v>1</v>
      </c>
      <c r="E174" s="44">
        <v>1.9267822736030828E-3</v>
      </c>
    </row>
    <row r="175" spans="2:5" ht="15" customHeight="1" x14ac:dyDescent="0.3">
      <c r="B175" s="78"/>
      <c r="C175" s="46" t="s">
        <v>159</v>
      </c>
      <c r="D175" s="45">
        <v>1</v>
      </c>
      <c r="E175" s="44">
        <v>1.9267822736030828E-3</v>
      </c>
    </row>
    <row r="176" spans="2:5" ht="15" customHeight="1" x14ac:dyDescent="0.3">
      <c r="B176" s="78"/>
      <c r="C176" s="46" t="s">
        <v>158</v>
      </c>
      <c r="D176" s="45">
        <v>1</v>
      </c>
      <c r="E176" s="44">
        <v>1.9267822736030828E-3</v>
      </c>
    </row>
    <row r="177" spans="2:5" ht="15" customHeight="1" x14ac:dyDescent="0.3">
      <c r="B177" s="75"/>
      <c r="C177" s="43" t="s">
        <v>18</v>
      </c>
      <c r="D177" s="42">
        <v>8</v>
      </c>
      <c r="E177" s="41">
        <v>1.5414258188824663E-2</v>
      </c>
    </row>
    <row r="178" spans="2:5" ht="15" customHeight="1" x14ac:dyDescent="0.3">
      <c r="B178" s="74" t="s">
        <v>27</v>
      </c>
      <c r="C178" s="46" t="s">
        <v>157</v>
      </c>
      <c r="D178" s="45">
        <v>1</v>
      </c>
      <c r="E178" s="44">
        <v>1.9267822736030828E-3</v>
      </c>
    </row>
    <row r="179" spans="2:5" ht="15" customHeight="1" x14ac:dyDescent="0.3">
      <c r="B179" s="78"/>
      <c r="C179" s="46" t="s">
        <v>156</v>
      </c>
      <c r="D179" s="45">
        <v>2</v>
      </c>
      <c r="E179" s="44">
        <v>3.8535645472061657E-3</v>
      </c>
    </row>
    <row r="180" spans="2:5" ht="15" customHeight="1" x14ac:dyDescent="0.3">
      <c r="B180" s="75"/>
      <c r="C180" s="43" t="s">
        <v>18</v>
      </c>
      <c r="D180" s="42">
        <v>3</v>
      </c>
      <c r="E180" s="41">
        <v>5.7803468208092483E-3</v>
      </c>
    </row>
    <row r="181" spans="2:5" ht="15" customHeight="1" x14ac:dyDescent="0.3">
      <c r="B181" s="74" t="s">
        <v>33</v>
      </c>
      <c r="C181" s="46" t="s">
        <v>155</v>
      </c>
      <c r="D181" s="45">
        <v>5</v>
      </c>
      <c r="E181" s="44">
        <v>9.6339113680154135E-3</v>
      </c>
    </row>
    <row r="182" spans="2:5" ht="15" customHeight="1" x14ac:dyDescent="0.3">
      <c r="B182" s="75"/>
      <c r="C182" s="43" t="s">
        <v>18</v>
      </c>
      <c r="D182" s="42">
        <v>5</v>
      </c>
      <c r="E182" s="41">
        <v>9.6339113680154135E-3</v>
      </c>
    </row>
    <row r="183" spans="2:5" ht="15" customHeight="1" x14ac:dyDescent="0.3">
      <c r="B183" s="74" t="s">
        <v>45</v>
      </c>
      <c r="C183" s="46" t="s">
        <v>154</v>
      </c>
      <c r="D183" s="45">
        <v>6</v>
      </c>
      <c r="E183" s="44">
        <v>1.1560693641618497E-2</v>
      </c>
    </row>
    <row r="184" spans="2:5" ht="15" customHeight="1" x14ac:dyDescent="0.3">
      <c r="B184" s="78"/>
      <c r="C184" s="46" t="s">
        <v>153</v>
      </c>
      <c r="D184" s="45">
        <v>5</v>
      </c>
      <c r="E184" s="44">
        <v>9.6339113680154135E-3</v>
      </c>
    </row>
    <row r="185" spans="2:5" ht="15" customHeight="1" x14ac:dyDescent="0.3">
      <c r="B185" s="78"/>
      <c r="C185" s="46" t="s">
        <v>152</v>
      </c>
      <c r="D185" s="45">
        <v>1</v>
      </c>
      <c r="E185" s="44">
        <v>1.9267822736030828E-3</v>
      </c>
    </row>
    <row r="186" spans="2:5" ht="15" customHeight="1" x14ac:dyDescent="0.3">
      <c r="B186" s="78"/>
      <c r="C186" s="46" t="s">
        <v>151</v>
      </c>
      <c r="D186" s="45">
        <v>1</v>
      </c>
      <c r="E186" s="44">
        <v>1.9267822736030828E-3</v>
      </c>
    </row>
    <row r="187" spans="2:5" ht="15" customHeight="1" x14ac:dyDescent="0.3">
      <c r="B187" s="78"/>
      <c r="C187" s="46" t="s">
        <v>150</v>
      </c>
      <c r="D187" s="45">
        <v>3</v>
      </c>
      <c r="E187" s="44">
        <v>5.7803468208092483E-3</v>
      </c>
    </row>
    <row r="188" spans="2:5" ht="15" customHeight="1" x14ac:dyDescent="0.3">
      <c r="B188" s="78"/>
      <c r="C188" s="46" t="s">
        <v>149</v>
      </c>
      <c r="D188" s="45">
        <v>4</v>
      </c>
      <c r="E188" s="44">
        <v>7.7071290944123313E-3</v>
      </c>
    </row>
    <row r="189" spans="2:5" ht="15" customHeight="1" x14ac:dyDescent="0.3">
      <c r="B189" s="78"/>
      <c r="C189" s="46" t="s">
        <v>148</v>
      </c>
      <c r="D189" s="45">
        <v>1</v>
      </c>
      <c r="E189" s="44">
        <v>1.9267822736030828E-3</v>
      </c>
    </row>
    <row r="190" spans="2:5" ht="15" customHeight="1" x14ac:dyDescent="0.3">
      <c r="B190" s="78"/>
      <c r="C190" s="46" t="s">
        <v>147</v>
      </c>
      <c r="D190" s="45">
        <v>2</v>
      </c>
      <c r="E190" s="44">
        <v>3.8535645472061657E-3</v>
      </c>
    </row>
    <row r="191" spans="2:5" ht="15" customHeight="1" x14ac:dyDescent="0.3">
      <c r="B191" s="78"/>
      <c r="C191" s="46" t="s">
        <v>146</v>
      </c>
      <c r="D191" s="45">
        <v>1</v>
      </c>
      <c r="E191" s="44">
        <v>1.9267822736030828E-3</v>
      </c>
    </row>
    <row r="192" spans="2:5" ht="15" customHeight="1" x14ac:dyDescent="0.3">
      <c r="B192" s="78"/>
      <c r="C192" s="46" t="s">
        <v>145</v>
      </c>
      <c r="D192" s="45">
        <v>1</v>
      </c>
      <c r="E192" s="44">
        <v>1.9267822736030828E-3</v>
      </c>
    </row>
    <row r="193" spans="2:5" ht="15" customHeight="1" x14ac:dyDescent="0.3">
      <c r="B193" s="78"/>
      <c r="C193" s="46" t="s">
        <v>144</v>
      </c>
      <c r="D193" s="45">
        <v>1</v>
      </c>
      <c r="E193" s="44">
        <v>1.9267822736030828E-3</v>
      </c>
    </row>
    <row r="194" spans="2:5" ht="15" customHeight="1" x14ac:dyDescent="0.3">
      <c r="B194" s="78"/>
      <c r="C194" s="46" t="s">
        <v>143</v>
      </c>
      <c r="D194" s="45">
        <v>1</v>
      </c>
      <c r="E194" s="44">
        <v>1.9267822736030828E-3</v>
      </c>
    </row>
    <row r="195" spans="2:5" ht="15" customHeight="1" x14ac:dyDescent="0.3">
      <c r="B195" s="78"/>
      <c r="C195" s="46" t="s">
        <v>142</v>
      </c>
      <c r="D195" s="45">
        <v>1</v>
      </c>
      <c r="E195" s="44">
        <v>1.9267822736030828E-3</v>
      </c>
    </row>
    <row r="196" spans="2:5" ht="15" customHeight="1" x14ac:dyDescent="0.3">
      <c r="B196" s="78"/>
      <c r="C196" s="46" t="s">
        <v>141</v>
      </c>
      <c r="D196" s="45">
        <v>2</v>
      </c>
      <c r="E196" s="44">
        <v>3.8535645472061657E-3</v>
      </c>
    </row>
    <row r="197" spans="2:5" ht="15" customHeight="1" x14ac:dyDescent="0.3">
      <c r="B197" s="78"/>
      <c r="C197" s="46" t="s">
        <v>140</v>
      </c>
      <c r="D197" s="45">
        <v>1</v>
      </c>
      <c r="E197" s="44">
        <v>1.9267822736030828E-3</v>
      </c>
    </row>
    <row r="198" spans="2:5" ht="15" customHeight="1" x14ac:dyDescent="0.3">
      <c r="B198" s="78"/>
      <c r="C198" s="46" t="s">
        <v>139</v>
      </c>
      <c r="D198" s="45">
        <v>1</v>
      </c>
      <c r="E198" s="44">
        <v>1.9267822736030828E-3</v>
      </c>
    </row>
    <row r="199" spans="2:5" ht="15" customHeight="1" x14ac:dyDescent="0.3">
      <c r="B199" s="78"/>
      <c r="C199" s="46" t="s">
        <v>138</v>
      </c>
      <c r="D199" s="45">
        <v>3</v>
      </c>
      <c r="E199" s="44">
        <v>5.7803468208092483E-3</v>
      </c>
    </row>
    <row r="200" spans="2:5" ht="15" customHeight="1" x14ac:dyDescent="0.3">
      <c r="B200" s="78"/>
      <c r="C200" s="46" t="s">
        <v>137</v>
      </c>
      <c r="D200" s="45">
        <v>1</v>
      </c>
      <c r="E200" s="44">
        <v>1.9267822736030828E-3</v>
      </c>
    </row>
    <row r="201" spans="2:5" ht="15" customHeight="1" x14ac:dyDescent="0.3">
      <c r="B201" s="78"/>
      <c r="C201" s="46" t="s">
        <v>136</v>
      </c>
      <c r="D201" s="45">
        <v>1</v>
      </c>
      <c r="E201" s="44">
        <v>1.9267822736030828E-3</v>
      </c>
    </row>
    <row r="202" spans="2:5" ht="15" customHeight="1" x14ac:dyDescent="0.3">
      <c r="B202" s="78"/>
      <c r="C202" s="46" t="s">
        <v>135</v>
      </c>
      <c r="D202" s="45">
        <v>1</v>
      </c>
      <c r="E202" s="44">
        <v>1.9267822736030828E-3</v>
      </c>
    </row>
    <row r="203" spans="2:5" ht="15" customHeight="1" x14ac:dyDescent="0.3">
      <c r="B203" s="78"/>
      <c r="C203" s="46" t="s">
        <v>134</v>
      </c>
      <c r="D203" s="45">
        <v>1</v>
      </c>
      <c r="E203" s="44">
        <v>1.9267822736030828E-3</v>
      </c>
    </row>
    <row r="204" spans="2:5" ht="15" customHeight="1" x14ac:dyDescent="0.3">
      <c r="B204" s="78"/>
      <c r="C204" s="46" t="s">
        <v>133</v>
      </c>
      <c r="D204" s="45">
        <v>1</v>
      </c>
      <c r="E204" s="44">
        <v>1.9267822736030828E-3</v>
      </c>
    </row>
    <row r="205" spans="2:5" ht="15" customHeight="1" x14ac:dyDescent="0.3">
      <c r="B205" s="78"/>
      <c r="C205" s="46" t="s">
        <v>132</v>
      </c>
      <c r="D205" s="45">
        <v>1</v>
      </c>
      <c r="E205" s="44">
        <v>1.9267822736030828E-3</v>
      </c>
    </row>
    <row r="206" spans="2:5" ht="15" customHeight="1" x14ac:dyDescent="0.3">
      <c r="B206" s="78"/>
      <c r="C206" s="46" t="s">
        <v>131</v>
      </c>
      <c r="D206" s="45">
        <v>1</v>
      </c>
      <c r="E206" s="44">
        <v>1.9267822736030828E-3</v>
      </c>
    </row>
    <row r="207" spans="2:5" ht="15" customHeight="1" x14ac:dyDescent="0.3">
      <c r="B207" s="78"/>
      <c r="C207" s="46" t="s">
        <v>130</v>
      </c>
      <c r="D207" s="45">
        <v>2</v>
      </c>
      <c r="E207" s="44">
        <v>3.8535645472061657E-3</v>
      </c>
    </row>
    <row r="208" spans="2:5" ht="15" customHeight="1" x14ac:dyDescent="0.3">
      <c r="B208" s="78"/>
      <c r="C208" s="46" t="s">
        <v>129</v>
      </c>
      <c r="D208" s="45">
        <v>1</v>
      </c>
      <c r="E208" s="44">
        <v>1.9267822736030828E-3</v>
      </c>
    </row>
    <row r="209" spans="2:5" ht="15" customHeight="1" x14ac:dyDescent="0.3">
      <c r="B209" s="75"/>
      <c r="C209" s="43" t="s">
        <v>18</v>
      </c>
      <c r="D209" s="42">
        <v>45</v>
      </c>
      <c r="E209" s="41">
        <v>8.6705202312138727E-2</v>
      </c>
    </row>
    <row r="210" spans="2:5" ht="15" customHeight="1" x14ac:dyDescent="0.3">
      <c r="B210" s="74" t="s">
        <v>43</v>
      </c>
      <c r="C210" s="46" t="s">
        <v>128</v>
      </c>
      <c r="D210" s="45">
        <v>1</v>
      </c>
      <c r="E210" s="44">
        <v>1.9267822736030828E-3</v>
      </c>
    </row>
    <row r="211" spans="2:5" ht="15" customHeight="1" x14ac:dyDescent="0.3">
      <c r="B211" s="78"/>
      <c r="C211" s="46" t="s">
        <v>127</v>
      </c>
      <c r="D211" s="45">
        <v>1</v>
      </c>
      <c r="E211" s="44">
        <v>1.9267822736030828E-3</v>
      </c>
    </row>
    <row r="212" spans="2:5" ht="15" customHeight="1" x14ac:dyDescent="0.3">
      <c r="B212" s="78"/>
      <c r="C212" s="46" t="s">
        <v>126</v>
      </c>
      <c r="D212" s="45">
        <v>9</v>
      </c>
      <c r="E212" s="44">
        <v>1.7341040462427744E-2</v>
      </c>
    </row>
    <row r="213" spans="2:5" ht="15" customHeight="1" x14ac:dyDescent="0.3">
      <c r="B213" s="78"/>
      <c r="C213" s="46" t="s">
        <v>125</v>
      </c>
      <c r="D213" s="45">
        <v>1</v>
      </c>
      <c r="E213" s="44">
        <v>1.9267822736030828E-3</v>
      </c>
    </row>
    <row r="214" spans="2:5" ht="15" customHeight="1" x14ac:dyDescent="0.3">
      <c r="B214" s="78"/>
      <c r="C214" s="46" t="s">
        <v>124</v>
      </c>
      <c r="D214" s="45">
        <v>1</v>
      </c>
      <c r="E214" s="44">
        <v>1.9267822736030828E-3</v>
      </c>
    </row>
    <row r="215" spans="2:5" ht="15" customHeight="1" x14ac:dyDescent="0.3">
      <c r="B215" s="78"/>
      <c r="C215" s="46" t="s">
        <v>123</v>
      </c>
      <c r="D215" s="45">
        <v>1</v>
      </c>
      <c r="E215" s="44">
        <v>1.9267822736030828E-3</v>
      </c>
    </row>
    <row r="216" spans="2:5" ht="15" customHeight="1" x14ac:dyDescent="0.3">
      <c r="B216" s="78"/>
      <c r="C216" s="46" t="s">
        <v>122</v>
      </c>
      <c r="D216" s="45">
        <v>1</v>
      </c>
      <c r="E216" s="44">
        <v>1.9267822736030828E-3</v>
      </c>
    </row>
    <row r="217" spans="2:5" ht="15" customHeight="1" x14ac:dyDescent="0.3">
      <c r="B217" s="78"/>
      <c r="C217" s="46" t="s">
        <v>121</v>
      </c>
      <c r="D217" s="45">
        <v>1</v>
      </c>
      <c r="E217" s="44">
        <v>1.9267822736030828E-3</v>
      </c>
    </row>
    <row r="218" spans="2:5" ht="15" customHeight="1" x14ac:dyDescent="0.3">
      <c r="B218" s="78"/>
      <c r="C218" s="46" t="s">
        <v>120</v>
      </c>
      <c r="D218" s="45">
        <v>1</v>
      </c>
      <c r="E218" s="44">
        <v>1.9267822736030828E-3</v>
      </c>
    </row>
    <row r="219" spans="2:5" ht="15" customHeight="1" x14ac:dyDescent="0.3">
      <c r="B219" s="78"/>
      <c r="C219" s="46" t="s">
        <v>119</v>
      </c>
      <c r="D219" s="45">
        <v>2</v>
      </c>
      <c r="E219" s="44">
        <v>3.8535645472061657E-3</v>
      </c>
    </row>
    <row r="220" spans="2:5" ht="15" customHeight="1" x14ac:dyDescent="0.3">
      <c r="B220" s="78"/>
      <c r="C220" s="46" t="s">
        <v>118</v>
      </c>
      <c r="D220" s="45">
        <v>1</v>
      </c>
      <c r="E220" s="44">
        <v>1.9267822736030828E-3</v>
      </c>
    </row>
    <row r="221" spans="2:5" ht="15" customHeight="1" x14ac:dyDescent="0.3">
      <c r="B221" s="78"/>
      <c r="C221" s="46" t="s">
        <v>117</v>
      </c>
      <c r="D221" s="45">
        <v>1</v>
      </c>
      <c r="E221" s="44">
        <v>1.9267822736030828E-3</v>
      </c>
    </row>
    <row r="222" spans="2:5" ht="15" customHeight="1" x14ac:dyDescent="0.3">
      <c r="B222" s="78"/>
      <c r="C222" s="46" t="s">
        <v>116</v>
      </c>
      <c r="D222" s="45">
        <v>1</v>
      </c>
      <c r="E222" s="44">
        <v>1.9267822736030828E-3</v>
      </c>
    </row>
    <row r="223" spans="2:5" ht="15" customHeight="1" x14ac:dyDescent="0.3">
      <c r="B223" s="78"/>
      <c r="C223" s="46" t="s">
        <v>43</v>
      </c>
      <c r="D223" s="45">
        <v>7</v>
      </c>
      <c r="E223" s="44">
        <v>1.348747591522158E-2</v>
      </c>
    </row>
    <row r="224" spans="2:5" ht="15" customHeight="1" x14ac:dyDescent="0.3">
      <c r="B224" s="78"/>
      <c r="C224" s="46" t="s">
        <v>115</v>
      </c>
      <c r="D224" s="45">
        <v>1</v>
      </c>
      <c r="E224" s="44">
        <v>1.9267822736030828E-3</v>
      </c>
    </row>
    <row r="225" spans="2:5" ht="15" customHeight="1" x14ac:dyDescent="0.3">
      <c r="B225" s="78"/>
      <c r="C225" s="46" t="s">
        <v>114</v>
      </c>
      <c r="D225" s="45">
        <v>1</v>
      </c>
      <c r="E225" s="44">
        <v>1.9267822736030828E-3</v>
      </c>
    </row>
    <row r="226" spans="2:5" ht="15" customHeight="1" x14ac:dyDescent="0.3">
      <c r="B226" s="78"/>
      <c r="C226" s="46" t="s">
        <v>113</v>
      </c>
      <c r="D226" s="45">
        <v>1</v>
      </c>
      <c r="E226" s="44">
        <v>1.9267822736030828E-3</v>
      </c>
    </row>
    <row r="227" spans="2:5" ht="15" customHeight="1" x14ac:dyDescent="0.3">
      <c r="B227" s="78"/>
      <c r="C227" s="46" t="s">
        <v>112</v>
      </c>
      <c r="D227" s="45">
        <v>1</v>
      </c>
      <c r="E227" s="44">
        <v>1.9267822736030828E-3</v>
      </c>
    </row>
    <row r="228" spans="2:5" ht="15" customHeight="1" x14ac:dyDescent="0.3">
      <c r="B228" s="78"/>
      <c r="C228" s="46" t="s">
        <v>111</v>
      </c>
      <c r="D228" s="45">
        <v>2</v>
      </c>
      <c r="E228" s="44">
        <v>3.8535645472061657E-3</v>
      </c>
    </row>
    <row r="229" spans="2:5" ht="15" customHeight="1" x14ac:dyDescent="0.3">
      <c r="B229" s="78"/>
      <c r="C229" s="46" t="s">
        <v>110</v>
      </c>
      <c r="D229" s="45">
        <v>2</v>
      </c>
      <c r="E229" s="44">
        <v>3.8535645472061657E-3</v>
      </c>
    </row>
    <row r="230" spans="2:5" ht="15" customHeight="1" x14ac:dyDescent="0.3">
      <c r="B230" s="78"/>
      <c r="C230" s="46" t="s">
        <v>109</v>
      </c>
      <c r="D230" s="45">
        <v>1</v>
      </c>
      <c r="E230" s="44">
        <v>1.9267822736030828E-3</v>
      </c>
    </row>
    <row r="231" spans="2:5" ht="15" customHeight="1" x14ac:dyDescent="0.3">
      <c r="B231" s="78"/>
      <c r="C231" s="46" t="s">
        <v>108</v>
      </c>
      <c r="D231" s="45">
        <v>1</v>
      </c>
      <c r="E231" s="44">
        <v>1.9267822736030828E-3</v>
      </c>
    </row>
    <row r="232" spans="2:5" ht="15" customHeight="1" x14ac:dyDescent="0.3">
      <c r="B232" s="78"/>
      <c r="C232" s="46" t="s">
        <v>107</v>
      </c>
      <c r="D232" s="45">
        <v>1</v>
      </c>
      <c r="E232" s="44">
        <v>1.9267822736030828E-3</v>
      </c>
    </row>
    <row r="233" spans="2:5" ht="15" customHeight="1" x14ac:dyDescent="0.3">
      <c r="B233" s="78"/>
      <c r="C233" s="46" t="s">
        <v>106</v>
      </c>
      <c r="D233" s="45">
        <v>1</v>
      </c>
      <c r="E233" s="44">
        <v>1.9267822736030828E-3</v>
      </c>
    </row>
    <row r="234" spans="2:5" ht="15" customHeight="1" x14ac:dyDescent="0.3">
      <c r="B234" s="78"/>
      <c r="C234" s="46" t="s">
        <v>105</v>
      </c>
      <c r="D234" s="45">
        <v>1</v>
      </c>
      <c r="E234" s="44">
        <v>1.9267822736030828E-3</v>
      </c>
    </row>
    <row r="235" spans="2:5" ht="15" customHeight="1" x14ac:dyDescent="0.3">
      <c r="B235" s="78"/>
      <c r="C235" s="46" t="s">
        <v>104</v>
      </c>
      <c r="D235" s="45">
        <v>1</v>
      </c>
      <c r="E235" s="44">
        <v>1.9267822736030828E-3</v>
      </c>
    </row>
    <row r="236" spans="2:5" ht="15" customHeight="1" x14ac:dyDescent="0.3">
      <c r="B236" s="75"/>
      <c r="C236" s="43" t="s">
        <v>18</v>
      </c>
      <c r="D236" s="42">
        <v>43</v>
      </c>
      <c r="E236" s="41">
        <v>8.2851637764932567E-2</v>
      </c>
    </row>
    <row r="237" spans="2:5" ht="15" customHeight="1" x14ac:dyDescent="0.3">
      <c r="B237" s="74" t="s">
        <v>37</v>
      </c>
      <c r="C237" s="46" t="s">
        <v>103</v>
      </c>
      <c r="D237" s="45">
        <v>2</v>
      </c>
      <c r="E237" s="44">
        <v>3.8535645472061657E-3</v>
      </c>
    </row>
    <row r="238" spans="2:5" ht="15" customHeight="1" x14ac:dyDescent="0.3">
      <c r="B238" s="78"/>
      <c r="C238" s="46" t="s">
        <v>102</v>
      </c>
      <c r="D238" s="45">
        <v>2</v>
      </c>
      <c r="E238" s="44">
        <v>3.8535645472061657E-3</v>
      </c>
    </row>
    <row r="239" spans="2:5" ht="15" customHeight="1" x14ac:dyDescent="0.3">
      <c r="B239" s="78"/>
      <c r="C239" s="46" t="s">
        <v>37</v>
      </c>
      <c r="D239" s="45">
        <v>10</v>
      </c>
      <c r="E239" s="44">
        <v>1.9267822736030827E-2</v>
      </c>
    </row>
    <row r="240" spans="2:5" ht="15" customHeight="1" x14ac:dyDescent="0.3">
      <c r="B240" s="78"/>
      <c r="C240" s="46" t="s">
        <v>101</v>
      </c>
      <c r="D240" s="45">
        <v>1</v>
      </c>
      <c r="E240" s="44">
        <v>1.9267822736030828E-3</v>
      </c>
    </row>
    <row r="241" spans="2:5" ht="15" customHeight="1" x14ac:dyDescent="0.3">
      <c r="B241" s="75"/>
      <c r="C241" s="43" t="s">
        <v>18</v>
      </c>
      <c r="D241" s="42">
        <v>15</v>
      </c>
      <c r="E241" s="41">
        <v>2.8901734104046242E-2</v>
      </c>
    </row>
    <row r="242" spans="2:5" ht="15" customHeight="1" x14ac:dyDescent="0.3">
      <c r="B242" s="74" t="s">
        <v>22</v>
      </c>
      <c r="C242" s="46" t="s">
        <v>100</v>
      </c>
      <c r="D242" s="45">
        <v>1</v>
      </c>
      <c r="E242" s="44">
        <v>1.9267822736030828E-3</v>
      </c>
    </row>
    <row r="243" spans="2:5" ht="15" customHeight="1" x14ac:dyDescent="0.3">
      <c r="B243" s="75"/>
      <c r="C243" s="43" t="s">
        <v>18</v>
      </c>
      <c r="D243" s="42">
        <v>1</v>
      </c>
      <c r="E243" s="41">
        <v>1.9267822736030828E-3</v>
      </c>
    </row>
    <row r="244" spans="2:5" ht="15" customHeight="1" x14ac:dyDescent="0.3">
      <c r="B244" s="74" t="s">
        <v>36</v>
      </c>
      <c r="C244" s="46" t="s">
        <v>99</v>
      </c>
      <c r="D244" s="45">
        <v>1</v>
      </c>
      <c r="E244" s="44">
        <v>1.9267822736030828E-3</v>
      </c>
    </row>
    <row r="245" spans="2:5" ht="15" customHeight="1" x14ac:dyDescent="0.3">
      <c r="B245" s="78"/>
      <c r="C245" s="46" t="s">
        <v>98</v>
      </c>
      <c r="D245" s="45">
        <v>1</v>
      </c>
      <c r="E245" s="44">
        <v>1.9267822736030828E-3</v>
      </c>
    </row>
    <row r="246" spans="2:5" ht="15" customHeight="1" x14ac:dyDescent="0.3">
      <c r="B246" s="78"/>
      <c r="C246" s="46" t="s">
        <v>97</v>
      </c>
      <c r="D246" s="45">
        <v>8</v>
      </c>
      <c r="E246" s="44">
        <v>1.5414258188824663E-2</v>
      </c>
    </row>
    <row r="247" spans="2:5" ht="15" customHeight="1" x14ac:dyDescent="0.3">
      <c r="B247" s="78"/>
      <c r="C247" s="46" t="s">
        <v>36</v>
      </c>
      <c r="D247" s="45">
        <v>2</v>
      </c>
      <c r="E247" s="44">
        <v>3.8535645472061657E-3</v>
      </c>
    </row>
    <row r="248" spans="2:5" ht="15" customHeight="1" x14ac:dyDescent="0.3">
      <c r="B248" s="78"/>
      <c r="C248" s="46" t="s">
        <v>96</v>
      </c>
      <c r="D248" s="45">
        <v>2</v>
      </c>
      <c r="E248" s="44">
        <v>3.8535645472061657E-3</v>
      </c>
    </row>
    <row r="249" spans="2:5" ht="15" customHeight="1" x14ac:dyDescent="0.3">
      <c r="B249" s="75"/>
      <c r="C249" s="43" t="s">
        <v>18</v>
      </c>
      <c r="D249" s="42">
        <v>14</v>
      </c>
      <c r="E249" s="41">
        <v>2.6974951830443159E-2</v>
      </c>
    </row>
    <row r="250" spans="2:5" ht="15" customHeight="1" x14ac:dyDescent="0.3">
      <c r="B250" s="74" t="s">
        <v>21</v>
      </c>
      <c r="C250" s="46" t="s">
        <v>95</v>
      </c>
      <c r="D250" s="45">
        <v>1</v>
      </c>
      <c r="E250" s="44">
        <v>1.9267822736030828E-3</v>
      </c>
    </row>
    <row r="251" spans="2:5" ht="15" customHeight="1" x14ac:dyDescent="0.3">
      <c r="B251" s="75"/>
      <c r="C251" s="43" t="s">
        <v>18</v>
      </c>
      <c r="D251" s="42">
        <v>1</v>
      </c>
      <c r="E251" s="41">
        <v>1.9267822736030828E-3</v>
      </c>
    </row>
    <row r="252" spans="2:5" ht="15" customHeight="1" x14ac:dyDescent="0.3">
      <c r="B252" s="74" t="s">
        <v>34</v>
      </c>
      <c r="C252" s="46" t="s">
        <v>94</v>
      </c>
      <c r="D252" s="45">
        <v>2</v>
      </c>
      <c r="E252" s="44">
        <v>3.8535645472061657E-3</v>
      </c>
    </row>
    <row r="253" spans="2:5" ht="15" customHeight="1" x14ac:dyDescent="0.3">
      <c r="B253" s="78"/>
      <c r="C253" s="46" t="s">
        <v>93</v>
      </c>
      <c r="D253" s="45">
        <v>2</v>
      </c>
      <c r="E253" s="44">
        <v>3.8535645472061657E-3</v>
      </c>
    </row>
    <row r="254" spans="2:5" ht="15" customHeight="1" x14ac:dyDescent="0.3">
      <c r="B254" s="78"/>
      <c r="C254" s="46" t="s">
        <v>92</v>
      </c>
      <c r="D254" s="45">
        <v>1</v>
      </c>
      <c r="E254" s="44">
        <v>1.9267822736030828E-3</v>
      </c>
    </row>
    <row r="255" spans="2:5" ht="15" customHeight="1" x14ac:dyDescent="0.3">
      <c r="B255" s="78"/>
      <c r="C255" s="46" t="s">
        <v>91</v>
      </c>
      <c r="D255" s="45">
        <v>1</v>
      </c>
      <c r="E255" s="44">
        <v>1.9267822736030828E-3</v>
      </c>
    </row>
    <row r="256" spans="2:5" ht="15" customHeight="1" x14ac:dyDescent="0.3">
      <c r="B256" s="75"/>
      <c r="C256" s="43" t="s">
        <v>18</v>
      </c>
      <c r="D256" s="42">
        <v>6</v>
      </c>
      <c r="E256" s="41">
        <v>1.1560693641618497E-2</v>
      </c>
    </row>
    <row r="257" spans="2:5" ht="15" customHeight="1" x14ac:dyDescent="0.3">
      <c r="B257" s="74" t="s">
        <v>26</v>
      </c>
      <c r="C257" s="46" t="s">
        <v>90</v>
      </c>
      <c r="D257" s="45">
        <v>2</v>
      </c>
      <c r="E257" s="44">
        <v>3.8535645472061657E-3</v>
      </c>
    </row>
    <row r="258" spans="2:5" ht="15" customHeight="1" x14ac:dyDescent="0.3">
      <c r="B258" s="78"/>
      <c r="C258" s="46" t="s">
        <v>89</v>
      </c>
      <c r="D258" s="45">
        <v>1</v>
      </c>
      <c r="E258" s="44">
        <v>1.9267822736030828E-3</v>
      </c>
    </row>
    <row r="259" spans="2:5" ht="15" customHeight="1" x14ac:dyDescent="0.3">
      <c r="B259" s="75"/>
      <c r="C259" s="43" t="s">
        <v>18</v>
      </c>
      <c r="D259" s="42">
        <v>3</v>
      </c>
      <c r="E259" s="41">
        <v>5.7803468208092483E-3</v>
      </c>
    </row>
    <row r="260" spans="2:5" ht="15" customHeight="1" x14ac:dyDescent="0.3">
      <c r="B260" s="74" t="s">
        <v>32</v>
      </c>
      <c r="C260" s="46" t="s">
        <v>88</v>
      </c>
      <c r="D260" s="45">
        <v>1</v>
      </c>
      <c r="E260" s="44">
        <v>1.9267822736030828E-3</v>
      </c>
    </row>
    <row r="261" spans="2:5" ht="15" customHeight="1" x14ac:dyDescent="0.3">
      <c r="B261" s="78"/>
      <c r="C261" s="46" t="s">
        <v>87</v>
      </c>
      <c r="D261" s="45">
        <v>1</v>
      </c>
      <c r="E261" s="44">
        <v>1.9267822736030828E-3</v>
      </c>
    </row>
    <row r="262" spans="2:5" ht="15" customHeight="1" x14ac:dyDescent="0.3">
      <c r="B262" s="78"/>
      <c r="C262" s="46" t="s">
        <v>86</v>
      </c>
      <c r="D262" s="45">
        <v>2</v>
      </c>
      <c r="E262" s="44">
        <v>3.8535645472061657E-3</v>
      </c>
    </row>
    <row r="263" spans="2:5" ht="15" customHeight="1" x14ac:dyDescent="0.3">
      <c r="B263" s="75"/>
      <c r="C263" s="43" t="s">
        <v>18</v>
      </c>
      <c r="D263" s="42">
        <v>4</v>
      </c>
      <c r="E263" s="41">
        <v>7.7071290944123313E-3</v>
      </c>
    </row>
    <row r="264" spans="2:5" ht="15" customHeight="1" x14ac:dyDescent="0.3">
      <c r="B264" s="74" t="s">
        <v>31</v>
      </c>
      <c r="C264" s="46" t="s">
        <v>85</v>
      </c>
      <c r="D264" s="45">
        <v>1</v>
      </c>
      <c r="E264" s="44">
        <v>1.9267822736030828E-3</v>
      </c>
    </row>
    <row r="265" spans="2:5" ht="15" customHeight="1" x14ac:dyDescent="0.3">
      <c r="B265" s="78"/>
      <c r="C265" s="46" t="s">
        <v>84</v>
      </c>
      <c r="D265" s="45">
        <v>1</v>
      </c>
      <c r="E265" s="44">
        <v>1.9267822736030828E-3</v>
      </c>
    </row>
    <row r="266" spans="2:5" ht="15" customHeight="1" x14ac:dyDescent="0.3">
      <c r="B266" s="78"/>
      <c r="C266" s="46" t="s">
        <v>31</v>
      </c>
      <c r="D266" s="45">
        <v>1</v>
      </c>
      <c r="E266" s="44">
        <v>1.9267822736030828E-3</v>
      </c>
    </row>
    <row r="267" spans="2:5" ht="15" customHeight="1" x14ac:dyDescent="0.3">
      <c r="B267" s="78"/>
      <c r="C267" s="46" t="s">
        <v>83</v>
      </c>
      <c r="D267" s="45">
        <v>1</v>
      </c>
      <c r="E267" s="44">
        <v>1.9267822736030828E-3</v>
      </c>
    </row>
    <row r="268" spans="2:5" ht="15" customHeight="1" x14ac:dyDescent="0.3">
      <c r="B268" s="75"/>
      <c r="C268" s="43" t="s">
        <v>18</v>
      </c>
      <c r="D268" s="42">
        <v>4</v>
      </c>
      <c r="E268" s="41">
        <v>7.7071290944123313E-3</v>
      </c>
    </row>
    <row r="269" spans="2:5" ht="15" customHeight="1" x14ac:dyDescent="0.3">
      <c r="B269" s="74" t="s">
        <v>44</v>
      </c>
      <c r="C269" s="46" t="s">
        <v>82</v>
      </c>
      <c r="D269" s="45">
        <v>1</v>
      </c>
      <c r="E269" s="44">
        <v>1.9267822736030828E-3</v>
      </c>
    </row>
    <row r="270" spans="2:5" ht="15" customHeight="1" x14ac:dyDescent="0.3">
      <c r="B270" s="78"/>
      <c r="C270" s="46" t="s">
        <v>81</v>
      </c>
      <c r="D270" s="45">
        <v>1</v>
      </c>
      <c r="E270" s="44">
        <v>1.9267822736030828E-3</v>
      </c>
    </row>
    <row r="271" spans="2:5" ht="15" customHeight="1" x14ac:dyDescent="0.3">
      <c r="B271" s="78"/>
      <c r="C271" s="46" t="s">
        <v>80</v>
      </c>
      <c r="D271" s="45">
        <v>1</v>
      </c>
      <c r="E271" s="44">
        <v>1.9267822736030828E-3</v>
      </c>
    </row>
    <row r="272" spans="2:5" ht="15" customHeight="1" x14ac:dyDescent="0.3">
      <c r="B272" s="78"/>
      <c r="C272" s="46" t="s">
        <v>79</v>
      </c>
      <c r="D272" s="45">
        <v>1</v>
      </c>
      <c r="E272" s="44">
        <v>1.9267822736030828E-3</v>
      </c>
    </row>
    <row r="273" spans="2:5" ht="15" customHeight="1" x14ac:dyDescent="0.3">
      <c r="B273" s="78"/>
      <c r="C273" s="46" t="s">
        <v>78</v>
      </c>
      <c r="D273" s="45">
        <v>2</v>
      </c>
      <c r="E273" s="44">
        <v>3.8535645472061657E-3</v>
      </c>
    </row>
    <row r="274" spans="2:5" ht="15" customHeight="1" x14ac:dyDescent="0.3">
      <c r="B274" s="78"/>
      <c r="C274" s="46" t="s">
        <v>77</v>
      </c>
      <c r="D274" s="45">
        <v>1</v>
      </c>
      <c r="E274" s="44">
        <v>1.9267822736030828E-3</v>
      </c>
    </row>
    <row r="275" spans="2:5" ht="15" customHeight="1" x14ac:dyDescent="0.3">
      <c r="B275" s="78"/>
      <c r="C275" s="46" t="s">
        <v>76</v>
      </c>
      <c r="D275" s="45">
        <v>3</v>
      </c>
      <c r="E275" s="44">
        <v>5.7803468208092483E-3</v>
      </c>
    </row>
    <row r="276" spans="2:5" ht="15" customHeight="1" x14ac:dyDescent="0.3">
      <c r="B276" s="78"/>
      <c r="C276" s="46" t="s">
        <v>75</v>
      </c>
      <c r="D276" s="45">
        <v>1</v>
      </c>
      <c r="E276" s="44">
        <v>1.9267822736030828E-3</v>
      </c>
    </row>
    <row r="277" spans="2:5" ht="15" customHeight="1" x14ac:dyDescent="0.3">
      <c r="B277" s="78"/>
      <c r="C277" s="46" t="s">
        <v>74</v>
      </c>
      <c r="D277" s="45">
        <v>1</v>
      </c>
      <c r="E277" s="44">
        <v>1.9267822736030828E-3</v>
      </c>
    </row>
    <row r="278" spans="2:5" ht="15" customHeight="1" x14ac:dyDescent="0.3">
      <c r="B278" s="78"/>
      <c r="C278" s="46" t="s">
        <v>73</v>
      </c>
      <c r="D278" s="45">
        <v>1</v>
      </c>
      <c r="E278" s="44">
        <v>1.9267822736030828E-3</v>
      </c>
    </row>
    <row r="279" spans="2:5" ht="15" customHeight="1" x14ac:dyDescent="0.3">
      <c r="B279" s="78"/>
      <c r="C279" s="46" t="s">
        <v>72</v>
      </c>
      <c r="D279" s="45">
        <v>1</v>
      </c>
      <c r="E279" s="44">
        <v>1.9267822736030828E-3</v>
      </c>
    </row>
    <row r="280" spans="2:5" ht="15" customHeight="1" x14ac:dyDescent="0.3">
      <c r="B280" s="78"/>
      <c r="C280" s="46" t="s">
        <v>71</v>
      </c>
      <c r="D280" s="45">
        <v>1</v>
      </c>
      <c r="E280" s="44">
        <v>1.9267822736030828E-3</v>
      </c>
    </row>
    <row r="281" spans="2:5" ht="15" customHeight="1" x14ac:dyDescent="0.3">
      <c r="B281" s="78"/>
      <c r="C281" s="46" t="s">
        <v>70</v>
      </c>
      <c r="D281" s="45">
        <v>2</v>
      </c>
      <c r="E281" s="44">
        <v>3.8535645472061657E-3</v>
      </c>
    </row>
    <row r="282" spans="2:5" ht="15" customHeight="1" x14ac:dyDescent="0.3">
      <c r="B282" s="78"/>
      <c r="C282" s="46" t="s">
        <v>69</v>
      </c>
      <c r="D282" s="45">
        <v>2</v>
      </c>
      <c r="E282" s="44">
        <v>3.8535645472061657E-3</v>
      </c>
    </row>
    <row r="283" spans="2:5" ht="15" customHeight="1" x14ac:dyDescent="0.3">
      <c r="B283" s="78"/>
      <c r="C283" s="46" t="s">
        <v>68</v>
      </c>
      <c r="D283" s="45">
        <v>1</v>
      </c>
      <c r="E283" s="44">
        <v>1.9267822736030828E-3</v>
      </c>
    </row>
    <row r="284" spans="2:5" ht="15" customHeight="1" x14ac:dyDescent="0.3">
      <c r="B284" s="78"/>
      <c r="C284" s="46" t="s">
        <v>67</v>
      </c>
      <c r="D284" s="45">
        <v>3</v>
      </c>
      <c r="E284" s="44">
        <v>5.7803468208092483E-3</v>
      </c>
    </row>
    <row r="285" spans="2:5" ht="15" customHeight="1" x14ac:dyDescent="0.3">
      <c r="B285" s="78"/>
      <c r="C285" s="46" t="s">
        <v>66</v>
      </c>
      <c r="D285" s="45">
        <v>1</v>
      </c>
      <c r="E285" s="44">
        <v>1.9267822736030828E-3</v>
      </c>
    </row>
    <row r="286" spans="2:5" ht="15" customHeight="1" x14ac:dyDescent="0.3">
      <c r="B286" s="78"/>
      <c r="C286" s="46" t="s">
        <v>65</v>
      </c>
      <c r="D286" s="45">
        <v>1</v>
      </c>
      <c r="E286" s="44">
        <v>1.9267822736030828E-3</v>
      </c>
    </row>
    <row r="287" spans="2:5" ht="15" customHeight="1" x14ac:dyDescent="0.3">
      <c r="B287" s="78"/>
      <c r="C287" s="46" t="s">
        <v>64</v>
      </c>
      <c r="D287" s="45">
        <v>1</v>
      </c>
      <c r="E287" s="44">
        <v>1.9267822736030828E-3</v>
      </c>
    </row>
    <row r="288" spans="2:5" ht="15" customHeight="1" x14ac:dyDescent="0.3">
      <c r="B288" s="78"/>
      <c r="C288" s="46" t="s">
        <v>63</v>
      </c>
      <c r="D288" s="45">
        <v>1</v>
      </c>
      <c r="E288" s="44">
        <v>1.9267822736030828E-3</v>
      </c>
    </row>
    <row r="289" spans="2:5" ht="15" customHeight="1" x14ac:dyDescent="0.3">
      <c r="B289" s="78"/>
      <c r="C289" s="46" t="s">
        <v>62</v>
      </c>
      <c r="D289" s="45">
        <v>1</v>
      </c>
      <c r="E289" s="44">
        <v>1.9267822736030828E-3</v>
      </c>
    </row>
    <row r="290" spans="2:5" ht="15" customHeight="1" x14ac:dyDescent="0.3">
      <c r="B290" s="78"/>
      <c r="C290" s="46" t="s">
        <v>61</v>
      </c>
      <c r="D290" s="45">
        <v>4</v>
      </c>
      <c r="E290" s="44">
        <v>7.7071290944123313E-3</v>
      </c>
    </row>
    <row r="291" spans="2:5" ht="15" customHeight="1" x14ac:dyDescent="0.3">
      <c r="B291" s="78"/>
      <c r="C291" s="46" t="s">
        <v>60</v>
      </c>
      <c r="D291" s="45">
        <v>1</v>
      </c>
      <c r="E291" s="44">
        <v>1.9267822736030828E-3</v>
      </c>
    </row>
    <row r="292" spans="2:5" ht="15" customHeight="1" x14ac:dyDescent="0.3">
      <c r="B292" s="78"/>
      <c r="C292" s="46" t="s">
        <v>59</v>
      </c>
      <c r="D292" s="45">
        <v>2</v>
      </c>
      <c r="E292" s="44">
        <v>3.8535645472061657E-3</v>
      </c>
    </row>
    <row r="293" spans="2:5" ht="15" customHeight="1" x14ac:dyDescent="0.3">
      <c r="B293" s="78"/>
      <c r="C293" s="46" t="s">
        <v>58</v>
      </c>
      <c r="D293" s="45">
        <v>1</v>
      </c>
      <c r="E293" s="44">
        <v>1.9267822736030828E-3</v>
      </c>
    </row>
    <row r="294" spans="2:5" ht="15" customHeight="1" x14ac:dyDescent="0.3">
      <c r="B294" s="78"/>
      <c r="C294" s="46" t="s">
        <v>57</v>
      </c>
      <c r="D294" s="45">
        <v>1</v>
      </c>
      <c r="E294" s="44">
        <v>1.9267822736030828E-3</v>
      </c>
    </row>
    <row r="295" spans="2:5" ht="15" customHeight="1" x14ac:dyDescent="0.3">
      <c r="B295" s="78"/>
      <c r="C295" s="46" t="s">
        <v>56</v>
      </c>
      <c r="D295" s="45">
        <v>1</v>
      </c>
      <c r="E295" s="44">
        <v>1.9267822736030828E-3</v>
      </c>
    </row>
    <row r="296" spans="2:5" ht="15" customHeight="1" x14ac:dyDescent="0.3">
      <c r="B296" s="78"/>
      <c r="C296" s="46" t="s">
        <v>44</v>
      </c>
      <c r="D296" s="45">
        <v>5</v>
      </c>
      <c r="E296" s="44">
        <v>9.6339113680154135E-3</v>
      </c>
    </row>
    <row r="297" spans="2:5" ht="15" customHeight="1" x14ac:dyDescent="0.3">
      <c r="B297" s="78"/>
      <c r="C297" s="46" t="s">
        <v>55</v>
      </c>
      <c r="D297" s="45">
        <v>1</v>
      </c>
      <c r="E297" s="44">
        <v>1.9267822736030828E-3</v>
      </c>
    </row>
    <row r="298" spans="2:5" ht="15" customHeight="1" x14ac:dyDescent="0.3">
      <c r="B298" s="75"/>
      <c r="C298" s="43" t="s">
        <v>18</v>
      </c>
      <c r="D298" s="42">
        <v>44</v>
      </c>
      <c r="E298" s="41">
        <v>8.477842003853564E-2</v>
      </c>
    </row>
    <row r="299" spans="2:5" ht="15" customHeight="1" x14ac:dyDescent="0.3">
      <c r="B299" s="74" t="s">
        <v>20</v>
      </c>
      <c r="C299" s="46" t="s">
        <v>54</v>
      </c>
      <c r="D299" s="45">
        <v>1</v>
      </c>
      <c r="E299" s="44">
        <v>1.9267822736030828E-3</v>
      </c>
    </row>
    <row r="300" spans="2:5" ht="15" customHeight="1" x14ac:dyDescent="0.3">
      <c r="B300" s="75"/>
      <c r="C300" s="43" t="s">
        <v>18</v>
      </c>
      <c r="D300" s="42">
        <v>1</v>
      </c>
      <c r="E300" s="41">
        <v>1.9267822736030828E-3</v>
      </c>
    </row>
    <row r="301" spans="2:5" ht="15" customHeight="1" x14ac:dyDescent="0.3">
      <c r="B301" s="74" t="s">
        <v>19</v>
      </c>
      <c r="C301" s="46" t="s">
        <v>53</v>
      </c>
      <c r="D301" s="45">
        <v>1</v>
      </c>
      <c r="E301" s="44">
        <v>1.9267822736030828E-3</v>
      </c>
    </row>
    <row r="302" spans="2:5" ht="15" customHeight="1" x14ac:dyDescent="0.3">
      <c r="B302" s="75"/>
      <c r="C302" s="43" t="s">
        <v>18</v>
      </c>
      <c r="D302" s="42">
        <v>1</v>
      </c>
      <c r="E302" s="41">
        <v>1.9267822736030828E-3</v>
      </c>
    </row>
    <row r="303" spans="2:5" ht="15" customHeight="1" x14ac:dyDescent="0.3">
      <c r="B303" s="76" t="s">
        <v>18</v>
      </c>
      <c r="C303" s="77"/>
      <c r="D303" s="59">
        <f>SUMIF(C$10:C302,"Total",D$10:D302)</f>
        <v>519</v>
      </c>
      <c r="E303" s="60">
        <v>1</v>
      </c>
    </row>
    <row r="305" spans="2:2" ht="15" customHeight="1" x14ac:dyDescent="0.3">
      <c r="B305" s="20" t="s">
        <v>17</v>
      </c>
    </row>
    <row r="306" spans="2:2" ht="15" customHeight="1" x14ac:dyDescent="0.3">
      <c r="B306" s="22" t="s">
        <v>16</v>
      </c>
    </row>
    <row r="307" spans="2:2" ht="15" customHeight="1" x14ac:dyDescent="0.3">
      <c r="B307" s="21" t="s">
        <v>15</v>
      </c>
    </row>
    <row r="308" spans="2:2" ht="15" customHeight="1" x14ac:dyDescent="0.3">
      <c r="B308" s="20" t="s">
        <v>14</v>
      </c>
    </row>
    <row r="309" spans="2:2" ht="15" customHeight="1" x14ac:dyDescent="0.3">
      <c r="B309" s="20" t="s">
        <v>13</v>
      </c>
    </row>
    <row r="484" spans="1:2" s="38" customFormat="1" ht="15" customHeight="1" x14ac:dyDescent="0.3">
      <c r="A484" s="37"/>
      <c r="B484" s="39"/>
    </row>
    <row r="485" spans="1:2" s="38" customFormat="1" ht="15" customHeight="1" x14ac:dyDescent="0.3">
      <c r="A485" s="37"/>
      <c r="B485" s="40"/>
    </row>
    <row r="486" spans="1:2" s="38" customFormat="1" ht="15" customHeight="1" x14ac:dyDescent="0.3">
      <c r="A486" s="37"/>
      <c r="B486" s="40"/>
    </row>
    <row r="487" spans="1:2" s="38" customFormat="1" ht="15" customHeight="1" x14ac:dyDescent="0.3">
      <c r="A487" s="37"/>
      <c r="B487" s="39"/>
    </row>
    <row r="488" spans="1:2" s="38" customFormat="1" ht="15" customHeight="1" x14ac:dyDescent="0.3">
      <c r="A488" s="37"/>
      <c r="B488" s="39"/>
    </row>
  </sheetData>
  <mergeCells count="32">
    <mergeCell ref="B98:B119"/>
    <mergeCell ref="B7:E8"/>
    <mergeCell ref="B10:B11"/>
    <mergeCell ref="B12:B13"/>
    <mergeCell ref="B14:B16"/>
    <mergeCell ref="B17:B46"/>
    <mergeCell ref="B47:B50"/>
    <mergeCell ref="B51:B52"/>
    <mergeCell ref="B53:B66"/>
    <mergeCell ref="B67:B69"/>
    <mergeCell ref="B70:B82"/>
    <mergeCell ref="B83:B97"/>
    <mergeCell ref="B250:B251"/>
    <mergeCell ref="B120:B128"/>
    <mergeCell ref="B129:B151"/>
    <mergeCell ref="B152:B170"/>
    <mergeCell ref="B171:B177"/>
    <mergeCell ref="B178:B180"/>
    <mergeCell ref="B181:B182"/>
    <mergeCell ref="B183:B209"/>
    <mergeCell ref="B210:B236"/>
    <mergeCell ref="B237:B241"/>
    <mergeCell ref="B242:B243"/>
    <mergeCell ref="B244:B249"/>
    <mergeCell ref="B301:B302"/>
    <mergeCell ref="B303:C303"/>
    <mergeCell ref="B252:B256"/>
    <mergeCell ref="B257:B259"/>
    <mergeCell ref="B260:B263"/>
    <mergeCell ref="B264:B268"/>
    <mergeCell ref="B269:B298"/>
    <mergeCell ref="B299:B300"/>
  </mergeCells>
  <printOptions horizontalCentered="1"/>
  <pageMargins left="0.70866141732283472" right="0.70866141732283472" top="0.74803149606299213" bottom="0.74803149606299213" header="0.31496062992125984" footer="0.31496062992125984"/>
  <pageSetup scale="64" orientation="portrait" r:id="rId1"/>
  <rowBreaks count="8" manualBreakCount="8">
    <brk id="52" max="4" man="1"/>
    <brk id="82" max="4" man="1"/>
    <brk id="119" max="4" man="1"/>
    <brk id="151" max="4" man="1"/>
    <brk id="182" max="4" man="1"/>
    <brk id="209" max="4" man="1"/>
    <brk id="251" max="4" man="1"/>
    <brk id="268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B1:D39"/>
  <sheetViews>
    <sheetView showGridLines="0" topLeftCell="A7" zoomScaleNormal="100" zoomScaleSheetLayoutView="115" workbookViewId="0">
      <selection activeCell="D11" sqref="D11"/>
    </sheetView>
  </sheetViews>
  <sheetFormatPr baseColWidth="10" defaultColWidth="11.44140625" defaultRowHeight="14.4" x14ac:dyDescent="0.3"/>
  <cols>
    <col min="1" max="1" width="9.33203125" style="18" customWidth="1"/>
    <col min="2" max="2" width="30.554687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325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324</v>
      </c>
      <c r="C11" s="32" t="s">
        <v>50</v>
      </c>
      <c r="D11" s="31" t="s">
        <v>49</v>
      </c>
    </row>
    <row r="12" spans="2:4" ht="15" customHeight="1" x14ac:dyDescent="0.3">
      <c r="B12" s="28" t="s">
        <v>323</v>
      </c>
      <c r="C12" s="27">
        <v>8</v>
      </c>
      <c r="D12" s="26">
        <v>1.5414258188824663E-2</v>
      </c>
    </row>
    <row r="13" spans="2:4" x14ac:dyDescent="0.3">
      <c r="B13" s="28" t="s">
        <v>322</v>
      </c>
      <c r="C13" s="27">
        <v>1</v>
      </c>
      <c r="D13" s="26">
        <v>1.9267822736030828E-3</v>
      </c>
    </row>
    <row r="14" spans="2:4" s="29" customFormat="1" ht="15" x14ac:dyDescent="0.3">
      <c r="B14" s="28" t="s">
        <v>321</v>
      </c>
      <c r="C14" s="27">
        <v>4</v>
      </c>
      <c r="D14" s="26">
        <v>7.7071290944123313E-3</v>
      </c>
    </row>
    <row r="15" spans="2:4" s="29" customFormat="1" ht="15" x14ac:dyDescent="0.3">
      <c r="B15" s="28" t="s">
        <v>320</v>
      </c>
      <c r="C15" s="27">
        <v>9</v>
      </c>
      <c r="D15" s="26">
        <v>1.7341040462427744E-2</v>
      </c>
    </row>
    <row r="16" spans="2:4" x14ac:dyDescent="0.3">
      <c r="B16" s="28" t="s">
        <v>319</v>
      </c>
      <c r="C16" s="27">
        <v>6</v>
      </c>
      <c r="D16" s="26">
        <v>1.1560693641618497E-2</v>
      </c>
    </row>
    <row r="17" spans="2:4" x14ac:dyDescent="0.3">
      <c r="B17" s="28" t="s">
        <v>318</v>
      </c>
      <c r="C17" s="27">
        <v>7</v>
      </c>
      <c r="D17" s="26">
        <v>1.348747591522158E-2</v>
      </c>
    </row>
    <row r="18" spans="2:4" x14ac:dyDescent="0.3">
      <c r="B18" s="28" t="s">
        <v>317</v>
      </c>
      <c r="C18" s="27">
        <v>27</v>
      </c>
      <c r="D18" s="26">
        <v>5.2023121387283239E-2</v>
      </c>
    </row>
    <row r="19" spans="2:4" x14ac:dyDescent="0.3">
      <c r="B19" s="28" t="s">
        <v>316</v>
      </c>
      <c r="C19" s="27">
        <v>92</v>
      </c>
      <c r="D19" s="26">
        <v>0.17726396917148363</v>
      </c>
    </row>
    <row r="20" spans="2:4" x14ac:dyDescent="0.3">
      <c r="B20" s="28" t="s">
        <v>315</v>
      </c>
      <c r="C20" s="27">
        <v>4</v>
      </c>
      <c r="D20" s="26">
        <v>7.7071290944123313E-3</v>
      </c>
    </row>
    <row r="21" spans="2:4" x14ac:dyDescent="0.3">
      <c r="B21" s="28" t="s">
        <v>314</v>
      </c>
      <c r="C21" s="27">
        <v>15</v>
      </c>
      <c r="D21" s="26">
        <v>2.8901734104046242E-2</v>
      </c>
    </row>
    <row r="22" spans="2:4" x14ac:dyDescent="0.3">
      <c r="B22" s="28" t="s">
        <v>313</v>
      </c>
      <c r="C22" s="27">
        <v>19</v>
      </c>
      <c r="D22" s="26">
        <v>3.6608863198458574E-2</v>
      </c>
    </row>
    <row r="23" spans="2:4" x14ac:dyDescent="0.3">
      <c r="B23" s="28" t="s">
        <v>312</v>
      </c>
      <c r="C23" s="27">
        <v>171</v>
      </c>
      <c r="D23" s="26">
        <v>0.32947976878612717</v>
      </c>
    </row>
    <row r="24" spans="2:4" x14ac:dyDescent="0.3">
      <c r="B24" s="28" t="s">
        <v>311</v>
      </c>
      <c r="C24" s="27">
        <v>7</v>
      </c>
      <c r="D24" s="26">
        <v>1.348747591522158E-2</v>
      </c>
    </row>
    <row r="25" spans="2:4" x14ac:dyDescent="0.3">
      <c r="B25" s="28" t="s">
        <v>310</v>
      </c>
      <c r="C25" s="27">
        <v>26</v>
      </c>
      <c r="D25" s="26">
        <v>5.0096339113680152E-2</v>
      </c>
    </row>
    <row r="26" spans="2:4" x14ac:dyDescent="0.3">
      <c r="B26" s="28" t="s">
        <v>309</v>
      </c>
      <c r="C26" s="27">
        <v>86</v>
      </c>
      <c r="D26" s="26">
        <v>0.16570327552986513</v>
      </c>
    </row>
    <row r="27" spans="2:4" x14ac:dyDescent="0.3">
      <c r="B27" s="28" t="s">
        <v>308</v>
      </c>
      <c r="C27" s="27">
        <v>2</v>
      </c>
      <c r="D27" s="26">
        <v>3.8535645472061657E-3</v>
      </c>
    </row>
    <row r="28" spans="2:4" x14ac:dyDescent="0.3">
      <c r="B28" s="28" t="s">
        <v>307</v>
      </c>
      <c r="C28" s="27">
        <v>2</v>
      </c>
      <c r="D28" s="26">
        <v>3.8535645472061657E-3</v>
      </c>
    </row>
    <row r="29" spans="2:4" x14ac:dyDescent="0.3">
      <c r="B29" s="28" t="s">
        <v>306</v>
      </c>
      <c r="C29" s="27">
        <v>9</v>
      </c>
      <c r="D29" s="26">
        <v>1.7341040462427744E-2</v>
      </c>
    </row>
    <row r="30" spans="2:4" x14ac:dyDescent="0.3">
      <c r="B30" s="28" t="s">
        <v>305</v>
      </c>
      <c r="C30" s="27">
        <v>20</v>
      </c>
      <c r="D30" s="26">
        <v>3.8535645472061654E-2</v>
      </c>
    </row>
    <row r="31" spans="2:4" x14ac:dyDescent="0.3">
      <c r="B31" s="28" t="s">
        <v>304</v>
      </c>
      <c r="C31" s="27">
        <v>2</v>
      </c>
      <c r="D31" s="26">
        <v>3.8535645472061657E-3</v>
      </c>
    </row>
    <row r="32" spans="2:4" x14ac:dyDescent="0.3">
      <c r="B32" s="28" t="s">
        <v>303</v>
      </c>
      <c r="C32" s="27">
        <v>2</v>
      </c>
      <c r="D32" s="26">
        <v>3.8535645472061657E-3</v>
      </c>
    </row>
    <row r="33" spans="2:4" x14ac:dyDescent="0.3">
      <c r="B33" s="25" t="s">
        <v>18</v>
      </c>
      <c r="C33" s="24">
        <v>519</v>
      </c>
      <c r="D33" s="23">
        <v>1</v>
      </c>
    </row>
    <row r="35" spans="2:4" x14ac:dyDescent="0.3">
      <c r="B35" s="20" t="s">
        <v>17</v>
      </c>
    </row>
    <row r="36" spans="2:4" x14ac:dyDescent="0.3">
      <c r="B36" s="22" t="s">
        <v>16</v>
      </c>
    </row>
    <row r="37" spans="2:4" x14ac:dyDescent="0.3">
      <c r="B37" s="21" t="s">
        <v>15</v>
      </c>
    </row>
    <row r="38" spans="2:4" x14ac:dyDescent="0.3">
      <c r="B38" s="20" t="s">
        <v>14</v>
      </c>
    </row>
    <row r="39" spans="2:4" x14ac:dyDescent="0.3">
      <c r="B39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09"/>
  <sheetViews>
    <sheetView topLeftCell="A177" zoomScale="98" zoomScaleNormal="98" zoomScaleSheetLayoutView="100" workbookViewId="0">
      <selection activeCell="E203" sqref="E203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324</v>
      </c>
      <c r="C9" s="50" t="s">
        <v>51</v>
      </c>
      <c r="D9" s="49" t="s">
        <v>50</v>
      </c>
      <c r="E9" s="48" t="s">
        <v>49</v>
      </c>
    </row>
    <row r="10" spans="1:5" ht="15" customHeight="1" x14ac:dyDescent="0.3">
      <c r="B10" s="74" t="s">
        <v>323</v>
      </c>
      <c r="C10" s="46" t="s">
        <v>47</v>
      </c>
      <c r="D10" s="45">
        <v>1</v>
      </c>
      <c r="E10" s="44">
        <v>1.9267822736030828E-3</v>
      </c>
    </row>
    <row r="11" spans="1:5" ht="15" customHeight="1" x14ac:dyDescent="0.3">
      <c r="A11" s="47"/>
      <c r="B11" s="78"/>
      <c r="C11" s="46" t="s">
        <v>41</v>
      </c>
      <c r="D11" s="45">
        <v>1</v>
      </c>
      <c r="E11" s="44">
        <v>1.9267822736030828E-3</v>
      </c>
    </row>
    <row r="12" spans="1:5" ht="15" customHeight="1" x14ac:dyDescent="0.3">
      <c r="B12" s="78"/>
      <c r="C12" s="46" t="s">
        <v>48</v>
      </c>
      <c r="D12" s="45">
        <v>1</v>
      </c>
      <c r="E12" s="44">
        <v>1.9267822736030828E-3</v>
      </c>
    </row>
    <row r="13" spans="1:5" ht="15" customHeight="1" x14ac:dyDescent="0.3">
      <c r="B13" s="78"/>
      <c r="C13" s="46" t="s">
        <v>38</v>
      </c>
      <c r="D13" s="45">
        <v>1</v>
      </c>
      <c r="E13" s="44">
        <v>1.9267822736030828E-3</v>
      </c>
    </row>
    <row r="14" spans="1:5" ht="15" customHeight="1" x14ac:dyDescent="0.3">
      <c r="B14" s="78"/>
      <c r="C14" s="46" t="s">
        <v>42</v>
      </c>
      <c r="D14" s="45">
        <v>1</v>
      </c>
      <c r="E14" s="44">
        <v>1.9267822736030828E-3</v>
      </c>
    </row>
    <row r="15" spans="1:5" s="47" customFormat="1" ht="15" customHeight="1" x14ac:dyDescent="0.3">
      <c r="A15" s="37"/>
      <c r="B15" s="78"/>
      <c r="C15" s="46" t="s">
        <v>45</v>
      </c>
      <c r="D15" s="45">
        <v>1</v>
      </c>
      <c r="E15" s="44">
        <v>1.9267822736030828E-3</v>
      </c>
    </row>
    <row r="16" spans="1:5" s="47" customFormat="1" ht="15" customHeight="1" x14ac:dyDescent="0.3">
      <c r="A16" s="37"/>
      <c r="B16" s="78"/>
      <c r="C16" s="46" t="s">
        <v>44</v>
      </c>
      <c r="D16" s="45">
        <v>2</v>
      </c>
      <c r="E16" s="44">
        <v>3.8535645472061657E-3</v>
      </c>
    </row>
    <row r="17" spans="1:5" s="47" customFormat="1" ht="15" customHeight="1" x14ac:dyDescent="0.3">
      <c r="A17" s="37"/>
      <c r="B17" s="75"/>
      <c r="C17" s="43" t="s">
        <v>18</v>
      </c>
      <c r="D17" s="42">
        <v>8</v>
      </c>
      <c r="E17" s="41">
        <v>1.5414258188824663E-2</v>
      </c>
    </row>
    <row r="18" spans="1:5" s="47" customFormat="1" ht="15" customHeight="1" x14ac:dyDescent="0.3">
      <c r="A18" s="37"/>
      <c r="B18" s="74" t="s">
        <v>322</v>
      </c>
      <c r="C18" s="46" t="s">
        <v>47</v>
      </c>
      <c r="D18" s="45">
        <v>1</v>
      </c>
      <c r="E18" s="44">
        <v>1.9267822736030828E-3</v>
      </c>
    </row>
    <row r="19" spans="1:5" s="47" customFormat="1" ht="15" customHeight="1" x14ac:dyDescent="0.3">
      <c r="A19" s="37"/>
      <c r="B19" s="75"/>
      <c r="C19" s="43" t="s">
        <v>18</v>
      </c>
      <c r="D19" s="42">
        <v>1</v>
      </c>
      <c r="E19" s="41">
        <v>1.9267822736030828E-3</v>
      </c>
    </row>
    <row r="20" spans="1:5" ht="15" customHeight="1" x14ac:dyDescent="0.3">
      <c r="B20" s="74" t="s">
        <v>321</v>
      </c>
      <c r="C20" s="46" t="s">
        <v>47</v>
      </c>
      <c r="D20" s="45">
        <v>1</v>
      </c>
      <c r="E20" s="44">
        <v>1.9267822736030828E-3</v>
      </c>
    </row>
    <row r="21" spans="1:5" ht="15" customHeight="1" x14ac:dyDescent="0.3">
      <c r="B21" s="78"/>
      <c r="C21" s="46" t="s">
        <v>48</v>
      </c>
      <c r="D21" s="45">
        <v>1</v>
      </c>
      <c r="E21" s="44">
        <v>1.9267822736030828E-3</v>
      </c>
    </row>
    <row r="22" spans="1:5" ht="15" customHeight="1" x14ac:dyDescent="0.3">
      <c r="B22" s="78"/>
      <c r="C22" s="46" t="s">
        <v>42</v>
      </c>
      <c r="D22" s="45">
        <v>1</v>
      </c>
      <c r="E22" s="44">
        <v>1.9267822736030828E-3</v>
      </c>
    </row>
    <row r="23" spans="1:5" ht="15" customHeight="1" x14ac:dyDescent="0.3">
      <c r="B23" s="78"/>
      <c r="C23" s="46" t="s">
        <v>44</v>
      </c>
      <c r="D23" s="45">
        <v>1</v>
      </c>
      <c r="E23" s="44">
        <v>1.9267822736030828E-3</v>
      </c>
    </row>
    <row r="24" spans="1:5" ht="15" customHeight="1" x14ac:dyDescent="0.3">
      <c r="B24" s="75"/>
      <c r="C24" s="43" t="s">
        <v>18</v>
      </c>
      <c r="D24" s="42">
        <v>4</v>
      </c>
      <c r="E24" s="41">
        <v>7.7071290944123313E-3</v>
      </c>
    </row>
    <row r="25" spans="1:5" ht="15" customHeight="1" x14ac:dyDescent="0.3">
      <c r="B25" s="74" t="s">
        <v>320</v>
      </c>
      <c r="C25" s="46" t="s">
        <v>47</v>
      </c>
      <c r="D25" s="45">
        <v>3</v>
      </c>
      <c r="E25" s="44">
        <v>5.7803468208092483E-3</v>
      </c>
    </row>
    <row r="26" spans="1:5" ht="15" customHeight="1" x14ac:dyDescent="0.3">
      <c r="B26" s="78"/>
      <c r="C26" s="46" t="s">
        <v>39</v>
      </c>
      <c r="D26" s="45">
        <v>1</v>
      </c>
      <c r="E26" s="44">
        <v>1.9267822736030828E-3</v>
      </c>
    </row>
    <row r="27" spans="1:5" ht="15" customHeight="1" x14ac:dyDescent="0.3">
      <c r="B27" s="78"/>
      <c r="C27" s="46" t="s">
        <v>46</v>
      </c>
      <c r="D27" s="45">
        <v>1</v>
      </c>
      <c r="E27" s="44">
        <v>1.9267822736030828E-3</v>
      </c>
    </row>
    <row r="28" spans="1:5" ht="15" customHeight="1" x14ac:dyDescent="0.3">
      <c r="B28" s="78"/>
      <c r="C28" s="46" t="s">
        <v>42</v>
      </c>
      <c r="D28" s="45">
        <v>1</v>
      </c>
      <c r="E28" s="44">
        <v>1.9267822736030828E-3</v>
      </c>
    </row>
    <row r="29" spans="1:5" ht="15" customHeight="1" x14ac:dyDescent="0.3">
      <c r="B29" s="78"/>
      <c r="C29" s="46" t="s">
        <v>45</v>
      </c>
      <c r="D29" s="45">
        <v>2</v>
      </c>
      <c r="E29" s="44">
        <v>3.8535645472061657E-3</v>
      </c>
    </row>
    <row r="30" spans="1:5" ht="15" customHeight="1" x14ac:dyDescent="0.3">
      <c r="B30" s="78"/>
      <c r="C30" s="46" t="s">
        <v>44</v>
      </c>
      <c r="D30" s="45">
        <v>1</v>
      </c>
      <c r="E30" s="44">
        <v>1.9267822736030828E-3</v>
      </c>
    </row>
    <row r="31" spans="1:5" ht="15" customHeight="1" x14ac:dyDescent="0.3">
      <c r="B31" s="75"/>
      <c r="C31" s="43" t="s">
        <v>18</v>
      </c>
      <c r="D31" s="42">
        <v>9</v>
      </c>
      <c r="E31" s="41">
        <v>1.7341040462427744E-2</v>
      </c>
    </row>
    <row r="32" spans="1:5" ht="15" customHeight="1" x14ac:dyDescent="0.3">
      <c r="B32" s="74" t="s">
        <v>319</v>
      </c>
      <c r="C32" s="46" t="s">
        <v>47</v>
      </c>
      <c r="D32" s="45">
        <v>2</v>
      </c>
      <c r="E32" s="44">
        <v>3.8535645472061657E-3</v>
      </c>
    </row>
    <row r="33" spans="2:5" ht="15" customHeight="1" x14ac:dyDescent="0.3">
      <c r="B33" s="78"/>
      <c r="C33" s="46" t="s">
        <v>40</v>
      </c>
      <c r="D33" s="45">
        <v>1</v>
      </c>
      <c r="E33" s="44">
        <v>1.9267822736030828E-3</v>
      </c>
    </row>
    <row r="34" spans="2:5" ht="15" customHeight="1" x14ac:dyDescent="0.3">
      <c r="B34" s="78"/>
      <c r="C34" s="46" t="s">
        <v>48</v>
      </c>
      <c r="D34" s="45">
        <v>1</v>
      </c>
      <c r="E34" s="44">
        <v>1.9267822736030828E-3</v>
      </c>
    </row>
    <row r="35" spans="2:5" ht="15" customHeight="1" x14ac:dyDescent="0.3">
      <c r="B35" s="78"/>
      <c r="C35" s="46" t="s">
        <v>38</v>
      </c>
      <c r="D35" s="45">
        <v>1</v>
      </c>
      <c r="E35" s="44">
        <v>1.9267822736030828E-3</v>
      </c>
    </row>
    <row r="36" spans="2:5" ht="15" customHeight="1" x14ac:dyDescent="0.3">
      <c r="B36" s="78"/>
      <c r="C36" s="46" t="s">
        <v>45</v>
      </c>
      <c r="D36" s="45">
        <v>1</v>
      </c>
      <c r="E36" s="44">
        <v>1.9267822736030828E-3</v>
      </c>
    </row>
    <row r="37" spans="2:5" ht="15" customHeight="1" x14ac:dyDescent="0.3">
      <c r="B37" s="75"/>
      <c r="C37" s="43" t="s">
        <v>18</v>
      </c>
      <c r="D37" s="42">
        <v>6</v>
      </c>
      <c r="E37" s="41">
        <v>1.1560693641618497E-2</v>
      </c>
    </row>
    <row r="38" spans="2:5" ht="15" customHeight="1" x14ac:dyDescent="0.3">
      <c r="B38" s="74" t="s">
        <v>318</v>
      </c>
      <c r="C38" s="46" t="s">
        <v>30</v>
      </c>
      <c r="D38" s="45">
        <v>1</v>
      </c>
      <c r="E38" s="44">
        <v>1.9267822736030828E-3</v>
      </c>
    </row>
    <row r="39" spans="2:5" ht="15" customHeight="1" x14ac:dyDescent="0.3">
      <c r="B39" s="78"/>
      <c r="C39" s="46" t="s">
        <v>47</v>
      </c>
      <c r="D39" s="45">
        <v>2</v>
      </c>
      <c r="E39" s="44">
        <v>3.8535645472061657E-3</v>
      </c>
    </row>
    <row r="40" spans="2:5" ht="15" customHeight="1" x14ac:dyDescent="0.3">
      <c r="B40" s="78"/>
      <c r="C40" s="46" t="s">
        <v>48</v>
      </c>
      <c r="D40" s="45">
        <v>1</v>
      </c>
      <c r="E40" s="44">
        <v>1.9267822736030828E-3</v>
      </c>
    </row>
    <row r="41" spans="2:5" ht="15" customHeight="1" x14ac:dyDescent="0.3">
      <c r="B41" s="78"/>
      <c r="C41" s="46" t="s">
        <v>45</v>
      </c>
      <c r="D41" s="45">
        <v>1</v>
      </c>
      <c r="E41" s="44">
        <v>1.9267822736030828E-3</v>
      </c>
    </row>
    <row r="42" spans="2:5" ht="15" customHeight="1" x14ac:dyDescent="0.3">
      <c r="B42" s="78"/>
      <c r="C42" s="46" t="s">
        <v>43</v>
      </c>
      <c r="D42" s="45">
        <v>1</v>
      </c>
      <c r="E42" s="44">
        <v>1.9267822736030828E-3</v>
      </c>
    </row>
    <row r="43" spans="2:5" ht="15" customHeight="1" x14ac:dyDescent="0.3">
      <c r="B43" s="78"/>
      <c r="C43" s="46" t="s">
        <v>34</v>
      </c>
      <c r="D43" s="45">
        <v>1</v>
      </c>
      <c r="E43" s="44">
        <v>1.9267822736030828E-3</v>
      </c>
    </row>
    <row r="44" spans="2:5" ht="15" customHeight="1" x14ac:dyDescent="0.3">
      <c r="B44" s="75"/>
      <c r="C44" s="43" t="s">
        <v>18</v>
      </c>
      <c r="D44" s="42">
        <v>7</v>
      </c>
      <c r="E44" s="41">
        <v>1.348747591522158E-2</v>
      </c>
    </row>
    <row r="45" spans="2:5" ht="15" customHeight="1" x14ac:dyDescent="0.3">
      <c r="B45" s="74" t="s">
        <v>317</v>
      </c>
      <c r="C45" s="46" t="s">
        <v>47</v>
      </c>
      <c r="D45" s="45">
        <v>9</v>
      </c>
      <c r="E45" s="44">
        <v>1.7341040462427744E-2</v>
      </c>
    </row>
    <row r="46" spans="2:5" ht="15" customHeight="1" x14ac:dyDescent="0.3">
      <c r="B46" s="78"/>
      <c r="C46" s="46" t="s">
        <v>40</v>
      </c>
      <c r="D46" s="45">
        <v>1</v>
      </c>
      <c r="E46" s="44">
        <v>1.9267822736030828E-3</v>
      </c>
    </row>
    <row r="47" spans="2:5" ht="15" customHeight="1" x14ac:dyDescent="0.3">
      <c r="B47" s="78"/>
      <c r="C47" s="46" t="s">
        <v>48</v>
      </c>
      <c r="D47" s="45">
        <v>2</v>
      </c>
      <c r="E47" s="44">
        <v>3.8535645472061657E-3</v>
      </c>
    </row>
    <row r="48" spans="2:5" ht="15" customHeight="1" x14ac:dyDescent="0.3">
      <c r="B48" s="78"/>
      <c r="C48" s="46" t="s">
        <v>38</v>
      </c>
      <c r="D48" s="45">
        <v>1</v>
      </c>
      <c r="E48" s="44">
        <v>1.9267822736030828E-3</v>
      </c>
    </row>
    <row r="49" spans="2:5" ht="15" customHeight="1" x14ac:dyDescent="0.3">
      <c r="B49" s="78"/>
      <c r="C49" s="46" t="s">
        <v>46</v>
      </c>
      <c r="D49" s="45">
        <v>2</v>
      </c>
      <c r="E49" s="44">
        <v>3.8535645472061657E-3</v>
      </c>
    </row>
    <row r="50" spans="2:5" ht="15" customHeight="1" x14ac:dyDescent="0.3">
      <c r="B50" s="78"/>
      <c r="C50" s="46" t="s">
        <v>42</v>
      </c>
      <c r="D50" s="45">
        <v>2</v>
      </c>
      <c r="E50" s="44">
        <v>3.8535645472061657E-3</v>
      </c>
    </row>
    <row r="51" spans="2:5" ht="15" customHeight="1" x14ac:dyDescent="0.3">
      <c r="B51" s="78"/>
      <c r="C51" s="46" t="s">
        <v>27</v>
      </c>
      <c r="D51" s="45">
        <v>1</v>
      </c>
      <c r="E51" s="44">
        <v>1.9267822736030828E-3</v>
      </c>
    </row>
    <row r="52" spans="2:5" ht="15" customHeight="1" x14ac:dyDescent="0.3">
      <c r="B52" s="78"/>
      <c r="C52" s="46" t="s">
        <v>45</v>
      </c>
      <c r="D52" s="45">
        <v>1</v>
      </c>
      <c r="E52" s="44">
        <v>1.9267822736030828E-3</v>
      </c>
    </row>
    <row r="53" spans="2:5" ht="15" customHeight="1" x14ac:dyDescent="0.3">
      <c r="B53" s="78"/>
      <c r="C53" s="46" t="s">
        <v>43</v>
      </c>
      <c r="D53" s="45">
        <v>2</v>
      </c>
      <c r="E53" s="44">
        <v>3.8535645472061657E-3</v>
      </c>
    </row>
    <row r="54" spans="2:5" ht="15" customHeight="1" x14ac:dyDescent="0.3">
      <c r="B54" s="78"/>
      <c r="C54" s="46" t="s">
        <v>37</v>
      </c>
      <c r="D54" s="45">
        <v>2</v>
      </c>
      <c r="E54" s="44">
        <v>3.8535645472061657E-3</v>
      </c>
    </row>
    <row r="55" spans="2:5" ht="15" customHeight="1" x14ac:dyDescent="0.3">
      <c r="B55" s="78"/>
      <c r="C55" s="46" t="s">
        <v>36</v>
      </c>
      <c r="D55" s="45">
        <v>1</v>
      </c>
      <c r="E55" s="44">
        <v>1.9267822736030828E-3</v>
      </c>
    </row>
    <row r="56" spans="2:5" ht="15" customHeight="1" x14ac:dyDescent="0.3">
      <c r="B56" s="78"/>
      <c r="C56" s="46" t="s">
        <v>44</v>
      </c>
      <c r="D56" s="45">
        <v>3</v>
      </c>
      <c r="E56" s="44">
        <v>5.7803468208092483E-3</v>
      </c>
    </row>
    <row r="57" spans="2:5" ht="15" customHeight="1" x14ac:dyDescent="0.3">
      <c r="B57" s="75"/>
      <c r="C57" s="43" t="s">
        <v>18</v>
      </c>
      <c r="D57" s="42">
        <v>27</v>
      </c>
      <c r="E57" s="41">
        <v>5.2023121387283239E-2</v>
      </c>
    </row>
    <row r="58" spans="2:5" ht="15" customHeight="1" x14ac:dyDescent="0.3">
      <c r="B58" s="74" t="s">
        <v>316</v>
      </c>
      <c r="C58" s="46" t="s">
        <v>47</v>
      </c>
      <c r="D58" s="45">
        <v>22</v>
      </c>
      <c r="E58" s="44">
        <v>4.238921001926782E-2</v>
      </c>
    </row>
    <row r="59" spans="2:5" ht="15" customHeight="1" x14ac:dyDescent="0.3">
      <c r="B59" s="78"/>
      <c r="C59" s="46" t="s">
        <v>28</v>
      </c>
      <c r="D59" s="45">
        <v>2</v>
      </c>
      <c r="E59" s="44">
        <v>3.8535645472061657E-3</v>
      </c>
    </row>
    <row r="60" spans="2:5" ht="15" customHeight="1" x14ac:dyDescent="0.3">
      <c r="B60" s="78"/>
      <c r="C60" s="46" t="s">
        <v>41</v>
      </c>
      <c r="D60" s="45">
        <v>3</v>
      </c>
      <c r="E60" s="44">
        <v>5.7803468208092483E-3</v>
      </c>
    </row>
    <row r="61" spans="2:5" ht="15" customHeight="1" x14ac:dyDescent="0.3">
      <c r="B61" s="78"/>
      <c r="C61" s="46" t="s">
        <v>39</v>
      </c>
      <c r="D61" s="45">
        <v>2</v>
      </c>
      <c r="E61" s="44">
        <v>3.8535645472061657E-3</v>
      </c>
    </row>
    <row r="62" spans="2:5" ht="15" customHeight="1" x14ac:dyDescent="0.3">
      <c r="B62" s="78"/>
      <c r="C62" s="46" t="s">
        <v>40</v>
      </c>
      <c r="D62" s="45">
        <v>3</v>
      </c>
      <c r="E62" s="44">
        <v>5.7803468208092483E-3</v>
      </c>
    </row>
    <row r="63" spans="2:5" ht="15" customHeight="1" x14ac:dyDescent="0.3">
      <c r="B63" s="78"/>
      <c r="C63" s="46" t="s">
        <v>48</v>
      </c>
      <c r="D63" s="45">
        <v>9</v>
      </c>
      <c r="E63" s="44">
        <v>1.7341040462427744E-2</v>
      </c>
    </row>
    <row r="64" spans="2:5" ht="15" customHeight="1" x14ac:dyDescent="0.3">
      <c r="B64" s="78"/>
      <c r="C64" s="46" t="s">
        <v>38</v>
      </c>
      <c r="D64" s="45">
        <v>1</v>
      </c>
      <c r="E64" s="44">
        <v>1.9267822736030828E-3</v>
      </c>
    </row>
    <row r="65" spans="2:5" ht="15" customHeight="1" x14ac:dyDescent="0.3">
      <c r="B65" s="78"/>
      <c r="C65" s="46" t="s">
        <v>46</v>
      </c>
      <c r="D65" s="45">
        <v>13</v>
      </c>
      <c r="E65" s="44">
        <v>2.5048169556840076E-2</v>
      </c>
    </row>
    <row r="66" spans="2:5" ht="15" customHeight="1" x14ac:dyDescent="0.3">
      <c r="B66" s="78"/>
      <c r="C66" s="46" t="s">
        <v>42</v>
      </c>
      <c r="D66" s="45">
        <v>5</v>
      </c>
      <c r="E66" s="44">
        <v>9.6339113680154135E-3</v>
      </c>
    </row>
    <row r="67" spans="2:5" ht="15" customHeight="1" x14ac:dyDescent="0.3">
      <c r="B67" s="78"/>
      <c r="C67" s="46" t="s">
        <v>35</v>
      </c>
      <c r="D67" s="45">
        <v>1</v>
      </c>
      <c r="E67" s="44">
        <v>1.9267822736030828E-3</v>
      </c>
    </row>
    <row r="68" spans="2:5" ht="15" customHeight="1" x14ac:dyDescent="0.3">
      <c r="B68" s="78"/>
      <c r="C68" s="46" t="s">
        <v>45</v>
      </c>
      <c r="D68" s="45">
        <v>7</v>
      </c>
      <c r="E68" s="44">
        <v>1.348747591522158E-2</v>
      </c>
    </row>
    <row r="69" spans="2:5" ht="15" customHeight="1" x14ac:dyDescent="0.3">
      <c r="B69" s="78"/>
      <c r="C69" s="46" t="s">
        <v>43</v>
      </c>
      <c r="D69" s="45">
        <v>12</v>
      </c>
      <c r="E69" s="44">
        <v>2.3121387283236993E-2</v>
      </c>
    </row>
    <row r="70" spans="2:5" ht="15" customHeight="1" x14ac:dyDescent="0.3">
      <c r="B70" s="78"/>
      <c r="C70" s="46" t="s">
        <v>37</v>
      </c>
      <c r="D70" s="45">
        <v>1</v>
      </c>
      <c r="E70" s="44">
        <v>1.9267822736030828E-3</v>
      </c>
    </row>
    <row r="71" spans="2:5" ht="15" customHeight="1" x14ac:dyDescent="0.3">
      <c r="B71" s="78"/>
      <c r="C71" s="46" t="s">
        <v>36</v>
      </c>
      <c r="D71" s="45">
        <v>2</v>
      </c>
      <c r="E71" s="44">
        <v>3.8535645472061657E-3</v>
      </c>
    </row>
    <row r="72" spans="2:5" ht="15" customHeight="1" x14ac:dyDescent="0.3">
      <c r="B72" s="78"/>
      <c r="C72" s="46" t="s">
        <v>26</v>
      </c>
      <c r="D72" s="45">
        <v>1</v>
      </c>
      <c r="E72" s="44">
        <v>1.9267822736030828E-3</v>
      </c>
    </row>
    <row r="73" spans="2:5" ht="15" customHeight="1" x14ac:dyDescent="0.3">
      <c r="B73" s="78"/>
      <c r="C73" s="46" t="s">
        <v>44</v>
      </c>
      <c r="D73" s="45">
        <v>8</v>
      </c>
      <c r="E73" s="44">
        <v>1.5414258188824663E-2</v>
      </c>
    </row>
    <row r="74" spans="2:5" ht="15" customHeight="1" x14ac:dyDescent="0.3">
      <c r="B74" s="75"/>
      <c r="C74" s="43" t="s">
        <v>18</v>
      </c>
      <c r="D74" s="42">
        <v>92</v>
      </c>
      <c r="E74" s="41">
        <v>0.17726396917148363</v>
      </c>
    </row>
    <row r="75" spans="2:5" ht="15" customHeight="1" x14ac:dyDescent="0.3">
      <c r="B75" s="74" t="s">
        <v>315</v>
      </c>
      <c r="C75" s="46" t="s">
        <v>47</v>
      </c>
      <c r="D75" s="45">
        <v>1</v>
      </c>
      <c r="E75" s="44">
        <v>1.9267822736030828E-3</v>
      </c>
    </row>
    <row r="76" spans="2:5" ht="15" customHeight="1" x14ac:dyDescent="0.3">
      <c r="B76" s="78"/>
      <c r="C76" s="46" t="s">
        <v>40</v>
      </c>
      <c r="D76" s="45">
        <v>1</v>
      </c>
      <c r="E76" s="44">
        <v>1.9267822736030828E-3</v>
      </c>
    </row>
    <row r="77" spans="2:5" ht="15" customHeight="1" x14ac:dyDescent="0.3">
      <c r="B77" s="78"/>
      <c r="C77" s="46" t="s">
        <v>42</v>
      </c>
      <c r="D77" s="45">
        <v>2</v>
      </c>
      <c r="E77" s="44">
        <v>3.8535645472061657E-3</v>
      </c>
    </row>
    <row r="78" spans="2:5" ht="15" customHeight="1" x14ac:dyDescent="0.3">
      <c r="B78" s="75"/>
      <c r="C78" s="43" t="s">
        <v>18</v>
      </c>
      <c r="D78" s="42">
        <v>4</v>
      </c>
      <c r="E78" s="41">
        <v>7.7071290944123313E-3</v>
      </c>
    </row>
    <row r="79" spans="2:5" ht="15" customHeight="1" x14ac:dyDescent="0.3">
      <c r="B79" s="74" t="s">
        <v>314</v>
      </c>
      <c r="C79" s="46" t="s">
        <v>47</v>
      </c>
      <c r="D79" s="45">
        <v>2</v>
      </c>
      <c r="E79" s="44">
        <v>3.8535645472061657E-3</v>
      </c>
    </row>
    <row r="80" spans="2:5" ht="15" customHeight="1" x14ac:dyDescent="0.3">
      <c r="B80" s="78"/>
      <c r="C80" s="46" t="s">
        <v>41</v>
      </c>
      <c r="D80" s="45">
        <v>2</v>
      </c>
      <c r="E80" s="44">
        <v>3.8535645472061657E-3</v>
      </c>
    </row>
    <row r="81" spans="2:5" ht="15" customHeight="1" x14ac:dyDescent="0.3">
      <c r="B81" s="78"/>
      <c r="C81" s="46" t="s">
        <v>40</v>
      </c>
      <c r="D81" s="45">
        <v>1</v>
      </c>
      <c r="E81" s="44">
        <v>1.9267822736030828E-3</v>
      </c>
    </row>
    <row r="82" spans="2:5" ht="15" customHeight="1" x14ac:dyDescent="0.3">
      <c r="B82" s="78"/>
      <c r="C82" s="46" t="s">
        <v>48</v>
      </c>
      <c r="D82" s="45">
        <v>1</v>
      </c>
      <c r="E82" s="44">
        <v>1.9267822736030828E-3</v>
      </c>
    </row>
    <row r="83" spans="2:5" ht="15" customHeight="1" x14ac:dyDescent="0.3">
      <c r="B83" s="78"/>
      <c r="C83" s="46" t="s">
        <v>46</v>
      </c>
      <c r="D83" s="45">
        <v>2</v>
      </c>
      <c r="E83" s="44">
        <v>3.8535645472061657E-3</v>
      </c>
    </row>
    <row r="84" spans="2:5" ht="15" customHeight="1" x14ac:dyDescent="0.3">
      <c r="B84" s="78"/>
      <c r="C84" s="46" t="s">
        <v>42</v>
      </c>
      <c r="D84" s="45">
        <v>1</v>
      </c>
      <c r="E84" s="44">
        <v>1.9267822736030828E-3</v>
      </c>
    </row>
    <row r="85" spans="2:5" ht="15" customHeight="1" x14ac:dyDescent="0.3">
      <c r="B85" s="78"/>
      <c r="C85" s="46" t="s">
        <v>45</v>
      </c>
      <c r="D85" s="45">
        <v>1</v>
      </c>
      <c r="E85" s="44">
        <v>1.9267822736030828E-3</v>
      </c>
    </row>
    <row r="86" spans="2:5" ht="15" customHeight="1" x14ac:dyDescent="0.3">
      <c r="B86" s="78"/>
      <c r="C86" s="46" t="s">
        <v>22</v>
      </c>
      <c r="D86" s="45">
        <v>1</v>
      </c>
      <c r="E86" s="44">
        <v>1.9267822736030828E-3</v>
      </c>
    </row>
    <row r="87" spans="2:5" ht="15" customHeight="1" x14ac:dyDescent="0.3">
      <c r="B87" s="78"/>
      <c r="C87" s="46" t="s">
        <v>21</v>
      </c>
      <c r="D87" s="45">
        <v>1</v>
      </c>
      <c r="E87" s="44">
        <v>1.9267822736030828E-3</v>
      </c>
    </row>
    <row r="88" spans="2:5" ht="15" customHeight="1" x14ac:dyDescent="0.3">
      <c r="B88" s="78"/>
      <c r="C88" s="46" t="s">
        <v>44</v>
      </c>
      <c r="D88" s="45">
        <v>3</v>
      </c>
      <c r="E88" s="44">
        <v>5.7803468208092483E-3</v>
      </c>
    </row>
    <row r="89" spans="2:5" ht="15" customHeight="1" x14ac:dyDescent="0.3">
      <c r="B89" s="75"/>
      <c r="C89" s="43" t="s">
        <v>18</v>
      </c>
      <c r="D89" s="42">
        <v>15</v>
      </c>
      <c r="E89" s="41">
        <v>2.8901734104046242E-2</v>
      </c>
    </row>
    <row r="90" spans="2:5" ht="15" customHeight="1" x14ac:dyDescent="0.3">
      <c r="B90" s="74" t="s">
        <v>313</v>
      </c>
      <c r="C90" s="46" t="s">
        <v>47</v>
      </c>
      <c r="D90" s="45">
        <v>1</v>
      </c>
      <c r="E90" s="44">
        <v>1.9267822736030828E-3</v>
      </c>
    </row>
    <row r="91" spans="2:5" ht="15" customHeight="1" x14ac:dyDescent="0.3">
      <c r="B91" s="78"/>
      <c r="C91" s="46" t="s">
        <v>41</v>
      </c>
      <c r="D91" s="45">
        <v>2</v>
      </c>
      <c r="E91" s="44">
        <v>3.8535645472061657E-3</v>
      </c>
    </row>
    <row r="92" spans="2:5" ht="15" customHeight="1" x14ac:dyDescent="0.3">
      <c r="B92" s="78"/>
      <c r="C92" s="46" t="s">
        <v>40</v>
      </c>
      <c r="D92" s="45">
        <v>2</v>
      </c>
      <c r="E92" s="44">
        <v>3.8535645472061657E-3</v>
      </c>
    </row>
    <row r="93" spans="2:5" ht="15" customHeight="1" x14ac:dyDescent="0.3">
      <c r="B93" s="78"/>
      <c r="C93" s="46" t="s">
        <v>38</v>
      </c>
      <c r="D93" s="45">
        <v>2</v>
      </c>
      <c r="E93" s="44">
        <v>3.8535645472061657E-3</v>
      </c>
    </row>
    <row r="94" spans="2:5" ht="15" customHeight="1" x14ac:dyDescent="0.3">
      <c r="B94" s="78"/>
      <c r="C94" s="46" t="s">
        <v>46</v>
      </c>
      <c r="D94" s="45">
        <v>2</v>
      </c>
      <c r="E94" s="44">
        <v>3.8535645472061657E-3</v>
      </c>
    </row>
    <row r="95" spans="2:5" ht="15" customHeight="1" x14ac:dyDescent="0.3">
      <c r="B95" s="78"/>
      <c r="C95" s="46" t="s">
        <v>42</v>
      </c>
      <c r="D95" s="45">
        <v>3</v>
      </c>
      <c r="E95" s="44">
        <v>5.7803468208092483E-3</v>
      </c>
    </row>
    <row r="96" spans="2:5" ht="15" customHeight="1" x14ac:dyDescent="0.3">
      <c r="B96" s="78"/>
      <c r="C96" s="46" t="s">
        <v>33</v>
      </c>
      <c r="D96" s="45">
        <v>1</v>
      </c>
      <c r="E96" s="44">
        <v>1.9267822736030828E-3</v>
      </c>
    </row>
    <row r="97" spans="2:5" ht="15" customHeight="1" x14ac:dyDescent="0.3">
      <c r="B97" s="78"/>
      <c r="C97" s="46" t="s">
        <v>45</v>
      </c>
      <c r="D97" s="45">
        <v>3</v>
      </c>
      <c r="E97" s="44">
        <v>5.7803468208092483E-3</v>
      </c>
    </row>
    <row r="98" spans="2:5" ht="15" customHeight="1" x14ac:dyDescent="0.3">
      <c r="B98" s="78"/>
      <c r="C98" s="46" t="s">
        <v>43</v>
      </c>
      <c r="D98" s="45">
        <v>1</v>
      </c>
      <c r="E98" s="44">
        <v>1.9267822736030828E-3</v>
      </c>
    </row>
    <row r="99" spans="2:5" ht="15" customHeight="1" x14ac:dyDescent="0.3">
      <c r="B99" s="78"/>
      <c r="C99" s="46" t="s">
        <v>37</v>
      </c>
      <c r="D99" s="45">
        <v>2</v>
      </c>
      <c r="E99" s="44">
        <v>3.8535645472061657E-3</v>
      </c>
    </row>
    <row r="100" spans="2:5" ht="15" customHeight="1" x14ac:dyDescent="0.3">
      <c r="B100" s="75"/>
      <c r="C100" s="43" t="s">
        <v>18</v>
      </c>
      <c r="D100" s="42">
        <v>19</v>
      </c>
      <c r="E100" s="41">
        <v>3.6608863198458574E-2</v>
      </c>
    </row>
    <row r="101" spans="2:5" ht="15" customHeight="1" x14ac:dyDescent="0.3">
      <c r="B101" s="74" t="s">
        <v>312</v>
      </c>
      <c r="C101" s="46" t="s">
        <v>29</v>
      </c>
      <c r="D101" s="45">
        <v>1</v>
      </c>
      <c r="E101" s="44">
        <v>1.9267822736030828E-3</v>
      </c>
    </row>
    <row r="102" spans="2:5" ht="15" customHeight="1" x14ac:dyDescent="0.3">
      <c r="B102" s="78"/>
      <c r="C102" s="46" t="s">
        <v>47</v>
      </c>
      <c r="D102" s="45">
        <v>13</v>
      </c>
      <c r="E102" s="44">
        <v>2.5048169556840076E-2</v>
      </c>
    </row>
    <row r="103" spans="2:5" ht="15" customHeight="1" x14ac:dyDescent="0.3">
      <c r="B103" s="78"/>
      <c r="C103" s="46" t="s">
        <v>24</v>
      </c>
      <c r="D103" s="45">
        <v>1</v>
      </c>
      <c r="E103" s="44">
        <v>1.9267822736030828E-3</v>
      </c>
    </row>
    <row r="104" spans="2:5" ht="15" customHeight="1" x14ac:dyDescent="0.3">
      <c r="B104" s="78"/>
      <c r="C104" s="46" t="s">
        <v>41</v>
      </c>
      <c r="D104" s="45">
        <v>12</v>
      </c>
      <c r="E104" s="44">
        <v>2.3121387283236993E-2</v>
      </c>
    </row>
    <row r="105" spans="2:5" ht="15" customHeight="1" x14ac:dyDescent="0.3">
      <c r="B105" s="78"/>
      <c r="C105" s="46" t="s">
        <v>23</v>
      </c>
      <c r="D105" s="45">
        <v>2</v>
      </c>
      <c r="E105" s="44">
        <v>3.8535645472061657E-3</v>
      </c>
    </row>
    <row r="106" spans="2:5" ht="15" customHeight="1" x14ac:dyDescent="0.3">
      <c r="B106" s="78"/>
      <c r="C106" s="46" t="s">
        <v>39</v>
      </c>
      <c r="D106" s="45">
        <v>6</v>
      </c>
      <c r="E106" s="44">
        <v>1.1560693641618497E-2</v>
      </c>
    </row>
    <row r="107" spans="2:5" ht="15" customHeight="1" x14ac:dyDescent="0.3">
      <c r="B107" s="78"/>
      <c r="C107" s="46" t="s">
        <v>40</v>
      </c>
      <c r="D107" s="45">
        <v>7</v>
      </c>
      <c r="E107" s="44">
        <v>1.348747591522158E-2</v>
      </c>
    </row>
    <row r="108" spans="2:5" ht="15" customHeight="1" x14ac:dyDescent="0.3">
      <c r="B108" s="78"/>
      <c r="C108" s="46" t="s">
        <v>48</v>
      </c>
      <c r="D108" s="45">
        <v>25</v>
      </c>
      <c r="E108" s="44">
        <v>4.8169556840077073E-2</v>
      </c>
    </row>
    <row r="109" spans="2:5" ht="15" customHeight="1" x14ac:dyDescent="0.3">
      <c r="B109" s="78"/>
      <c r="C109" s="46" t="s">
        <v>38</v>
      </c>
      <c r="D109" s="45">
        <v>5</v>
      </c>
      <c r="E109" s="44">
        <v>9.6339113680154135E-3</v>
      </c>
    </row>
    <row r="110" spans="2:5" ht="15" customHeight="1" x14ac:dyDescent="0.3">
      <c r="B110" s="78"/>
      <c r="C110" s="46" t="s">
        <v>46</v>
      </c>
      <c r="D110" s="45">
        <v>14</v>
      </c>
      <c r="E110" s="44">
        <v>2.6974951830443159E-2</v>
      </c>
    </row>
    <row r="111" spans="2:5" ht="15" customHeight="1" x14ac:dyDescent="0.3">
      <c r="B111" s="78"/>
      <c r="C111" s="46" t="s">
        <v>42</v>
      </c>
      <c r="D111" s="45">
        <v>9</v>
      </c>
      <c r="E111" s="44">
        <v>1.7341040462427744E-2</v>
      </c>
    </row>
    <row r="112" spans="2:5" ht="15" customHeight="1" x14ac:dyDescent="0.3">
      <c r="B112" s="78"/>
      <c r="C112" s="46" t="s">
        <v>35</v>
      </c>
      <c r="D112" s="45">
        <v>4</v>
      </c>
      <c r="E112" s="44">
        <v>7.7071290944123313E-3</v>
      </c>
    </row>
    <row r="113" spans="2:5" ht="15" customHeight="1" x14ac:dyDescent="0.3">
      <c r="B113" s="78"/>
      <c r="C113" s="46" t="s">
        <v>27</v>
      </c>
      <c r="D113" s="45">
        <v>1</v>
      </c>
      <c r="E113" s="44">
        <v>1.9267822736030828E-3</v>
      </c>
    </row>
    <row r="114" spans="2:5" ht="15" customHeight="1" x14ac:dyDescent="0.3">
      <c r="B114" s="78"/>
      <c r="C114" s="46" t="s">
        <v>45</v>
      </c>
      <c r="D114" s="45">
        <v>16</v>
      </c>
      <c r="E114" s="44">
        <v>3.0828516377649325E-2</v>
      </c>
    </row>
    <row r="115" spans="2:5" ht="15" customHeight="1" x14ac:dyDescent="0.3">
      <c r="B115" s="78"/>
      <c r="C115" s="46" t="s">
        <v>43</v>
      </c>
      <c r="D115" s="45">
        <v>19</v>
      </c>
      <c r="E115" s="44">
        <v>3.6608863198458574E-2</v>
      </c>
    </row>
    <row r="116" spans="2:5" ht="15" customHeight="1" x14ac:dyDescent="0.3">
      <c r="B116" s="78"/>
      <c r="C116" s="46" t="s">
        <v>37</v>
      </c>
      <c r="D116" s="45">
        <v>10</v>
      </c>
      <c r="E116" s="44">
        <v>1.9267822736030827E-2</v>
      </c>
    </row>
    <row r="117" spans="2:5" ht="15" customHeight="1" x14ac:dyDescent="0.3">
      <c r="B117" s="78"/>
      <c r="C117" s="46" t="s">
        <v>36</v>
      </c>
      <c r="D117" s="45">
        <v>8</v>
      </c>
      <c r="E117" s="44">
        <v>1.5414258188824663E-2</v>
      </c>
    </row>
    <row r="118" spans="2:5" ht="15" customHeight="1" x14ac:dyDescent="0.3">
      <c r="B118" s="78"/>
      <c r="C118" s="46" t="s">
        <v>26</v>
      </c>
      <c r="D118" s="45">
        <v>2</v>
      </c>
      <c r="E118" s="44">
        <v>3.8535645472061657E-3</v>
      </c>
    </row>
    <row r="119" spans="2:5" ht="15" customHeight="1" x14ac:dyDescent="0.3">
      <c r="B119" s="78"/>
      <c r="C119" s="46" t="s">
        <v>32</v>
      </c>
      <c r="D119" s="45">
        <v>2</v>
      </c>
      <c r="E119" s="44">
        <v>3.8535645472061657E-3</v>
      </c>
    </row>
    <row r="120" spans="2:5" ht="15" customHeight="1" x14ac:dyDescent="0.3">
      <c r="B120" s="78"/>
      <c r="C120" s="46" t="s">
        <v>31</v>
      </c>
      <c r="D120" s="45">
        <v>2</v>
      </c>
      <c r="E120" s="44">
        <v>3.8535645472061657E-3</v>
      </c>
    </row>
    <row r="121" spans="2:5" ht="15" customHeight="1" x14ac:dyDescent="0.3">
      <c r="B121" s="78"/>
      <c r="C121" s="46" t="s">
        <v>44</v>
      </c>
      <c r="D121" s="45">
        <v>11</v>
      </c>
      <c r="E121" s="44">
        <v>2.119460500963391E-2</v>
      </c>
    </row>
    <row r="122" spans="2:5" ht="15" customHeight="1" x14ac:dyDescent="0.3">
      <c r="B122" s="78"/>
      <c r="C122" s="46" t="s">
        <v>19</v>
      </c>
      <c r="D122" s="45">
        <v>1</v>
      </c>
      <c r="E122" s="44">
        <v>1.9267822736030828E-3</v>
      </c>
    </row>
    <row r="123" spans="2:5" ht="15" customHeight="1" x14ac:dyDescent="0.3">
      <c r="B123" s="75"/>
      <c r="C123" s="43" t="s">
        <v>18</v>
      </c>
      <c r="D123" s="42">
        <v>171</v>
      </c>
      <c r="E123" s="41">
        <v>0.32947976878612717</v>
      </c>
    </row>
    <row r="124" spans="2:5" ht="15" customHeight="1" x14ac:dyDescent="0.3">
      <c r="B124" s="74" t="s">
        <v>356</v>
      </c>
      <c r="C124" s="46" t="s">
        <v>47</v>
      </c>
      <c r="D124" s="45">
        <v>1</v>
      </c>
      <c r="E124" s="44">
        <v>1.9267822736030828E-3</v>
      </c>
    </row>
    <row r="125" spans="2:5" ht="15" customHeight="1" x14ac:dyDescent="0.3">
      <c r="B125" s="78"/>
      <c r="C125" s="46" t="s">
        <v>39</v>
      </c>
      <c r="D125" s="45">
        <v>1</v>
      </c>
      <c r="E125" s="44">
        <v>1.9267822736030828E-3</v>
      </c>
    </row>
    <row r="126" spans="2:5" ht="15" customHeight="1" x14ac:dyDescent="0.3">
      <c r="B126" s="78"/>
      <c r="C126" s="46" t="s">
        <v>48</v>
      </c>
      <c r="D126" s="45">
        <v>1</v>
      </c>
      <c r="E126" s="44">
        <v>1.9267822736030828E-3</v>
      </c>
    </row>
    <row r="127" spans="2:5" ht="15" customHeight="1" x14ac:dyDescent="0.3">
      <c r="B127" s="78"/>
      <c r="C127" s="46" t="s">
        <v>46</v>
      </c>
      <c r="D127" s="45">
        <v>1</v>
      </c>
      <c r="E127" s="44">
        <v>1.9267822736030828E-3</v>
      </c>
    </row>
    <row r="128" spans="2:5" ht="15" customHeight="1" x14ac:dyDescent="0.3">
      <c r="B128" s="78"/>
      <c r="C128" s="46" t="s">
        <v>42</v>
      </c>
      <c r="D128" s="45">
        <v>1</v>
      </c>
      <c r="E128" s="44">
        <v>1.9267822736030828E-3</v>
      </c>
    </row>
    <row r="129" spans="2:5" ht="15" customHeight="1" x14ac:dyDescent="0.3">
      <c r="B129" s="78"/>
      <c r="C129" s="46" t="s">
        <v>35</v>
      </c>
      <c r="D129" s="45">
        <v>1</v>
      </c>
      <c r="E129" s="44">
        <v>1.9267822736030828E-3</v>
      </c>
    </row>
    <row r="130" spans="2:5" ht="15" customHeight="1" x14ac:dyDescent="0.3">
      <c r="B130" s="78"/>
      <c r="C130" s="46" t="s">
        <v>33</v>
      </c>
      <c r="D130" s="45">
        <v>1</v>
      </c>
      <c r="E130" s="44">
        <v>1.9267822736030828E-3</v>
      </c>
    </row>
    <row r="131" spans="2:5" ht="15" customHeight="1" x14ac:dyDescent="0.3">
      <c r="B131" s="75"/>
      <c r="C131" s="43" t="s">
        <v>18</v>
      </c>
      <c r="D131" s="42">
        <v>7</v>
      </c>
      <c r="E131" s="41">
        <v>1.348747591522158E-2</v>
      </c>
    </row>
    <row r="132" spans="2:5" ht="15" customHeight="1" x14ac:dyDescent="0.3">
      <c r="B132" s="74" t="s">
        <v>310</v>
      </c>
      <c r="C132" s="46" t="s">
        <v>30</v>
      </c>
      <c r="D132" s="45">
        <v>1</v>
      </c>
      <c r="E132" s="44">
        <v>1.9267822736030828E-3</v>
      </c>
    </row>
    <row r="133" spans="2:5" ht="15" customHeight="1" x14ac:dyDescent="0.3">
      <c r="B133" s="78"/>
      <c r="C133" s="46" t="s">
        <v>29</v>
      </c>
      <c r="D133" s="45">
        <v>1</v>
      </c>
      <c r="E133" s="44">
        <v>1.9267822736030828E-3</v>
      </c>
    </row>
    <row r="134" spans="2:5" ht="15" customHeight="1" x14ac:dyDescent="0.3">
      <c r="B134" s="78"/>
      <c r="C134" s="46" t="s">
        <v>47</v>
      </c>
      <c r="D134" s="45">
        <v>2</v>
      </c>
      <c r="E134" s="44">
        <v>3.8535645472061657E-3</v>
      </c>
    </row>
    <row r="135" spans="2:5" ht="15" customHeight="1" x14ac:dyDescent="0.3">
      <c r="B135" s="78"/>
      <c r="C135" s="46" t="s">
        <v>41</v>
      </c>
      <c r="D135" s="45">
        <v>2</v>
      </c>
      <c r="E135" s="44">
        <v>3.8535645472061657E-3</v>
      </c>
    </row>
    <row r="136" spans="2:5" ht="15" customHeight="1" x14ac:dyDescent="0.3">
      <c r="B136" s="78"/>
      <c r="C136" s="46" t="s">
        <v>39</v>
      </c>
      <c r="D136" s="45">
        <v>1</v>
      </c>
      <c r="E136" s="44">
        <v>1.9267822736030828E-3</v>
      </c>
    </row>
    <row r="137" spans="2:5" ht="15" customHeight="1" x14ac:dyDescent="0.3">
      <c r="B137" s="78"/>
      <c r="C137" s="46" t="s">
        <v>40</v>
      </c>
      <c r="D137" s="45">
        <v>2</v>
      </c>
      <c r="E137" s="44">
        <v>3.8535645472061657E-3</v>
      </c>
    </row>
    <row r="138" spans="2:5" ht="15" customHeight="1" x14ac:dyDescent="0.3">
      <c r="B138" s="78"/>
      <c r="C138" s="46" t="s">
        <v>48</v>
      </c>
      <c r="D138" s="45">
        <v>4</v>
      </c>
      <c r="E138" s="44">
        <v>7.7071290944123313E-3</v>
      </c>
    </row>
    <row r="139" spans="2:5" ht="15" customHeight="1" x14ac:dyDescent="0.3">
      <c r="B139" s="78"/>
      <c r="C139" s="46" t="s">
        <v>38</v>
      </c>
      <c r="D139" s="45">
        <v>1</v>
      </c>
      <c r="E139" s="44">
        <v>1.9267822736030828E-3</v>
      </c>
    </row>
    <row r="140" spans="2:5" ht="15" customHeight="1" x14ac:dyDescent="0.3">
      <c r="B140" s="78"/>
      <c r="C140" s="46" t="s">
        <v>46</v>
      </c>
      <c r="D140" s="45">
        <v>2</v>
      </c>
      <c r="E140" s="44">
        <v>3.8535645472061657E-3</v>
      </c>
    </row>
    <row r="141" spans="2:5" ht="15" customHeight="1" x14ac:dyDescent="0.3">
      <c r="B141" s="78"/>
      <c r="C141" s="46" t="s">
        <v>42</v>
      </c>
      <c r="D141" s="45">
        <v>1</v>
      </c>
      <c r="E141" s="44">
        <v>1.9267822736030828E-3</v>
      </c>
    </row>
    <row r="142" spans="2:5" ht="15" customHeight="1" x14ac:dyDescent="0.3">
      <c r="B142" s="78"/>
      <c r="C142" s="46" t="s">
        <v>45</v>
      </c>
      <c r="D142" s="45">
        <v>1</v>
      </c>
      <c r="E142" s="44">
        <v>1.9267822736030828E-3</v>
      </c>
    </row>
    <row r="143" spans="2:5" ht="15" customHeight="1" x14ac:dyDescent="0.3">
      <c r="B143" s="78"/>
      <c r="C143" s="46" t="s">
        <v>43</v>
      </c>
      <c r="D143" s="45">
        <v>1</v>
      </c>
      <c r="E143" s="44">
        <v>1.9267822736030828E-3</v>
      </c>
    </row>
    <row r="144" spans="2:5" ht="15" customHeight="1" x14ac:dyDescent="0.3">
      <c r="B144" s="78"/>
      <c r="C144" s="46" t="s">
        <v>36</v>
      </c>
      <c r="D144" s="45">
        <v>1</v>
      </c>
      <c r="E144" s="44">
        <v>1.9267822736030828E-3</v>
      </c>
    </row>
    <row r="145" spans="2:5" ht="15" customHeight="1" x14ac:dyDescent="0.3">
      <c r="B145" s="78"/>
      <c r="C145" s="46" t="s">
        <v>32</v>
      </c>
      <c r="D145" s="45">
        <v>1</v>
      </c>
      <c r="E145" s="44">
        <v>1.9267822736030828E-3</v>
      </c>
    </row>
    <row r="146" spans="2:5" ht="15" customHeight="1" x14ac:dyDescent="0.3">
      <c r="B146" s="78"/>
      <c r="C146" s="46" t="s">
        <v>44</v>
      </c>
      <c r="D146" s="45">
        <v>5</v>
      </c>
      <c r="E146" s="44">
        <v>9.6339113680154135E-3</v>
      </c>
    </row>
    <row r="147" spans="2:5" ht="15" customHeight="1" x14ac:dyDescent="0.3">
      <c r="B147" s="75"/>
      <c r="C147" s="43" t="s">
        <v>18</v>
      </c>
      <c r="D147" s="42">
        <v>26</v>
      </c>
      <c r="E147" s="41">
        <v>5.0096339113680152E-2</v>
      </c>
    </row>
    <row r="148" spans="2:5" ht="15" customHeight="1" x14ac:dyDescent="0.3">
      <c r="B148" s="74" t="s">
        <v>309</v>
      </c>
      <c r="C148" s="46" t="s">
        <v>30</v>
      </c>
      <c r="D148" s="45">
        <v>1</v>
      </c>
      <c r="E148" s="44">
        <v>1.9267822736030828E-3</v>
      </c>
    </row>
    <row r="149" spans="2:5" ht="15" customHeight="1" x14ac:dyDescent="0.3">
      <c r="B149" s="78"/>
      <c r="C149" s="46" t="s">
        <v>25</v>
      </c>
      <c r="D149" s="45">
        <v>1</v>
      </c>
      <c r="E149" s="44">
        <v>1.9267822736030828E-3</v>
      </c>
    </row>
    <row r="150" spans="2:5" ht="15" customHeight="1" x14ac:dyDescent="0.3">
      <c r="B150" s="78"/>
      <c r="C150" s="46" t="s">
        <v>47</v>
      </c>
      <c r="D150" s="45">
        <v>4</v>
      </c>
      <c r="E150" s="44">
        <v>7.7071290944123313E-3</v>
      </c>
    </row>
    <row r="151" spans="2:5" ht="15" customHeight="1" x14ac:dyDescent="0.3">
      <c r="B151" s="78"/>
      <c r="C151" s="46" t="s">
        <v>28</v>
      </c>
      <c r="D151" s="45">
        <v>1</v>
      </c>
      <c r="E151" s="44">
        <v>1.9267822736030828E-3</v>
      </c>
    </row>
    <row r="152" spans="2:5" ht="15" customHeight="1" x14ac:dyDescent="0.3">
      <c r="B152" s="78"/>
      <c r="C152" s="46" t="s">
        <v>24</v>
      </c>
      <c r="D152" s="45">
        <v>1</v>
      </c>
      <c r="E152" s="44">
        <v>1.9267822736030828E-3</v>
      </c>
    </row>
    <row r="153" spans="2:5" ht="15" customHeight="1" x14ac:dyDescent="0.3">
      <c r="B153" s="78"/>
      <c r="C153" s="46" t="s">
        <v>41</v>
      </c>
      <c r="D153" s="45">
        <v>5</v>
      </c>
      <c r="E153" s="44">
        <v>9.6339113680154135E-3</v>
      </c>
    </row>
    <row r="154" spans="2:5" ht="15" customHeight="1" x14ac:dyDescent="0.3">
      <c r="B154" s="78"/>
      <c r="C154" s="46" t="s">
        <v>39</v>
      </c>
      <c r="D154" s="45">
        <v>5</v>
      </c>
      <c r="E154" s="44">
        <v>9.6339113680154135E-3</v>
      </c>
    </row>
    <row r="155" spans="2:5" ht="15" customHeight="1" x14ac:dyDescent="0.3">
      <c r="B155" s="78"/>
      <c r="C155" s="46" t="s">
        <v>40</v>
      </c>
      <c r="D155" s="45">
        <v>3</v>
      </c>
      <c r="E155" s="44">
        <v>5.7803468208092483E-3</v>
      </c>
    </row>
    <row r="156" spans="2:5" ht="15" customHeight="1" x14ac:dyDescent="0.3">
      <c r="B156" s="78"/>
      <c r="C156" s="46" t="s">
        <v>48</v>
      </c>
      <c r="D156" s="45">
        <v>18</v>
      </c>
      <c r="E156" s="44">
        <v>3.4682080924855488E-2</v>
      </c>
    </row>
    <row r="157" spans="2:5" ht="15" customHeight="1" x14ac:dyDescent="0.3">
      <c r="B157" s="78"/>
      <c r="C157" s="46" t="s">
        <v>38</v>
      </c>
      <c r="D157" s="45">
        <v>3</v>
      </c>
      <c r="E157" s="44">
        <v>5.7803468208092483E-3</v>
      </c>
    </row>
    <row r="158" spans="2:5" ht="15" customHeight="1" x14ac:dyDescent="0.3">
      <c r="B158" s="78"/>
      <c r="C158" s="46" t="s">
        <v>46</v>
      </c>
      <c r="D158" s="45">
        <v>6</v>
      </c>
      <c r="E158" s="44">
        <v>1.1560693641618497E-2</v>
      </c>
    </row>
    <row r="159" spans="2:5" ht="15" customHeight="1" x14ac:dyDescent="0.3">
      <c r="B159" s="78"/>
      <c r="C159" s="46" t="s">
        <v>42</v>
      </c>
      <c r="D159" s="45">
        <v>4</v>
      </c>
      <c r="E159" s="44">
        <v>7.7071290944123313E-3</v>
      </c>
    </row>
    <row r="160" spans="2:5" ht="15" customHeight="1" x14ac:dyDescent="0.3">
      <c r="B160" s="78"/>
      <c r="C160" s="46" t="s">
        <v>35</v>
      </c>
      <c r="D160" s="45">
        <v>2</v>
      </c>
      <c r="E160" s="44">
        <v>3.8535645472061657E-3</v>
      </c>
    </row>
    <row r="161" spans="2:5" ht="15" customHeight="1" x14ac:dyDescent="0.3">
      <c r="B161" s="78"/>
      <c r="C161" s="46" t="s">
        <v>27</v>
      </c>
      <c r="D161" s="45">
        <v>1</v>
      </c>
      <c r="E161" s="44">
        <v>1.9267822736030828E-3</v>
      </c>
    </row>
    <row r="162" spans="2:5" ht="15" customHeight="1" x14ac:dyDescent="0.3">
      <c r="B162" s="78"/>
      <c r="C162" s="46" t="s">
        <v>33</v>
      </c>
      <c r="D162" s="45">
        <v>2</v>
      </c>
      <c r="E162" s="44">
        <v>3.8535645472061657E-3</v>
      </c>
    </row>
    <row r="163" spans="2:5" ht="15" customHeight="1" x14ac:dyDescent="0.3">
      <c r="B163" s="78"/>
      <c r="C163" s="46" t="s">
        <v>45</v>
      </c>
      <c r="D163" s="45">
        <v>10</v>
      </c>
      <c r="E163" s="44">
        <v>1.9267822736030827E-2</v>
      </c>
    </row>
    <row r="164" spans="2:5" ht="15" customHeight="1" x14ac:dyDescent="0.3">
      <c r="B164" s="78"/>
      <c r="C164" s="46" t="s">
        <v>43</v>
      </c>
      <c r="D164" s="45">
        <v>5</v>
      </c>
      <c r="E164" s="44">
        <v>9.6339113680154135E-3</v>
      </c>
    </row>
    <row r="165" spans="2:5" ht="15" customHeight="1" x14ac:dyDescent="0.3">
      <c r="B165" s="78"/>
      <c r="C165" s="46" t="s">
        <v>36</v>
      </c>
      <c r="D165" s="45">
        <v>2</v>
      </c>
      <c r="E165" s="44">
        <v>3.8535645472061657E-3</v>
      </c>
    </row>
    <row r="166" spans="2:5" ht="15" customHeight="1" x14ac:dyDescent="0.3">
      <c r="B166" s="78"/>
      <c r="C166" s="46" t="s">
        <v>34</v>
      </c>
      <c r="D166" s="45">
        <v>3</v>
      </c>
      <c r="E166" s="44">
        <v>5.7803468208092483E-3</v>
      </c>
    </row>
    <row r="167" spans="2:5" ht="15" customHeight="1" x14ac:dyDescent="0.3">
      <c r="B167" s="78"/>
      <c r="C167" s="46" t="s">
        <v>32</v>
      </c>
      <c r="D167" s="45">
        <v>1</v>
      </c>
      <c r="E167" s="44">
        <v>1.9267822736030828E-3</v>
      </c>
    </row>
    <row r="168" spans="2:5" ht="15" customHeight="1" x14ac:dyDescent="0.3">
      <c r="B168" s="78"/>
      <c r="C168" s="46" t="s">
        <v>31</v>
      </c>
      <c r="D168" s="45">
        <v>1</v>
      </c>
      <c r="E168" s="44">
        <v>1.9267822736030828E-3</v>
      </c>
    </row>
    <row r="169" spans="2:5" ht="15" customHeight="1" x14ac:dyDescent="0.3">
      <c r="B169" s="78"/>
      <c r="C169" s="46" t="s">
        <v>44</v>
      </c>
      <c r="D169" s="45">
        <v>6</v>
      </c>
      <c r="E169" s="44">
        <v>1.1560693641618497E-2</v>
      </c>
    </row>
    <row r="170" spans="2:5" ht="15" customHeight="1" x14ac:dyDescent="0.3">
      <c r="B170" s="78"/>
      <c r="C170" s="46" t="s">
        <v>20</v>
      </c>
      <c r="D170" s="45">
        <v>1</v>
      </c>
      <c r="E170" s="44">
        <v>1.9267822736030828E-3</v>
      </c>
    </row>
    <row r="171" spans="2:5" ht="15" customHeight="1" x14ac:dyDescent="0.3">
      <c r="B171" s="75"/>
      <c r="C171" s="43" t="s">
        <v>18</v>
      </c>
      <c r="D171" s="42">
        <v>86</v>
      </c>
      <c r="E171" s="41">
        <v>0.16570327552986513</v>
      </c>
    </row>
    <row r="172" spans="2:5" ht="15" customHeight="1" x14ac:dyDescent="0.3">
      <c r="B172" s="74" t="s">
        <v>308</v>
      </c>
      <c r="C172" s="46" t="s">
        <v>33</v>
      </c>
      <c r="D172" s="45">
        <v>1</v>
      </c>
      <c r="E172" s="44">
        <v>1.9267822736030828E-3</v>
      </c>
    </row>
    <row r="173" spans="2:5" ht="15" customHeight="1" x14ac:dyDescent="0.3">
      <c r="B173" s="78"/>
      <c r="C173" s="46" t="s">
        <v>44</v>
      </c>
      <c r="D173" s="45">
        <v>1</v>
      </c>
      <c r="E173" s="44">
        <v>1.9267822736030828E-3</v>
      </c>
    </row>
    <row r="174" spans="2:5" ht="15" customHeight="1" x14ac:dyDescent="0.3">
      <c r="B174" s="75"/>
      <c r="C174" s="43" t="s">
        <v>18</v>
      </c>
      <c r="D174" s="42">
        <v>2</v>
      </c>
      <c r="E174" s="41">
        <v>3.8535645472061657E-3</v>
      </c>
    </row>
    <row r="175" spans="2:5" ht="15" customHeight="1" x14ac:dyDescent="0.3">
      <c r="B175" s="74" t="s">
        <v>307</v>
      </c>
      <c r="C175" s="46" t="s">
        <v>46</v>
      </c>
      <c r="D175" s="45">
        <v>1</v>
      </c>
      <c r="E175" s="44">
        <v>1.9267822736030828E-3</v>
      </c>
    </row>
    <row r="176" spans="2:5" ht="15" customHeight="1" x14ac:dyDescent="0.3">
      <c r="B176" s="78"/>
      <c r="C176" s="46" t="s">
        <v>43</v>
      </c>
      <c r="D176" s="45">
        <v>1</v>
      </c>
      <c r="E176" s="44">
        <v>1.9267822736030828E-3</v>
      </c>
    </row>
    <row r="177" spans="2:5" ht="15" customHeight="1" x14ac:dyDescent="0.3">
      <c r="B177" s="75"/>
      <c r="C177" s="43" t="s">
        <v>18</v>
      </c>
      <c r="D177" s="42">
        <v>2</v>
      </c>
      <c r="E177" s="41">
        <v>3.8535645472061657E-3</v>
      </c>
    </row>
    <row r="178" spans="2:5" ht="15" customHeight="1" x14ac:dyDescent="0.3">
      <c r="B178" s="74" t="s">
        <v>306</v>
      </c>
      <c r="C178" s="46" t="s">
        <v>29</v>
      </c>
      <c r="D178" s="45">
        <v>1</v>
      </c>
      <c r="E178" s="44">
        <v>1.9267822736030828E-3</v>
      </c>
    </row>
    <row r="179" spans="2:5" ht="15" customHeight="1" x14ac:dyDescent="0.3">
      <c r="B179" s="78"/>
      <c r="C179" s="46" t="s">
        <v>39</v>
      </c>
      <c r="D179" s="45">
        <v>1</v>
      </c>
      <c r="E179" s="44">
        <v>1.9267822736030828E-3</v>
      </c>
    </row>
    <row r="180" spans="2:5" ht="15" customHeight="1" x14ac:dyDescent="0.3">
      <c r="B180" s="78"/>
      <c r="C180" s="46" t="s">
        <v>48</v>
      </c>
      <c r="D180" s="45">
        <v>1</v>
      </c>
      <c r="E180" s="44">
        <v>1.9267822736030828E-3</v>
      </c>
    </row>
    <row r="181" spans="2:5" ht="15" customHeight="1" x14ac:dyDescent="0.3">
      <c r="B181" s="78"/>
      <c r="C181" s="46" t="s">
        <v>46</v>
      </c>
      <c r="D181" s="45">
        <v>2</v>
      </c>
      <c r="E181" s="44">
        <v>3.8535645472061657E-3</v>
      </c>
    </row>
    <row r="182" spans="2:5" ht="15" customHeight="1" x14ac:dyDescent="0.3">
      <c r="B182" s="78"/>
      <c r="C182" s="46" t="s">
        <v>42</v>
      </c>
      <c r="D182" s="45">
        <v>2</v>
      </c>
      <c r="E182" s="44">
        <v>3.8535645472061657E-3</v>
      </c>
    </row>
    <row r="183" spans="2:5" ht="15" customHeight="1" x14ac:dyDescent="0.3">
      <c r="B183" s="78"/>
      <c r="C183" s="46" t="s">
        <v>45</v>
      </c>
      <c r="D183" s="45">
        <v>1</v>
      </c>
      <c r="E183" s="44">
        <v>1.9267822736030828E-3</v>
      </c>
    </row>
    <row r="184" spans="2:5" ht="15" customHeight="1" x14ac:dyDescent="0.3">
      <c r="B184" s="78"/>
      <c r="C184" s="46" t="s">
        <v>44</v>
      </c>
      <c r="D184" s="45">
        <v>1</v>
      </c>
      <c r="E184" s="44">
        <v>1.9267822736030828E-3</v>
      </c>
    </row>
    <row r="185" spans="2:5" ht="15" customHeight="1" x14ac:dyDescent="0.3">
      <c r="B185" s="75"/>
      <c r="C185" s="43" t="s">
        <v>18</v>
      </c>
      <c r="D185" s="42">
        <v>9</v>
      </c>
      <c r="E185" s="41">
        <v>1.7341040462427744E-2</v>
      </c>
    </row>
    <row r="186" spans="2:5" ht="15" customHeight="1" x14ac:dyDescent="0.3">
      <c r="B186" s="74" t="s">
        <v>355</v>
      </c>
      <c r="C186" s="46" t="s">
        <v>25</v>
      </c>
      <c r="D186" s="45">
        <v>1</v>
      </c>
      <c r="E186" s="44">
        <v>1.9267822736030828E-3</v>
      </c>
    </row>
    <row r="187" spans="2:5" ht="15" customHeight="1" x14ac:dyDescent="0.3">
      <c r="B187" s="78"/>
      <c r="C187" s="46" t="s">
        <v>41</v>
      </c>
      <c r="D187" s="45">
        <v>2</v>
      </c>
      <c r="E187" s="44">
        <v>3.8535645472061657E-3</v>
      </c>
    </row>
    <row r="188" spans="2:5" ht="15" customHeight="1" x14ac:dyDescent="0.3">
      <c r="B188" s="78"/>
      <c r="C188" s="46" t="s">
        <v>39</v>
      </c>
      <c r="D188" s="45">
        <v>2</v>
      </c>
      <c r="E188" s="44">
        <v>3.8535645472061657E-3</v>
      </c>
    </row>
    <row r="189" spans="2:5" ht="15" customHeight="1" x14ac:dyDescent="0.3">
      <c r="B189" s="78"/>
      <c r="C189" s="46" t="s">
        <v>40</v>
      </c>
      <c r="D189" s="45">
        <v>1</v>
      </c>
      <c r="E189" s="44">
        <v>1.9267822736030828E-3</v>
      </c>
    </row>
    <row r="190" spans="2:5" ht="15" customHeight="1" x14ac:dyDescent="0.3">
      <c r="B190" s="78"/>
      <c r="C190" s="46" t="s">
        <v>48</v>
      </c>
      <c r="D190" s="45">
        <v>5</v>
      </c>
      <c r="E190" s="44">
        <v>9.6339113680154135E-3</v>
      </c>
    </row>
    <row r="191" spans="2:5" ht="15" customHeight="1" x14ac:dyDescent="0.3">
      <c r="B191" s="78"/>
      <c r="C191" s="46" t="s">
        <v>46</v>
      </c>
      <c r="D191" s="45">
        <v>2</v>
      </c>
      <c r="E191" s="44">
        <v>3.8535645472061657E-3</v>
      </c>
    </row>
    <row r="192" spans="2:5" ht="15" customHeight="1" x14ac:dyDescent="0.3">
      <c r="B192" s="78"/>
      <c r="C192" s="46" t="s">
        <v>42</v>
      </c>
      <c r="D192" s="45">
        <v>1</v>
      </c>
      <c r="E192" s="44">
        <v>1.9267822736030828E-3</v>
      </c>
    </row>
    <row r="193" spans="2:5" ht="15" customHeight="1" x14ac:dyDescent="0.3">
      <c r="B193" s="78"/>
      <c r="C193" s="46" t="s">
        <v>43</v>
      </c>
      <c r="D193" s="45">
        <v>1</v>
      </c>
      <c r="E193" s="44">
        <v>1.9267822736030828E-3</v>
      </c>
    </row>
    <row r="194" spans="2:5" ht="15" customHeight="1" x14ac:dyDescent="0.3">
      <c r="B194" s="78"/>
      <c r="C194" s="46" t="s">
        <v>34</v>
      </c>
      <c r="D194" s="45">
        <v>2</v>
      </c>
      <c r="E194" s="44">
        <v>3.8535645472061657E-3</v>
      </c>
    </row>
    <row r="195" spans="2:5" ht="15" customHeight="1" x14ac:dyDescent="0.3">
      <c r="B195" s="78"/>
      <c r="C195" s="46" t="s">
        <v>31</v>
      </c>
      <c r="D195" s="45">
        <v>1</v>
      </c>
      <c r="E195" s="44">
        <v>1.9267822736030828E-3</v>
      </c>
    </row>
    <row r="196" spans="2:5" ht="15" customHeight="1" x14ac:dyDescent="0.3">
      <c r="B196" s="78"/>
      <c r="C196" s="46" t="s">
        <v>44</v>
      </c>
      <c r="D196" s="45">
        <v>2</v>
      </c>
      <c r="E196" s="44">
        <v>3.8535645472061657E-3</v>
      </c>
    </row>
    <row r="197" spans="2:5" ht="15" customHeight="1" x14ac:dyDescent="0.3">
      <c r="B197" s="75"/>
      <c r="C197" s="43" t="s">
        <v>18</v>
      </c>
      <c r="D197" s="42">
        <v>20</v>
      </c>
      <c r="E197" s="41">
        <v>3.8535645472061654E-2</v>
      </c>
    </row>
    <row r="198" spans="2:5" ht="15" customHeight="1" x14ac:dyDescent="0.3">
      <c r="B198" s="74" t="s">
        <v>304</v>
      </c>
      <c r="C198" s="46" t="s">
        <v>41</v>
      </c>
      <c r="D198" s="45">
        <v>2</v>
      </c>
      <c r="E198" s="44">
        <v>3.8535645472061657E-3</v>
      </c>
    </row>
    <row r="199" spans="2:5" ht="15" customHeight="1" x14ac:dyDescent="0.3">
      <c r="B199" s="75"/>
      <c r="C199" s="43" t="s">
        <v>18</v>
      </c>
      <c r="D199" s="42">
        <v>2</v>
      </c>
      <c r="E199" s="41">
        <v>3.8535645472061657E-3</v>
      </c>
    </row>
    <row r="200" spans="2:5" ht="15" customHeight="1" x14ac:dyDescent="0.3">
      <c r="B200" s="74" t="s">
        <v>303</v>
      </c>
      <c r="C200" s="46" t="s">
        <v>41</v>
      </c>
      <c r="D200" s="45">
        <v>1</v>
      </c>
      <c r="E200" s="44">
        <v>1.9267822736030828E-3</v>
      </c>
    </row>
    <row r="201" spans="2:5" ht="15" customHeight="1" x14ac:dyDescent="0.3">
      <c r="B201" s="78"/>
      <c r="C201" s="46" t="s">
        <v>40</v>
      </c>
      <c r="D201" s="45">
        <v>1</v>
      </c>
      <c r="E201" s="44">
        <v>1.9267822736030828E-3</v>
      </c>
    </row>
    <row r="202" spans="2:5" ht="15" customHeight="1" x14ac:dyDescent="0.3">
      <c r="B202" s="75"/>
      <c r="C202" s="43" t="s">
        <v>18</v>
      </c>
      <c r="D202" s="42">
        <v>2</v>
      </c>
      <c r="E202" s="41">
        <v>3.8535645472061657E-3</v>
      </c>
    </row>
    <row r="203" spans="2:5" ht="15" customHeight="1" x14ac:dyDescent="0.3">
      <c r="B203" s="76" t="s">
        <v>18</v>
      </c>
      <c r="C203" s="77"/>
      <c r="D203" s="59">
        <v>519</v>
      </c>
      <c r="E203" s="60">
        <v>1</v>
      </c>
    </row>
    <row r="205" spans="2:5" ht="15" customHeight="1" x14ac:dyDescent="0.3">
      <c r="B205" s="20" t="s">
        <v>17</v>
      </c>
    </row>
    <row r="206" spans="2:5" ht="15" customHeight="1" x14ac:dyDescent="0.3">
      <c r="B206" s="22" t="s">
        <v>16</v>
      </c>
    </row>
    <row r="207" spans="2:5" ht="15" customHeight="1" x14ac:dyDescent="0.3">
      <c r="B207" s="21" t="s">
        <v>15</v>
      </c>
    </row>
    <row r="208" spans="2:5" ht="15" customHeight="1" x14ac:dyDescent="0.3">
      <c r="B208" s="20" t="s">
        <v>14</v>
      </c>
    </row>
    <row r="209" spans="2:2" ht="15" customHeight="1" x14ac:dyDescent="0.3">
      <c r="B209" s="20" t="s">
        <v>13</v>
      </c>
    </row>
  </sheetData>
  <mergeCells count="23">
    <mergeCell ref="B32:B37"/>
    <mergeCell ref="B7:E8"/>
    <mergeCell ref="B10:B17"/>
    <mergeCell ref="B18:B19"/>
    <mergeCell ref="B20:B24"/>
    <mergeCell ref="B25:B31"/>
    <mergeCell ref="B186:B197"/>
    <mergeCell ref="B198:B199"/>
    <mergeCell ref="B200:B202"/>
    <mergeCell ref="B203:C203"/>
    <mergeCell ref="B148:B171"/>
    <mergeCell ref="B172:B174"/>
    <mergeCell ref="B175:B177"/>
    <mergeCell ref="B38:B44"/>
    <mergeCell ref="B45:B57"/>
    <mergeCell ref="B58:B74"/>
    <mergeCell ref="B178:B185"/>
    <mergeCell ref="B75:B78"/>
    <mergeCell ref="B79:B89"/>
    <mergeCell ref="B90:B100"/>
    <mergeCell ref="B101:B123"/>
    <mergeCell ref="B124:B131"/>
    <mergeCell ref="B132:B14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5" manualBreakCount="5">
    <brk id="44" max="4" man="1"/>
    <brk id="78" max="4" man="1"/>
    <brk id="100" max="4" man="1"/>
    <brk id="131" max="4" man="1"/>
    <brk id="174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rgb="FF00B050"/>
    <pageSetUpPr fitToPage="1"/>
  </sheetPr>
  <dimension ref="B1:D20"/>
  <sheetViews>
    <sheetView showGridLines="0" topLeftCell="A5" zoomScaleNormal="100" zoomScaleSheetLayoutView="115" workbookViewId="0">
      <selection activeCell="I26" sqref="I26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330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329</v>
      </c>
      <c r="C11" s="32" t="s">
        <v>50</v>
      </c>
      <c r="D11" s="31" t="s">
        <v>49</v>
      </c>
    </row>
    <row r="12" spans="2:4" ht="15" customHeight="1" x14ac:dyDescent="0.3">
      <c r="B12" s="28" t="s">
        <v>328</v>
      </c>
      <c r="C12" s="27">
        <v>388</v>
      </c>
      <c r="D12" s="26">
        <v>0.74759152215799618</v>
      </c>
    </row>
    <row r="13" spans="2:4" ht="15" customHeight="1" x14ac:dyDescent="0.3">
      <c r="B13" s="28" t="s">
        <v>327</v>
      </c>
      <c r="C13" s="27">
        <v>131</v>
      </c>
      <c r="D13" s="26">
        <v>0.25240847784200388</v>
      </c>
    </row>
    <row r="14" spans="2:4" x14ac:dyDescent="0.3">
      <c r="B14" s="25" t="s">
        <v>326</v>
      </c>
      <c r="C14" s="24">
        <v>519</v>
      </c>
      <c r="D14" s="23">
        <v>1</v>
      </c>
    </row>
    <row r="15" spans="2:4" s="29" customFormat="1" ht="15" x14ac:dyDescent="0.3">
      <c r="C15" s="63"/>
    </row>
    <row r="16" spans="2:4" s="29" customFormat="1" ht="15" x14ac:dyDescent="0.3">
      <c r="B16" s="20" t="s">
        <v>17</v>
      </c>
      <c r="C16" s="63"/>
    </row>
    <row r="17" spans="2:4" x14ac:dyDescent="0.3">
      <c r="B17" s="22" t="s">
        <v>16</v>
      </c>
      <c r="C17" s="62"/>
      <c r="D17" s="62"/>
    </row>
    <row r="18" spans="2:4" x14ac:dyDescent="0.3">
      <c r="B18" s="21" t="s">
        <v>15</v>
      </c>
      <c r="C18" s="61"/>
      <c r="D18" s="61"/>
    </row>
    <row r="19" spans="2:4" x14ac:dyDescent="0.3">
      <c r="B19" s="20" t="s">
        <v>14</v>
      </c>
    </row>
    <row r="20" spans="2:4" x14ac:dyDescent="0.3">
      <c r="B20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75"/>
  <sheetViews>
    <sheetView zoomScaleNormal="100" zoomScaleSheetLayoutView="100" workbookViewId="0">
      <selection activeCell="E83" sqref="E83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51</v>
      </c>
      <c r="C9" s="50" t="s">
        <v>329</v>
      </c>
      <c r="D9" s="49" t="s">
        <v>50</v>
      </c>
      <c r="E9" s="48" t="s">
        <v>49</v>
      </c>
    </row>
    <row r="10" spans="1:5" ht="15" customHeight="1" x14ac:dyDescent="0.3">
      <c r="B10" s="74" t="s">
        <v>30</v>
      </c>
      <c r="C10" s="46" t="s">
        <v>332</v>
      </c>
      <c r="D10" s="45">
        <v>2</v>
      </c>
      <c r="E10" s="44">
        <v>3.8535645472061657E-3</v>
      </c>
    </row>
    <row r="11" spans="1:5" ht="15" customHeight="1" x14ac:dyDescent="0.3">
      <c r="B11" s="78"/>
      <c r="C11" s="46" t="s">
        <v>331</v>
      </c>
      <c r="D11" s="45">
        <v>1</v>
      </c>
      <c r="E11" s="44">
        <v>1.9267822736030828E-3</v>
      </c>
    </row>
    <row r="12" spans="1:5" ht="15" customHeight="1" x14ac:dyDescent="0.3">
      <c r="B12" s="75"/>
      <c r="C12" s="43" t="s">
        <v>18</v>
      </c>
      <c r="D12" s="42">
        <v>3</v>
      </c>
      <c r="E12" s="41">
        <v>5.7803468208092483E-3</v>
      </c>
    </row>
    <row r="13" spans="1:5" ht="15" customHeight="1" x14ac:dyDescent="0.3">
      <c r="B13" s="74" t="s">
        <v>29</v>
      </c>
      <c r="C13" s="46" t="s">
        <v>332</v>
      </c>
      <c r="D13" s="45">
        <v>2</v>
      </c>
      <c r="E13" s="44">
        <v>3.8535645472061657E-3</v>
      </c>
    </row>
    <row r="14" spans="1:5" ht="15" customHeight="1" x14ac:dyDescent="0.3">
      <c r="B14" s="78"/>
      <c r="C14" s="46" t="s">
        <v>331</v>
      </c>
      <c r="D14" s="45">
        <v>1</v>
      </c>
      <c r="E14" s="44">
        <v>1.9267822736030828E-3</v>
      </c>
    </row>
    <row r="15" spans="1:5" s="47" customFormat="1" ht="15" customHeight="1" x14ac:dyDescent="0.2">
      <c r="B15" s="75"/>
      <c r="C15" s="43" t="s">
        <v>18</v>
      </c>
      <c r="D15" s="42">
        <v>3</v>
      </c>
      <c r="E15" s="41">
        <v>5.7803468208092483E-3</v>
      </c>
    </row>
    <row r="16" spans="1:5" s="47" customFormat="1" ht="15" customHeight="1" x14ac:dyDescent="0.2">
      <c r="B16" s="74" t="s">
        <v>25</v>
      </c>
      <c r="C16" s="46" t="s">
        <v>332</v>
      </c>
      <c r="D16" s="45">
        <v>1</v>
      </c>
      <c r="E16" s="44">
        <v>1.9267822736030828E-3</v>
      </c>
    </row>
    <row r="17" spans="2:5" ht="15" customHeight="1" x14ac:dyDescent="0.3">
      <c r="B17" s="78"/>
      <c r="C17" s="46" t="s">
        <v>331</v>
      </c>
      <c r="D17" s="45">
        <v>1</v>
      </c>
      <c r="E17" s="44">
        <v>1.9267822736030828E-3</v>
      </c>
    </row>
    <row r="18" spans="2:5" ht="15" customHeight="1" x14ac:dyDescent="0.3">
      <c r="B18" s="75"/>
      <c r="C18" s="43" t="s">
        <v>18</v>
      </c>
      <c r="D18" s="42">
        <v>2</v>
      </c>
      <c r="E18" s="41">
        <v>3.8535645472061657E-3</v>
      </c>
    </row>
    <row r="19" spans="2:5" ht="15" customHeight="1" x14ac:dyDescent="0.3">
      <c r="B19" s="74" t="s">
        <v>47</v>
      </c>
      <c r="C19" s="46" t="s">
        <v>332</v>
      </c>
      <c r="D19" s="45">
        <v>52</v>
      </c>
      <c r="E19" s="44">
        <v>0.1001926782273603</v>
      </c>
    </row>
    <row r="20" spans="2:5" ht="15" customHeight="1" x14ac:dyDescent="0.3">
      <c r="B20" s="78"/>
      <c r="C20" s="46" t="s">
        <v>331</v>
      </c>
      <c r="D20" s="45">
        <v>13</v>
      </c>
      <c r="E20" s="44">
        <v>2.5048169556840076E-2</v>
      </c>
    </row>
    <row r="21" spans="2:5" ht="15" customHeight="1" x14ac:dyDescent="0.3">
      <c r="B21" s="75"/>
      <c r="C21" s="43" t="s">
        <v>18</v>
      </c>
      <c r="D21" s="42">
        <v>65</v>
      </c>
      <c r="E21" s="41">
        <v>0.12524084778420039</v>
      </c>
    </row>
    <row r="22" spans="2:5" ht="15" customHeight="1" x14ac:dyDescent="0.3">
      <c r="B22" s="74" t="s">
        <v>28</v>
      </c>
      <c r="C22" s="46" t="s">
        <v>332</v>
      </c>
      <c r="D22" s="45">
        <v>2</v>
      </c>
      <c r="E22" s="44">
        <v>3.8535645472061657E-3</v>
      </c>
    </row>
    <row r="23" spans="2:5" ht="15" customHeight="1" x14ac:dyDescent="0.3">
      <c r="B23" s="78"/>
      <c r="C23" s="46" t="s">
        <v>331</v>
      </c>
      <c r="D23" s="45">
        <v>1</v>
      </c>
      <c r="E23" s="44">
        <v>1.9267822736030828E-3</v>
      </c>
    </row>
    <row r="24" spans="2:5" ht="15" customHeight="1" x14ac:dyDescent="0.3">
      <c r="B24" s="75"/>
      <c r="C24" s="43" t="s">
        <v>18</v>
      </c>
      <c r="D24" s="42">
        <v>3</v>
      </c>
      <c r="E24" s="41">
        <v>5.7803468208092483E-3</v>
      </c>
    </row>
    <row r="25" spans="2:5" ht="15" customHeight="1" x14ac:dyDescent="0.3">
      <c r="B25" s="74" t="s">
        <v>24</v>
      </c>
      <c r="C25" s="46" t="s">
        <v>332</v>
      </c>
      <c r="D25" s="45">
        <v>2</v>
      </c>
      <c r="E25" s="44">
        <v>3.8535645472061657E-3</v>
      </c>
    </row>
    <row r="26" spans="2:5" ht="15" customHeight="1" x14ac:dyDescent="0.3">
      <c r="B26" s="75"/>
      <c r="C26" s="43" t="s">
        <v>18</v>
      </c>
      <c r="D26" s="42">
        <v>2</v>
      </c>
      <c r="E26" s="41">
        <v>3.8535645472061657E-3</v>
      </c>
    </row>
    <row r="27" spans="2:5" ht="15" customHeight="1" x14ac:dyDescent="0.3">
      <c r="B27" s="74" t="s">
        <v>41</v>
      </c>
      <c r="C27" s="46" t="s">
        <v>332</v>
      </c>
      <c r="D27" s="45">
        <v>25</v>
      </c>
      <c r="E27" s="44">
        <v>4.8169556840077073E-2</v>
      </c>
    </row>
    <row r="28" spans="2:5" ht="15" customHeight="1" x14ac:dyDescent="0.3">
      <c r="B28" s="78"/>
      <c r="C28" s="46" t="s">
        <v>331</v>
      </c>
      <c r="D28" s="45">
        <v>7</v>
      </c>
      <c r="E28" s="44">
        <v>1.348747591522158E-2</v>
      </c>
    </row>
    <row r="29" spans="2:5" ht="15" customHeight="1" x14ac:dyDescent="0.3">
      <c r="B29" s="75"/>
      <c r="C29" s="43" t="s">
        <v>18</v>
      </c>
      <c r="D29" s="42">
        <v>32</v>
      </c>
      <c r="E29" s="41">
        <v>6.1657032755298651E-2</v>
      </c>
    </row>
    <row r="30" spans="2:5" ht="15" customHeight="1" x14ac:dyDescent="0.3">
      <c r="B30" s="74" t="s">
        <v>23</v>
      </c>
      <c r="C30" s="46" t="s">
        <v>332</v>
      </c>
      <c r="D30" s="45">
        <v>2</v>
      </c>
      <c r="E30" s="44">
        <v>3.8535645472061657E-3</v>
      </c>
    </row>
    <row r="31" spans="2:5" ht="15" customHeight="1" x14ac:dyDescent="0.3">
      <c r="B31" s="75"/>
      <c r="C31" s="43" t="s">
        <v>18</v>
      </c>
      <c r="D31" s="42">
        <v>2</v>
      </c>
      <c r="E31" s="41">
        <v>3.8535645472061657E-3</v>
      </c>
    </row>
    <row r="32" spans="2:5" ht="15" customHeight="1" x14ac:dyDescent="0.3">
      <c r="B32" s="74" t="s">
        <v>39</v>
      </c>
      <c r="C32" s="46" t="s">
        <v>332</v>
      </c>
      <c r="D32" s="45">
        <v>14</v>
      </c>
      <c r="E32" s="44">
        <v>2.6974951830443159E-2</v>
      </c>
    </row>
    <row r="33" spans="2:5" ht="15" customHeight="1" x14ac:dyDescent="0.3">
      <c r="B33" s="78"/>
      <c r="C33" s="46" t="s">
        <v>331</v>
      </c>
      <c r="D33" s="45">
        <v>5</v>
      </c>
      <c r="E33" s="44">
        <v>9.6339113680154135E-3</v>
      </c>
    </row>
    <row r="34" spans="2:5" ht="15" customHeight="1" x14ac:dyDescent="0.3">
      <c r="B34" s="75"/>
      <c r="C34" s="43" t="s">
        <v>18</v>
      </c>
      <c r="D34" s="42">
        <v>19</v>
      </c>
      <c r="E34" s="41">
        <v>3.6608863198458574E-2</v>
      </c>
    </row>
    <row r="35" spans="2:5" ht="15" customHeight="1" x14ac:dyDescent="0.3">
      <c r="B35" s="74" t="s">
        <v>40</v>
      </c>
      <c r="C35" s="46" t="s">
        <v>332</v>
      </c>
      <c r="D35" s="45">
        <v>19</v>
      </c>
      <c r="E35" s="44">
        <v>3.6608863198458574E-2</v>
      </c>
    </row>
    <row r="36" spans="2:5" ht="15" customHeight="1" x14ac:dyDescent="0.3">
      <c r="B36" s="78"/>
      <c r="C36" s="46" t="s">
        <v>331</v>
      </c>
      <c r="D36" s="45">
        <v>4</v>
      </c>
      <c r="E36" s="44">
        <v>7.7071290944123313E-3</v>
      </c>
    </row>
    <row r="37" spans="2:5" ht="15" customHeight="1" x14ac:dyDescent="0.3">
      <c r="B37" s="75"/>
      <c r="C37" s="43" t="s">
        <v>18</v>
      </c>
      <c r="D37" s="42">
        <v>23</v>
      </c>
      <c r="E37" s="41">
        <v>4.4315992292870907E-2</v>
      </c>
    </row>
    <row r="38" spans="2:5" ht="15" customHeight="1" x14ac:dyDescent="0.3">
      <c r="B38" s="74" t="s">
        <v>48</v>
      </c>
      <c r="C38" s="46" t="s">
        <v>332</v>
      </c>
      <c r="D38" s="45">
        <v>46</v>
      </c>
      <c r="E38" s="44">
        <v>8.8631984585741813E-2</v>
      </c>
    </row>
    <row r="39" spans="2:5" ht="15" customHeight="1" x14ac:dyDescent="0.3">
      <c r="B39" s="78"/>
      <c r="C39" s="46" t="s">
        <v>331</v>
      </c>
      <c r="D39" s="45">
        <v>24</v>
      </c>
      <c r="E39" s="44">
        <v>4.6242774566473986E-2</v>
      </c>
    </row>
    <row r="40" spans="2:5" ht="15" customHeight="1" x14ac:dyDescent="0.3">
      <c r="B40" s="75"/>
      <c r="C40" s="43" t="s">
        <v>18</v>
      </c>
      <c r="D40" s="42">
        <v>70</v>
      </c>
      <c r="E40" s="41">
        <v>0.13487475915221581</v>
      </c>
    </row>
    <row r="41" spans="2:5" ht="15" customHeight="1" x14ac:dyDescent="0.3">
      <c r="B41" s="74" t="s">
        <v>38</v>
      </c>
      <c r="C41" s="46" t="s">
        <v>332</v>
      </c>
      <c r="D41" s="45">
        <v>11</v>
      </c>
      <c r="E41" s="44">
        <v>2.119460500963391E-2</v>
      </c>
    </row>
    <row r="42" spans="2:5" ht="15" customHeight="1" x14ac:dyDescent="0.3">
      <c r="B42" s="78"/>
      <c r="C42" s="46" t="s">
        <v>331</v>
      </c>
      <c r="D42" s="45">
        <v>4</v>
      </c>
      <c r="E42" s="44">
        <v>7.7071290944123313E-3</v>
      </c>
    </row>
    <row r="43" spans="2:5" ht="15" customHeight="1" x14ac:dyDescent="0.3">
      <c r="B43" s="75"/>
      <c r="C43" s="43" t="s">
        <v>18</v>
      </c>
      <c r="D43" s="42">
        <v>15</v>
      </c>
      <c r="E43" s="41">
        <v>2.8901734104046242E-2</v>
      </c>
    </row>
    <row r="44" spans="2:5" ht="15" customHeight="1" x14ac:dyDescent="0.3">
      <c r="B44" s="74" t="s">
        <v>46</v>
      </c>
      <c r="C44" s="46" t="s">
        <v>332</v>
      </c>
      <c r="D44" s="45">
        <v>39</v>
      </c>
      <c r="E44" s="44">
        <v>7.5144508670520235E-2</v>
      </c>
    </row>
    <row r="45" spans="2:5" ht="15" customHeight="1" x14ac:dyDescent="0.3">
      <c r="B45" s="78"/>
      <c r="C45" s="46" t="s">
        <v>331</v>
      </c>
      <c r="D45" s="45">
        <v>9</v>
      </c>
      <c r="E45" s="44">
        <v>1.7341040462427744E-2</v>
      </c>
    </row>
    <row r="46" spans="2:5" ht="15" customHeight="1" x14ac:dyDescent="0.3">
      <c r="B46" s="75"/>
      <c r="C46" s="43" t="s">
        <v>18</v>
      </c>
      <c r="D46" s="42">
        <v>48</v>
      </c>
      <c r="E46" s="41">
        <v>9.2485549132947972E-2</v>
      </c>
    </row>
    <row r="47" spans="2:5" ht="15" customHeight="1" x14ac:dyDescent="0.3">
      <c r="B47" s="74" t="s">
        <v>42</v>
      </c>
      <c r="C47" s="46" t="s">
        <v>332</v>
      </c>
      <c r="D47" s="45">
        <v>22</v>
      </c>
      <c r="E47" s="44">
        <v>4.238921001926782E-2</v>
      </c>
    </row>
    <row r="48" spans="2:5" ht="15" customHeight="1" x14ac:dyDescent="0.3">
      <c r="B48" s="78"/>
      <c r="C48" s="46" t="s">
        <v>331</v>
      </c>
      <c r="D48" s="45">
        <v>12</v>
      </c>
      <c r="E48" s="44">
        <v>2.3121387283236993E-2</v>
      </c>
    </row>
    <row r="49" spans="2:5" ht="15" customHeight="1" x14ac:dyDescent="0.3">
      <c r="B49" s="75"/>
      <c r="C49" s="43" t="s">
        <v>18</v>
      </c>
      <c r="D49" s="42">
        <v>34</v>
      </c>
      <c r="E49" s="41">
        <v>6.5510597302504817E-2</v>
      </c>
    </row>
    <row r="50" spans="2:5" ht="15" customHeight="1" x14ac:dyDescent="0.3">
      <c r="B50" s="74" t="s">
        <v>35</v>
      </c>
      <c r="C50" s="46" t="s">
        <v>332</v>
      </c>
      <c r="D50" s="45">
        <v>6</v>
      </c>
      <c r="E50" s="44">
        <v>1.1560693641618497E-2</v>
      </c>
    </row>
    <row r="51" spans="2:5" ht="15" customHeight="1" x14ac:dyDescent="0.3">
      <c r="B51" s="78"/>
      <c r="C51" s="46" t="s">
        <v>331</v>
      </c>
      <c r="D51" s="45">
        <v>2</v>
      </c>
      <c r="E51" s="44">
        <v>3.8535645472061657E-3</v>
      </c>
    </row>
    <row r="52" spans="2:5" ht="15" customHeight="1" x14ac:dyDescent="0.3">
      <c r="B52" s="75"/>
      <c r="C52" s="43" t="s">
        <v>18</v>
      </c>
      <c r="D52" s="42">
        <v>8</v>
      </c>
      <c r="E52" s="41">
        <v>1.5414258188824663E-2</v>
      </c>
    </row>
    <row r="53" spans="2:5" ht="15" customHeight="1" x14ac:dyDescent="0.3">
      <c r="B53" s="74" t="s">
        <v>27</v>
      </c>
      <c r="C53" s="46" t="s">
        <v>332</v>
      </c>
      <c r="D53" s="45">
        <v>2</v>
      </c>
      <c r="E53" s="44">
        <v>3.8535645472061657E-3</v>
      </c>
    </row>
    <row r="54" spans="2:5" ht="15" customHeight="1" x14ac:dyDescent="0.3">
      <c r="B54" s="78"/>
      <c r="C54" s="46" t="s">
        <v>331</v>
      </c>
      <c r="D54" s="45">
        <v>1</v>
      </c>
      <c r="E54" s="44">
        <v>1.9267822736030828E-3</v>
      </c>
    </row>
    <row r="55" spans="2:5" ht="15" customHeight="1" x14ac:dyDescent="0.3">
      <c r="B55" s="75"/>
      <c r="C55" s="43" t="s">
        <v>18</v>
      </c>
      <c r="D55" s="42">
        <v>3</v>
      </c>
      <c r="E55" s="41">
        <v>5.7803468208092483E-3</v>
      </c>
    </row>
    <row r="56" spans="2:5" ht="15" customHeight="1" x14ac:dyDescent="0.3">
      <c r="B56" s="74" t="s">
        <v>33</v>
      </c>
      <c r="C56" s="46" t="s">
        <v>332</v>
      </c>
      <c r="D56" s="45">
        <v>3</v>
      </c>
      <c r="E56" s="44">
        <v>5.7803468208092483E-3</v>
      </c>
    </row>
    <row r="57" spans="2:5" ht="15" customHeight="1" x14ac:dyDescent="0.3">
      <c r="B57" s="78"/>
      <c r="C57" s="46" t="s">
        <v>331</v>
      </c>
      <c r="D57" s="45">
        <v>2</v>
      </c>
      <c r="E57" s="44">
        <v>3.8535645472061657E-3</v>
      </c>
    </row>
    <row r="58" spans="2:5" ht="15" customHeight="1" x14ac:dyDescent="0.3">
      <c r="B58" s="75"/>
      <c r="C58" s="43" t="s">
        <v>18</v>
      </c>
      <c r="D58" s="42">
        <v>5</v>
      </c>
      <c r="E58" s="41">
        <v>9.6339113680154135E-3</v>
      </c>
    </row>
    <row r="59" spans="2:5" ht="15" customHeight="1" x14ac:dyDescent="0.3">
      <c r="B59" s="74" t="s">
        <v>45</v>
      </c>
      <c r="C59" s="46" t="s">
        <v>332</v>
      </c>
      <c r="D59" s="45">
        <v>33</v>
      </c>
      <c r="E59" s="44">
        <v>6.358381502890173E-2</v>
      </c>
    </row>
    <row r="60" spans="2:5" ht="15" customHeight="1" x14ac:dyDescent="0.3">
      <c r="B60" s="78"/>
      <c r="C60" s="46" t="s">
        <v>331</v>
      </c>
      <c r="D60" s="45">
        <v>12</v>
      </c>
      <c r="E60" s="44">
        <v>2.3121387283236993E-2</v>
      </c>
    </row>
    <row r="61" spans="2:5" ht="15" customHeight="1" x14ac:dyDescent="0.3">
      <c r="B61" s="75"/>
      <c r="C61" s="43" t="s">
        <v>18</v>
      </c>
      <c r="D61" s="42">
        <v>45</v>
      </c>
      <c r="E61" s="41">
        <v>8.6705202312138727E-2</v>
      </c>
    </row>
    <row r="62" spans="2:5" ht="15" customHeight="1" x14ac:dyDescent="0.3">
      <c r="B62" s="74" t="s">
        <v>43</v>
      </c>
      <c r="C62" s="46" t="s">
        <v>332</v>
      </c>
      <c r="D62" s="45">
        <v>33</v>
      </c>
      <c r="E62" s="44">
        <v>6.358381502890173E-2</v>
      </c>
    </row>
    <row r="63" spans="2:5" ht="15" customHeight="1" x14ac:dyDescent="0.3">
      <c r="B63" s="78"/>
      <c r="C63" s="46" t="s">
        <v>331</v>
      </c>
      <c r="D63" s="45">
        <v>10</v>
      </c>
      <c r="E63" s="44">
        <v>1.9267822736030827E-2</v>
      </c>
    </row>
    <row r="64" spans="2:5" ht="15" customHeight="1" x14ac:dyDescent="0.3">
      <c r="B64" s="75"/>
      <c r="C64" s="43" t="s">
        <v>18</v>
      </c>
      <c r="D64" s="42">
        <v>43</v>
      </c>
      <c r="E64" s="41">
        <v>8.2851637764932567E-2</v>
      </c>
    </row>
    <row r="65" spans="2:5" ht="15" customHeight="1" x14ac:dyDescent="0.3">
      <c r="B65" s="74" t="s">
        <v>37</v>
      </c>
      <c r="C65" s="46" t="s">
        <v>332</v>
      </c>
      <c r="D65" s="45">
        <v>15</v>
      </c>
      <c r="E65" s="44">
        <v>2.8901734104046242E-2</v>
      </c>
    </row>
    <row r="66" spans="2:5" ht="15" customHeight="1" x14ac:dyDescent="0.3">
      <c r="B66" s="75"/>
      <c r="C66" s="43" t="s">
        <v>18</v>
      </c>
      <c r="D66" s="42">
        <v>15</v>
      </c>
      <c r="E66" s="41">
        <v>2.8901734104046242E-2</v>
      </c>
    </row>
    <row r="67" spans="2:5" ht="15" customHeight="1" x14ac:dyDescent="0.3">
      <c r="B67" s="74" t="s">
        <v>22</v>
      </c>
      <c r="C67" s="46" t="s">
        <v>332</v>
      </c>
      <c r="D67" s="45">
        <v>1</v>
      </c>
      <c r="E67" s="44">
        <v>1.9267822736030828E-3</v>
      </c>
    </row>
    <row r="68" spans="2:5" ht="15" customHeight="1" x14ac:dyDescent="0.3">
      <c r="B68" s="75"/>
      <c r="C68" s="43" t="s">
        <v>18</v>
      </c>
      <c r="D68" s="42">
        <v>1</v>
      </c>
      <c r="E68" s="41">
        <v>1.9267822736030828E-3</v>
      </c>
    </row>
    <row r="69" spans="2:5" ht="15" customHeight="1" x14ac:dyDescent="0.3">
      <c r="B69" s="74" t="s">
        <v>36</v>
      </c>
      <c r="C69" s="46" t="s">
        <v>332</v>
      </c>
      <c r="D69" s="45">
        <v>11</v>
      </c>
      <c r="E69" s="44">
        <v>2.119460500963391E-2</v>
      </c>
    </row>
    <row r="70" spans="2:5" ht="15" customHeight="1" x14ac:dyDescent="0.3">
      <c r="B70" s="78"/>
      <c r="C70" s="46" t="s">
        <v>331</v>
      </c>
      <c r="D70" s="45">
        <v>3</v>
      </c>
      <c r="E70" s="44">
        <v>5.7803468208092483E-3</v>
      </c>
    </row>
    <row r="71" spans="2:5" ht="15" customHeight="1" x14ac:dyDescent="0.3">
      <c r="B71" s="75"/>
      <c r="C71" s="43" t="s">
        <v>18</v>
      </c>
      <c r="D71" s="42">
        <v>14</v>
      </c>
      <c r="E71" s="41">
        <v>2.6974951830443159E-2</v>
      </c>
    </row>
    <row r="72" spans="2:5" ht="15" customHeight="1" x14ac:dyDescent="0.3">
      <c r="B72" s="78" t="s">
        <v>21</v>
      </c>
      <c r="C72" s="46" t="s">
        <v>331</v>
      </c>
      <c r="D72" s="45">
        <v>1</v>
      </c>
      <c r="E72" s="44">
        <v>1.9267822736030828E-3</v>
      </c>
    </row>
    <row r="73" spans="2:5" ht="15" customHeight="1" x14ac:dyDescent="0.3">
      <c r="B73" s="75"/>
      <c r="C73" s="43" t="s">
        <v>18</v>
      </c>
      <c r="D73" s="42">
        <v>1</v>
      </c>
      <c r="E73" s="41">
        <v>1.9267822736030828E-3</v>
      </c>
    </row>
    <row r="74" spans="2:5" ht="15" customHeight="1" x14ac:dyDescent="0.3">
      <c r="B74" s="74" t="s">
        <v>34</v>
      </c>
      <c r="C74" s="46" t="s">
        <v>332</v>
      </c>
      <c r="D74" s="45">
        <v>4</v>
      </c>
      <c r="E74" s="44">
        <v>7.7071290944123313E-3</v>
      </c>
    </row>
    <row r="75" spans="2:5" ht="15" customHeight="1" x14ac:dyDescent="0.3">
      <c r="B75" s="78"/>
      <c r="C75" s="46" t="s">
        <v>331</v>
      </c>
      <c r="D75" s="45">
        <v>2</v>
      </c>
      <c r="E75" s="44">
        <v>3.8535645472061657E-3</v>
      </c>
    </row>
    <row r="76" spans="2:5" ht="15" customHeight="1" x14ac:dyDescent="0.3">
      <c r="B76" s="75"/>
      <c r="C76" s="43" t="s">
        <v>18</v>
      </c>
      <c r="D76" s="42">
        <v>6</v>
      </c>
      <c r="E76" s="41">
        <v>1.1560693641618497E-2</v>
      </c>
    </row>
    <row r="77" spans="2:5" ht="15" customHeight="1" x14ac:dyDescent="0.3">
      <c r="B77" s="74" t="s">
        <v>26</v>
      </c>
      <c r="C77" s="46" t="s">
        <v>332</v>
      </c>
      <c r="D77" s="45">
        <v>3</v>
      </c>
      <c r="E77" s="44">
        <v>5.7803468208092483E-3</v>
      </c>
    </row>
    <row r="78" spans="2:5" ht="15" customHeight="1" x14ac:dyDescent="0.3">
      <c r="B78" s="75"/>
      <c r="C78" s="43" t="s">
        <v>18</v>
      </c>
      <c r="D78" s="42">
        <v>3</v>
      </c>
      <c r="E78" s="41">
        <v>5.7803468208092483E-3</v>
      </c>
    </row>
    <row r="79" spans="2:5" ht="15" customHeight="1" x14ac:dyDescent="0.3">
      <c r="B79" s="74" t="s">
        <v>32</v>
      </c>
      <c r="C79" s="46" t="s">
        <v>332</v>
      </c>
      <c r="D79" s="45">
        <v>2</v>
      </c>
      <c r="E79" s="44">
        <v>3.8535645472061657E-3</v>
      </c>
    </row>
    <row r="80" spans="2:5" ht="15" customHeight="1" x14ac:dyDescent="0.3">
      <c r="B80" s="78"/>
      <c r="C80" s="46" t="s">
        <v>331</v>
      </c>
      <c r="D80" s="45">
        <v>2</v>
      </c>
      <c r="E80" s="44">
        <v>3.8535645472061657E-3</v>
      </c>
    </row>
    <row r="81" spans="2:5" ht="15" customHeight="1" x14ac:dyDescent="0.3">
      <c r="B81" s="75"/>
      <c r="C81" s="43" t="s">
        <v>18</v>
      </c>
      <c r="D81" s="42">
        <v>4</v>
      </c>
      <c r="E81" s="41">
        <v>7.7071290944123313E-3</v>
      </c>
    </row>
    <row r="82" spans="2:5" ht="15" customHeight="1" x14ac:dyDescent="0.3">
      <c r="B82" s="74" t="s">
        <v>31</v>
      </c>
      <c r="C82" s="46" t="s">
        <v>332</v>
      </c>
      <c r="D82" s="45">
        <v>2</v>
      </c>
      <c r="E82" s="44">
        <v>3.8535645472061657E-3</v>
      </c>
    </row>
    <row r="83" spans="2:5" ht="15" customHeight="1" x14ac:dyDescent="0.3">
      <c r="B83" s="78"/>
      <c r="C83" s="46" t="s">
        <v>331</v>
      </c>
      <c r="D83" s="45">
        <v>2</v>
      </c>
      <c r="E83" s="44">
        <v>3.8535645472061657E-3</v>
      </c>
    </row>
    <row r="84" spans="2:5" ht="15" customHeight="1" x14ac:dyDescent="0.3">
      <c r="B84" s="75"/>
      <c r="C84" s="43" t="s">
        <v>18</v>
      </c>
      <c r="D84" s="42">
        <v>4</v>
      </c>
      <c r="E84" s="41">
        <v>7.7071290944123313E-3</v>
      </c>
    </row>
    <row r="85" spans="2:5" ht="15" customHeight="1" x14ac:dyDescent="0.3">
      <c r="B85" s="74" t="s">
        <v>44</v>
      </c>
      <c r="C85" s="46" t="s">
        <v>332</v>
      </c>
      <c r="D85" s="45">
        <v>32</v>
      </c>
      <c r="E85" s="44">
        <v>6.1657032755298651E-2</v>
      </c>
    </row>
    <row r="86" spans="2:5" ht="15" customHeight="1" x14ac:dyDescent="0.3">
      <c r="B86" s="78"/>
      <c r="C86" s="46" t="s">
        <v>331</v>
      </c>
      <c r="D86" s="45">
        <v>12</v>
      </c>
      <c r="E86" s="44">
        <v>2.3121387283236993E-2</v>
      </c>
    </row>
    <row r="87" spans="2:5" ht="15" customHeight="1" x14ac:dyDescent="0.3">
      <c r="B87" s="75"/>
      <c r="C87" s="43" t="s">
        <v>18</v>
      </c>
      <c r="D87" s="42">
        <v>44</v>
      </c>
      <c r="E87" s="41">
        <v>8.477842003853564E-2</v>
      </c>
    </row>
    <row r="88" spans="2:5" ht="15" customHeight="1" x14ac:dyDescent="0.3">
      <c r="B88" s="74" t="s">
        <v>20</v>
      </c>
      <c r="C88" s="46" t="s">
        <v>332</v>
      </c>
      <c r="D88" s="45">
        <v>1</v>
      </c>
      <c r="E88" s="44">
        <v>1.9267822736030828E-3</v>
      </c>
    </row>
    <row r="89" spans="2:5" ht="15" customHeight="1" x14ac:dyDescent="0.3">
      <c r="B89" s="75"/>
      <c r="C89" s="43" t="s">
        <v>18</v>
      </c>
      <c r="D89" s="42">
        <v>1</v>
      </c>
      <c r="E89" s="41">
        <v>1.9267822736030828E-3</v>
      </c>
    </row>
    <row r="90" spans="2:5" ht="15" customHeight="1" x14ac:dyDescent="0.3">
      <c r="B90" s="74" t="s">
        <v>19</v>
      </c>
      <c r="C90" s="46" t="s">
        <v>332</v>
      </c>
      <c r="D90" s="45">
        <v>1</v>
      </c>
      <c r="E90" s="44">
        <v>1.9267822736030828E-3</v>
      </c>
    </row>
    <row r="91" spans="2:5" ht="15" customHeight="1" x14ac:dyDescent="0.3">
      <c r="B91" s="75"/>
      <c r="C91" s="43" t="s">
        <v>18</v>
      </c>
      <c r="D91" s="42">
        <v>1</v>
      </c>
      <c r="E91" s="41">
        <v>1.9267822736030828E-3</v>
      </c>
    </row>
    <row r="92" spans="2:5" ht="15" customHeight="1" x14ac:dyDescent="0.3">
      <c r="B92" s="76" t="s">
        <v>18</v>
      </c>
      <c r="C92" s="77"/>
      <c r="D92" s="59">
        <f>SUMIF(C10:C91,"TOTAL",D10:D91)</f>
        <v>519</v>
      </c>
      <c r="E92" s="60">
        <v>1</v>
      </c>
    </row>
    <row r="94" spans="2:5" ht="15" customHeight="1" x14ac:dyDescent="0.3">
      <c r="B94" s="20" t="s">
        <v>17</v>
      </c>
    </row>
    <row r="95" spans="2:5" ht="15" customHeight="1" x14ac:dyDescent="0.3">
      <c r="B95" s="22" t="s">
        <v>16</v>
      </c>
    </row>
    <row r="96" spans="2:5" ht="15" customHeight="1" x14ac:dyDescent="0.3">
      <c r="B96" s="21" t="s">
        <v>15</v>
      </c>
    </row>
    <row r="97" spans="2:2" ht="15" customHeight="1" x14ac:dyDescent="0.3">
      <c r="B97" s="20" t="s">
        <v>14</v>
      </c>
    </row>
    <row r="98" spans="2:2" ht="15" customHeight="1" x14ac:dyDescent="0.3">
      <c r="B98" s="20" t="s">
        <v>13</v>
      </c>
    </row>
    <row r="471" spans="2:2" s="38" customFormat="1" ht="15" customHeight="1" x14ac:dyDescent="0.3">
      <c r="B471" s="39"/>
    </row>
    <row r="472" spans="2:2" s="38" customFormat="1" ht="15" customHeight="1" x14ac:dyDescent="0.3">
      <c r="B472" s="40"/>
    </row>
    <row r="473" spans="2:2" s="38" customFormat="1" ht="15" customHeight="1" x14ac:dyDescent="0.3">
      <c r="B473" s="40"/>
    </row>
    <row r="474" spans="2:2" s="38" customFormat="1" ht="15" customHeight="1" x14ac:dyDescent="0.3">
      <c r="B474" s="39"/>
    </row>
    <row r="475" spans="2:2" s="38" customFormat="1" ht="15" customHeight="1" x14ac:dyDescent="0.3">
      <c r="B475" s="39"/>
    </row>
  </sheetData>
  <mergeCells count="32">
    <mergeCell ref="B88:B89"/>
    <mergeCell ref="B90:B91"/>
    <mergeCell ref="B92:C92"/>
    <mergeCell ref="B69:B71"/>
    <mergeCell ref="B72:B73"/>
    <mergeCell ref="B74:B76"/>
    <mergeCell ref="B77:B78"/>
    <mergeCell ref="B79:B81"/>
    <mergeCell ref="B82:B84"/>
    <mergeCell ref="B44:B46"/>
    <mergeCell ref="B47:B49"/>
    <mergeCell ref="B50:B52"/>
    <mergeCell ref="B53:B55"/>
    <mergeCell ref="B56:B58"/>
    <mergeCell ref="B59:B61"/>
    <mergeCell ref="B62:B64"/>
    <mergeCell ref="B65:B66"/>
    <mergeCell ref="B67:B68"/>
    <mergeCell ref="B85:B87"/>
    <mergeCell ref="B19:B21"/>
    <mergeCell ref="B22:B24"/>
    <mergeCell ref="B25:B26"/>
    <mergeCell ref="B27:B29"/>
    <mergeCell ref="B30:B31"/>
    <mergeCell ref="B32:B34"/>
    <mergeCell ref="B35:B37"/>
    <mergeCell ref="B38:B40"/>
    <mergeCell ref="B41:B43"/>
    <mergeCell ref="B7:E8"/>
    <mergeCell ref="B10:B12"/>
    <mergeCell ref="B13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43" max="4" man="1"/>
    <brk id="8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06" zoomScaleNormal="106" zoomScaleSheetLayoutView="100" workbookViewId="0">
      <selection activeCell="F7" sqref="F7"/>
    </sheetView>
  </sheetViews>
  <sheetFormatPr baseColWidth="10" defaultColWidth="35" defaultRowHeight="15" customHeight="1" x14ac:dyDescent="0.3"/>
  <cols>
    <col min="1" max="1" width="1" style="37" customWidth="1"/>
    <col min="2" max="2" width="22.88671875" style="38" customWidth="1"/>
    <col min="3" max="3" width="31.44140625" style="38" customWidth="1"/>
    <col min="4" max="4" width="14.33203125" style="38" customWidth="1"/>
    <col min="5" max="5" width="16.88671875" style="38" customWidth="1"/>
    <col min="6" max="16384" width="35" style="37"/>
  </cols>
  <sheetData>
    <row r="1" spans="1:5" s="54" customFormat="1" ht="12" customHeight="1" x14ac:dyDescent="0.2">
      <c r="B1" s="58"/>
      <c r="C1" s="57"/>
      <c r="D1" s="57"/>
      <c r="E1" s="57"/>
    </row>
    <row r="2" spans="1:5" s="54" customFormat="1" ht="15" customHeight="1" x14ac:dyDescent="0.2">
      <c r="C2" s="56"/>
    </row>
    <row r="3" spans="1:5" s="54" customFormat="1" ht="15" customHeight="1" x14ac:dyDescent="0.2">
      <c r="C3" s="56"/>
    </row>
    <row r="4" spans="1:5" s="54" customFormat="1" ht="30" customHeight="1" x14ac:dyDescent="0.2">
      <c r="C4" s="56"/>
      <c r="D4" s="55"/>
    </row>
    <row r="5" spans="1:5" s="54" customFormat="1" ht="15" customHeight="1" x14ac:dyDescent="0.2">
      <c r="C5" s="56"/>
      <c r="D5" s="55"/>
    </row>
    <row r="6" spans="1:5" s="51" customFormat="1" ht="24" customHeight="1" x14ac:dyDescent="0.2">
      <c r="B6" s="53"/>
      <c r="C6" s="47"/>
      <c r="D6" s="47"/>
      <c r="E6" s="47"/>
    </row>
    <row r="7" spans="1:5" s="51" customFormat="1" ht="26.25" customHeight="1" x14ac:dyDescent="0.25">
      <c r="A7" s="52"/>
      <c r="B7" s="79"/>
      <c r="C7" s="79"/>
      <c r="D7" s="79"/>
      <c r="E7" s="79"/>
    </row>
    <row r="8" spans="1:5" s="51" customFormat="1" ht="33" customHeight="1" x14ac:dyDescent="0.25">
      <c r="A8" s="52"/>
      <c r="B8" s="79"/>
      <c r="C8" s="79"/>
      <c r="D8" s="79"/>
      <c r="E8" s="79"/>
    </row>
    <row r="9" spans="1:5" s="30" customFormat="1" ht="40.5" customHeight="1" x14ac:dyDescent="0.2">
      <c r="B9" s="48" t="s">
        <v>329</v>
      </c>
      <c r="C9" s="50" t="s">
        <v>339</v>
      </c>
      <c r="D9" s="49" t="s">
        <v>50</v>
      </c>
      <c r="E9" s="48" t="s">
        <v>49</v>
      </c>
    </row>
    <row r="10" spans="1:5" ht="15" customHeight="1" x14ac:dyDescent="0.3">
      <c r="B10" s="74" t="s">
        <v>332</v>
      </c>
      <c r="C10" s="46" t="s">
        <v>337</v>
      </c>
      <c r="D10" s="45">
        <v>104</v>
      </c>
      <c r="E10" s="44">
        <v>0.20038535645472061</v>
      </c>
    </row>
    <row r="11" spans="1:5" ht="15" customHeight="1" x14ac:dyDescent="0.3">
      <c r="B11" s="78"/>
      <c r="C11" s="46" t="s">
        <v>336</v>
      </c>
      <c r="D11" s="45">
        <v>158</v>
      </c>
      <c r="E11" s="44">
        <v>0.30443159922928709</v>
      </c>
    </row>
    <row r="12" spans="1:5" ht="15" customHeight="1" x14ac:dyDescent="0.3">
      <c r="B12" s="78"/>
      <c r="C12" s="46" t="s">
        <v>335</v>
      </c>
      <c r="D12" s="45">
        <v>94</v>
      </c>
      <c r="E12" s="44">
        <v>0.1811175337186898</v>
      </c>
    </row>
    <row r="13" spans="1:5" ht="15" customHeight="1" x14ac:dyDescent="0.3">
      <c r="B13" s="78"/>
      <c r="C13" s="46" t="s">
        <v>334</v>
      </c>
      <c r="D13" s="45">
        <v>31</v>
      </c>
      <c r="E13" s="44">
        <v>5.9730250481695571E-2</v>
      </c>
    </row>
    <row r="14" spans="1:5" ht="15" customHeight="1" x14ac:dyDescent="0.3">
      <c r="B14" s="75"/>
      <c r="C14" s="46" t="s">
        <v>333</v>
      </c>
      <c r="D14" s="45">
        <v>1</v>
      </c>
      <c r="E14" s="44">
        <v>1.9267822736030828E-3</v>
      </c>
    </row>
    <row r="15" spans="1:5" s="47" customFormat="1" ht="15" customHeight="1" x14ac:dyDescent="0.2">
      <c r="B15" s="74" t="s">
        <v>331</v>
      </c>
      <c r="C15" s="46" t="s">
        <v>338</v>
      </c>
      <c r="D15" s="45">
        <v>2</v>
      </c>
      <c r="E15" s="44">
        <v>3.8535645472061657E-3</v>
      </c>
    </row>
    <row r="16" spans="1:5" s="47" customFormat="1" ht="15" customHeight="1" x14ac:dyDescent="0.2">
      <c r="B16" s="78"/>
      <c r="C16" s="46" t="s">
        <v>337</v>
      </c>
      <c r="D16" s="45">
        <v>34</v>
      </c>
      <c r="E16" s="44">
        <v>6.5510597302504817E-2</v>
      </c>
    </row>
    <row r="17" spans="2:5" s="47" customFormat="1" ht="15" customHeight="1" x14ac:dyDescent="0.2">
      <c r="B17" s="78"/>
      <c r="C17" s="46" t="s">
        <v>336</v>
      </c>
      <c r="D17" s="45">
        <v>51</v>
      </c>
      <c r="E17" s="44">
        <v>9.8265895953757232E-2</v>
      </c>
    </row>
    <row r="18" spans="2:5" s="47" customFormat="1" ht="15" customHeight="1" x14ac:dyDescent="0.2">
      <c r="B18" s="78"/>
      <c r="C18" s="46" t="s">
        <v>335</v>
      </c>
      <c r="D18" s="45">
        <v>34</v>
      </c>
      <c r="E18" s="44">
        <v>6.5510597302504817E-2</v>
      </c>
    </row>
    <row r="19" spans="2:5" s="47" customFormat="1" ht="15" customHeight="1" x14ac:dyDescent="0.2">
      <c r="B19" s="78"/>
      <c r="C19" s="46" t="s">
        <v>334</v>
      </c>
      <c r="D19" s="45">
        <v>8</v>
      </c>
      <c r="E19" s="44">
        <v>1.5414258188824663E-2</v>
      </c>
    </row>
    <row r="20" spans="2:5" ht="15" customHeight="1" x14ac:dyDescent="0.3">
      <c r="B20" s="75"/>
      <c r="C20" s="46" t="s">
        <v>333</v>
      </c>
      <c r="D20" s="45">
        <v>2</v>
      </c>
      <c r="E20" s="44">
        <v>3.8535645472061657E-3</v>
      </c>
    </row>
    <row r="21" spans="2:5" ht="15" customHeight="1" x14ac:dyDescent="0.3">
      <c r="B21" s="76" t="s">
        <v>18</v>
      </c>
      <c r="C21" s="77"/>
      <c r="D21" s="59">
        <v>519</v>
      </c>
      <c r="E21" s="60">
        <v>1</v>
      </c>
    </row>
    <row r="23" spans="2:5" ht="15" customHeight="1" x14ac:dyDescent="0.3">
      <c r="B23" s="20" t="s">
        <v>17</v>
      </c>
    </row>
    <row r="24" spans="2:5" ht="15" customHeight="1" x14ac:dyDescent="0.3">
      <c r="B24" s="22" t="s">
        <v>16</v>
      </c>
    </row>
    <row r="25" spans="2:5" ht="15" customHeight="1" x14ac:dyDescent="0.3">
      <c r="B25" s="21" t="s">
        <v>15</v>
      </c>
    </row>
    <row r="26" spans="2:5" ht="15" customHeight="1" x14ac:dyDescent="0.3">
      <c r="B26" s="20" t="s">
        <v>14</v>
      </c>
    </row>
    <row r="27" spans="2:5" ht="15" customHeight="1" x14ac:dyDescent="0.3">
      <c r="B27" s="20" t="s">
        <v>13</v>
      </c>
    </row>
    <row r="485" spans="2:2" s="38" customFormat="1" ht="15" customHeight="1" x14ac:dyDescent="0.3">
      <c r="B485" s="39"/>
    </row>
    <row r="486" spans="2:2" s="38" customFormat="1" ht="15" customHeight="1" x14ac:dyDescent="0.3">
      <c r="B486" s="40"/>
    </row>
    <row r="487" spans="2:2" s="38" customFormat="1" ht="15" customHeight="1" x14ac:dyDescent="0.3">
      <c r="B487" s="40"/>
    </row>
    <row r="488" spans="2:2" s="38" customFormat="1" ht="15" customHeight="1" x14ac:dyDescent="0.3">
      <c r="B488" s="39"/>
    </row>
    <row r="489" spans="2:2" s="38" customFormat="1" ht="15" customHeight="1" x14ac:dyDescent="0.3">
      <c r="B489" s="39"/>
    </row>
  </sheetData>
  <mergeCells count="4">
    <mergeCell ref="B7:E8"/>
    <mergeCell ref="B10:B14"/>
    <mergeCell ref="B15:B20"/>
    <mergeCell ref="B21:C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1"/>
  <sheetViews>
    <sheetView showGridLines="0" tabSelected="1" topLeftCell="A4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8" customWidth="1"/>
    <col min="2" max="2" width="21.6640625" style="18" customWidth="1"/>
    <col min="3" max="3" width="17.6640625" style="19" customWidth="1"/>
    <col min="4" max="4" width="17.6640625" style="18" customWidth="1"/>
    <col min="5" max="5" width="9.33203125" style="18" customWidth="1"/>
    <col min="6" max="6" width="5.6640625" style="18" customWidth="1"/>
    <col min="7" max="16384" width="11.44140625" style="18"/>
  </cols>
  <sheetData>
    <row r="1" spans="2:4" s="30" customFormat="1" ht="15" customHeight="1" x14ac:dyDescent="0.2">
      <c r="C1" s="36"/>
    </row>
    <row r="2" spans="2:4" s="30" customFormat="1" ht="15" customHeight="1" x14ac:dyDescent="0.2">
      <c r="C2" s="36"/>
    </row>
    <row r="3" spans="2:4" s="30" customFormat="1" ht="15" customHeight="1" x14ac:dyDescent="0.2">
      <c r="C3" s="36"/>
    </row>
    <row r="4" spans="2:4" s="30" customFormat="1" ht="30" customHeight="1" x14ac:dyDescent="0.2">
      <c r="C4" s="36"/>
      <c r="D4" s="35"/>
    </row>
    <row r="5" spans="2:4" s="30" customFormat="1" ht="15" customHeight="1" x14ac:dyDescent="0.2">
      <c r="C5" s="36"/>
      <c r="D5" s="35"/>
    </row>
    <row r="6" spans="2:4" s="30" customFormat="1" ht="15" customHeight="1" x14ac:dyDescent="0.2">
      <c r="C6" s="36"/>
      <c r="D6" s="35"/>
    </row>
    <row r="7" spans="2:4" s="30" customFormat="1" ht="15" customHeight="1" x14ac:dyDescent="0.2">
      <c r="B7" s="73" t="s">
        <v>354</v>
      </c>
      <c r="C7" s="73"/>
      <c r="D7" s="73"/>
    </row>
    <row r="8" spans="2:4" s="30" customFormat="1" ht="15" customHeight="1" x14ac:dyDescent="0.2">
      <c r="B8" s="73"/>
      <c r="C8" s="73"/>
      <c r="D8" s="73"/>
    </row>
    <row r="9" spans="2:4" s="30" customFormat="1" ht="33" customHeight="1" x14ac:dyDescent="0.2">
      <c r="B9" s="73"/>
      <c r="C9" s="73"/>
      <c r="D9" s="73"/>
    </row>
    <row r="10" spans="2:4" s="30" customFormat="1" ht="4.5" customHeight="1" x14ac:dyDescent="0.2">
      <c r="B10" s="34"/>
      <c r="C10" s="34"/>
      <c r="D10" s="34"/>
    </row>
    <row r="11" spans="2:4" s="30" customFormat="1" ht="33" customHeight="1" x14ac:dyDescent="0.2">
      <c r="B11" s="33" t="s">
        <v>353</v>
      </c>
      <c r="C11" s="32" t="s">
        <v>50</v>
      </c>
      <c r="D11" s="31" t="s">
        <v>49</v>
      </c>
    </row>
    <row r="12" spans="2:4" ht="15" customHeight="1" x14ac:dyDescent="0.3">
      <c r="B12" s="28" t="s">
        <v>352</v>
      </c>
      <c r="C12" s="27">
        <v>396</v>
      </c>
      <c r="D12" s="26">
        <v>0.76300578034682076</v>
      </c>
    </row>
    <row r="13" spans="2:4" x14ac:dyDescent="0.3">
      <c r="B13" s="28" t="s">
        <v>351</v>
      </c>
      <c r="C13" s="27">
        <v>64</v>
      </c>
      <c r="D13" s="26">
        <v>0.1233140655105973</v>
      </c>
    </row>
    <row r="14" spans="2:4" s="29" customFormat="1" ht="15" x14ac:dyDescent="0.3">
      <c r="B14" s="28" t="s">
        <v>350</v>
      </c>
      <c r="C14" s="27">
        <v>12</v>
      </c>
      <c r="D14" s="26">
        <v>2.3121387283236993E-2</v>
      </c>
    </row>
    <row r="15" spans="2:4" s="29" customFormat="1" ht="15" x14ac:dyDescent="0.3">
      <c r="B15" s="28" t="s">
        <v>349</v>
      </c>
      <c r="C15" s="27">
        <v>12</v>
      </c>
      <c r="D15" s="26">
        <v>2.3121387283236993E-2</v>
      </c>
    </row>
    <row r="16" spans="2:4" x14ac:dyDescent="0.3">
      <c r="B16" s="28" t="s">
        <v>348</v>
      </c>
      <c r="C16" s="27">
        <v>10</v>
      </c>
      <c r="D16" s="26">
        <v>1.9267822736030827E-2</v>
      </c>
    </row>
    <row r="17" spans="2:4" x14ac:dyDescent="0.3">
      <c r="B17" s="28" t="s">
        <v>347</v>
      </c>
      <c r="C17" s="27">
        <v>9</v>
      </c>
      <c r="D17" s="26">
        <v>1.7341040462427744E-2</v>
      </c>
    </row>
    <row r="18" spans="2:4" x14ac:dyDescent="0.3">
      <c r="B18" s="28" t="s">
        <v>346</v>
      </c>
      <c r="C18" s="27">
        <v>4</v>
      </c>
      <c r="D18" s="26">
        <v>7.7071290944123313E-3</v>
      </c>
    </row>
    <row r="19" spans="2:4" x14ac:dyDescent="0.3">
      <c r="B19" s="28" t="s">
        <v>345</v>
      </c>
      <c r="C19" s="27">
        <v>3</v>
      </c>
      <c r="D19" s="26">
        <v>5.7803468208092483E-3</v>
      </c>
    </row>
    <row r="20" spans="2:4" x14ac:dyDescent="0.3">
      <c r="B20" s="28" t="s">
        <v>344</v>
      </c>
      <c r="C20" s="27">
        <v>3</v>
      </c>
      <c r="D20" s="26">
        <v>5.7803468208092483E-3</v>
      </c>
    </row>
    <row r="21" spans="2:4" x14ac:dyDescent="0.3">
      <c r="B21" s="28" t="s">
        <v>343</v>
      </c>
      <c r="C21" s="27">
        <v>3</v>
      </c>
      <c r="D21" s="26">
        <v>5.7803468208092483E-3</v>
      </c>
    </row>
    <row r="22" spans="2:4" x14ac:dyDescent="0.3">
      <c r="B22" s="28" t="s">
        <v>342</v>
      </c>
      <c r="C22" s="27">
        <v>1</v>
      </c>
      <c r="D22" s="26">
        <v>1.9267822736030828E-3</v>
      </c>
    </row>
    <row r="23" spans="2:4" x14ac:dyDescent="0.3">
      <c r="B23" s="28" t="s">
        <v>341</v>
      </c>
      <c r="C23" s="27">
        <v>1</v>
      </c>
      <c r="D23" s="26">
        <v>1.9267822736030828E-3</v>
      </c>
    </row>
    <row r="24" spans="2:4" x14ac:dyDescent="0.3">
      <c r="B24" s="28" t="s">
        <v>340</v>
      </c>
      <c r="C24" s="27">
        <v>1</v>
      </c>
      <c r="D24" s="26">
        <v>1.9267822736030828E-3</v>
      </c>
    </row>
    <row r="25" spans="2:4" x14ac:dyDescent="0.3">
      <c r="B25" s="25" t="s">
        <v>18</v>
      </c>
      <c r="C25" s="24">
        <v>519</v>
      </c>
      <c r="D25" s="23">
        <v>1</v>
      </c>
    </row>
    <row r="27" spans="2:4" x14ac:dyDescent="0.3">
      <c r="B27" s="20" t="s">
        <v>17</v>
      </c>
    </row>
    <row r="28" spans="2:4" x14ac:dyDescent="0.3">
      <c r="B28" s="22" t="s">
        <v>16</v>
      </c>
    </row>
    <row r="29" spans="2:4" x14ac:dyDescent="0.3">
      <c r="B29" s="21" t="s">
        <v>15</v>
      </c>
    </row>
    <row r="30" spans="2:4" x14ac:dyDescent="0.3">
      <c r="B30" s="20" t="s">
        <v>14</v>
      </c>
    </row>
    <row r="31" spans="2:4" x14ac:dyDescent="0.3">
      <c r="B31" s="20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Massachusetts_Edomexgral</vt:lpstr>
      <vt:lpstr>Massachusetts_EDOMEX</vt:lpstr>
      <vt:lpstr>Massachusetts_Educagral</vt:lpstr>
      <vt:lpstr>Massachusetts_Eduedo</vt:lpstr>
      <vt:lpstr>Massachusetts_gengral</vt:lpstr>
      <vt:lpstr>Massachusetts_edomexgen</vt:lpstr>
      <vt:lpstr>Massachusetts_edadgen</vt:lpstr>
      <vt:lpstr>Massachusetts_ocupgral</vt:lpstr>
      <vt:lpstr>Massachusetts_edadgen!Área_de_impresión</vt:lpstr>
      <vt:lpstr>Massachusetts_EDOMEX!Área_de_impresión</vt:lpstr>
      <vt:lpstr>Massachusetts_edomexgen!Área_de_impresión</vt:lpstr>
      <vt:lpstr>Massachusetts_Eduedo!Área_de_impresión</vt:lpstr>
      <vt:lpstr>Massachusetts_edadgen!Títulos_a_imprimir</vt:lpstr>
      <vt:lpstr>Massachusetts_EDOMEX!Títulos_a_imprimir</vt:lpstr>
      <vt:lpstr>Massachusetts_edomexgen!Títulos_a_imprimir</vt:lpstr>
      <vt:lpstr>Massachusetts_Edomexgral!Títulos_a_imprimir</vt:lpstr>
      <vt:lpstr>Massachusetts_Educagral!Títulos_a_imprimir</vt:lpstr>
      <vt:lpstr>Massachusetts_Eduedo!Títulos_a_imprimir</vt:lpstr>
      <vt:lpstr>Massachusetts_gengral!Títulos_a_imprimir</vt:lpstr>
      <vt:lpstr>Massachusetts_ocupgral!Títulos_a_imprimir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2020-06-24T18:43:26Z</dcterms:created>
  <dcterms:modified xsi:type="dcterms:W3CDTF">2020-08-07T17:18:34Z</dcterms:modified>
</cp:coreProperties>
</file>