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1T4BXW" sheetId="2" r:id="rId1"/>
  </sheets>
  <calcPr calcId="125725"/>
</workbook>
</file>

<file path=xl/calcChain.xml><?xml version="1.0" encoding="utf-8"?>
<calcChain xmlns="http://schemas.openxmlformats.org/spreadsheetml/2006/main">
  <c r="C27" i="2"/>
  <c r="C26"/>
  <c r="C25"/>
  <c r="C24"/>
  <c r="B24"/>
  <c r="C23"/>
  <c r="C22"/>
  <c r="B22"/>
  <c r="C21"/>
  <c r="C20"/>
  <c r="C19"/>
  <c r="B19"/>
  <c r="C18"/>
  <c r="C17"/>
  <c r="B17"/>
  <c r="C16"/>
  <c r="C15"/>
  <c r="B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<sst xmlns="http://schemas.openxmlformats.org/spreadsheetml/2006/main" count="11" uniqueCount="11">
  <si>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</si>
  <si>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</si>
  <si>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</si>
  <si>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</si>
  <si>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</si>
  <si>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</si>
  <si>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</si>
  <si>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</si>
  <si>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</si>
  <si>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VERMONT,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</si>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</sst>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3" fillId="33" borderId="10" xfId="0" applyFont="1" applyFill="1" applyBorder="1" applyAlignment="1">
      <alignment wrapText="1"/>
    </xf>
    <xf numFmtId="0" fontId="17" fillId="33" borderId="10" xfId="0" applyFont="1" applyFill="1" applyBorder="1" applyAlignment="1">
      <alignment horizontal="right" wrapText="1"/>
    </xf>
    <xf numFmtId="0" fontId="13" fillId="33" borderId="10" xfId="0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9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10" fontId="18" fillId="34" borderId="10" xfId="0" applyNumberFormat="1" applyFont="1" applyFill="1" applyBorder="1" applyAlignment="1">
      <alignment horizontal="right" wrapText="1"/>
    </xf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5" borderId="14" xfId="42" applyFont="1" applyFill="1" applyBorder="1" applyAlignment="1">
      <alignment horizontal="center" vertical="center" wrapText="1"/>
    </xf>
    <xf numFmtId="0" fontId="27" fillId="36" borderId="15" xfId="42" applyFont="1" applyFill="1" applyBorder="1" applyAlignment="1">
      <alignment horizontal="center" vertical="center" wrapText="1"/>
    </xf>
    <xf numFmtId="0" fontId="27" fillId="36" borderId="16" xfId="42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3"/>
  <sheetViews>
    <sheetView showGridLines="0" tabSelected="1" workbookViewId="0">
      <selection activeCell="A7" sqref="A7"/>
    </sheetView>
  </sheetViews>
  <sheetFormatPr baseColWidth="10" defaultRowHeight="15"/>
  <cols>
    <col min="2" max="2" width="40.42578125" customWidth="1"/>
    <col min="3" max="3" width="18.42578125" customWidth="1"/>
    <col min="4" max="5" width="16.140625" bestFit="1" customWidth="1"/>
  </cols>
  <sheetData>
    <row r="1" spans="2:7">
      <c r="B1" s="14"/>
      <c r="C1" s="14"/>
      <c r="D1" s="14"/>
      <c r="E1" s="14"/>
      <c r="F1" s="14"/>
      <c r="G1" s="14"/>
    </row>
    <row r="4" spans="2:7" ht="24" customHeight="1">
      <c r="B4" s="23" t="s">
        <v>9</v>
      </c>
      <c r="C4" s="23"/>
      <c r="D4" s="23"/>
      <c r="E4" s="23"/>
      <c r="F4" s="15"/>
      <c r="G4" s="14"/>
    </row>
    <row r="5" spans="2:7" ht="24" customHeight="1">
      <c r="B5" s="24"/>
      <c r="C5" s="24"/>
      <c r="D5" s="24"/>
      <c r="E5" s="24"/>
      <c r="F5" s="14"/>
      <c r="G5" s="14"/>
    </row>
    <row r="6" spans="2:7" ht="16.5">
      <c r="B6" s="16"/>
      <c r="C6" s="16"/>
      <c r="D6" s="16"/>
      <c r="E6" s="16"/>
      <c r="F6" s="14"/>
      <c r="G6" s="14"/>
    </row>
    <row r="7" spans="2:7" ht="33">
      <c r="B7" s="17" t="s">
        <v>7</v>
      </c>
      <c r="C7" s="18" t="s">
        <v>0</v>
      </c>
      <c r="D7" s="18" t="s">
        <v>1</v>
      </c>
      <c r="E7" s="19" t="s">
        <v>8</v>
      </c>
      <c r="F7" s="14"/>
      <c r="G7" s="14"/>
    </row>
    <row r="8" spans="2:7">
      <c r="B8" s="20" t="str">
        <f>"CHIAPAS"</f>
        <v>CHIAPAS</v>
      </c>
      <c r="C8" s="1" t="str">
        <f>"HOMBRE"</f>
        <v>HOMBRE</v>
      </c>
      <c r="D8" s="2">
        <v>7</v>
      </c>
      <c r="E8" s="3">
        <v>0.14580000000000001</v>
      </c>
    </row>
    <row r="9" spans="2:7">
      <c r="B9" s="22"/>
      <c r="C9" s="1" t="str">
        <f>"MUJER"</f>
        <v>MUJER</v>
      </c>
      <c r="D9" s="2">
        <v>1</v>
      </c>
      <c r="E9" s="3">
        <v>2.0799999999999999E-2</v>
      </c>
    </row>
    <row r="10" spans="2:7">
      <c r="B10" s="21"/>
      <c r="C10" s="11" t="str">
        <f>"Total"</f>
        <v>Total</v>
      </c>
      <c r="D10" s="12">
        <v>8</v>
      </c>
      <c r="E10" s="13">
        <v>0.16669999999999999</v>
      </c>
    </row>
    <row r="11" spans="2:7">
      <c r="B11" s="20" t="str">
        <f>"DISTRITO FEDERAL"</f>
        <v>DISTRITO FEDERAL</v>
      </c>
      <c r="C11" s="1" t="str">
        <f>"HOMBRE"</f>
        <v>HOMBRE</v>
      </c>
      <c r="D11" s="2">
        <v>1</v>
      </c>
      <c r="E11" s="3">
        <v>2.0799999999999999E-2</v>
      </c>
    </row>
    <row r="12" spans="2:7">
      <c r="B12" s="21"/>
      <c r="C12" s="11" t="str">
        <f>"Total"</f>
        <v>Total</v>
      </c>
      <c r="D12" s="12">
        <v>1</v>
      </c>
      <c r="E12" s="13">
        <v>2.0799999999999999E-2</v>
      </c>
    </row>
    <row r="13" spans="2:7">
      <c r="B13" s="20" t="str">
        <f>"GUERRERO"</f>
        <v>GUERRERO</v>
      </c>
      <c r="C13" s="1" t="str">
        <f>"HOMBRE"</f>
        <v>HOMBRE</v>
      </c>
      <c r="D13" s="2">
        <v>6</v>
      </c>
      <c r="E13" s="3">
        <v>0.125</v>
      </c>
    </row>
    <row r="14" spans="2:7">
      <c r="B14" s="21"/>
      <c r="C14" s="11" t="str">
        <f>"Total"</f>
        <v>Total</v>
      </c>
      <c r="D14" s="12">
        <v>6</v>
      </c>
      <c r="E14" s="13">
        <v>0.125</v>
      </c>
    </row>
    <row r="15" spans="2:7">
      <c r="B15" s="20" t="str">
        <f>"OAXACA"</f>
        <v>OAXACA</v>
      </c>
      <c r="C15" s="1" t="str">
        <f>"HOMBRE"</f>
        <v>HOMBRE</v>
      </c>
      <c r="D15" s="2">
        <v>4</v>
      </c>
      <c r="E15" s="3">
        <v>8.3299999999999999E-2</v>
      </c>
    </row>
    <row r="16" spans="2:7">
      <c r="B16" s="21"/>
      <c r="C16" s="11" t="str">
        <f>"Total"</f>
        <v>Total</v>
      </c>
      <c r="D16" s="12">
        <v>4</v>
      </c>
      <c r="E16" s="13">
        <v>8.3299999999999999E-2</v>
      </c>
    </row>
    <row r="17" spans="2:5">
      <c r="B17" s="20" t="str">
        <f>"PUEBLA"</f>
        <v>PUEBLA</v>
      </c>
      <c r="C17" s="1" t="str">
        <f>"HOMBRE"</f>
        <v>HOMBRE</v>
      </c>
      <c r="D17" s="2">
        <v>3</v>
      </c>
      <c r="E17" s="3">
        <v>6.25E-2</v>
      </c>
    </row>
    <row r="18" spans="2:5">
      <c r="B18" s="21"/>
      <c r="C18" s="11" t="str">
        <f>"Total"</f>
        <v>Total</v>
      </c>
      <c r="D18" s="12">
        <v>3</v>
      </c>
      <c r="E18" s="13">
        <v>6.25E-2</v>
      </c>
    </row>
    <row r="19" spans="2:5">
      <c r="B19" s="20" t="str">
        <f>"TABASCO"</f>
        <v>TABASCO</v>
      </c>
      <c r="C19" s="1" t="str">
        <f>"HOMBRE"</f>
        <v>HOMBRE</v>
      </c>
      <c r="D19" s="2">
        <v>10</v>
      </c>
      <c r="E19" s="3">
        <v>0.20830000000000001</v>
      </c>
    </row>
    <row r="20" spans="2:5">
      <c r="B20" s="22"/>
      <c r="C20" s="1" t="str">
        <f>"MUJER"</f>
        <v>MUJER</v>
      </c>
      <c r="D20" s="2">
        <v>1</v>
      </c>
      <c r="E20" s="3">
        <v>2.0799999999999999E-2</v>
      </c>
    </row>
    <row r="21" spans="2:5">
      <c r="B21" s="21"/>
      <c r="C21" s="11" t="str">
        <f>"Total"</f>
        <v>Total</v>
      </c>
      <c r="D21" s="12">
        <v>11</v>
      </c>
      <c r="E21" s="13">
        <v>0.22919999999999999</v>
      </c>
    </row>
    <row r="22" spans="2:5">
      <c r="B22" s="20" t="str">
        <f>"TAMAULIPAS"</f>
        <v>TAMAULIPAS</v>
      </c>
      <c r="C22" s="1" t="str">
        <f>"HOMBRE"</f>
        <v>HOMBRE</v>
      </c>
      <c r="D22" s="2">
        <v>1</v>
      </c>
      <c r="E22" s="3">
        <v>2.0799999999999999E-2</v>
      </c>
    </row>
    <row r="23" spans="2:5">
      <c r="B23" s="21"/>
      <c r="C23" s="11" t="str">
        <f>"Total"</f>
        <v>Total</v>
      </c>
      <c r="D23" s="12">
        <v>1</v>
      </c>
      <c r="E23" s="13">
        <v>2.0799999999999999E-2</v>
      </c>
    </row>
    <row r="24" spans="2:5">
      <c r="B24" s="20" t="str">
        <f>"VERACRUZ DE IGNACIO DE LA LLAVE"</f>
        <v>VERACRUZ DE IGNACIO DE LA LLAVE</v>
      </c>
      <c r="C24" s="1" t="str">
        <f>"HOMBRE"</f>
        <v>HOMBRE</v>
      </c>
      <c r="D24" s="2">
        <v>13</v>
      </c>
      <c r="E24" s="3">
        <v>0.27079999999999999</v>
      </c>
    </row>
    <row r="25" spans="2:5">
      <c r="B25" s="22"/>
      <c r="C25" s="1" t="str">
        <f>"MUJER"</f>
        <v>MUJER</v>
      </c>
      <c r="D25" s="2">
        <v>1</v>
      </c>
      <c r="E25" s="3">
        <v>2.0799999999999999E-2</v>
      </c>
    </row>
    <row r="26" spans="2:5">
      <c r="B26" s="21"/>
      <c r="C26" s="11" t="str">
        <f>"Total"</f>
        <v>Total</v>
      </c>
      <c r="D26" s="12">
        <v>14</v>
      </c>
      <c r="E26" s="13">
        <v>0.29170000000000001</v>
      </c>
    </row>
    <row r="27" spans="2:5">
      <c r="B27" s="7" t="s">
        <v>2</v>
      </c>
      <c r="C27" s="8" t="str">
        <f>" "</f>
        <v> </v>
      </c>
      <c r="D27" s="9">
        <v>48</v>
      </c>
      <c r="E27" s="10">
        <v>1</v>
      </c>
    </row>
    <row r="29" spans="2:5" ht="16.5">
      <c r="B29" s="4" t="s">
        <v>3</v>
      </c>
      <c r="C29" s="5"/>
      <c r="D29" s="6"/>
    </row>
    <row r="30" spans="2:5" ht="16.5">
      <c r="B30" s="4" t="s">
        <v>4</v>
      </c>
      <c r="C30" s="5"/>
      <c r="D30" s="6"/>
    </row>
    <row r="31" spans="2:5" ht="16.5">
      <c r="B31" s="4" t="s">
        <v>5</v>
      </c>
      <c r="C31" s="5"/>
      <c r="D31" s="6"/>
    </row>
    <row r="32" spans="2:5" ht="16.5">
      <c r="B32" s="4" t="s">
        <v>6</v>
      </c>
      <c r="C32" s="5"/>
      <c r="D32" s="6"/>
    </row>
    <row r="33" spans="2:2">
      <c r="B33" s="4" t="s">
        <v>10</v>
      </c>
    </row>
  </sheetData>
  <mergeCells count="9">
    <mergeCell ref="B8:B10"/>
    <mergeCell ref="B11:B12"/>
    <mergeCell ref="B13:B14"/>
    <mergeCell ref="B4:E5"/>
    <mergeCell ref="B15:B16"/>
    <mergeCell ref="B17:B18"/>
    <mergeCell ref="B19:B21"/>
    <mergeCell ref="B22:B23"/>
    <mergeCell ref="B24:B26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easCA1T4BXW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2012-02-28T20:55:20Z</dcterms:created>
  <dcterms:modified xsi:type="dcterms:W3CDTF">2012-03-15T20:15:44Z</dcterms:modified>
</cp:coreProperties>
</file>