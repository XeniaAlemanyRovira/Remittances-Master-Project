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Z6K5J8" sheetId="2" r:id="rId1"/>
  </sheets>
  <calcPr calcId="125725"/>
</workbook>
</file>

<file path=xl/calcChain.xml><?xml version="1.0" encoding="utf-8"?>
<calcChain xmlns="http://schemas.openxmlformats.org/spreadsheetml/2006/main">
  <c r="B34" i="2"/>
  <c r="A34"/>
  <c r="B33"/>
  <c r="A33"/>
  <c r="B32"/>
  <c r="A32"/>
  <c r="B31"/>
  <c r="A31"/>
  <c r="B30"/>
  <c r="A30"/>
  <c r="B29"/>
  <c r="A29"/>
  <c r="B28"/>
  <c r="A28"/>
  <c r="B27"/>
  <c r="A27"/>
  <c r="B26"/>
  <c r="A26"/>
  <c r="B25"/>
  <c r="A25"/>
  <c r="B24"/>
  <c r="A24"/>
  <c r="B23"/>
  <c r="A23"/>
  <c r="B22"/>
  <c r="A22"/>
  <c r="B21"/>
  <c r="A21"/>
  <c r="B20"/>
  <c r="A20"/>
  <c r="B19"/>
  <c r="A19"/>
  <c r="B18"/>
  <c r="A18"/>
  <c r="B17"/>
  <c r="A17"/>
  <c r="B16"/>
  <c r="A16"/>
  <c r="B15"/>
  <c r="A15"/>
  <c r="B14"/>
  <c r="A14"/>
  <c r="B13"/>
  <c r="A13"/>
  <c r="B12"/>
  <c r="A12"/>
  <c r="B11"/>
  <c r="A11"/>
  <c r="B10"/>
  <c r="A10"/>
  <c r="B9"/>
  <c r="A9"/>
  <c r="B8"/>
  <c r="A8"/>
  <c r="B7"/>
  <c r="A7"/>
  <c r="B6"/>
  <c r="A6"/>
  <c r="B5"/>
  <c r="A5"/>
  <c r="B4"/>
  <c r="A4"/>
  <c r="B3"/>
  <c r="A3"/>
</calcChain>
</file>

<file path=xl/sharedStrings.xml><?xml version="1.0" encoding="utf-8"?>
<sst xmlns="http://schemas.openxmlformats.org/spreadsheetml/2006/main" count="6" uniqueCount="5">
  <si>
    <t>Ene 2010/</t>
  </si>
  <si>
    <t>Dic 2010 Nivel de Estudios</t>
  </si>
  <si>
    <t>Estado Origen</t>
  </si>
  <si>
    <t>Número de Matrículas</t>
  </si>
  <si>
    <t>(%)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</si>
</sst>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010000"/>
      <name val="MS Sans Serif"/>
      <family val="2"/>
    </font>
    <font>
      <b/>
      <sz val="11"/>
      <color rgb="FFFF000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AFAD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/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33" borderId="10" xfId="0" applyFont="1" applyFill="1" applyBorder="1" applyAlignment="1">
      <alignment horizontal="center" vertical="center" wrapText="1"/>
    </xf>
    <xf numFmtId="0" fontId="18" fillId="33" borderId="11" xfId="0" applyFont="1" applyFill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0" fontId="19" fillId="0" borderId="10" xfId="0" applyFont="1" applyBorder="1" applyAlignment="1">
      <alignment horizontal="right" wrapText="1"/>
    </xf>
    <xf numFmtId="10" fontId="19" fillId="0" borderId="10" xfId="0" applyNumberFormat="1" applyFont="1" applyBorder="1" applyAlignment="1">
      <alignment horizontal="right" wrapText="1"/>
    </xf>
    <xf numFmtId="0" fontId="20" fillId="0" borderId="10" xfId="0" applyFont="1" applyBorder="1" applyAlignment="1">
      <alignment wrapText="1"/>
    </xf>
    <xf numFmtId="0" fontId="21" fillId="0" borderId="10" xfId="0" applyFont="1" applyBorder="1" applyAlignment="1">
      <alignment horizontal="right" wrapText="1"/>
    </xf>
    <xf numFmtId="0" fontId="20" fillId="0" borderId="12" xfId="0" applyFont="1" applyBorder="1" applyAlignment="1">
      <alignment wrapText="1"/>
    </xf>
    <xf numFmtId="0" fontId="21" fillId="0" borderId="12" xfId="0" applyFont="1" applyBorder="1" applyAlignment="1">
      <alignment horizontal="right" wrapText="1"/>
    </xf>
    <xf numFmtId="0" fontId="19" fillId="0" borderId="12" xfId="0" applyFont="1" applyBorder="1" applyAlignment="1">
      <alignment horizontal="right" wrapText="1"/>
    </xf>
    <xf numFmtId="10" fontId="19" fillId="0" borderId="12" xfId="0" applyNumberFormat="1" applyFont="1" applyBorder="1" applyAlignment="1">
      <alignment horizontal="right" wrapText="1"/>
    </xf>
    <xf numFmtId="0" fontId="18" fillId="33" borderId="13" xfId="0" applyFont="1" applyFill="1" applyBorder="1" applyAlignment="1">
      <alignment horizontal="center" vertical="center" wrapText="1"/>
    </xf>
    <xf numFmtId="0" fontId="18" fillId="33" borderId="14" xfId="0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34"/>
  <sheetViews>
    <sheetView showGridLines="0" tabSelected="1" topLeftCell="A28" workbookViewId="0"/>
  </sheetViews>
  <sheetFormatPr baseColWidth="10" defaultRowHeight="15"/>
  <cols>
    <col min="1" max="1" width="50.5703125" customWidth="1"/>
    <col min="2" max="2" width="10.5703125" bestFit="1" customWidth="1"/>
    <col min="3" max="4" width="16.140625" bestFit="1" customWidth="1"/>
  </cols>
  <sheetData>
    <row r="1" spans="1:4">
      <c r="A1" s="1" t="s">
        <v>0</v>
      </c>
      <c r="B1" s="12" t="s">
        <v>2</v>
      </c>
      <c r="C1" s="12" t="s">
        <v>3</v>
      </c>
      <c r="D1" s="1" t="s">
        <v>3</v>
      </c>
    </row>
    <row r="2" spans="1:4">
      <c r="A2" s="2" t="s">
        <v>1</v>
      </c>
      <c r="B2" s="13"/>
      <c r="C2" s="13"/>
      <c r="D2" s="2" t="s">
        <v>4</v>
      </c>
    </row>
    <row r="3" spans="1:4">
      <c r="A3" s="3" t="str">
        <f>"222o. PRIMARIA"</f>
        <v>222o. PRIMARIA</v>
      </c>
      <c r="B3" s="3" t="str">
        <f>"VERACRUZ DE IGNACIO DE LA LLAVE"</f>
        <v>VERACRUZ DE IGNACIO DE LA LLAVE</v>
      </c>
      <c r="C3" s="4">
        <v>1</v>
      </c>
      <c r="D3" s="5">
        <v>2.0799999999999999E-2</v>
      </c>
    </row>
    <row r="4" spans="1:4">
      <c r="A4" s="6" t="str">
        <f>"222o. PRIMARIA"</f>
        <v>222o. PRIMARIA</v>
      </c>
      <c r="B4" s="6" t="str">
        <f>"Total"</f>
        <v>Total</v>
      </c>
      <c r="C4" s="4">
        <v>1</v>
      </c>
      <c r="D4" s="5">
        <v>2.0799999999999999E-2</v>
      </c>
    </row>
    <row r="5" spans="1:4">
      <c r="A5" s="3" t="str">
        <f>"233o. PRIMARIA"</f>
        <v>233o. PRIMARIA</v>
      </c>
      <c r="B5" s="3" t="str">
        <f>"TABASCO"</f>
        <v>TABASCO</v>
      </c>
      <c r="C5" s="4">
        <v>1</v>
      </c>
      <c r="D5" s="5">
        <v>2.0799999999999999E-2</v>
      </c>
    </row>
    <row r="6" spans="1:4">
      <c r="A6" s="6" t="str">
        <f>"233o. PRIMARIA"</f>
        <v>233o. PRIMARIA</v>
      </c>
      <c r="B6" s="6" t="str">
        <f>"Total"</f>
        <v>Total</v>
      </c>
      <c r="C6" s="4">
        <v>1</v>
      </c>
      <c r="D6" s="5">
        <v>2.0799999999999999E-2</v>
      </c>
    </row>
    <row r="7" spans="1:4">
      <c r="A7" s="3" t="str">
        <f>"255o. PRIMARIA"</f>
        <v>255o. PRIMARIA</v>
      </c>
      <c r="B7" s="3" t="str">
        <f>"TABASCO"</f>
        <v>TABASCO</v>
      </c>
      <c r="C7" s="4">
        <v>1</v>
      </c>
      <c r="D7" s="5">
        <v>2.0799999999999999E-2</v>
      </c>
    </row>
    <row r="8" spans="1:4">
      <c r="A8" s="6" t="str">
        <f>"255o. PRIMARIA"</f>
        <v>255o. PRIMARIA</v>
      </c>
      <c r="B8" s="6" t="str">
        <f>"Total"</f>
        <v>Total</v>
      </c>
      <c r="C8" s="4">
        <v>1</v>
      </c>
      <c r="D8" s="5">
        <v>2.0799999999999999E-2</v>
      </c>
    </row>
    <row r="9" spans="1:4">
      <c r="A9" s="3" t="str">
        <f t="shared" ref="A9:A14" si="0">"266o. PRIMARIA"</f>
        <v>266o. PRIMARIA</v>
      </c>
      <c r="B9" s="3" t="str">
        <f>"CHIAPAS"</f>
        <v>CHIAPAS</v>
      </c>
      <c r="C9" s="4">
        <v>4</v>
      </c>
      <c r="D9" s="5">
        <v>8.3299999999999999E-2</v>
      </c>
    </row>
    <row r="10" spans="1:4">
      <c r="A10" s="3" t="str">
        <f t="shared" si="0"/>
        <v>266o. PRIMARIA</v>
      </c>
      <c r="B10" s="3" t="str">
        <f>"GUERRERO"</f>
        <v>GUERRERO</v>
      </c>
      <c r="C10" s="4">
        <v>1</v>
      </c>
      <c r="D10" s="5">
        <v>2.0799999999999999E-2</v>
      </c>
    </row>
    <row r="11" spans="1:4">
      <c r="A11" s="3" t="str">
        <f t="shared" si="0"/>
        <v>266o. PRIMARIA</v>
      </c>
      <c r="B11" s="3" t="str">
        <f>"PUEBLA"</f>
        <v>PUEBLA</v>
      </c>
      <c r="C11" s="4">
        <v>1</v>
      </c>
      <c r="D11" s="5">
        <v>2.0799999999999999E-2</v>
      </c>
    </row>
    <row r="12" spans="1:4">
      <c r="A12" s="3" t="str">
        <f t="shared" si="0"/>
        <v>266o. PRIMARIA</v>
      </c>
      <c r="B12" s="3" t="str">
        <f>"TABASCO"</f>
        <v>TABASCO</v>
      </c>
      <c r="C12" s="4">
        <v>1</v>
      </c>
      <c r="D12" s="5">
        <v>2.0799999999999999E-2</v>
      </c>
    </row>
    <row r="13" spans="1:4">
      <c r="A13" s="3" t="str">
        <f t="shared" si="0"/>
        <v>266o. PRIMARIA</v>
      </c>
      <c r="B13" s="3" t="str">
        <f>"VERACRUZ DE IGNACIO DE LA LLAVE"</f>
        <v>VERACRUZ DE IGNACIO DE LA LLAVE</v>
      </c>
      <c r="C13" s="4">
        <v>4</v>
      </c>
      <c r="D13" s="5">
        <v>8.3299999999999999E-2</v>
      </c>
    </row>
    <row r="14" spans="1:4">
      <c r="A14" s="6" t="str">
        <f t="shared" si="0"/>
        <v>266o. PRIMARIA</v>
      </c>
      <c r="B14" s="6" t="str">
        <f>"Total"</f>
        <v>Total</v>
      </c>
      <c r="C14" s="4">
        <v>11</v>
      </c>
      <c r="D14" s="5">
        <v>0.22919999999999999</v>
      </c>
    </row>
    <row r="15" spans="1:4">
      <c r="A15" s="3" t="str">
        <f t="shared" ref="A15:A21" si="1">"34SECUNDARIA CON CERTIFICADO"</f>
        <v>34SECUNDARIA CON CERTIFICADO</v>
      </c>
      <c r="B15" s="3" t="str">
        <f>"CHIAPAS"</f>
        <v>CHIAPAS</v>
      </c>
      <c r="C15" s="4">
        <v>2</v>
      </c>
      <c r="D15" s="5">
        <v>4.1700000000000001E-2</v>
      </c>
    </row>
    <row r="16" spans="1:4">
      <c r="A16" s="3" t="str">
        <f t="shared" si="1"/>
        <v>34SECUNDARIA CON CERTIFICADO</v>
      </c>
      <c r="B16" s="3" t="str">
        <f>"GUERRERO"</f>
        <v>GUERRERO</v>
      </c>
      <c r="C16" s="4">
        <v>5</v>
      </c>
      <c r="D16" s="5">
        <v>0.1042</v>
      </c>
    </row>
    <row r="17" spans="1:4">
      <c r="A17" s="3" t="str">
        <f t="shared" si="1"/>
        <v>34SECUNDARIA CON CERTIFICADO</v>
      </c>
      <c r="B17" s="3" t="str">
        <f>"OAXACA"</f>
        <v>OAXACA</v>
      </c>
      <c r="C17" s="4">
        <v>3</v>
      </c>
      <c r="D17" s="5">
        <v>6.25E-2</v>
      </c>
    </row>
    <row r="18" spans="1:4">
      <c r="A18" s="3" t="str">
        <f t="shared" si="1"/>
        <v>34SECUNDARIA CON CERTIFICADO</v>
      </c>
      <c r="B18" s="3" t="str">
        <f>"PUEBLA"</f>
        <v>PUEBLA</v>
      </c>
      <c r="C18" s="4">
        <v>1</v>
      </c>
      <c r="D18" s="5">
        <v>2.0799999999999999E-2</v>
      </c>
    </row>
    <row r="19" spans="1:4">
      <c r="A19" s="3" t="str">
        <f t="shared" si="1"/>
        <v>34SECUNDARIA CON CERTIFICADO</v>
      </c>
      <c r="B19" s="3" t="str">
        <f>"TABASCO"</f>
        <v>TABASCO</v>
      </c>
      <c r="C19" s="4">
        <v>5</v>
      </c>
      <c r="D19" s="5">
        <v>0.1042</v>
      </c>
    </row>
    <row r="20" spans="1:4">
      <c r="A20" s="3" t="str">
        <f t="shared" si="1"/>
        <v>34SECUNDARIA CON CERTIFICADO</v>
      </c>
      <c r="B20" s="3" t="str">
        <f>"VERACRUZ DE IGNACIO DE LA LLAVE"</f>
        <v>VERACRUZ DE IGNACIO DE LA LLAVE</v>
      </c>
      <c r="C20" s="4">
        <v>4</v>
      </c>
      <c r="D20" s="5">
        <v>8.3299999999999999E-2</v>
      </c>
    </row>
    <row r="21" spans="1:4">
      <c r="A21" s="6" t="str">
        <f t="shared" si="1"/>
        <v>34SECUNDARIA CON CERTIFICADO</v>
      </c>
      <c r="B21" s="6" t="str">
        <f>"Total"</f>
        <v>Total</v>
      </c>
      <c r="C21" s="4">
        <v>20</v>
      </c>
      <c r="D21" s="5">
        <v>0.41670000000000001</v>
      </c>
    </row>
    <row r="22" spans="1:4">
      <c r="A22" s="3" t="str">
        <f>"51PREPARATORIA SIN CERTIFICADO"</f>
        <v>51PREPARATORIA SIN CERTIFICADO</v>
      </c>
      <c r="B22" s="3" t="str">
        <f>"VERACRUZ DE IGNACIO DE LA LLAVE"</f>
        <v>VERACRUZ DE IGNACIO DE LA LLAVE</v>
      </c>
      <c r="C22" s="4">
        <v>1</v>
      </c>
      <c r="D22" s="5">
        <v>2.0799999999999999E-2</v>
      </c>
    </row>
    <row r="23" spans="1:4">
      <c r="A23" s="6" t="str">
        <f>"51PREPARATORIA SIN CERTIFICADO"</f>
        <v>51PREPARATORIA SIN CERTIFICADO</v>
      </c>
      <c r="B23" s="6" t="str">
        <f>"Total"</f>
        <v>Total</v>
      </c>
      <c r="C23" s="4">
        <v>1</v>
      </c>
      <c r="D23" s="5">
        <v>2.0799999999999999E-2</v>
      </c>
    </row>
    <row r="24" spans="1:4">
      <c r="A24" s="3" t="str">
        <f t="shared" ref="A24:A29" si="2">"52PREPARATORIA CON CERTIFICADO"</f>
        <v>52PREPARATORIA CON CERTIFICADO</v>
      </c>
      <c r="B24" s="3" t="str">
        <f>"CHIAPAS"</f>
        <v>CHIAPAS</v>
      </c>
      <c r="C24" s="4">
        <v>2</v>
      </c>
      <c r="D24" s="5">
        <v>4.1700000000000001E-2</v>
      </c>
    </row>
    <row r="25" spans="1:4">
      <c r="A25" s="3" t="str">
        <f t="shared" si="2"/>
        <v>52PREPARATORIA CON CERTIFICADO</v>
      </c>
      <c r="B25" s="3" t="str">
        <f>"OAXACA"</f>
        <v>OAXACA</v>
      </c>
      <c r="C25" s="4">
        <v>1</v>
      </c>
      <c r="D25" s="5">
        <v>2.0799999999999999E-2</v>
      </c>
    </row>
    <row r="26" spans="1:4">
      <c r="A26" s="3" t="str">
        <f t="shared" si="2"/>
        <v>52PREPARATORIA CON CERTIFICADO</v>
      </c>
      <c r="B26" s="3" t="str">
        <f>"PUEBLA"</f>
        <v>PUEBLA</v>
      </c>
      <c r="C26" s="4">
        <v>1</v>
      </c>
      <c r="D26" s="5">
        <v>2.0799999999999999E-2</v>
      </c>
    </row>
    <row r="27" spans="1:4">
      <c r="A27" s="3" t="str">
        <f t="shared" si="2"/>
        <v>52PREPARATORIA CON CERTIFICADO</v>
      </c>
      <c r="B27" s="3" t="str">
        <f>"TABASCO"</f>
        <v>TABASCO</v>
      </c>
      <c r="C27" s="4">
        <v>3</v>
      </c>
      <c r="D27" s="5">
        <v>6.25E-2</v>
      </c>
    </row>
    <row r="28" spans="1:4">
      <c r="A28" s="3" t="str">
        <f t="shared" si="2"/>
        <v>52PREPARATORIA CON CERTIFICADO</v>
      </c>
      <c r="B28" s="3" t="str">
        <f>"VERACRUZ DE IGNACIO DE LA LLAVE"</f>
        <v>VERACRUZ DE IGNACIO DE LA LLAVE</v>
      </c>
      <c r="C28" s="4">
        <v>4</v>
      </c>
      <c r="D28" s="5">
        <v>8.3299999999999999E-2</v>
      </c>
    </row>
    <row r="29" spans="1:4">
      <c r="A29" s="6" t="str">
        <f t="shared" si="2"/>
        <v>52PREPARATORIA CON CERTIFICADO</v>
      </c>
      <c r="B29" s="6" t="str">
        <f>"Total"</f>
        <v>Total</v>
      </c>
      <c r="C29" s="4">
        <v>11</v>
      </c>
      <c r="D29" s="5">
        <v>0.22919999999999999</v>
      </c>
    </row>
    <row r="30" spans="1:4">
      <c r="A30" s="3" t="str">
        <f>"66PROFESIONAL TITULADO"</f>
        <v>66PROFESIONAL TITULADO</v>
      </c>
      <c r="B30" s="3" t="str">
        <f>"DISTRITO FEDERAL"</f>
        <v>DISTRITO FEDERAL</v>
      </c>
      <c r="C30" s="4">
        <v>1</v>
      </c>
      <c r="D30" s="5">
        <v>2.0799999999999999E-2</v>
      </c>
    </row>
    <row r="31" spans="1:4">
      <c r="A31" s="3" t="str">
        <f>"66PROFESIONAL TITULADO"</f>
        <v>66PROFESIONAL TITULADO</v>
      </c>
      <c r="B31" s="3" t="str">
        <f>"TAMAULIPAS"</f>
        <v>TAMAULIPAS</v>
      </c>
      <c r="C31" s="4">
        <v>1</v>
      </c>
      <c r="D31" s="5">
        <v>2.0799999999999999E-2</v>
      </c>
    </row>
    <row r="32" spans="1:4">
      <c r="A32" s="6" t="str">
        <f>"66PROFESIONAL TITULADO"</f>
        <v>66PROFESIONAL TITULADO</v>
      </c>
      <c r="B32" s="6" t="str">
        <f>"Total"</f>
        <v>Total</v>
      </c>
      <c r="C32" s="4">
        <v>2</v>
      </c>
      <c r="D32" s="5">
        <v>4.1700000000000001E-2</v>
      </c>
    </row>
    <row r="33" spans="1:4">
      <c r="A33" s="6" t="str">
        <f>"ESTADOS UNIDOS DE AMERICA-Vermont"</f>
        <v>ESTADOS UNIDOS DE AMERICA-Vermont</v>
      </c>
      <c r="B33" s="7" t="str">
        <f>" "</f>
        <v> </v>
      </c>
      <c r="C33" s="4">
        <v>48</v>
      </c>
      <c r="D33" s="5">
        <v>1</v>
      </c>
    </row>
    <row r="34" spans="1:4">
      <c r="A34" s="8" t="str">
        <f>"ESTADOS UNIDOS DE AMERICA"</f>
        <v>ESTADOS UNIDOS DE AMERICA</v>
      </c>
      <c r="B34" s="9" t="str">
        <f>" "</f>
        <v> </v>
      </c>
      <c r="C34" s="10">
        <v>48</v>
      </c>
      <c r="D34" s="11">
        <v>1</v>
      </c>
    </row>
  </sheetData>
  <mergeCells count="2">
    <mergeCell ref="B1:B2"/>
    <mergeCell ref="C1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easCAZ6K5J8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2012-03-23T19:07:52Z</dcterms:created>
  <dcterms:modified xsi:type="dcterms:W3CDTF">2012-03-23T19:07:52Z</dcterms:modified>
</cp:coreProperties>
</file>