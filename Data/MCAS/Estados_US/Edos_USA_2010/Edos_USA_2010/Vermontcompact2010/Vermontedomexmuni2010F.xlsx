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HZILKK" sheetId="2" r:id="rId1"/>
  </sheets>
  <calcPr calcId="125725"/>
</workbook>
</file>

<file path=xl/calcChain.xml><?xml version="1.0" encoding="utf-8"?>
<calcChain xmlns="http://schemas.openxmlformats.org/spreadsheetml/2006/main">
  <c r="C38" i="2"/>
  <c r="C37"/>
  <c r="C36"/>
  <c r="C35"/>
  <c r="C34"/>
  <c r="C33"/>
  <c r="C32"/>
  <c r="C31"/>
  <c r="C30"/>
  <c r="B30"/>
  <c r="C29"/>
  <c r="C28"/>
  <c r="B28"/>
  <c r="C27"/>
  <c r="C26"/>
  <c r="C25"/>
  <c r="C24"/>
  <c r="B24"/>
  <c r="C23"/>
  <c r="C22"/>
  <c r="C21"/>
  <c r="C20"/>
  <c r="B20"/>
  <c r="C19"/>
  <c r="C18"/>
  <c r="B18"/>
  <c r="C17"/>
  <c r="C16"/>
  <c r="B16"/>
  <c r="C15"/>
  <c r="C14"/>
  <c r="B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<sst xmlns="http://schemas.openxmlformats.org/spreadsheetml/2006/main" count="11" uniqueCount="11">
  <si>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</si>
  <si>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</si>
  <si>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</si>
  <si>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</si>
  <si>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</si>
  <si>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</si>
  <si>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</si>
  <si>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Estado de Origen</t>
  </si>
  <si>
    <t xml:space="preserve"> Municipio de Origen</t>
  </si>
  <si>
    <t>Porcentaje de Matrículas</t>
  </si>
  <si>
    <t>MATRÍCULAS CONSULARES DE ALTA SEGURIDAD EXPEDIDAS EN EL ESTADO DE VERMONT POR ESTADO Y MUNICIPIO DE LA REPÚBLICA MEXICANA, 2010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</si>
</sst>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7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8" fillId="0" borderId="10" xfId="42" applyFont="1" applyBorder="1" applyAlignment="1"/>
    <xf numFmtId="0" fontId="22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showGridLines="0" tabSelected="1" workbookViewId="0">
      <selection activeCell="A8" sqref="A8"/>
    </sheetView>
  </sheetViews>
  <sheetFormatPr baseColWidth="10" defaultRowHeight="15"/>
  <cols>
    <col min="2" max="2" width="38.5703125" customWidth="1"/>
    <col min="3" max="3" width="18.4257812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12" t="s">
        <v>10</v>
      </c>
      <c r="C6" s="12"/>
      <c r="D6" s="12"/>
      <c r="E6" s="12"/>
      <c r="F6" s="10"/>
    </row>
    <row r="7" spans="1:7">
      <c r="A7" s="6"/>
      <c r="B7" s="13"/>
      <c r="C7" s="13"/>
      <c r="D7" s="13"/>
      <c r="E7" s="13"/>
      <c r="F7" s="6"/>
    </row>
    <row r="8" spans="1:7">
      <c r="A8" s="6"/>
      <c r="B8" s="14" t="s">
        <v>7</v>
      </c>
      <c r="C8" s="14" t="s">
        <v>8</v>
      </c>
      <c r="D8" s="15" t="s">
        <v>0</v>
      </c>
      <c r="E8" s="15" t="s">
        <v>9</v>
      </c>
      <c r="F8" s="6"/>
    </row>
    <row r="9" spans="1:7" ht="18" customHeight="1">
      <c r="A9" s="6"/>
      <c r="B9" s="16"/>
      <c r="C9" s="17"/>
      <c r="D9" s="18"/>
      <c r="E9" s="18"/>
      <c r="F9" s="19"/>
      <c r="G9" s="20"/>
    </row>
    <row r="10" spans="1:7" ht="30">
      <c r="B10" s="21" t="str">
        <f>"CHIAPAS"</f>
        <v>CHIAPAS</v>
      </c>
      <c r="C10" s="1" t="str">
        <f>"COMITAN DE DOMINGUEZ"</f>
        <v>COMITAN DE DOMINGUEZ</v>
      </c>
      <c r="D10" s="2">
        <v>3</v>
      </c>
      <c r="E10" s="3">
        <v>6.25E-2</v>
      </c>
    </row>
    <row r="11" spans="1:7">
      <c r="B11" s="22"/>
      <c r="C11" s="1" t="str">
        <f>"LAS MARGARITAS"</f>
        <v>LAS MARGARITAS</v>
      </c>
      <c r="D11" s="2">
        <v>3</v>
      </c>
      <c r="E11" s="3">
        <v>6.25E-2</v>
      </c>
    </row>
    <row r="12" spans="1:7" ht="30">
      <c r="B12" s="22"/>
      <c r="C12" s="1" t="str">
        <f>"MAZAPA DE MADERO"</f>
        <v>MAZAPA DE MADERO</v>
      </c>
      <c r="D12" s="2">
        <v>2</v>
      </c>
      <c r="E12" s="3">
        <v>4.1700000000000001E-2</v>
      </c>
    </row>
    <row r="13" spans="1:7">
      <c r="B13" s="23"/>
      <c r="C13" s="28" t="str">
        <f>"Total"</f>
        <v>Total</v>
      </c>
      <c r="D13" s="29">
        <v>8</v>
      </c>
      <c r="E13" s="30">
        <v>0.16669999999999999</v>
      </c>
    </row>
    <row r="14" spans="1:7" ht="30">
      <c r="B14" s="21" t="str">
        <f>"DISTRITO FEDERAL"</f>
        <v>DISTRITO FEDERAL</v>
      </c>
      <c r="C14" s="1" t="str">
        <f>"GUSTAVO A. MADERO"</f>
        <v>GUSTAVO A. MADERO</v>
      </c>
      <c r="D14" s="2">
        <v>1</v>
      </c>
      <c r="E14" s="3">
        <v>2.0799999999999999E-2</v>
      </c>
    </row>
    <row r="15" spans="1:7">
      <c r="B15" s="23"/>
      <c r="C15" s="28" t="str">
        <f>"Total"</f>
        <v>Total</v>
      </c>
      <c r="D15" s="29">
        <v>1</v>
      </c>
      <c r="E15" s="30">
        <v>2.0799999999999999E-2</v>
      </c>
    </row>
    <row r="16" spans="1:7">
      <c r="B16" s="21" t="str">
        <f>"GUERRERO"</f>
        <v>GUERRERO</v>
      </c>
      <c r="C16" s="1" t="str">
        <f>"ATLIXTAC"</f>
        <v>ATLIXTAC</v>
      </c>
      <c r="D16" s="2">
        <v>6</v>
      </c>
      <c r="E16" s="3">
        <v>0.125</v>
      </c>
    </row>
    <row r="17" spans="2:5">
      <c r="B17" s="23"/>
      <c r="C17" s="28" t="str">
        <f>"Total"</f>
        <v>Total</v>
      </c>
      <c r="D17" s="29">
        <v>6</v>
      </c>
      <c r="E17" s="30">
        <v>0.125</v>
      </c>
    </row>
    <row r="18" spans="2:5">
      <c r="B18" s="21" t="str">
        <f>"OAXACA"</f>
        <v>OAXACA</v>
      </c>
      <c r="C18" s="1" t="str">
        <f>"OAXACA DE JUAREZ"</f>
        <v>OAXACA DE JUAREZ</v>
      </c>
      <c r="D18" s="2">
        <v>4</v>
      </c>
      <c r="E18" s="3">
        <v>8.3299999999999999E-2</v>
      </c>
    </row>
    <row r="19" spans="2:5">
      <c r="B19" s="23"/>
      <c r="C19" s="28" t="str">
        <f>"Total"</f>
        <v>Total</v>
      </c>
      <c r="D19" s="29">
        <v>4</v>
      </c>
      <c r="E19" s="30">
        <v>8.3299999999999999E-2</v>
      </c>
    </row>
    <row r="20" spans="2:5">
      <c r="B20" s="21" t="str">
        <f>"PUEBLA"</f>
        <v>PUEBLA</v>
      </c>
      <c r="C20" s="1" t="str">
        <f>"ATEMPAN"</f>
        <v>ATEMPAN</v>
      </c>
      <c r="D20" s="2">
        <v>1</v>
      </c>
      <c r="E20" s="3">
        <v>2.0799999999999999E-2</v>
      </c>
    </row>
    <row r="21" spans="2:5">
      <c r="B21" s="22"/>
      <c r="C21" s="1" t="str">
        <f>"HUEYTAMALCO"</f>
        <v>HUEYTAMALCO</v>
      </c>
      <c r="D21" s="2">
        <v>1</v>
      </c>
      <c r="E21" s="3">
        <v>2.0799999999999999E-2</v>
      </c>
    </row>
    <row r="22" spans="2:5">
      <c r="B22" s="22"/>
      <c r="C22" s="1" t="str">
        <f>"TEZIUTLAN"</f>
        <v>TEZIUTLAN</v>
      </c>
      <c r="D22" s="2">
        <v>1</v>
      </c>
      <c r="E22" s="3">
        <v>2.0799999999999999E-2</v>
      </c>
    </row>
    <row r="23" spans="2:5">
      <c r="B23" s="23"/>
      <c r="C23" s="28" t="str">
        <f>"Total"</f>
        <v>Total</v>
      </c>
      <c r="D23" s="29">
        <v>3</v>
      </c>
      <c r="E23" s="30">
        <v>6.25E-2</v>
      </c>
    </row>
    <row r="24" spans="2:5">
      <c r="B24" s="21" t="str">
        <f>"TABASCO"</f>
        <v>TABASCO</v>
      </c>
      <c r="C24" s="1" t="str">
        <f>"CARDENAS"</f>
        <v>CARDENAS</v>
      </c>
      <c r="D24" s="2">
        <v>4</v>
      </c>
      <c r="E24" s="3">
        <v>8.3299999999999999E-2</v>
      </c>
    </row>
    <row r="25" spans="2:5">
      <c r="B25" s="22"/>
      <c r="C25" s="1" t="str">
        <f>"HUIMANGUILLO"</f>
        <v>HUIMANGUILLO</v>
      </c>
      <c r="D25" s="2">
        <v>6</v>
      </c>
      <c r="E25" s="3">
        <v>0.125</v>
      </c>
    </row>
    <row r="26" spans="2:5">
      <c r="B26" s="22"/>
      <c r="C26" s="1" t="str">
        <f>"PARAISO"</f>
        <v>PARAISO</v>
      </c>
      <c r="D26" s="2">
        <v>1</v>
      </c>
      <c r="E26" s="3">
        <v>2.0799999999999999E-2</v>
      </c>
    </row>
    <row r="27" spans="2:5">
      <c r="B27" s="23"/>
      <c r="C27" s="28" t="str">
        <f>"Total"</f>
        <v>Total</v>
      </c>
      <c r="D27" s="29">
        <v>11</v>
      </c>
      <c r="E27" s="30">
        <v>0.22919999999999999</v>
      </c>
    </row>
    <row r="28" spans="2:5">
      <c r="B28" s="21" t="str">
        <f>"TAMAULIPAS"</f>
        <v>TAMAULIPAS</v>
      </c>
      <c r="C28" s="1" t="str">
        <f>"MATAMOROS"</f>
        <v>MATAMOROS</v>
      </c>
      <c r="D28" s="2">
        <v>1</v>
      </c>
      <c r="E28" s="3">
        <v>2.0799999999999999E-2</v>
      </c>
    </row>
    <row r="29" spans="2:5">
      <c r="B29" s="23"/>
      <c r="C29" s="28" t="str">
        <f>"Total"</f>
        <v>Total</v>
      </c>
      <c r="D29" s="29">
        <v>1</v>
      </c>
      <c r="E29" s="30">
        <v>2.0799999999999999E-2</v>
      </c>
    </row>
    <row r="30" spans="2:5">
      <c r="B30" s="21" t="str">
        <f t="shared" ref="B30:B37" si="0">"VERACRUZ DE IGNACIO DE LA LLAVE"</f>
        <v>VERACRUZ DE IGNACIO DE LA LLAVE</v>
      </c>
      <c r="C30" s="1" t="str">
        <f>"ATZALAN"</f>
        <v>ATZALAN</v>
      </c>
      <c r="D30" s="2">
        <v>3</v>
      </c>
      <c r="E30" s="3">
        <v>6.25E-2</v>
      </c>
    </row>
    <row r="31" spans="2:5">
      <c r="B31" s="22"/>
      <c r="C31" s="1" t="str">
        <f>"ISLA"</f>
        <v>ISLA</v>
      </c>
      <c r="D31" s="2">
        <v>2</v>
      </c>
      <c r="E31" s="3">
        <v>4.1700000000000001E-2</v>
      </c>
    </row>
    <row r="32" spans="2:5">
      <c r="B32" s="22"/>
      <c r="C32" s="1" t="str">
        <f>"JOSE AZUETA"</f>
        <v>JOSE AZUETA</v>
      </c>
      <c r="D32" s="2">
        <v>2</v>
      </c>
      <c r="E32" s="3">
        <v>4.1700000000000001E-2</v>
      </c>
    </row>
    <row r="33" spans="2:5" ht="30">
      <c r="B33" s="22"/>
      <c r="C33" s="1" t="str">
        <f>"MARTINEZ DE LA TORRE"</f>
        <v>MARTINEZ DE LA TORRE</v>
      </c>
      <c r="D33" s="2">
        <v>1</v>
      </c>
      <c r="E33" s="3">
        <v>2.0799999999999999E-2</v>
      </c>
    </row>
    <row r="34" spans="2:5">
      <c r="B34" s="22"/>
      <c r="C34" s="1" t="str">
        <f>"PLAYA VICENTE"</f>
        <v>PLAYA VICENTE</v>
      </c>
      <c r="D34" s="2">
        <v>4</v>
      </c>
      <c r="E34" s="3">
        <v>8.3299999999999999E-2</v>
      </c>
    </row>
    <row r="35" spans="2:5">
      <c r="B35" s="22"/>
      <c r="C35" s="1" t="str">
        <f>"TATATILA"</f>
        <v>TATATILA</v>
      </c>
      <c r="D35" s="2">
        <v>1</v>
      </c>
      <c r="E35" s="3">
        <v>2.0799999999999999E-2</v>
      </c>
    </row>
    <row r="36" spans="2:5">
      <c r="B36" s="22"/>
      <c r="C36" s="1" t="str">
        <f>"TLACOJALPAN"</f>
        <v>TLACOJALPAN</v>
      </c>
      <c r="D36" s="2">
        <v>1</v>
      </c>
      <c r="E36" s="3">
        <v>2.0799999999999999E-2</v>
      </c>
    </row>
    <row r="37" spans="2:5">
      <c r="B37" s="23"/>
      <c r="C37" s="28" t="str">
        <f>"Total"</f>
        <v>Total</v>
      </c>
      <c r="D37" s="29">
        <v>14</v>
      </c>
      <c r="E37" s="30">
        <v>0.29170000000000001</v>
      </c>
    </row>
    <row r="38" spans="2:5">
      <c r="B38" s="24" t="s">
        <v>1</v>
      </c>
      <c r="C38" s="25" t="str">
        <f>" "</f>
        <v> </v>
      </c>
      <c r="D38" s="26">
        <v>48</v>
      </c>
      <c r="E38" s="27">
        <v>1</v>
      </c>
    </row>
    <row r="40" spans="2:5" ht="16.5">
      <c r="B40" s="4" t="s">
        <v>2</v>
      </c>
      <c r="C40" s="5"/>
    </row>
    <row r="41" spans="2:5" ht="16.5">
      <c r="B41" s="4" t="s">
        <v>3</v>
      </c>
      <c r="C41" s="5"/>
    </row>
    <row r="42" spans="2:5" ht="16.5">
      <c r="B42" s="4" t="s">
        <v>4</v>
      </c>
      <c r="C42" s="5"/>
    </row>
    <row r="43" spans="2:5" ht="16.5">
      <c r="B43" s="4" t="s">
        <v>5</v>
      </c>
      <c r="C43" s="5"/>
    </row>
    <row r="44" spans="2:5">
      <c r="B44" s="4" t="s">
        <v>6</v>
      </c>
    </row>
  </sheetData>
  <mergeCells count="13">
    <mergeCell ref="B24:B27"/>
    <mergeCell ref="B28:B29"/>
    <mergeCell ref="B30:B37"/>
    <mergeCell ref="B10:B13"/>
    <mergeCell ref="B14:B15"/>
    <mergeCell ref="B16:B17"/>
    <mergeCell ref="B18:B19"/>
    <mergeCell ref="B20:B23"/>
    <mergeCell ref="B6:E7"/>
    <mergeCell ref="B8:B9"/>
    <mergeCell ref="C8:C9"/>
    <mergeCell ref="D8:D9"/>
    <mergeCell ref="E8:E9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easCAHZILKK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2012-03-13T21:38:20Z</dcterms:created>
  <dcterms:modified xsi:type="dcterms:W3CDTF">2012-03-16T17:23:38Z</dcterms:modified>
</cp:coreProperties>
</file>