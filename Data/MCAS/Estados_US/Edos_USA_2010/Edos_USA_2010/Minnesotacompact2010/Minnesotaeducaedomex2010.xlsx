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CAJORV52" sheetId="2" r:id="rId1"/>
  </sheets>
  <calcPr calcId="125725"/>
</workbook>
</file>

<file path=xl/calcChain.xml><?xml version="1.0" encoding="utf-8"?>
<calcChain xmlns="http://schemas.openxmlformats.org/spreadsheetml/2006/main">
  <c r="B211" i="2"/>
  <c r="B185"/>
  <c r="B153"/>
  <c r="B134"/>
  <c r="B109"/>
  <c r="B76"/>
  <c r="B74"/>
  <c r="B42"/>
  <c r="B35"/>
  <c r="B31"/>
  <c r="B29"/>
  <c r="B25"/>
  <c r="B22"/>
  <c r="B10"/>
  <c r="C226"/>
  <c r="C225"/>
  <c r="B225"/>
  <c r="C224"/>
  <c r="B224"/>
  <c r="C223"/>
  <c r="B223"/>
  <c r="C222"/>
  <c r="B222"/>
  <c r="C221"/>
  <c r="B221"/>
  <c r="C220"/>
  <c r="B220"/>
  <c r="C219"/>
  <c r="B219"/>
  <c r="C218"/>
  <c r="B218"/>
  <c r="C217"/>
  <c r="B217"/>
  <c r="C216"/>
  <c r="B216"/>
  <c r="C215"/>
  <c r="B215"/>
  <c r="C214"/>
  <c r="B214"/>
  <c r="C213"/>
  <c r="B213"/>
  <c r="C212"/>
  <c r="B212"/>
  <c r="C211"/>
  <c r="C210"/>
  <c r="B210"/>
  <c r="C209"/>
  <c r="B209"/>
  <c r="C208"/>
  <c r="B208"/>
  <c r="C207"/>
  <c r="B207"/>
  <c r="C206"/>
  <c r="B206"/>
  <c r="C205"/>
  <c r="B205"/>
  <c r="C204"/>
  <c r="B204"/>
  <c r="C203"/>
  <c r="B203"/>
  <c r="C202"/>
  <c r="B202"/>
  <c r="C201"/>
  <c r="B201"/>
  <c r="C200"/>
  <c r="B200"/>
  <c r="C199"/>
  <c r="B199"/>
  <c r="C198"/>
  <c r="B198"/>
  <c r="C197"/>
  <c r="B197"/>
  <c r="C196"/>
  <c r="B196"/>
  <c r="C195"/>
  <c r="B195"/>
  <c r="C194"/>
  <c r="B194"/>
  <c r="C193"/>
  <c r="B193"/>
  <c r="C192"/>
  <c r="B192"/>
  <c r="C191"/>
  <c r="B191"/>
  <c r="C190"/>
  <c r="B190"/>
  <c r="C189"/>
  <c r="B189"/>
  <c r="C188"/>
  <c r="B188"/>
  <c r="C187"/>
  <c r="B187"/>
  <c r="C186"/>
  <c r="B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B152"/>
  <c r="C151"/>
  <c r="B151"/>
  <c r="C150"/>
  <c r="B150"/>
  <c r="C149"/>
  <c r="B149"/>
  <c r="C148"/>
  <c r="B148"/>
  <c r="C147"/>
  <c r="B147"/>
  <c r="C146"/>
  <c r="B146"/>
  <c r="C145"/>
  <c r="B145"/>
  <c r="C144"/>
  <c r="B144"/>
  <c r="C143"/>
  <c r="B143"/>
  <c r="C142"/>
  <c r="B142"/>
  <c r="C141"/>
  <c r="B141"/>
  <c r="C140"/>
  <c r="B140"/>
  <c r="C139"/>
  <c r="B139"/>
  <c r="C138"/>
  <c r="B138"/>
  <c r="C137"/>
  <c r="B137"/>
  <c r="C136"/>
  <c r="B136"/>
  <c r="C135"/>
  <c r="B135"/>
  <c r="C134"/>
  <c r="C133"/>
  <c r="B133"/>
  <c r="C132"/>
  <c r="B132"/>
  <c r="C131"/>
  <c r="B131"/>
  <c r="C130"/>
  <c r="B130"/>
  <c r="C129"/>
  <c r="B129"/>
  <c r="C128"/>
  <c r="B128"/>
  <c r="C127"/>
  <c r="B127"/>
  <c r="C126"/>
  <c r="B126"/>
  <c r="C125"/>
  <c r="B125"/>
  <c r="C124"/>
  <c r="B124"/>
  <c r="C123"/>
  <c r="B123"/>
  <c r="C122"/>
  <c r="B122"/>
  <c r="C121"/>
  <c r="B121"/>
  <c r="C120"/>
  <c r="B120"/>
  <c r="C119"/>
  <c r="B119"/>
  <c r="C118"/>
  <c r="B118"/>
  <c r="C117"/>
  <c r="B117"/>
  <c r="C116"/>
  <c r="B116"/>
  <c r="C115"/>
  <c r="B115"/>
  <c r="C114"/>
  <c r="B114"/>
  <c r="C113"/>
  <c r="B113"/>
  <c r="C112"/>
  <c r="B112"/>
  <c r="C111"/>
  <c r="B111"/>
  <c r="C110"/>
  <c r="B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B75"/>
  <c r="C74"/>
  <c r="C73"/>
  <c r="B73"/>
  <c r="C72"/>
  <c r="B72"/>
  <c r="C71"/>
  <c r="B71"/>
  <c r="C70"/>
  <c r="B70"/>
  <c r="C69"/>
  <c r="B69"/>
  <c r="C68"/>
  <c r="B68"/>
  <c r="C67"/>
  <c r="B67"/>
  <c r="C66"/>
  <c r="B66"/>
  <c r="C65"/>
  <c r="B65"/>
  <c r="C64"/>
  <c r="B64"/>
  <c r="C63"/>
  <c r="B63"/>
  <c r="C62"/>
  <c r="B62"/>
  <c r="C61"/>
  <c r="B61"/>
  <c r="C60"/>
  <c r="B60"/>
  <c r="C59"/>
  <c r="B59"/>
  <c r="C58"/>
  <c r="B58"/>
  <c r="C57"/>
  <c r="B57"/>
  <c r="C56"/>
  <c r="B56"/>
  <c r="C55"/>
  <c r="B55"/>
  <c r="C54"/>
  <c r="B54"/>
  <c r="C53"/>
  <c r="B53"/>
  <c r="C52"/>
  <c r="B52"/>
  <c r="C51"/>
  <c r="B51"/>
  <c r="C50"/>
  <c r="B50"/>
  <c r="C49"/>
  <c r="B49"/>
  <c r="C48"/>
  <c r="B48"/>
  <c r="C47"/>
  <c r="B47"/>
  <c r="C46"/>
  <c r="B46"/>
  <c r="C45"/>
  <c r="B45"/>
  <c r="C44"/>
  <c r="B44"/>
  <c r="C43"/>
  <c r="B43"/>
  <c r="C42"/>
  <c r="C41"/>
  <c r="B41"/>
  <c r="C40"/>
  <c r="B40"/>
  <c r="C39"/>
  <c r="B39"/>
  <c r="C38"/>
  <c r="B38"/>
  <c r="C37"/>
  <c r="B37"/>
  <c r="C36"/>
  <c r="B36"/>
  <c r="C35"/>
  <c r="C34"/>
  <c r="B34"/>
  <c r="C33"/>
  <c r="B33"/>
  <c r="C32"/>
  <c r="B32"/>
  <c r="C31"/>
  <c r="C30"/>
  <c r="B30"/>
  <c r="C29"/>
  <c r="C28"/>
  <c r="B28"/>
  <c r="C27"/>
  <c r="B27"/>
  <c r="C26"/>
  <c r="B26"/>
  <c r="C25"/>
  <c r="C24"/>
  <c r="B24"/>
  <c r="C23"/>
  <c r="B23"/>
  <c r="C22"/>
  <c r="C21"/>
  <c r="B21"/>
  <c r="C20"/>
  <c r="B20"/>
  <c r="C19"/>
  <c r="B19"/>
  <c r="C18"/>
  <c r="B18"/>
  <c r="C17"/>
  <c r="B17"/>
  <c r="C16"/>
  <c r="B16"/>
  <c r="C15"/>
  <c r="B15"/>
  <c r="C14"/>
  <c r="B14"/>
  <c r="C13"/>
  <c r="B13"/>
  <c r="C12"/>
  <c r="B12"/>
  <c r="C11"/>
  <c r="B11"/>
  <c r="C10"/>
</calcChain>
</file>

<file path=xl/sharedStrings.xml><?xml version="1.0" encoding="utf-8"?>
<sst xmlns="http://schemas.openxmlformats.org/spreadsheetml/2006/main" count="11" uniqueCount="11">
  <si>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</si>
  <si>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</si>
  <si>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</si>
  <si>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</si>
  <si>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</si>
  <si>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</si>
  <si>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</si>
  <si>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</si>
  <si>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</si>
  <si>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MATRÍCULAS CONSULARES EXPEDIDAS EN EL ESTADO DE MINNESOTA EE.UU. POR ESTADOS DE LA REPUBLICA MEXICANA Y NIVEL DE EDUCACIÓN, DURANTE EL 2010</t>
  </si>
  <si>
    <t>TOTAL</t>
  </si>
</sst>
</file>

<file path=xl/styles.xml><?xml version="1.0" encoding="utf-8"?>
<styleSheet xmlns="http://schemas.openxmlformats.org/spreadsheetml/2006/main">
  <fonts count="2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 Narrow"/>
      <family val="2"/>
    </font>
    <font>
      <b/>
      <sz val="11"/>
      <color theme="0"/>
      <name val="Arial Narrow"/>
      <family val="2"/>
    </font>
    <font>
      <b/>
      <sz val="11"/>
      <color theme="1"/>
      <name val="Arial Narrow"/>
      <family val="2"/>
    </font>
    <font>
      <sz val="11"/>
      <color theme="1" tint="4.9989318521683403E-2"/>
      <name val="Arial Narrow"/>
      <family val="2"/>
    </font>
    <font>
      <b/>
      <sz val="11"/>
      <color theme="0" tint="-4.9989318521683403E-2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8">
    <xf numFmtId="0" fontId="0" fillId="0" borderId="0" xfId="0"/>
    <xf numFmtId="0" fontId="0" fillId="0" borderId="10" xfId="0" applyFont="1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18" fillId="0" borderId="0" xfId="0" applyFont="1" applyAlignment="1">
      <alignment horizontal="center" wrapText="1"/>
    </xf>
    <xf numFmtId="0" fontId="18" fillId="0" borderId="0" xfId="0" applyFont="1" applyAlignment="1">
      <alignment wrapText="1"/>
    </xf>
    <xf numFmtId="0" fontId="19" fillId="33" borderId="10" xfId="0" applyFont="1" applyFill="1" applyBorder="1" applyAlignment="1">
      <alignment horizontal="center" vertical="center" wrapText="1"/>
    </xf>
    <xf numFmtId="0" fontId="0" fillId="0" borderId="11" xfId="0" applyFont="1" applyBorder="1" applyAlignment="1">
      <alignment horizontal="center" vertical="center" wrapText="1"/>
    </xf>
    <xf numFmtId="0" fontId="0" fillId="0" borderId="12" xfId="0" applyFont="1" applyBorder="1" applyAlignment="1">
      <alignment horizontal="center" vertical="center" wrapText="1"/>
    </xf>
    <xf numFmtId="0" fontId="0" fillId="0" borderId="13" xfId="0" applyFont="1" applyBorder="1" applyAlignment="1">
      <alignment horizontal="center" vertical="center" wrapText="1"/>
    </xf>
    <xf numFmtId="0" fontId="20" fillId="34" borderId="10" xfId="0" applyFont="1" applyFill="1" applyBorder="1" applyAlignment="1">
      <alignment wrapText="1"/>
    </xf>
    <xf numFmtId="0" fontId="21" fillId="34" borderId="10" xfId="0" applyFont="1" applyFill="1" applyBorder="1" applyAlignment="1">
      <alignment horizontal="right" wrapText="1"/>
    </xf>
    <xf numFmtId="10" fontId="21" fillId="34" borderId="10" xfId="0" applyNumberFormat="1" applyFont="1" applyFill="1" applyBorder="1" applyAlignment="1">
      <alignment horizontal="right" wrapText="1"/>
    </xf>
    <xf numFmtId="0" fontId="22" fillId="33" borderId="14" xfId="0" applyFont="1" applyFill="1" applyBorder="1" applyAlignment="1">
      <alignment wrapText="1"/>
    </xf>
    <xf numFmtId="0" fontId="22" fillId="33" borderId="14" xfId="0" applyFont="1" applyFill="1" applyBorder="1" applyAlignment="1">
      <alignment horizontal="right" wrapText="1"/>
    </xf>
    <xf numFmtId="3" fontId="22" fillId="33" borderId="15" xfId="0" applyNumberFormat="1" applyFont="1" applyFill="1" applyBorder="1" applyAlignment="1">
      <alignment horizontal="right" wrapText="1"/>
    </xf>
    <xf numFmtId="10" fontId="22" fillId="33" borderId="15" xfId="0" applyNumberFormat="1" applyFont="1" applyFill="1" applyBorder="1" applyAlignment="1">
      <alignment horizontal="right" wrapText="1"/>
    </xf>
    <xf numFmtId="0" fontId="23" fillId="0" borderId="0" xfId="0" applyFon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609600</xdr:colOff>
      <xdr:row>0</xdr:row>
      <xdr:rowOff>28575</xdr:rowOff>
    </xdr:from>
    <xdr:to>
      <xdr:col>5</xdr:col>
      <xdr:colOff>171450</xdr:colOff>
      <xdr:row>4</xdr:row>
      <xdr:rowOff>41612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048250" y="28575"/>
          <a:ext cx="1095375" cy="775037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6:E234"/>
  <sheetViews>
    <sheetView showGridLines="0" tabSelected="1" topLeftCell="A212" workbookViewId="0">
      <selection activeCell="B227" sqref="B227"/>
    </sheetView>
  </sheetViews>
  <sheetFormatPr baseColWidth="10" defaultRowHeight="15"/>
  <cols>
    <col min="2" max="2" width="35.28515625" customWidth="1"/>
    <col min="3" max="3" width="34.42578125" customWidth="1"/>
    <col min="4" max="4" width="13.42578125" customWidth="1"/>
    <col min="5" max="5" width="14.42578125" customWidth="1"/>
  </cols>
  <sheetData>
    <row r="6" spans="1:5">
      <c r="B6" s="4" t="s">
        <v>9</v>
      </c>
      <c r="C6" s="4"/>
      <c r="D6" s="4"/>
      <c r="E6" s="4"/>
    </row>
    <row r="7" spans="1:5" ht="16.5">
      <c r="A7" s="5"/>
      <c r="B7" s="4"/>
      <c r="C7" s="4"/>
      <c r="D7" s="4"/>
      <c r="E7" s="4"/>
    </row>
    <row r="9" spans="1:5" ht="33">
      <c r="B9" s="6" t="s">
        <v>0</v>
      </c>
      <c r="C9" s="6" t="s">
        <v>1</v>
      </c>
      <c r="D9" s="6" t="s">
        <v>2</v>
      </c>
      <c r="E9" s="6" t="s">
        <v>3</v>
      </c>
    </row>
    <row r="10" spans="1:5">
      <c r="B10" s="7" t="str">
        <f>"SIN ESTUDIOS"</f>
        <v>SIN ESTUDIOS</v>
      </c>
      <c r="C10" s="1" t="str">
        <f>"CHIHUAHUA"</f>
        <v>CHIHUAHUA</v>
      </c>
      <c r="D10" s="2">
        <v>1</v>
      </c>
      <c r="E10" s="3">
        <v>2.0000000000000001E-4</v>
      </c>
    </row>
    <row r="11" spans="1:5">
      <c r="B11" s="8" t="str">
        <f t="shared" ref="B10:B21" si="0">"11SIN ESTUDIOS"</f>
        <v>11SIN ESTUDIOS</v>
      </c>
      <c r="C11" s="1" t="str">
        <f>"GUANAJUATO"</f>
        <v>GUANAJUATO</v>
      </c>
      <c r="D11" s="2">
        <v>2</v>
      </c>
      <c r="E11" s="3">
        <v>2.9999999999999997E-4</v>
      </c>
    </row>
    <row r="12" spans="1:5">
      <c r="B12" s="8" t="str">
        <f t="shared" si="0"/>
        <v>11SIN ESTUDIOS</v>
      </c>
      <c r="C12" s="1" t="str">
        <f>"GUERRERO"</f>
        <v>GUERRERO</v>
      </c>
      <c r="D12" s="2">
        <v>7</v>
      </c>
      <c r="E12" s="3">
        <v>1.1999999999999999E-3</v>
      </c>
    </row>
    <row r="13" spans="1:5">
      <c r="B13" s="8" t="str">
        <f t="shared" si="0"/>
        <v>11SIN ESTUDIOS</v>
      </c>
      <c r="C13" s="1" t="str">
        <f>"JALISCO"</f>
        <v>JALISCO</v>
      </c>
      <c r="D13" s="2">
        <v>1</v>
      </c>
      <c r="E13" s="3">
        <v>2.0000000000000001E-4</v>
      </c>
    </row>
    <row r="14" spans="1:5">
      <c r="B14" s="8" t="str">
        <f t="shared" si="0"/>
        <v>11SIN ESTUDIOS</v>
      </c>
      <c r="C14" s="1" t="str">
        <f>"MEXICO"</f>
        <v>MEXICO</v>
      </c>
      <c r="D14" s="2">
        <v>2</v>
      </c>
      <c r="E14" s="3">
        <v>2.9999999999999997E-4</v>
      </c>
    </row>
    <row r="15" spans="1:5">
      <c r="B15" s="8" t="str">
        <f t="shared" si="0"/>
        <v>11SIN ESTUDIOS</v>
      </c>
      <c r="C15" s="1" t="str">
        <f>"MICHOACAN DE OCAMPO"</f>
        <v>MICHOACAN DE OCAMPO</v>
      </c>
      <c r="D15" s="2">
        <v>3</v>
      </c>
      <c r="E15" s="3">
        <v>5.0000000000000001E-4</v>
      </c>
    </row>
    <row r="16" spans="1:5">
      <c r="B16" s="8" t="str">
        <f t="shared" si="0"/>
        <v>11SIN ESTUDIOS</v>
      </c>
      <c r="C16" s="1" t="str">
        <f>"MORELOS"</f>
        <v>MORELOS</v>
      </c>
      <c r="D16" s="2">
        <v>12</v>
      </c>
      <c r="E16" s="3">
        <v>2E-3</v>
      </c>
    </row>
    <row r="17" spans="2:5">
      <c r="B17" s="8" t="str">
        <f t="shared" si="0"/>
        <v>11SIN ESTUDIOS</v>
      </c>
      <c r="C17" s="1" t="str">
        <f>"NAYARIT"</f>
        <v>NAYARIT</v>
      </c>
      <c r="D17" s="2">
        <v>1</v>
      </c>
      <c r="E17" s="3">
        <v>2.0000000000000001E-4</v>
      </c>
    </row>
    <row r="18" spans="2:5">
      <c r="B18" s="8" t="str">
        <f t="shared" si="0"/>
        <v>11SIN ESTUDIOS</v>
      </c>
      <c r="C18" s="1" t="str">
        <f>"OAXACA"</f>
        <v>OAXACA</v>
      </c>
      <c r="D18" s="2">
        <v>1</v>
      </c>
      <c r="E18" s="3">
        <v>2.0000000000000001E-4</v>
      </c>
    </row>
    <row r="19" spans="2:5">
      <c r="B19" s="8" t="str">
        <f t="shared" si="0"/>
        <v>11SIN ESTUDIOS</v>
      </c>
      <c r="C19" s="1" t="str">
        <f>"PUEBLA"</f>
        <v>PUEBLA</v>
      </c>
      <c r="D19" s="2">
        <v>8</v>
      </c>
      <c r="E19" s="3">
        <v>1.2999999999999999E-3</v>
      </c>
    </row>
    <row r="20" spans="2:5">
      <c r="B20" s="8" t="str">
        <f t="shared" si="0"/>
        <v>11SIN ESTUDIOS</v>
      </c>
      <c r="C20" s="1" t="str">
        <f>"VERACRUZ DE IGNACIO DE LA LLAVE"</f>
        <v>VERACRUZ DE IGNACIO DE LA LLAVE</v>
      </c>
      <c r="D20" s="2">
        <v>2</v>
      </c>
      <c r="E20" s="3">
        <v>2.9999999999999997E-4</v>
      </c>
    </row>
    <row r="21" spans="2:5" ht="16.5">
      <c r="B21" s="8" t="str">
        <f t="shared" si="0"/>
        <v>11SIN ESTUDIOS</v>
      </c>
      <c r="C21" s="10" t="str">
        <f>"Total"</f>
        <v>Total</v>
      </c>
      <c r="D21" s="11">
        <v>40</v>
      </c>
      <c r="E21" s="12">
        <v>6.7000000000000002E-3</v>
      </c>
    </row>
    <row r="22" spans="2:5">
      <c r="B22" s="7" t="str">
        <f>"2o. PRIMARIA"</f>
        <v>2o. PRIMARIA</v>
      </c>
      <c r="C22" s="1" t="str">
        <f>"GUANAJUATO"</f>
        <v>GUANAJUATO</v>
      </c>
      <c r="D22" s="2">
        <v>1</v>
      </c>
      <c r="E22" s="3">
        <v>2.0000000000000001E-4</v>
      </c>
    </row>
    <row r="23" spans="2:5">
      <c r="B23" s="8" t="str">
        <f>"222o. PRIMARIA"</f>
        <v>222o. PRIMARIA</v>
      </c>
      <c r="C23" s="1" t="str">
        <f>"MORELOS"</f>
        <v>MORELOS</v>
      </c>
      <c r="D23" s="2">
        <v>2</v>
      </c>
      <c r="E23" s="3">
        <v>2.9999999999999997E-4</v>
      </c>
    </row>
    <row r="24" spans="2:5" ht="16.5">
      <c r="B24" s="8" t="str">
        <f>"222o. PRIMARIA"</f>
        <v>222o. PRIMARIA</v>
      </c>
      <c r="C24" s="10" t="str">
        <f>"Total"</f>
        <v>Total</v>
      </c>
      <c r="D24" s="11">
        <v>3</v>
      </c>
      <c r="E24" s="12">
        <v>5.0000000000000001E-4</v>
      </c>
    </row>
    <row r="25" spans="2:5">
      <c r="B25" s="7" t="str">
        <f>"3o. PRIMARIA"</f>
        <v>3o. PRIMARIA</v>
      </c>
      <c r="C25" s="1" t="str">
        <f>"GUANAJUATO"</f>
        <v>GUANAJUATO</v>
      </c>
      <c r="D25" s="2">
        <v>1</v>
      </c>
      <c r="E25" s="3">
        <v>2.0000000000000001E-4</v>
      </c>
    </row>
    <row r="26" spans="2:5">
      <c r="B26" s="8" t="str">
        <f>"233o. PRIMARIA"</f>
        <v>233o. PRIMARIA</v>
      </c>
      <c r="C26" s="1" t="str">
        <f>"MORELOS"</f>
        <v>MORELOS</v>
      </c>
      <c r="D26" s="2">
        <v>1</v>
      </c>
      <c r="E26" s="3">
        <v>2.0000000000000001E-4</v>
      </c>
    </row>
    <row r="27" spans="2:5">
      <c r="B27" s="8" t="str">
        <f>"233o. PRIMARIA"</f>
        <v>233o. PRIMARIA</v>
      </c>
      <c r="C27" s="1" t="str">
        <f>"PUEBLA"</f>
        <v>PUEBLA</v>
      </c>
      <c r="D27" s="2">
        <v>2</v>
      </c>
      <c r="E27" s="3">
        <v>2.9999999999999997E-4</v>
      </c>
    </row>
    <row r="28" spans="2:5" ht="16.5">
      <c r="B28" s="8" t="str">
        <f>"233o. PRIMARIA"</f>
        <v>233o. PRIMARIA</v>
      </c>
      <c r="C28" s="10" t="str">
        <f>"Total"</f>
        <v>Total</v>
      </c>
      <c r="D28" s="11">
        <v>4</v>
      </c>
      <c r="E28" s="12">
        <v>6.9999999999999999E-4</v>
      </c>
    </row>
    <row r="29" spans="2:5">
      <c r="B29" s="7" t="str">
        <f>"4o. PRIMARIA"</f>
        <v>4o. PRIMARIA</v>
      </c>
      <c r="C29" s="1" t="str">
        <f>"PUEBLA"</f>
        <v>PUEBLA</v>
      </c>
      <c r="D29" s="2">
        <v>1</v>
      </c>
      <c r="E29" s="3">
        <v>2.0000000000000001E-4</v>
      </c>
    </row>
    <row r="30" spans="2:5" ht="16.5">
      <c r="B30" s="8" t="str">
        <f>"244o. PRIMARIA"</f>
        <v>244o. PRIMARIA</v>
      </c>
      <c r="C30" s="10" t="str">
        <f>"Total"</f>
        <v>Total</v>
      </c>
      <c r="D30" s="11">
        <v>1</v>
      </c>
      <c r="E30" s="12">
        <v>2.0000000000000001E-4</v>
      </c>
    </row>
    <row r="31" spans="2:5">
      <c r="B31" s="7" t="str">
        <f>"5o. PRIMARIA"</f>
        <v>5o. PRIMARIA</v>
      </c>
      <c r="C31" s="1" t="str">
        <f>"GUANAJUATO"</f>
        <v>GUANAJUATO</v>
      </c>
      <c r="D31" s="2">
        <v>1</v>
      </c>
      <c r="E31" s="3">
        <v>2.0000000000000001E-4</v>
      </c>
    </row>
    <row r="32" spans="2:5">
      <c r="B32" s="8" t="str">
        <f>"255o. PRIMARIA"</f>
        <v>255o. PRIMARIA</v>
      </c>
      <c r="C32" s="1" t="str">
        <f>"MICHOACAN DE OCAMPO"</f>
        <v>MICHOACAN DE OCAMPO</v>
      </c>
      <c r="D32" s="2">
        <v>1</v>
      </c>
      <c r="E32" s="3">
        <v>2.0000000000000001E-4</v>
      </c>
    </row>
    <row r="33" spans="2:5">
      <c r="B33" s="8" t="str">
        <f>"255o. PRIMARIA"</f>
        <v>255o. PRIMARIA</v>
      </c>
      <c r="C33" s="1" t="str">
        <f>"PUEBLA"</f>
        <v>PUEBLA</v>
      </c>
      <c r="D33" s="2">
        <v>1</v>
      </c>
      <c r="E33" s="3">
        <v>2.0000000000000001E-4</v>
      </c>
    </row>
    <row r="34" spans="2:5" ht="16.5">
      <c r="B34" s="8" t="str">
        <f>"255o. PRIMARIA"</f>
        <v>255o. PRIMARIA</v>
      </c>
      <c r="C34" s="10" t="str">
        <f>"Total"</f>
        <v>Total</v>
      </c>
      <c r="D34" s="11">
        <v>3</v>
      </c>
      <c r="E34" s="12">
        <v>5.0000000000000001E-4</v>
      </c>
    </row>
    <row r="35" spans="2:5">
      <c r="B35" s="7" t="str">
        <f>"6o. PRIMARIA"</f>
        <v>6o. PRIMARIA</v>
      </c>
      <c r="C35" s="1" t="str">
        <f>"DURANGO"</f>
        <v>DURANGO</v>
      </c>
      <c r="D35" s="2">
        <v>1</v>
      </c>
      <c r="E35" s="3">
        <v>2.0000000000000001E-4</v>
      </c>
    </row>
    <row r="36" spans="2:5">
      <c r="B36" s="8" t="str">
        <f t="shared" ref="B35:B41" si="1">"266o. PRIMARIA"</f>
        <v>266o. PRIMARIA</v>
      </c>
      <c r="C36" s="1" t="str">
        <f>"GUANAJUATO"</f>
        <v>GUANAJUATO</v>
      </c>
      <c r="D36" s="2">
        <v>1</v>
      </c>
      <c r="E36" s="3">
        <v>2.0000000000000001E-4</v>
      </c>
    </row>
    <row r="37" spans="2:5">
      <c r="B37" s="8" t="str">
        <f t="shared" si="1"/>
        <v>266o. PRIMARIA</v>
      </c>
      <c r="C37" s="1" t="str">
        <f>"GUERRERO"</f>
        <v>GUERRERO</v>
      </c>
      <c r="D37" s="2">
        <v>1</v>
      </c>
      <c r="E37" s="3">
        <v>2.0000000000000001E-4</v>
      </c>
    </row>
    <row r="38" spans="2:5">
      <c r="B38" s="8" t="str">
        <f t="shared" si="1"/>
        <v>266o. PRIMARIA</v>
      </c>
      <c r="C38" s="1" t="str">
        <f>"MICHOACAN DE OCAMPO"</f>
        <v>MICHOACAN DE OCAMPO</v>
      </c>
      <c r="D38" s="2">
        <v>2</v>
      </c>
      <c r="E38" s="3">
        <v>2.9999999999999997E-4</v>
      </c>
    </row>
    <row r="39" spans="2:5">
      <c r="B39" s="8" t="str">
        <f t="shared" si="1"/>
        <v>266o. PRIMARIA</v>
      </c>
      <c r="C39" s="1" t="str">
        <f>"MORELOS"</f>
        <v>MORELOS</v>
      </c>
      <c r="D39" s="2">
        <v>1</v>
      </c>
      <c r="E39" s="3">
        <v>2.0000000000000001E-4</v>
      </c>
    </row>
    <row r="40" spans="2:5">
      <c r="B40" s="8" t="str">
        <f t="shared" si="1"/>
        <v>266o. PRIMARIA</v>
      </c>
      <c r="C40" s="1" t="str">
        <f>"SONORA"</f>
        <v>SONORA</v>
      </c>
      <c r="D40" s="2">
        <v>1</v>
      </c>
      <c r="E40" s="3">
        <v>2.0000000000000001E-4</v>
      </c>
    </row>
    <row r="41" spans="2:5" ht="16.5">
      <c r="B41" s="8" t="str">
        <f t="shared" si="1"/>
        <v>266o. PRIMARIA</v>
      </c>
      <c r="C41" s="10" t="str">
        <f>"Total"</f>
        <v>Total</v>
      </c>
      <c r="D41" s="11">
        <v>7</v>
      </c>
      <c r="E41" s="12">
        <v>1.1999999999999999E-3</v>
      </c>
    </row>
    <row r="42" spans="2:5">
      <c r="B42" s="7" t="str">
        <f>"PRIMARIA CON CERTIFICADO"</f>
        <v>PRIMARIA CON CERTIFICADO</v>
      </c>
      <c r="C42" s="1" t="str">
        <f>"AGUASCALIENTES"</f>
        <v>AGUASCALIENTES</v>
      </c>
      <c r="D42" s="2">
        <v>5</v>
      </c>
      <c r="E42" s="3">
        <v>8.0000000000000004E-4</v>
      </c>
    </row>
    <row r="43" spans="2:5">
      <c r="B43" s="8" t="str">
        <f t="shared" ref="B42:B73" si="2">"27PRIMARIA CON CERTIFICADO"</f>
        <v>27PRIMARIA CON CERTIFICADO</v>
      </c>
      <c r="C43" s="1" t="str">
        <f>"BAJA CALIFORNIA"</f>
        <v>BAJA CALIFORNIA</v>
      </c>
      <c r="D43" s="2">
        <v>1</v>
      </c>
      <c r="E43" s="3">
        <v>2.0000000000000001E-4</v>
      </c>
    </row>
    <row r="44" spans="2:5">
      <c r="B44" s="8" t="str">
        <f t="shared" si="2"/>
        <v>27PRIMARIA CON CERTIFICADO</v>
      </c>
      <c r="C44" s="1" t="str">
        <f>"CAMPECHE"</f>
        <v>CAMPECHE</v>
      </c>
      <c r="D44" s="2">
        <v>1</v>
      </c>
      <c r="E44" s="3">
        <v>2.0000000000000001E-4</v>
      </c>
    </row>
    <row r="45" spans="2:5">
      <c r="B45" s="8" t="str">
        <f t="shared" si="2"/>
        <v>27PRIMARIA CON CERTIFICADO</v>
      </c>
      <c r="C45" s="1" t="str">
        <f>"CHIAPAS"</f>
        <v>CHIAPAS</v>
      </c>
      <c r="D45" s="2">
        <v>22</v>
      </c>
      <c r="E45" s="3">
        <v>3.7000000000000002E-3</v>
      </c>
    </row>
    <row r="46" spans="2:5">
      <c r="B46" s="8" t="str">
        <f t="shared" si="2"/>
        <v>27PRIMARIA CON CERTIFICADO</v>
      </c>
      <c r="C46" s="1" t="str">
        <f>"CHIHUAHUA"</f>
        <v>CHIHUAHUA</v>
      </c>
      <c r="D46" s="2">
        <v>14</v>
      </c>
      <c r="E46" s="3">
        <v>2.3999999999999998E-3</v>
      </c>
    </row>
    <row r="47" spans="2:5">
      <c r="B47" s="8" t="str">
        <f t="shared" si="2"/>
        <v>27PRIMARIA CON CERTIFICADO</v>
      </c>
      <c r="C47" s="1" t="str">
        <f>"COAHUILA DE ZARAGOZA"</f>
        <v>COAHUILA DE ZARAGOZA</v>
      </c>
      <c r="D47" s="2">
        <v>11</v>
      </c>
      <c r="E47" s="3">
        <v>1.9E-3</v>
      </c>
    </row>
    <row r="48" spans="2:5">
      <c r="B48" s="8" t="str">
        <f t="shared" si="2"/>
        <v>27PRIMARIA CON CERTIFICADO</v>
      </c>
      <c r="C48" s="1" t="str">
        <f>"COLIMA"</f>
        <v>COLIMA</v>
      </c>
      <c r="D48" s="2">
        <v>1</v>
      </c>
      <c r="E48" s="3">
        <v>2.0000000000000001E-4</v>
      </c>
    </row>
    <row r="49" spans="2:5">
      <c r="B49" s="8" t="str">
        <f t="shared" si="2"/>
        <v>27PRIMARIA CON CERTIFICADO</v>
      </c>
      <c r="C49" s="1" t="str">
        <f>"DISTRITO FEDERAL"</f>
        <v>DISTRITO FEDERAL</v>
      </c>
      <c r="D49" s="2">
        <v>30</v>
      </c>
      <c r="E49" s="3">
        <v>5.1000000000000004E-3</v>
      </c>
    </row>
    <row r="50" spans="2:5">
      <c r="B50" s="8" t="str">
        <f t="shared" si="2"/>
        <v>27PRIMARIA CON CERTIFICADO</v>
      </c>
      <c r="C50" s="1" t="str">
        <f>"DURANGO"</f>
        <v>DURANGO</v>
      </c>
      <c r="D50" s="2">
        <v>35</v>
      </c>
      <c r="E50" s="3">
        <v>5.8999999999999999E-3</v>
      </c>
    </row>
    <row r="51" spans="2:5">
      <c r="B51" s="8" t="str">
        <f t="shared" si="2"/>
        <v>27PRIMARIA CON CERTIFICADO</v>
      </c>
      <c r="C51" s="1" t="str">
        <f>"GUANAJUATO"</f>
        <v>GUANAJUATO</v>
      </c>
      <c r="D51" s="2">
        <v>89</v>
      </c>
      <c r="E51" s="3">
        <v>1.4999999999999999E-2</v>
      </c>
    </row>
    <row r="52" spans="2:5">
      <c r="B52" s="8" t="str">
        <f t="shared" si="2"/>
        <v>27PRIMARIA CON CERTIFICADO</v>
      </c>
      <c r="C52" s="1" t="str">
        <f>"GUERRERO"</f>
        <v>GUERRERO</v>
      </c>
      <c r="D52" s="2">
        <v>93</v>
      </c>
      <c r="E52" s="3">
        <v>1.5699999999999999E-2</v>
      </c>
    </row>
    <row r="53" spans="2:5">
      <c r="B53" s="8" t="str">
        <f t="shared" si="2"/>
        <v>27PRIMARIA CON CERTIFICADO</v>
      </c>
      <c r="C53" s="1" t="str">
        <f>"HIDALGO"</f>
        <v>HIDALGO</v>
      </c>
      <c r="D53" s="2">
        <v>27</v>
      </c>
      <c r="E53" s="3">
        <v>4.5999999999999999E-3</v>
      </c>
    </row>
    <row r="54" spans="2:5">
      <c r="B54" s="8" t="str">
        <f t="shared" si="2"/>
        <v>27PRIMARIA CON CERTIFICADO</v>
      </c>
      <c r="C54" s="1" t="str">
        <f>"JALISCO"</f>
        <v>JALISCO</v>
      </c>
      <c r="D54" s="2">
        <v>45</v>
      </c>
      <c r="E54" s="3">
        <v>7.6E-3</v>
      </c>
    </row>
    <row r="55" spans="2:5">
      <c r="B55" s="8" t="str">
        <f t="shared" si="2"/>
        <v>27PRIMARIA CON CERTIFICADO</v>
      </c>
      <c r="C55" s="1" t="str">
        <f>"MEXICO"</f>
        <v>MEXICO</v>
      </c>
      <c r="D55" s="2">
        <v>43</v>
      </c>
      <c r="E55" s="3">
        <v>7.3000000000000001E-3</v>
      </c>
    </row>
    <row r="56" spans="2:5">
      <c r="B56" s="8" t="str">
        <f t="shared" si="2"/>
        <v>27PRIMARIA CON CERTIFICADO</v>
      </c>
      <c r="C56" s="1" t="str">
        <f>"MICHOACAN DE OCAMPO"</f>
        <v>MICHOACAN DE OCAMPO</v>
      </c>
      <c r="D56" s="2">
        <v>149</v>
      </c>
      <c r="E56" s="3">
        <v>2.5100000000000001E-2</v>
      </c>
    </row>
    <row r="57" spans="2:5">
      <c r="B57" s="8" t="str">
        <f t="shared" si="2"/>
        <v>27PRIMARIA CON CERTIFICADO</v>
      </c>
      <c r="C57" s="1" t="str">
        <f>"MORELOS"</f>
        <v>MORELOS</v>
      </c>
      <c r="D57" s="2">
        <v>205</v>
      </c>
      <c r="E57" s="3">
        <v>3.4599999999999999E-2</v>
      </c>
    </row>
    <row r="58" spans="2:5">
      <c r="B58" s="8" t="str">
        <f t="shared" si="2"/>
        <v>27PRIMARIA CON CERTIFICADO</v>
      </c>
      <c r="C58" s="1" t="str">
        <f>"NAYARIT"</f>
        <v>NAYARIT</v>
      </c>
      <c r="D58" s="2">
        <v>19</v>
      </c>
      <c r="E58" s="3">
        <v>3.2000000000000002E-3</v>
      </c>
    </row>
    <row r="59" spans="2:5">
      <c r="B59" s="8" t="str">
        <f t="shared" si="2"/>
        <v>27PRIMARIA CON CERTIFICADO</v>
      </c>
      <c r="C59" s="1" t="str">
        <f>"NUEVO LEON"</f>
        <v>NUEVO LEON</v>
      </c>
      <c r="D59" s="2">
        <v>2</v>
      </c>
      <c r="E59" s="3">
        <v>2.9999999999999997E-4</v>
      </c>
    </row>
    <row r="60" spans="2:5">
      <c r="B60" s="8" t="str">
        <f t="shared" si="2"/>
        <v>27PRIMARIA CON CERTIFICADO</v>
      </c>
      <c r="C60" s="1" t="str">
        <f>"OAXACA"</f>
        <v>OAXACA</v>
      </c>
      <c r="D60" s="2">
        <v>90</v>
      </c>
      <c r="E60" s="3">
        <v>1.52E-2</v>
      </c>
    </row>
    <row r="61" spans="2:5">
      <c r="B61" s="8" t="str">
        <f t="shared" si="2"/>
        <v>27PRIMARIA CON CERTIFICADO</v>
      </c>
      <c r="C61" s="1" t="str">
        <f>"PUEBLA"</f>
        <v>PUEBLA</v>
      </c>
      <c r="D61" s="2">
        <v>224</v>
      </c>
      <c r="E61" s="3">
        <v>3.78E-2</v>
      </c>
    </row>
    <row r="62" spans="2:5">
      <c r="B62" s="8" t="str">
        <f t="shared" si="2"/>
        <v>27PRIMARIA CON CERTIFICADO</v>
      </c>
      <c r="C62" s="1" t="str">
        <f>"QUERETARO DE ARTEAGA"</f>
        <v>QUERETARO DE ARTEAGA</v>
      </c>
      <c r="D62" s="2">
        <v>2</v>
      </c>
      <c r="E62" s="3">
        <v>2.9999999999999997E-4</v>
      </c>
    </row>
    <row r="63" spans="2:5">
      <c r="B63" s="8" t="str">
        <f t="shared" si="2"/>
        <v>27PRIMARIA CON CERTIFICADO</v>
      </c>
      <c r="C63" s="1" t="str">
        <f>"QUINTANA ROO"</f>
        <v>QUINTANA ROO</v>
      </c>
      <c r="D63" s="2">
        <v>1</v>
      </c>
      <c r="E63" s="3">
        <v>2.0000000000000001E-4</v>
      </c>
    </row>
    <row r="64" spans="2:5">
      <c r="B64" s="8" t="str">
        <f t="shared" si="2"/>
        <v>27PRIMARIA CON CERTIFICADO</v>
      </c>
      <c r="C64" s="1" t="str">
        <f>"SAN LUIS POTOSI"</f>
        <v>SAN LUIS POTOSI</v>
      </c>
      <c r="D64" s="2">
        <v>18</v>
      </c>
      <c r="E64" s="3">
        <v>3.0000000000000001E-3</v>
      </c>
    </row>
    <row r="65" spans="2:5">
      <c r="B65" s="8" t="str">
        <f t="shared" si="2"/>
        <v>27PRIMARIA CON CERTIFICADO</v>
      </c>
      <c r="C65" s="1" t="str">
        <f>"SINALOA"</f>
        <v>SINALOA</v>
      </c>
      <c r="D65" s="2">
        <v>5</v>
      </c>
      <c r="E65" s="3">
        <v>8.0000000000000004E-4</v>
      </c>
    </row>
    <row r="66" spans="2:5">
      <c r="B66" s="8" t="str">
        <f t="shared" si="2"/>
        <v>27PRIMARIA CON CERTIFICADO</v>
      </c>
      <c r="C66" s="1" t="str">
        <f>"SONORA"</f>
        <v>SONORA</v>
      </c>
      <c r="D66" s="2">
        <v>2</v>
      </c>
      <c r="E66" s="3">
        <v>2.9999999999999997E-4</v>
      </c>
    </row>
    <row r="67" spans="2:5">
      <c r="B67" s="8" t="str">
        <f t="shared" si="2"/>
        <v>27PRIMARIA CON CERTIFICADO</v>
      </c>
      <c r="C67" s="1" t="str">
        <f>"TABASCO"</f>
        <v>TABASCO</v>
      </c>
      <c r="D67" s="2">
        <v>3</v>
      </c>
      <c r="E67" s="3">
        <v>5.0000000000000001E-4</v>
      </c>
    </row>
    <row r="68" spans="2:5">
      <c r="B68" s="8" t="str">
        <f t="shared" si="2"/>
        <v>27PRIMARIA CON CERTIFICADO</v>
      </c>
      <c r="C68" s="1" t="str">
        <f>"TAMAULIPAS"</f>
        <v>TAMAULIPAS</v>
      </c>
      <c r="D68" s="2">
        <v>8</v>
      </c>
      <c r="E68" s="3">
        <v>1.2999999999999999E-3</v>
      </c>
    </row>
    <row r="69" spans="2:5">
      <c r="B69" s="8" t="str">
        <f t="shared" si="2"/>
        <v>27PRIMARIA CON CERTIFICADO</v>
      </c>
      <c r="C69" s="1" t="str">
        <f>"TLAXCALA"</f>
        <v>TLAXCALA</v>
      </c>
      <c r="D69" s="2">
        <v>4</v>
      </c>
      <c r="E69" s="3">
        <v>6.9999999999999999E-4</v>
      </c>
    </row>
    <row r="70" spans="2:5">
      <c r="B70" s="8" t="str">
        <f t="shared" si="2"/>
        <v>27PRIMARIA CON CERTIFICADO</v>
      </c>
      <c r="C70" s="1" t="str">
        <f>"VERACRUZ DE IGNACIO DE LA LLAVE"</f>
        <v>VERACRUZ DE IGNACIO DE LA LLAVE</v>
      </c>
      <c r="D70" s="2">
        <v>75</v>
      </c>
      <c r="E70" s="3">
        <v>1.2699999999999999E-2</v>
      </c>
    </row>
    <row r="71" spans="2:5">
      <c r="B71" s="8" t="str">
        <f t="shared" si="2"/>
        <v>27PRIMARIA CON CERTIFICADO</v>
      </c>
      <c r="C71" s="1" t="str">
        <f>"YUCATAN"</f>
        <v>YUCATAN</v>
      </c>
      <c r="D71" s="2">
        <v>1</v>
      </c>
      <c r="E71" s="3">
        <v>2.0000000000000001E-4</v>
      </c>
    </row>
    <row r="72" spans="2:5">
      <c r="B72" s="8" t="str">
        <f t="shared" si="2"/>
        <v>27PRIMARIA CON CERTIFICADO</v>
      </c>
      <c r="C72" s="1" t="str">
        <f>"ZACATECAS"</f>
        <v>ZACATECAS</v>
      </c>
      <c r="D72" s="2">
        <v>31</v>
      </c>
      <c r="E72" s="3">
        <v>5.1999999999999998E-3</v>
      </c>
    </row>
    <row r="73" spans="2:5" ht="16.5">
      <c r="B73" s="9" t="str">
        <f t="shared" si="2"/>
        <v>27PRIMARIA CON CERTIFICADO</v>
      </c>
      <c r="C73" s="10" t="str">
        <f>"Total"</f>
        <v>Total</v>
      </c>
      <c r="D73" s="11">
        <v>1256</v>
      </c>
      <c r="E73" s="12">
        <v>0.21190000000000001</v>
      </c>
    </row>
    <row r="74" spans="2:5">
      <c r="B74" s="7" t="str">
        <f>"3o. SECUNDARIA"</f>
        <v>3o. SECUNDARIA</v>
      </c>
      <c r="C74" s="1" t="str">
        <f>"MICHOACAN DE OCAMPO"</f>
        <v>MICHOACAN DE OCAMPO</v>
      </c>
      <c r="D74" s="2">
        <v>1</v>
      </c>
      <c r="E74" s="3">
        <v>2.0000000000000001E-4</v>
      </c>
    </row>
    <row r="75" spans="2:5" ht="16.5">
      <c r="B75" s="8" t="str">
        <f>"333o. SECUNDARIA"</f>
        <v>333o. SECUNDARIA</v>
      </c>
      <c r="C75" s="10" t="str">
        <f>"Total"</f>
        <v>Total</v>
      </c>
      <c r="D75" s="11">
        <v>1</v>
      </c>
      <c r="E75" s="12">
        <v>2.0000000000000001E-4</v>
      </c>
    </row>
    <row r="76" spans="2:5">
      <c r="B76" s="7" t="str">
        <f>"SECUNDARIA CON CERTIFICADO"</f>
        <v>SECUNDARIA CON CERTIFICADO</v>
      </c>
      <c r="C76" s="1" t="str">
        <f>"AGUASCALIENTES"</f>
        <v>AGUASCALIENTES</v>
      </c>
      <c r="D76" s="2">
        <v>15</v>
      </c>
      <c r="E76" s="3">
        <v>2.5000000000000001E-3</v>
      </c>
    </row>
    <row r="77" spans="2:5">
      <c r="B77" s="8"/>
      <c r="C77" s="1" t="str">
        <f>"BAJA CALIFORNIA"</f>
        <v>BAJA CALIFORNIA</v>
      </c>
      <c r="D77" s="2">
        <v>7</v>
      </c>
      <c r="E77" s="3">
        <v>1.1999999999999999E-3</v>
      </c>
    </row>
    <row r="78" spans="2:5">
      <c r="B78" s="8"/>
      <c r="C78" s="1" t="str">
        <f>"BAJA CALIFORNIA SUR"</f>
        <v>BAJA CALIFORNIA SUR</v>
      </c>
      <c r="D78" s="2">
        <v>1</v>
      </c>
      <c r="E78" s="3">
        <v>2.0000000000000001E-4</v>
      </c>
    </row>
    <row r="79" spans="2:5">
      <c r="B79" s="8"/>
      <c r="C79" s="1" t="str">
        <f>"CAMPECHE"</f>
        <v>CAMPECHE</v>
      </c>
      <c r="D79" s="2">
        <v>9</v>
      </c>
      <c r="E79" s="3">
        <v>1.5E-3</v>
      </c>
    </row>
    <row r="80" spans="2:5">
      <c r="B80" s="8"/>
      <c r="C80" s="1" t="str">
        <f>"CHIAPAS"</f>
        <v>CHIAPAS</v>
      </c>
      <c r="D80" s="2">
        <v>38</v>
      </c>
      <c r="E80" s="3">
        <v>6.4000000000000003E-3</v>
      </c>
    </row>
    <row r="81" spans="2:5">
      <c r="B81" s="8"/>
      <c r="C81" s="1" t="str">
        <f>"CHIHUAHUA"</f>
        <v>CHIHUAHUA</v>
      </c>
      <c r="D81" s="2">
        <v>52</v>
      </c>
      <c r="E81" s="3">
        <v>8.8000000000000005E-3</v>
      </c>
    </row>
    <row r="82" spans="2:5">
      <c r="B82" s="8"/>
      <c r="C82" s="1" t="str">
        <f>"COAHUILA DE ZARAGOZA"</f>
        <v>COAHUILA DE ZARAGOZA</v>
      </c>
      <c r="D82" s="2">
        <v>30</v>
      </c>
      <c r="E82" s="3">
        <v>5.1000000000000004E-3</v>
      </c>
    </row>
    <row r="83" spans="2:5">
      <c r="B83" s="8"/>
      <c r="C83" s="1" t="str">
        <f>"COLIMA"</f>
        <v>COLIMA</v>
      </c>
      <c r="D83" s="2">
        <v>8</v>
      </c>
      <c r="E83" s="3">
        <v>1.2999999999999999E-3</v>
      </c>
    </row>
    <row r="84" spans="2:5">
      <c r="B84" s="8"/>
      <c r="C84" s="1" t="str">
        <f>"DISTRITO FEDERAL"</f>
        <v>DISTRITO FEDERAL</v>
      </c>
      <c r="D84" s="2">
        <v>189</v>
      </c>
      <c r="E84" s="3">
        <v>3.1899999999999998E-2</v>
      </c>
    </row>
    <row r="85" spans="2:5">
      <c r="B85" s="8"/>
      <c r="C85" s="1" t="str">
        <f>"DURANGO"</f>
        <v>DURANGO</v>
      </c>
      <c r="D85" s="2">
        <v>65</v>
      </c>
      <c r="E85" s="3">
        <v>1.0999999999999999E-2</v>
      </c>
    </row>
    <row r="86" spans="2:5">
      <c r="B86" s="8"/>
      <c r="C86" s="1" t="str">
        <f>"GUANAJUATO"</f>
        <v>GUANAJUATO</v>
      </c>
      <c r="D86" s="2">
        <v>144</v>
      </c>
      <c r="E86" s="3">
        <v>2.4299999999999999E-2</v>
      </c>
    </row>
    <row r="87" spans="2:5">
      <c r="B87" s="8"/>
      <c r="C87" s="1" t="str">
        <f>"GUERRERO"</f>
        <v>GUERRERO</v>
      </c>
      <c r="D87" s="2">
        <v>194</v>
      </c>
      <c r="E87" s="3">
        <v>3.27E-2</v>
      </c>
    </row>
    <row r="88" spans="2:5">
      <c r="B88" s="8"/>
      <c r="C88" s="1" t="str">
        <f>"HIDALGO"</f>
        <v>HIDALGO</v>
      </c>
      <c r="D88" s="2">
        <v>58</v>
      </c>
      <c r="E88" s="3">
        <v>9.7999999999999997E-3</v>
      </c>
    </row>
    <row r="89" spans="2:5">
      <c r="B89" s="8"/>
      <c r="C89" s="1" t="str">
        <f>"JALISCO"</f>
        <v>JALISCO</v>
      </c>
      <c r="D89" s="2">
        <v>105</v>
      </c>
      <c r="E89" s="3">
        <v>1.77E-2</v>
      </c>
    </row>
    <row r="90" spans="2:5">
      <c r="B90" s="8"/>
      <c r="C90" s="1" t="str">
        <f>"MEXICO"</f>
        <v>MEXICO</v>
      </c>
      <c r="D90" s="2">
        <v>194</v>
      </c>
      <c r="E90" s="3">
        <v>3.27E-2</v>
      </c>
    </row>
    <row r="91" spans="2:5">
      <c r="B91" s="8"/>
      <c r="C91" s="1" t="str">
        <f>"MICHOACAN DE OCAMPO"</f>
        <v>MICHOACAN DE OCAMPO</v>
      </c>
      <c r="D91" s="2">
        <v>188</v>
      </c>
      <c r="E91" s="3">
        <v>3.1699999999999999E-2</v>
      </c>
    </row>
    <row r="92" spans="2:5">
      <c r="B92" s="8"/>
      <c r="C92" s="1" t="str">
        <f>"MORELOS"</f>
        <v>MORELOS</v>
      </c>
      <c r="D92" s="2">
        <v>495</v>
      </c>
      <c r="E92" s="3">
        <v>8.3500000000000005E-2</v>
      </c>
    </row>
    <row r="93" spans="2:5">
      <c r="B93" s="8"/>
      <c r="C93" s="1" t="str">
        <f>"NAYARIT"</f>
        <v>NAYARIT</v>
      </c>
      <c r="D93" s="2">
        <v>46</v>
      </c>
      <c r="E93" s="3">
        <v>7.7999999999999996E-3</v>
      </c>
    </row>
    <row r="94" spans="2:5">
      <c r="B94" s="8"/>
      <c r="C94" s="1" t="str">
        <f>"NUEVO LEON"</f>
        <v>NUEVO LEON</v>
      </c>
      <c r="D94" s="2">
        <v>19</v>
      </c>
      <c r="E94" s="3">
        <v>3.2000000000000002E-3</v>
      </c>
    </row>
    <row r="95" spans="2:5">
      <c r="B95" s="8"/>
      <c r="C95" s="1" t="str">
        <f>"OAXACA"</f>
        <v>OAXACA</v>
      </c>
      <c r="D95" s="2">
        <v>222</v>
      </c>
      <c r="E95" s="3">
        <v>3.7400000000000003E-2</v>
      </c>
    </row>
    <row r="96" spans="2:5">
      <c r="B96" s="8"/>
      <c r="C96" s="1" t="str">
        <f>"PUEBLA"</f>
        <v>PUEBLA</v>
      </c>
      <c r="D96" s="2">
        <v>459</v>
      </c>
      <c r="E96" s="3">
        <v>7.7399999999999997E-2</v>
      </c>
    </row>
    <row r="97" spans="2:5">
      <c r="B97" s="8"/>
      <c r="C97" s="1" t="str">
        <f>"QUERETARO DE ARTEAGA"</f>
        <v>QUERETARO DE ARTEAGA</v>
      </c>
      <c r="D97" s="2">
        <v>8</v>
      </c>
      <c r="E97" s="3">
        <v>1.2999999999999999E-3</v>
      </c>
    </row>
    <row r="98" spans="2:5">
      <c r="B98" s="8"/>
      <c r="C98" s="1" t="str">
        <f>"QUINTANA ROO"</f>
        <v>QUINTANA ROO</v>
      </c>
      <c r="D98" s="2">
        <v>10</v>
      </c>
      <c r="E98" s="3">
        <v>1.6999999999999999E-3</v>
      </c>
    </row>
    <row r="99" spans="2:5">
      <c r="B99" s="8"/>
      <c r="C99" s="1" t="str">
        <f>"SAN LUIS POTOSI"</f>
        <v>SAN LUIS POTOSI</v>
      </c>
      <c r="D99" s="2">
        <v>43</v>
      </c>
      <c r="E99" s="3">
        <v>7.3000000000000001E-3</v>
      </c>
    </row>
    <row r="100" spans="2:5">
      <c r="B100" s="8"/>
      <c r="C100" s="1" t="str">
        <f>"SINALOA"</f>
        <v>SINALOA</v>
      </c>
      <c r="D100" s="2">
        <v>25</v>
      </c>
      <c r="E100" s="3">
        <v>4.1999999999999997E-3</v>
      </c>
    </row>
    <row r="101" spans="2:5">
      <c r="B101" s="8"/>
      <c r="C101" s="1" t="str">
        <f>"SONORA"</f>
        <v>SONORA</v>
      </c>
      <c r="D101" s="2">
        <v>6</v>
      </c>
      <c r="E101" s="3">
        <v>1E-3</v>
      </c>
    </row>
    <row r="102" spans="2:5">
      <c r="B102" s="8"/>
      <c r="C102" s="1" t="str">
        <f>"TABASCO"</f>
        <v>TABASCO</v>
      </c>
      <c r="D102" s="2">
        <v>8</v>
      </c>
      <c r="E102" s="3">
        <v>1.2999999999999999E-3</v>
      </c>
    </row>
    <row r="103" spans="2:5">
      <c r="B103" s="8"/>
      <c r="C103" s="1" t="str">
        <f>"TAMAULIPAS"</f>
        <v>TAMAULIPAS</v>
      </c>
      <c r="D103" s="2">
        <v>42</v>
      </c>
      <c r="E103" s="3">
        <v>7.1000000000000004E-3</v>
      </c>
    </row>
    <row r="104" spans="2:5">
      <c r="B104" s="8"/>
      <c r="C104" s="1" t="str">
        <f>"TLAXCALA"</f>
        <v>TLAXCALA</v>
      </c>
      <c r="D104" s="2">
        <v>23</v>
      </c>
      <c r="E104" s="3">
        <v>3.8999999999999998E-3</v>
      </c>
    </row>
    <row r="105" spans="2:5">
      <c r="B105" s="8"/>
      <c r="C105" s="1" t="str">
        <f>"VERACRUZ DE IGNACIO DE LA LLAVE"</f>
        <v>VERACRUZ DE IGNACIO DE LA LLAVE</v>
      </c>
      <c r="D105" s="2">
        <v>214</v>
      </c>
      <c r="E105" s="3">
        <v>3.61E-2</v>
      </c>
    </row>
    <row r="106" spans="2:5">
      <c r="B106" s="8"/>
      <c r="C106" s="1" t="str">
        <f>"YUCATAN"</f>
        <v>YUCATAN</v>
      </c>
      <c r="D106" s="2">
        <v>4</v>
      </c>
      <c r="E106" s="3">
        <v>6.9999999999999999E-4</v>
      </c>
    </row>
    <row r="107" spans="2:5">
      <c r="B107" s="8"/>
      <c r="C107" s="1" t="str">
        <f>"ZACATECAS"</f>
        <v>ZACATECAS</v>
      </c>
      <c r="D107" s="2">
        <v>52</v>
      </c>
      <c r="E107" s="3">
        <v>8.8000000000000005E-3</v>
      </c>
    </row>
    <row r="108" spans="2:5" ht="16.5">
      <c r="B108" s="9"/>
      <c r="C108" s="10" t="str">
        <f>"Total"</f>
        <v>Total</v>
      </c>
      <c r="D108" s="11">
        <v>2973</v>
      </c>
      <c r="E108" s="12">
        <v>0.50149999999999995</v>
      </c>
    </row>
    <row r="109" spans="2:5">
      <c r="B109" s="7" t="str">
        <f>"CAPACITACION TECNICA"</f>
        <v>CAPACITACION TECNICA</v>
      </c>
      <c r="C109" s="1" t="str">
        <f>"AGUASCALIENTES"</f>
        <v>AGUASCALIENTES</v>
      </c>
      <c r="D109" s="2">
        <v>1</v>
      </c>
      <c r="E109" s="3">
        <v>2.0000000000000001E-4</v>
      </c>
    </row>
    <row r="110" spans="2:5">
      <c r="B110" s="8" t="str">
        <f t="shared" ref="B109:B133" si="3">"41CAPACITACION TECNICA"</f>
        <v>41CAPACITACION TECNICA</v>
      </c>
      <c r="C110" s="1" t="str">
        <f>"CHIHUAHUA"</f>
        <v>CHIHUAHUA</v>
      </c>
      <c r="D110" s="2">
        <v>3</v>
      </c>
      <c r="E110" s="3">
        <v>5.0000000000000001E-4</v>
      </c>
    </row>
    <row r="111" spans="2:5">
      <c r="B111" s="8" t="str">
        <f t="shared" si="3"/>
        <v>41CAPACITACION TECNICA</v>
      </c>
      <c r="C111" s="1" t="str">
        <f>"COAHUILA DE ZARAGOZA"</f>
        <v>COAHUILA DE ZARAGOZA</v>
      </c>
      <c r="D111" s="2">
        <v>1</v>
      </c>
      <c r="E111" s="3">
        <v>2.0000000000000001E-4</v>
      </c>
    </row>
    <row r="112" spans="2:5">
      <c r="B112" s="8" t="str">
        <f t="shared" si="3"/>
        <v>41CAPACITACION TECNICA</v>
      </c>
      <c r="C112" s="1" t="str">
        <f>"COLIMA"</f>
        <v>COLIMA</v>
      </c>
      <c r="D112" s="2">
        <v>1</v>
      </c>
      <c r="E112" s="3">
        <v>2.0000000000000001E-4</v>
      </c>
    </row>
    <row r="113" spans="2:5">
      <c r="B113" s="8" t="str">
        <f t="shared" si="3"/>
        <v>41CAPACITACION TECNICA</v>
      </c>
      <c r="C113" s="1" t="str">
        <f>"DISTRITO FEDERAL"</f>
        <v>DISTRITO FEDERAL</v>
      </c>
      <c r="D113" s="2">
        <v>13</v>
      </c>
      <c r="E113" s="3">
        <v>2.2000000000000001E-3</v>
      </c>
    </row>
    <row r="114" spans="2:5">
      <c r="B114" s="8" t="str">
        <f t="shared" si="3"/>
        <v>41CAPACITACION TECNICA</v>
      </c>
      <c r="C114" s="1" t="str">
        <f>"GUANAJUATO"</f>
        <v>GUANAJUATO</v>
      </c>
      <c r="D114" s="2">
        <v>1</v>
      </c>
      <c r="E114" s="3">
        <v>2.0000000000000001E-4</v>
      </c>
    </row>
    <row r="115" spans="2:5">
      <c r="B115" s="8" t="str">
        <f t="shared" si="3"/>
        <v>41CAPACITACION TECNICA</v>
      </c>
      <c r="C115" s="1" t="str">
        <f>"GUERRERO"</f>
        <v>GUERRERO</v>
      </c>
      <c r="D115" s="2">
        <v>4</v>
      </c>
      <c r="E115" s="3">
        <v>6.9999999999999999E-4</v>
      </c>
    </row>
    <row r="116" spans="2:5">
      <c r="B116" s="8" t="str">
        <f t="shared" si="3"/>
        <v>41CAPACITACION TECNICA</v>
      </c>
      <c r="C116" s="1" t="str">
        <f>"HIDALGO"</f>
        <v>HIDALGO</v>
      </c>
      <c r="D116" s="2">
        <v>2</v>
      </c>
      <c r="E116" s="3">
        <v>2.9999999999999997E-4</v>
      </c>
    </row>
    <row r="117" spans="2:5">
      <c r="B117" s="8" t="str">
        <f t="shared" si="3"/>
        <v>41CAPACITACION TECNICA</v>
      </c>
      <c r="C117" s="1" t="str">
        <f>"JALISCO"</f>
        <v>JALISCO</v>
      </c>
      <c r="D117" s="2">
        <v>2</v>
      </c>
      <c r="E117" s="3">
        <v>2.9999999999999997E-4</v>
      </c>
    </row>
    <row r="118" spans="2:5">
      <c r="B118" s="8" t="str">
        <f t="shared" si="3"/>
        <v>41CAPACITACION TECNICA</v>
      </c>
      <c r="C118" s="1" t="str">
        <f>"MEXICO"</f>
        <v>MEXICO</v>
      </c>
      <c r="D118" s="2">
        <v>12</v>
      </c>
      <c r="E118" s="3">
        <v>2E-3</v>
      </c>
    </row>
    <row r="119" spans="2:5">
      <c r="B119" s="8" t="str">
        <f t="shared" si="3"/>
        <v>41CAPACITACION TECNICA</v>
      </c>
      <c r="C119" s="1" t="str">
        <f>"MICHOACAN DE OCAMPO"</f>
        <v>MICHOACAN DE OCAMPO</v>
      </c>
      <c r="D119" s="2">
        <v>12</v>
      </c>
      <c r="E119" s="3">
        <v>2E-3</v>
      </c>
    </row>
    <row r="120" spans="2:5">
      <c r="B120" s="8" t="str">
        <f t="shared" si="3"/>
        <v>41CAPACITACION TECNICA</v>
      </c>
      <c r="C120" s="1" t="str">
        <f>"MORELOS"</f>
        <v>MORELOS</v>
      </c>
      <c r="D120" s="2">
        <v>23</v>
      </c>
      <c r="E120" s="3">
        <v>3.8999999999999998E-3</v>
      </c>
    </row>
    <row r="121" spans="2:5">
      <c r="B121" s="8" t="str">
        <f t="shared" si="3"/>
        <v>41CAPACITACION TECNICA</v>
      </c>
      <c r="C121" s="1" t="str">
        <f>"NAYARIT"</f>
        <v>NAYARIT</v>
      </c>
      <c r="D121" s="2">
        <v>3</v>
      </c>
      <c r="E121" s="3">
        <v>5.0000000000000001E-4</v>
      </c>
    </row>
    <row r="122" spans="2:5">
      <c r="B122" s="8" t="str">
        <f t="shared" si="3"/>
        <v>41CAPACITACION TECNICA</v>
      </c>
      <c r="C122" s="1" t="str">
        <f>"NUEVO LEON"</f>
        <v>NUEVO LEON</v>
      </c>
      <c r="D122" s="2">
        <v>4</v>
      </c>
      <c r="E122" s="3">
        <v>6.9999999999999999E-4</v>
      </c>
    </row>
    <row r="123" spans="2:5">
      <c r="B123" s="8" t="str">
        <f t="shared" si="3"/>
        <v>41CAPACITACION TECNICA</v>
      </c>
      <c r="C123" s="1" t="str">
        <f>"OAXACA"</f>
        <v>OAXACA</v>
      </c>
      <c r="D123" s="2">
        <v>2</v>
      </c>
      <c r="E123" s="3">
        <v>2.9999999999999997E-4</v>
      </c>
    </row>
    <row r="124" spans="2:5">
      <c r="B124" s="8" t="str">
        <f t="shared" si="3"/>
        <v>41CAPACITACION TECNICA</v>
      </c>
      <c r="C124" s="1" t="str">
        <f>"PUEBLA"</f>
        <v>PUEBLA</v>
      </c>
      <c r="D124" s="2">
        <v>11</v>
      </c>
      <c r="E124" s="3">
        <v>1.9E-3</v>
      </c>
    </row>
    <row r="125" spans="2:5">
      <c r="B125" s="8" t="str">
        <f t="shared" si="3"/>
        <v>41CAPACITACION TECNICA</v>
      </c>
      <c r="C125" s="1" t="str">
        <f>"QUERETARO DE ARTEAGA"</f>
        <v>QUERETARO DE ARTEAGA</v>
      </c>
      <c r="D125" s="2">
        <v>1</v>
      </c>
      <c r="E125" s="3">
        <v>2.0000000000000001E-4</v>
      </c>
    </row>
    <row r="126" spans="2:5">
      <c r="B126" s="8" t="str">
        <f t="shared" si="3"/>
        <v>41CAPACITACION TECNICA</v>
      </c>
      <c r="C126" s="1" t="str">
        <f>"SAN LUIS POTOSI"</f>
        <v>SAN LUIS POTOSI</v>
      </c>
      <c r="D126" s="2">
        <v>4</v>
      </c>
      <c r="E126" s="3">
        <v>6.9999999999999999E-4</v>
      </c>
    </row>
    <row r="127" spans="2:5">
      <c r="B127" s="8" t="str">
        <f t="shared" si="3"/>
        <v>41CAPACITACION TECNICA</v>
      </c>
      <c r="C127" s="1" t="str">
        <f>"SINALOA"</f>
        <v>SINALOA</v>
      </c>
      <c r="D127" s="2">
        <v>1</v>
      </c>
      <c r="E127" s="3">
        <v>2.0000000000000001E-4</v>
      </c>
    </row>
    <row r="128" spans="2:5">
      <c r="B128" s="8" t="str">
        <f t="shared" si="3"/>
        <v>41CAPACITACION TECNICA</v>
      </c>
      <c r="C128" s="1" t="str">
        <f>"TABASCO"</f>
        <v>TABASCO</v>
      </c>
      <c r="D128" s="2">
        <v>1</v>
      </c>
      <c r="E128" s="3">
        <v>2.0000000000000001E-4</v>
      </c>
    </row>
    <row r="129" spans="2:5">
      <c r="B129" s="8" t="str">
        <f t="shared" si="3"/>
        <v>41CAPACITACION TECNICA</v>
      </c>
      <c r="C129" s="1" t="str">
        <f>"TAMAULIPAS"</f>
        <v>TAMAULIPAS</v>
      </c>
      <c r="D129" s="2">
        <v>6</v>
      </c>
      <c r="E129" s="3">
        <v>1E-3</v>
      </c>
    </row>
    <row r="130" spans="2:5">
      <c r="B130" s="8" t="str">
        <f t="shared" si="3"/>
        <v>41CAPACITACION TECNICA</v>
      </c>
      <c r="C130" s="1" t="str">
        <f>"TLAXCALA"</f>
        <v>TLAXCALA</v>
      </c>
      <c r="D130" s="2">
        <v>4</v>
      </c>
      <c r="E130" s="3">
        <v>6.9999999999999999E-4</v>
      </c>
    </row>
    <row r="131" spans="2:5">
      <c r="B131" s="8" t="str">
        <f t="shared" si="3"/>
        <v>41CAPACITACION TECNICA</v>
      </c>
      <c r="C131" s="1" t="str">
        <f>"VERACRUZ DE IGNACIO DE LA LLAVE"</f>
        <v>VERACRUZ DE IGNACIO DE LA LLAVE</v>
      </c>
      <c r="D131" s="2">
        <v>11</v>
      </c>
      <c r="E131" s="3">
        <v>1.9E-3</v>
      </c>
    </row>
    <row r="132" spans="2:5">
      <c r="B132" s="8" t="str">
        <f t="shared" si="3"/>
        <v>41CAPACITACION TECNICA</v>
      </c>
      <c r="C132" s="1" t="str">
        <f>"ZACATECAS"</f>
        <v>ZACATECAS</v>
      </c>
      <c r="D132" s="2">
        <v>1</v>
      </c>
      <c r="E132" s="3">
        <v>2.0000000000000001E-4</v>
      </c>
    </row>
    <row r="133" spans="2:5" ht="16.5">
      <c r="B133" s="8" t="str">
        <f t="shared" si="3"/>
        <v>41CAPACITACION TECNICA</v>
      </c>
      <c r="C133" s="10" t="str">
        <f>"Total"</f>
        <v>Total</v>
      </c>
      <c r="D133" s="11">
        <v>124</v>
      </c>
      <c r="E133" s="12">
        <v>2.0899999999999998E-2</v>
      </c>
    </row>
    <row r="134" spans="2:5">
      <c r="B134" s="7" t="str">
        <f>"PREPARATORIA SIN CERTIFICADO"</f>
        <v>PREPARATORIA SIN CERTIFICADO</v>
      </c>
      <c r="C134" s="1" t="str">
        <f>"BAJA CALIFORNIA"</f>
        <v>BAJA CALIFORNIA</v>
      </c>
      <c r="D134" s="2">
        <v>1</v>
      </c>
      <c r="E134" s="3">
        <v>2.0000000000000001E-4</v>
      </c>
    </row>
    <row r="135" spans="2:5">
      <c r="B135" s="8" t="str">
        <f t="shared" ref="B134:B152" si="4">"51PREPARATORIA SIN CERTIFICADO"</f>
        <v>51PREPARATORIA SIN CERTIFICADO</v>
      </c>
      <c r="C135" s="1" t="str">
        <f>"CHIHUAHUA"</f>
        <v>CHIHUAHUA</v>
      </c>
      <c r="D135" s="2">
        <v>1</v>
      </c>
      <c r="E135" s="3">
        <v>2.0000000000000001E-4</v>
      </c>
    </row>
    <row r="136" spans="2:5">
      <c r="B136" s="8" t="str">
        <f t="shared" si="4"/>
        <v>51PREPARATORIA SIN CERTIFICADO</v>
      </c>
      <c r="C136" s="1" t="str">
        <f>"DISTRITO FEDERAL"</f>
        <v>DISTRITO FEDERAL</v>
      </c>
      <c r="D136" s="2">
        <v>4</v>
      </c>
      <c r="E136" s="3">
        <v>6.9999999999999999E-4</v>
      </c>
    </row>
    <row r="137" spans="2:5">
      <c r="B137" s="8" t="str">
        <f t="shared" si="4"/>
        <v>51PREPARATORIA SIN CERTIFICADO</v>
      </c>
      <c r="C137" s="1" t="str">
        <f>"GUANAJUATO"</f>
        <v>GUANAJUATO</v>
      </c>
      <c r="D137" s="2">
        <v>2</v>
      </c>
      <c r="E137" s="3">
        <v>2.9999999999999997E-4</v>
      </c>
    </row>
    <row r="138" spans="2:5">
      <c r="B138" s="8" t="str">
        <f t="shared" si="4"/>
        <v>51PREPARATORIA SIN CERTIFICADO</v>
      </c>
      <c r="C138" s="1" t="str">
        <f>"GUERRERO"</f>
        <v>GUERRERO</v>
      </c>
      <c r="D138" s="2">
        <v>4</v>
      </c>
      <c r="E138" s="3">
        <v>6.9999999999999999E-4</v>
      </c>
    </row>
    <row r="139" spans="2:5">
      <c r="B139" s="8" t="str">
        <f t="shared" si="4"/>
        <v>51PREPARATORIA SIN CERTIFICADO</v>
      </c>
      <c r="C139" s="1" t="str">
        <f>"JALISCO"</f>
        <v>JALISCO</v>
      </c>
      <c r="D139" s="2">
        <v>3</v>
      </c>
      <c r="E139" s="3">
        <v>5.0000000000000001E-4</v>
      </c>
    </row>
    <row r="140" spans="2:5">
      <c r="B140" s="8" t="str">
        <f t="shared" si="4"/>
        <v>51PREPARATORIA SIN CERTIFICADO</v>
      </c>
      <c r="C140" s="1" t="str">
        <f>"MEXICO"</f>
        <v>MEXICO</v>
      </c>
      <c r="D140" s="2">
        <v>4</v>
      </c>
      <c r="E140" s="3">
        <v>6.9999999999999999E-4</v>
      </c>
    </row>
    <row r="141" spans="2:5">
      <c r="B141" s="8" t="str">
        <f t="shared" si="4"/>
        <v>51PREPARATORIA SIN CERTIFICADO</v>
      </c>
      <c r="C141" s="1" t="str">
        <f>"MICHOACAN DE OCAMPO"</f>
        <v>MICHOACAN DE OCAMPO</v>
      </c>
      <c r="D141" s="2">
        <v>8</v>
      </c>
      <c r="E141" s="3">
        <v>1.2999999999999999E-3</v>
      </c>
    </row>
    <row r="142" spans="2:5">
      <c r="B142" s="8" t="str">
        <f t="shared" si="4"/>
        <v>51PREPARATORIA SIN CERTIFICADO</v>
      </c>
      <c r="C142" s="1" t="str">
        <f>"MORELOS"</f>
        <v>MORELOS</v>
      </c>
      <c r="D142" s="2">
        <v>4</v>
      </c>
      <c r="E142" s="3">
        <v>6.9999999999999999E-4</v>
      </c>
    </row>
    <row r="143" spans="2:5">
      <c r="B143" s="8" t="str">
        <f t="shared" si="4"/>
        <v>51PREPARATORIA SIN CERTIFICADO</v>
      </c>
      <c r="C143" s="1" t="str">
        <f>"NAYARIT"</f>
        <v>NAYARIT</v>
      </c>
      <c r="D143" s="2">
        <v>3</v>
      </c>
      <c r="E143" s="3">
        <v>5.0000000000000001E-4</v>
      </c>
    </row>
    <row r="144" spans="2:5">
      <c r="B144" s="8" t="str">
        <f t="shared" si="4"/>
        <v>51PREPARATORIA SIN CERTIFICADO</v>
      </c>
      <c r="C144" s="1" t="str">
        <f>"OAXACA"</f>
        <v>OAXACA</v>
      </c>
      <c r="D144" s="2">
        <v>3</v>
      </c>
      <c r="E144" s="3">
        <v>5.0000000000000001E-4</v>
      </c>
    </row>
    <row r="145" spans="2:5">
      <c r="B145" s="8" t="str">
        <f t="shared" si="4"/>
        <v>51PREPARATORIA SIN CERTIFICADO</v>
      </c>
      <c r="C145" s="1" t="str">
        <f>"PUEBLA"</f>
        <v>PUEBLA</v>
      </c>
      <c r="D145" s="2">
        <v>9</v>
      </c>
      <c r="E145" s="3">
        <v>1.5E-3</v>
      </c>
    </row>
    <row r="146" spans="2:5">
      <c r="B146" s="8" t="str">
        <f t="shared" si="4"/>
        <v>51PREPARATORIA SIN CERTIFICADO</v>
      </c>
      <c r="C146" s="1" t="str">
        <f>"SAN LUIS POTOSI"</f>
        <v>SAN LUIS POTOSI</v>
      </c>
      <c r="D146" s="2">
        <v>1</v>
      </c>
      <c r="E146" s="3">
        <v>2.0000000000000001E-4</v>
      </c>
    </row>
    <row r="147" spans="2:5">
      <c r="B147" s="8" t="str">
        <f t="shared" si="4"/>
        <v>51PREPARATORIA SIN CERTIFICADO</v>
      </c>
      <c r="C147" s="1" t="str">
        <f>"SINALOA"</f>
        <v>SINALOA</v>
      </c>
      <c r="D147" s="2">
        <v>1</v>
      </c>
      <c r="E147" s="3">
        <v>2.0000000000000001E-4</v>
      </c>
    </row>
    <row r="148" spans="2:5">
      <c r="B148" s="8" t="str">
        <f t="shared" si="4"/>
        <v>51PREPARATORIA SIN CERTIFICADO</v>
      </c>
      <c r="C148" s="1" t="str">
        <f>"TAMAULIPAS"</f>
        <v>TAMAULIPAS</v>
      </c>
      <c r="D148" s="2">
        <v>2</v>
      </c>
      <c r="E148" s="3">
        <v>2.9999999999999997E-4</v>
      </c>
    </row>
    <row r="149" spans="2:5">
      <c r="B149" s="8" t="str">
        <f t="shared" si="4"/>
        <v>51PREPARATORIA SIN CERTIFICADO</v>
      </c>
      <c r="C149" s="1" t="str">
        <f>"TLAXCALA"</f>
        <v>TLAXCALA</v>
      </c>
      <c r="D149" s="2">
        <v>1</v>
      </c>
      <c r="E149" s="3">
        <v>2.0000000000000001E-4</v>
      </c>
    </row>
    <row r="150" spans="2:5">
      <c r="B150" s="8" t="str">
        <f t="shared" si="4"/>
        <v>51PREPARATORIA SIN CERTIFICADO</v>
      </c>
      <c r="C150" s="1" t="str">
        <f>"VERACRUZ DE IGNACIO DE LA LLAVE"</f>
        <v>VERACRUZ DE IGNACIO DE LA LLAVE</v>
      </c>
      <c r="D150" s="2">
        <v>8</v>
      </c>
      <c r="E150" s="3">
        <v>1.2999999999999999E-3</v>
      </c>
    </row>
    <row r="151" spans="2:5">
      <c r="B151" s="8" t="str">
        <f t="shared" si="4"/>
        <v>51PREPARATORIA SIN CERTIFICADO</v>
      </c>
      <c r="C151" s="1" t="str">
        <f>"ZACATECAS"</f>
        <v>ZACATECAS</v>
      </c>
      <c r="D151" s="2">
        <v>1</v>
      </c>
      <c r="E151" s="3">
        <v>2.0000000000000001E-4</v>
      </c>
    </row>
    <row r="152" spans="2:5" ht="16.5">
      <c r="B152" s="8" t="str">
        <f t="shared" si="4"/>
        <v>51PREPARATORIA SIN CERTIFICADO</v>
      </c>
      <c r="C152" s="10" t="str">
        <f>"Total"</f>
        <v>Total</v>
      </c>
      <c r="D152" s="11">
        <v>60</v>
      </c>
      <c r="E152" s="12">
        <v>1.01E-2</v>
      </c>
    </row>
    <row r="153" spans="2:5">
      <c r="B153" s="7" t="str">
        <f>"PREPARATORIA CON CERTIFICADO"</f>
        <v>PREPARATORIA CON CERTIFICADO</v>
      </c>
      <c r="C153" s="1" t="str">
        <f>"AGUASCALIENTES"</f>
        <v>AGUASCALIENTES</v>
      </c>
      <c r="D153" s="2">
        <v>4</v>
      </c>
      <c r="E153" s="3">
        <v>6.9999999999999999E-4</v>
      </c>
    </row>
    <row r="154" spans="2:5">
      <c r="B154" s="8"/>
      <c r="C154" s="1" t="str">
        <f>"BAJA CALIFORNIA"</f>
        <v>BAJA CALIFORNIA</v>
      </c>
      <c r="D154" s="2">
        <v>9</v>
      </c>
      <c r="E154" s="3">
        <v>1.5E-3</v>
      </c>
    </row>
    <row r="155" spans="2:5">
      <c r="B155" s="8"/>
      <c r="C155" s="1" t="str">
        <f>"CAMPECHE"</f>
        <v>CAMPECHE</v>
      </c>
      <c r="D155" s="2">
        <v>4</v>
      </c>
      <c r="E155" s="3">
        <v>6.9999999999999999E-4</v>
      </c>
    </row>
    <row r="156" spans="2:5">
      <c r="B156" s="8"/>
      <c r="C156" s="1" t="str">
        <f>"CHIAPAS"</f>
        <v>CHIAPAS</v>
      </c>
      <c r="D156" s="2">
        <v>14</v>
      </c>
      <c r="E156" s="3">
        <v>2.3999999999999998E-3</v>
      </c>
    </row>
    <row r="157" spans="2:5">
      <c r="B157" s="8"/>
      <c r="C157" s="1" t="str">
        <f>"CHIHUAHUA"</f>
        <v>CHIHUAHUA</v>
      </c>
      <c r="D157" s="2">
        <v>31</v>
      </c>
      <c r="E157" s="3">
        <v>5.1999999999999998E-3</v>
      </c>
    </row>
    <row r="158" spans="2:5">
      <c r="B158" s="8"/>
      <c r="C158" s="1" t="str">
        <f>"COAHUILA DE ZARAGOZA"</f>
        <v>COAHUILA DE ZARAGOZA</v>
      </c>
      <c r="D158" s="2">
        <v>19</v>
      </c>
      <c r="E158" s="3">
        <v>3.2000000000000002E-3</v>
      </c>
    </row>
    <row r="159" spans="2:5">
      <c r="B159" s="8"/>
      <c r="C159" s="1" t="str">
        <f>"COLIMA"</f>
        <v>COLIMA</v>
      </c>
      <c r="D159" s="2">
        <v>7</v>
      </c>
      <c r="E159" s="3">
        <v>1.1999999999999999E-3</v>
      </c>
    </row>
    <row r="160" spans="2:5">
      <c r="B160" s="8"/>
      <c r="C160" s="1" t="str">
        <f>"DISTRITO FEDERAL"</f>
        <v>DISTRITO FEDERAL</v>
      </c>
      <c r="D160" s="2">
        <v>126</v>
      </c>
      <c r="E160" s="3">
        <v>2.1299999999999999E-2</v>
      </c>
    </row>
    <row r="161" spans="2:5">
      <c r="B161" s="8"/>
      <c r="C161" s="1" t="str">
        <f>"DURANGO"</f>
        <v>DURANGO</v>
      </c>
      <c r="D161" s="2">
        <v>15</v>
      </c>
      <c r="E161" s="3">
        <v>2.5000000000000001E-3</v>
      </c>
    </row>
    <row r="162" spans="2:5">
      <c r="B162" s="8"/>
      <c r="C162" s="1" t="str">
        <f>"GUANAJUATO"</f>
        <v>GUANAJUATO</v>
      </c>
      <c r="D162" s="2">
        <v>68</v>
      </c>
      <c r="E162" s="3">
        <v>1.15E-2</v>
      </c>
    </row>
    <row r="163" spans="2:5">
      <c r="B163" s="8"/>
      <c r="C163" s="1" t="str">
        <f>"GUERRERO"</f>
        <v>GUERRERO</v>
      </c>
      <c r="D163" s="2">
        <v>111</v>
      </c>
      <c r="E163" s="3">
        <v>1.8700000000000001E-2</v>
      </c>
    </row>
    <row r="164" spans="2:5">
      <c r="B164" s="8"/>
      <c r="C164" s="1" t="str">
        <f>"HIDALGO"</f>
        <v>HIDALGO</v>
      </c>
      <c r="D164" s="2">
        <v>23</v>
      </c>
      <c r="E164" s="3">
        <v>3.8999999999999998E-3</v>
      </c>
    </row>
    <row r="165" spans="2:5">
      <c r="B165" s="8"/>
      <c r="C165" s="1" t="str">
        <f>"JALISCO"</f>
        <v>JALISCO</v>
      </c>
      <c r="D165" s="2">
        <v>45</v>
      </c>
      <c r="E165" s="3">
        <v>7.6E-3</v>
      </c>
    </row>
    <row r="166" spans="2:5">
      <c r="B166" s="8"/>
      <c r="C166" s="1" t="str">
        <f>"MEXICO"</f>
        <v>MEXICO</v>
      </c>
      <c r="D166" s="2">
        <v>67</v>
      </c>
      <c r="E166" s="3">
        <v>1.1299999999999999E-2</v>
      </c>
    </row>
    <row r="167" spans="2:5">
      <c r="B167" s="8"/>
      <c r="C167" s="1" t="str">
        <f>"MICHOACAN DE OCAMPO"</f>
        <v>MICHOACAN DE OCAMPO</v>
      </c>
      <c r="D167" s="2">
        <v>67</v>
      </c>
      <c r="E167" s="3">
        <v>1.1299999999999999E-2</v>
      </c>
    </row>
    <row r="168" spans="2:5">
      <c r="B168" s="8"/>
      <c r="C168" s="1" t="str">
        <f>"MORELOS"</f>
        <v>MORELOS</v>
      </c>
      <c r="D168" s="2">
        <v>215</v>
      </c>
      <c r="E168" s="3">
        <v>3.6299999999999999E-2</v>
      </c>
    </row>
    <row r="169" spans="2:5">
      <c r="B169" s="8"/>
      <c r="C169" s="1" t="str">
        <f>"NAYARIT"</f>
        <v>NAYARIT</v>
      </c>
      <c r="D169" s="2">
        <v>33</v>
      </c>
      <c r="E169" s="3">
        <v>5.5999999999999999E-3</v>
      </c>
    </row>
    <row r="170" spans="2:5">
      <c r="B170" s="8"/>
      <c r="C170" s="1" t="str">
        <f>"NUEVO LEON"</f>
        <v>NUEVO LEON</v>
      </c>
      <c r="D170" s="2">
        <v>9</v>
      </c>
      <c r="E170" s="3">
        <v>1.5E-3</v>
      </c>
    </row>
    <row r="171" spans="2:5">
      <c r="B171" s="8"/>
      <c r="C171" s="1" t="str">
        <f>"OAXACA"</f>
        <v>OAXACA</v>
      </c>
      <c r="D171" s="2">
        <v>60</v>
      </c>
      <c r="E171" s="3">
        <v>1.01E-2</v>
      </c>
    </row>
    <row r="172" spans="2:5">
      <c r="B172" s="8"/>
      <c r="C172" s="1" t="str">
        <f>"PUEBLA"</f>
        <v>PUEBLA</v>
      </c>
      <c r="D172" s="2">
        <v>180</v>
      </c>
      <c r="E172" s="3">
        <v>3.04E-2</v>
      </c>
    </row>
    <row r="173" spans="2:5">
      <c r="B173" s="8"/>
      <c r="C173" s="1" t="str">
        <f>"QUERETARO DE ARTEAGA"</f>
        <v>QUERETARO DE ARTEAGA</v>
      </c>
      <c r="D173" s="2">
        <v>3</v>
      </c>
      <c r="E173" s="3">
        <v>5.0000000000000001E-4</v>
      </c>
    </row>
    <row r="174" spans="2:5">
      <c r="B174" s="8"/>
      <c r="C174" s="1" t="str">
        <f>"QUINTANA ROO"</f>
        <v>QUINTANA ROO</v>
      </c>
      <c r="D174" s="2">
        <v>6</v>
      </c>
      <c r="E174" s="3">
        <v>1E-3</v>
      </c>
    </row>
    <row r="175" spans="2:5">
      <c r="B175" s="8"/>
      <c r="C175" s="1" t="str">
        <f>"SAN LUIS POTOSI"</f>
        <v>SAN LUIS POTOSI</v>
      </c>
      <c r="D175" s="2">
        <v>13</v>
      </c>
      <c r="E175" s="3">
        <v>2.2000000000000001E-3</v>
      </c>
    </row>
    <row r="176" spans="2:5">
      <c r="B176" s="8"/>
      <c r="C176" s="1" t="str">
        <f>"SINALOA"</f>
        <v>SINALOA</v>
      </c>
      <c r="D176" s="2">
        <v>11</v>
      </c>
      <c r="E176" s="3">
        <v>1.9E-3</v>
      </c>
    </row>
    <row r="177" spans="2:5">
      <c r="B177" s="8"/>
      <c r="C177" s="1" t="str">
        <f>"SONORA"</f>
        <v>SONORA</v>
      </c>
      <c r="D177" s="2">
        <v>10</v>
      </c>
      <c r="E177" s="3">
        <v>1.6999999999999999E-3</v>
      </c>
    </row>
    <row r="178" spans="2:5">
      <c r="B178" s="8"/>
      <c r="C178" s="1" t="str">
        <f>"TABASCO"</f>
        <v>TABASCO</v>
      </c>
      <c r="D178" s="2">
        <v>4</v>
      </c>
      <c r="E178" s="3">
        <v>6.9999999999999999E-4</v>
      </c>
    </row>
    <row r="179" spans="2:5">
      <c r="B179" s="8"/>
      <c r="C179" s="1" t="str">
        <f>"TAMAULIPAS"</f>
        <v>TAMAULIPAS</v>
      </c>
      <c r="D179" s="2">
        <v>24</v>
      </c>
      <c r="E179" s="3">
        <v>4.0000000000000001E-3</v>
      </c>
    </row>
    <row r="180" spans="2:5">
      <c r="B180" s="8"/>
      <c r="C180" s="1" t="str">
        <f>"TLAXCALA"</f>
        <v>TLAXCALA</v>
      </c>
      <c r="D180" s="2">
        <v>8</v>
      </c>
      <c r="E180" s="3">
        <v>1.2999999999999999E-3</v>
      </c>
    </row>
    <row r="181" spans="2:5">
      <c r="B181" s="8"/>
      <c r="C181" s="1" t="str">
        <f>"VERACRUZ DE IGNACIO DE LA LLAVE"</f>
        <v>VERACRUZ DE IGNACIO DE LA LLAVE</v>
      </c>
      <c r="D181" s="2">
        <v>124</v>
      </c>
      <c r="E181" s="3">
        <v>2.0899999999999998E-2</v>
      </c>
    </row>
    <row r="182" spans="2:5">
      <c r="B182" s="8"/>
      <c r="C182" s="1" t="str">
        <f>"YUCATAN"</f>
        <v>YUCATAN</v>
      </c>
      <c r="D182" s="2">
        <v>1</v>
      </c>
      <c r="E182" s="3">
        <v>2.0000000000000001E-4</v>
      </c>
    </row>
    <row r="183" spans="2:5">
      <c r="B183" s="8"/>
      <c r="C183" s="1" t="str">
        <f>"ZACATECAS"</f>
        <v>ZACATECAS</v>
      </c>
      <c r="D183" s="2">
        <v>17</v>
      </c>
      <c r="E183" s="3">
        <v>2.8999999999999998E-3</v>
      </c>
    </row>
    <row r="184" spans="2:5" ht="16.5">
      <c r="B184" s="9"/>
      <c r="C184" s="10" t="str">
        <f>"Total"</f>
        <v>Total</v>
      </c>
      <c r="D184" s="11">
        <v>1328</v>
      </c>
      <c r="E184" s="12">
        <v>0.224</v>
      </c>
    </row>
    <row r="185" spans="2:5">
      <c r="B185" s="7" t="str">
        <f>"PROFESIONAL PASANTE"</f>
        <v>PROFESIONAL PASANTE</v>
      </c>
      <c r="C185" s="1" t="str">
        <f>"AGUASCALIENTES"</f>
        <v>AGUASCALIENTES</v>
      </c>
      <c r="D185" s="2">
        <v>2</v>
      </c>
      <c r="E185" s="3">
        <v>2.9999999999999997E-4</v>
      </c>
    </row>
    <row r="186" spans="2:5">
      <c r="B186" s="8" t="str">
        <f t="shared" ref="B185:B210" si="5">"65PROFESIONAL PASANTE"</f>
        <v>65PROFESIONAL PASANTE</v>
      </c>
      <c r="C186" s="1" t="str">
        <f>"BAJA CALIFORNIA"</f>
        <v>BAJA CALIFORNIA</v>
      </c>
      <c r="D186" s="2">
        <v>1</v>
      </c>
      <c r="E186" s="3">
        <v>2.0000000000000001E-4</v>
      </c>
    </row>
    <row r="187" spans="2:5">
      <c r="B187" s="8" t="str">
        <f t="shared" si="5"/>
        <v>65PROFESIONAL PASANTE</v>
      </c>
      <c r="C187" s="1" t="str">
        <f>"CHIAPAS"</f>
        <v>CHIAPAS</v>
      </c>
      <c r="D187" s="2">
        <v>1</v>
      </c>
      <c r="E187" s="3">
        <v>2.0000000000000001E-4</v>
      </c>
    </row>
    <row r="188" spans="2:5">
      <c r="B188" s="8" t="str">
        <f t="shared" si="5"/>
        <v>65PROFESIONAL PASANTE</v>
      </c>
      <c r="C188" s="1" t="str">
        <f>"CHIHUAHUA"</f>
        <v>CHIHUAHUA</v>
      </c>
      <c r="D188" s="2">
        <v>1</v>
      </c>
      <c r="E188" s="3">
        <v>2.0000000000000001E-4</v>
      </c>
    </row>
    <row r="189" spans="2:5">
      <c r="B189" s="8" t="str">
        <f t="shared" si="5"/>
        <v>65PROFESIONAL PASANTE</v>
      </c>
      <c r="C189" s="1" t="str">
        <f>"COAHUILA DE ZARAGOZA"</f>
        <v>COAHUILA DE ZARAGOZA</v>
      </c>
      <c r="D189" s="2">
        <v>3</v>
      </c>
      <c r="E189" s="3">
        <v>5.0000000000000001E-4</v>
      </c>
    </row>
    <row r="190" spans="2:5">
      <c r="B190" s="8" t="str">
        <f t="shared" si="5"/>
        <v>65PROFESIONAL PASANTE</v>
      </c>
      <c r="C190" s="1" t="str">
        <f>"COLIMA"</f>
        <v>COLIMA</v>
      </c>
      <c r="D190" s="2">
        <v>1</v>
      </c>
      <c r="E190" s="3">
        <v>2.0000000000000001E-4</v>
      </c>
    </row>
    <row r="191" spans="2:5">
      <c r="B191" s="8" t="str">
        <f t="shared" si="5"/>
        <v>65PROFESIONAL PASANTE</v>
      </c>
      <c r="C191" s="1" t="str">
        <f>"DISTRITO FEDERAL"</f>
        <v>DISTRITO FEDERAL</v>
      </c>
      <c r="D191" s="2">
        <v>13</v>
      </c>
      <c r="E191" s="3">
        <v>2.2000000000000001E-3</v>
      </c>
    </row>
    <row r="192" spans="2:5">
      <c r="B192" s="8" t="str">
        <f t="shared" si="5"/>
        <v>65PROFESIONAL PASANTE</v>
      </c>
      <c r="C192" s="1" t="str">
        <f>"DURANGO"</f>
        <v>DURANGO</v>
      </c>
      <c r="D192" s="2">
        <v>2</v>
      </c>
      <c r="E192" s="3">
        <v>2.9999999999999997E-4</v>
      </c>
    </row>
    <row r="193" spans="2:5">
      <c r="B193" s="8" t="str">
        <f t="shared" si="5"/>
        <v>65PROFESIONAL PASANTE</v>
      </c>
      <c r="C193" s="1" t="str">
        <f>"GUANAJUATO"</f>
        <v>GUANAJUATO</v>
      </c>
      <c r="D193" s="2">
        <v>3</v>
      </c>
      <c r="E193" s="3">
        <v>5.0000000000000001E-4</v>
      </c>
    </row>
    <row r="194" spans="2:5">
      <c r="B194" s="8" t="str">
        <f t="shared" si="5"/>
        <v>65PROFESIONAL PASANTE</v>
      </c>
      <c r="C194" s="1" t="str">
        <f>"GUERRERO"</f>
        <v>GUERRERO</v>
      </c>
      <c r="D194" s="2">
        <v>3</v>
      </c>
      <c r="E194" s="3">
        <v>5.0000000000000001E-4</v>
      </c>
    </row>
    <row r="195" spans="2:5">
      <c r="B195" s="8" t="str">
        <f t="shared" si="5"/>
        <v>65PROFESIONAL PASANTE</v>
      </c>
      <c r="C195" s="1" t="str">
        <f>"HIDALGO"</f>
        <v>HIDALGO</v>
      </c>
      <c r="D195" s="2">
        <v>2</v>
      </c>
      <c r="E195" s="3">
        <v>2.9999999999999997E-4</v>
      </c>
    </row>
    <row r="196" spans="2:5">
      <c r="B196" s="8" t="str">
        <f t="shared" si="5"/>
        <v>65PROFESIONAL PASANTE</v>
      </c>
      <c r="C196" s="1" t="str">
        <f>"JALISCO"</f>
        <v>JALISCO</v>
      </c>
      <c r="D196" s="2">
        <v>1</v>
      </c>
      <c r="E196" s="3">
        <v>2.0000000000000001E-4</v>
      </c>
    </row>
    <row r="197" spans="2:5">
      <c r="B197" s="8" t="str">
        <f t="shared" si="5"/>
        <v>65PROFESIONAL PASANTE</v>
      </c>
      <c r="C197" s="1" t="str">
        <f>"MEXICO"</f>
        <v>MEXICO</v>
      </c>
      <c r="D197" s="2">
        <v>6</v>
      </c>
      <c r="E197" s="3">
        <v>1E-3</v>
      </c>
    </row>
    <row r="198" spans="2:5">
      <c r="B198" s="8" t="str">
        <f t="shared" si="5"/>
        <v>65PROFESIONAL PASANTE</v>
      </c>
      <c r="C198" s="1" t="str">
        <f>"MICHOACAN DE OCAMPO"</f>
        <v>MICHOACAN DE OCAMPO</v>
      </c>
      <c r="D198" s="2">
        <v>1</v>
      </c>
      <c r="E198" s="3">
        <v>2.0000000000000001E-4</v>
      </c>
    </row>
    <row r="199" spans="2:5">
      <c r="B199" s="8" t="str">
        <f t="shared" si="5"/>
        <v>65PROFESIONAL PASANTE</v>
      </c>
      <c r="C199" s="1" t="str">
        <f>"MORELOS"</f>
        <v>MORELOS</v>
      </c>
      <c r="D199" s="2">
        <v>6</v>
      </c>
      <c r="E199" s="3">
        <v>1E-3</v>
      </c>
    </row>
    <row r="200" spans="2:5">
      <c r="B200" s="8" t="str">
        <f t="shared" si="5"/>
        <v>65PROFESIONAL PASANTE</v>
      </c>
      <c r="C200" s="1" t="str">
        <f>"NAYARIT"</f>
        <v>NAYARIT</v>
      </c>
      <c r="D200" s="2">
        <v>2</v>
      </c>
      <c r="E200" s="3">
        <v>2.9999999999999997E-4</v>
      </c>
    </row>
    <row r="201" spans="2:5">
      <c r="B201" s="8" t="str">
        <f t="shared" si="5"/>
        <v>65PROFESIONAL PASANTE</v>
      </c>
      <c r="C201" s="1" t="str">
        <f>"NUEVO LEON"</f>
        <v>NUEVO LEON</v>
      </c>
      <c r="D201" s="2">
        <v>3</v>
      </c>
      <c r="E201" s="3">
        <v>5.0000000000000001E-4</v>
      </c>
    </row>
    <row r="202" spans="2:5">
      <c r="B202" s="8" t="str">
        <f t="shared" si="5"/>
        <v>65PROFESIONAL PASANTE</v>
      </c>
      <c r="C202" s="1" t="str">
        <f>"OAXACA"</f>
        <v>OAXACA</v>
      </c>
      <c r="D202" s="2">
        <v>1</v>
      </c>
      <c r="E202" s="3">
        <v>2.0000000000000001E-4</v>
      </c>
    </row>
    <row r="203" spans="2:5">
      <c r="B203" s="8" t="str">
        <f t="shared" si="5"/>
        <v>65PROFESIONAL PASANTE</v>
      </c>
      <c r="C203" s="1" t="str">
        <f>"PUEBLA"</f>
        <v>PUEBLA</v>
      </c>
      <c r="D203" s="2">
        <v>10</v>
      </c>
      <c r="E203" s="3">
        <v>1.6999999999999999E-3</v>
      </c>
    </row>
    <row r="204" spans="2:5">
      <c r="B204" s="8" t="str">
        <f t="shared" si="5"/>
        <v>65PROFESIONAL PASANTE</v>
      </c>
      <c r="C204" s="1" t="str">
        <f>"SONORA"</f>
        <v>SONORA</v>
      </c>
      <c r="D204" s="2">
        <v>1</v>
      </c>
      <c r="E204" s="3">
        <v>2.0000000000000001E-4</v>
      </c>
    </row>
    <row r="205" spans="2:5">
      <c r="B205" s="8" t="str">
        <f t="shared" si="5"/>
        <v>65PROFESIONAL PASANTE</v>
      </c>
      <c r="C205" s="1" t="str">
        <f>"TABASCO"</f>
        <v>TABASCO</v>
      </c>
      <c r="D205" s="2">
        <v>3</v>
      </c>
      <c r="E205" s="3">
        <v>5.0000000000000001E-4</v>
      </c>
    </row>
    <row r="206" spans="2:5">
      <c r="B206" s="8" t="str">
        <f t="shared" si="5"/>
        <v>65PROFESIONAL PASANTE</v>
      </c>
      <c r="C206" s="1" t="str">
        <f>"TAMAULIPAS"</f>
        <v>TAMAULIPAS</v>
      </c>
      <c r="D206" s="2">
        <v>1</v>
      </c>
      <c r="E206" s="3">
        <v>2.0000000000000001E-4</v>
      </c>
    </row>
    <row r="207" spans="2:5">
      <c r="B207" s="8" t="str">
        <f t="shared" si="5"/>
        <v>65PROFESIONAL PASANTE</v>
      </c>
      <c r="C207" s="1" t="str">
        <f>"TLAXCALA"</f>
        <v>TLAXCALA</v>
      </c>
      <c r="D207" s="2">
        <v>1</v>
      </c>
      <c r="E207" s="3">
        <v>2.0000000000000001E-4</v>
      </c>
    </row>
    <row r="208" spans="2:5">
      <c r="B208" s="8" t="str">
        <f t="shared" si="5"/>
        <v>65PROFESIONAL PASANTE</v>
      </c>
      <c r="C208" s="1" t="str">
        <f>"VERACRUZ DE IGNACIO DE LA LLAVE"</f>
        <v>VERACRUZ DE IGNACIO DE LA LLAVE</v>
      </c>
      <c r="D208" s="2">
        <v>13</v>
      </c>
      <c r="E208" s="3">
        <v>2.2000000000000001E-3</v>
      </c>
    </row>
    <row r="209" spans="2:5">
      <c r="B209" s="8" t="str">
        <f t="shared" si="5"/>
        <v>65PROFESIONAL PASANTE</v>
      </c>
      <c r="C209" s="1" t="str">
        <f>"ZACATECAS"</f>
        <v>ZACATECAS</v>
      </c>
      <c r="D209" s="2">
        <v>1</v>
      </c>
      <c r="E209" s="3">
        <v>2.0000000000000001E-4</v>
      </c>
    </row>
    <row r="210" spans="2:5" ht="16.5">
      <c r="B210" s="8" t="str">
        <f t="shared" si="5"/>
        <v>65PROFESIONAL PASANTE</v>
      </c>
      <c r="C210" s="10" t="str">
        <f>"Total"</f>
        <v>Total</v>
      </c>
      <c r="D210" s="11">
        <v>82</v>
      </c>
      <c r="E210" s="12">
        <v>1.38E-2</v>
      </c>
    </row>
    <row r="211" spans="2:5">
      <c r="B211" s="7" t="str">
        <f>"PROFESIONAL TITULADO"</f>
        <v>PROFESIONAL TITULADO</v>
      </c>
      <c r="C211" s="1" t="str">
        <f>"CHIHUAHUA"</f>
        <v>CHIHUAHUA</v>
      </c>
      <c r="D211" s="2">
        <v>3</v>
      </c>
      <c r="E211" s="3">
        <v>5.0000000000000001E-4</v>
      </c>
    </row>
    <row r="212" spans="2:5">
      <c r="B212" s="8" t="str">
        <f t="shared" ref="B211:B225" si="6">"66PROFESIONAL TITULADO"</f>
        <v>66PROFESIONAL TITULADO</v>
      </c>
      <c r="C212" s="1" t="str">
        <f>"DISTRITO FEDERAL"</f>
        <v>DISTRITO FEDERAL</v>
      </c>
      <c r="D212" s="2">
        <v>6</v>
      </c>
      <c r="E212" s="3">
        <v>1E-3</v>
      </c>
    </row>
    <row r="213" spans="2:5">
      <c r="B213" s="8" t="str">
        <f t="shared" si="6"/>
        <v>66PROFESIONAL TITULADO</v>
      </c>
      <c r="C213" s="1" t="str">
        <f>"HIDALGO"</f>
        <v>HIDALGO</v>
      </c>
      <c r="D213" s="2">
        <v>1</v>
      </c>
      <c r="E213" s="3">
        <v>2.0000000000000001E-4</v>
      </c>
    </row>
    <row r="214" spans="2:5">
      <c r="B214" s="8" t="str">
        <f t="shared" si="6"/>
        <v>66PROFESIONAL TITULADO</v>
      </c>
      <c r="C214" s="1" t="str">
        <f>"JALISCO"</f>
        <v>JALISCO</v>
      </c>
      <c r="D214" s="2">
        <v>4</v>
      </c>
      <c r="E214" s="3">
        <v>6.9999999999999999E-4</v>
      </c>
    </row>
    <row r="215" spans="2:5">
      <c r="B215" s="8" t="str">
        <f t="shared" si="6"/>
        <v>66PROFESIONAL TITULADO</v>
      </c>
      <c r="C215" s="1" t="str">
        <f>"MEXICO"</f>
        <v>MEXICO</v>
      </c>
      <c r="D215" s="2">
        <v>4</v>
      </c>
      <c r="E215" s="3">
        <v>6.9999999999999999E-4</v>
      </c>
    </row>
    <row r="216" spans="2:5">
      <c r="B216" s="8" t="str">
        <f t="shared" si="6"/>
        <v>66PROFESIONAL TITULADO</v>
      </c>
      <c r="C216" s="1" t="str">
        <f>"MICHOACAN DE OCAMPO"</f>
        <v>MICHOACAN DE OCAMPO</v>
      </c>
      <c r="D216" s="2">
        <v>1</v>
      </c>
      <c r="E216" s="3">
        <v>2.0000000000000001E-4</v>
      </c>
    </row>
    <row r="217" spans="2:5">
      <c r="B217" s="8" t="str">
        <f t="shared" si="6"/>
        <v>66PROFESIONAL TITULADO</v>
      </c>
      <c r="C217" s="1" t="str">
        <f>"MORELOS"</f>
        <v>MORELOS</v>
      </c>
      <c r="D217" s="2">
        <v>10</v>
      </c>
      <c r="E217" s="3">
        <v>1.6999999999999999E-3</v>
      </c>
    </row>
    <row r="218" spans="2:5">
      <c r="B218" s="8" t="str">
        <f t="shared" si="6"/>
        <v>66PROFESIONAL TITULADO</v>
      </c>
      <c r="C218" s="1" t="str">
        <f>"NUEVO LEON"</f>
        <v>NUEVO LEON</v>
      </c>
      <c r="D218" s="2">
        <v>2</v>
      </c>
      <c r="E218" s="3">
        <v>2.9999999999999997E-4</v>
      </c>
    </row>
    <row r="219" spans="2:5">
      <c r="B219" s="8" t="str">
        <f t="shared" si="6"/>
        <v>66PROFESIONAL TITULADO</v>
      </c>
      <c r="C219" s="1" t="str">
        <f>"OAXACA"</f>
        <v>OAXACA</v>
      </c>
      <c r="D219" s="2">
        <v>2</v>
      </c>
      <c r="E219" s="3">
        <v>2.9999999999999997E-4</v>
      </c>
    </row>
    <row r="220" spans="2:5">
      <c r="B220" s="8" t="str">
        <f t="shared" si="6"/>
        <v>66PROFESIONAL TITULADO</v>
      </c>
      <c r="C220" s="1" t="str">
        <f>"PUEBLA"</f>
        <v>PUEBLA</v>
      </c>
      <c r="D220" s="2">
        <v>4</v>
      </c>
      <c r="E220" s="3">
        <v>6.9999999999999999E-4</v>
      </c>
    </row>
    <row r="221" spans="2:5">
      <c r="B221" s="8" t="str">
        <f t="shared" si="6"/>
        <v>66PROFESIONAL TITULADO</v>
      </c>
      <c r="C221" s="1" t="str">
        <f>"SAN LUIS POTOSI"</f>
        <v>SAN LUIS POTOSI</v>
      </c>
      <c r="D221" s="2">
        <v>1</v>
      </c>
      <c r="E221" s="3">
        <v>2.0000000000000001E-4</v>
      </c>
    </row>
    <row r="222" spans="2:5">
      <c r="B222" s="8" t="str">
        <f t="shared" si="6"/>
        <v>66PROFESIONAL TITULADO</v>
      </c>
      <c r="C222" s="1" t="str">
        <f>"TABASCO"</f>
        <v>TABASCO</v>
      </c>
      <c r="D222" s="2">
        <v>1</v>
      </c>
      <c r="E222" s="3">
        <v>2.0000000000000001E-4</v>
      </c>
    </row>
    <row r="223" spans="2:5">
      <c r="B223" s="8" t="str">
        <f t="shared" si="6"/>
        <v>66PROFESIONAL TITULADO</v>
      </c>
      <c r="C223" s="1" t="str">
        <f>"TAMAULIPAS"</f>
        <v>TAMAULIPAS</v>
      </c>
      <c r="D223" s="2">
        <v>2</v>
      </c>
      <c r="E223" s="3">
        <v>2.9999999999999997E-4</v>
      </c>
    </row>
    <row r="224" spans="2:5">
      <c r="B224" s="8" t="str">
        <f t="shared" si="6"/>
        <v>66PROFESIONAL TITULADO</v>
      </c>
      <c r="C224" s="1" t="str">
        <f>"VERACRUZ DE IGNACIO DE LA LLAVE"</f>
        <v>VERACRUZ DE IGNACIO DE LA LLAVE</v>
      </c>
      <c r="D224" s="2">
        <v>5</v>
      </c>
      <c r="E224" s="3">
        <v>8.0000000000000004E-4</v>
      </c>
    </row>
    <row r="225" spans="2:5" ht="16.5">
      <c r="B225" s="8" t="str">
        <f t="shared" si="6"/>
        <v>66PROFESIONAL TITULADO</v>
      </c>
      <c r="C225" s="10" t="str">
        <f>"Total"</f>
        <v>Total</v>
      </c>
      <c r="D225" s="11">
        <v>46</v>
      </c>
      <c r="E225" s="12">
        <v>7.7999999999999996E-3</v>
      </c>
    </row>
    <row r="226" spans="2:5" ht="16.5">
      <c r="B226" s="13" t="s">
        <v>10</v>
      </c>
      <c r="C226" s="14" t="str">
        <f>" "</f>
        <v> </v>
      </c>
      <c r="D226" s="15">
        <v>5928</v>
      </c>
      <c r="E226" s="16">
        <v>1</v>
      </c>
    </row>
    <row r="230" spans="2:5">
      <c r="B230" s="17" t="s">
        <v>4</v>
      </c>
    </row>
    <row r="231" spans="2:5">
      <c r="B231" s="17" t="s">
        <v>5</v>
      </c>
    </row>
    <row r="232" spans="2:5">
      <c r="B232" s="17" t="s">
        <v>6</v>
      </c>
    </row>
    <row r="233" spans="2:5">
      <c r="B233" s="17" t="s">
        <v>7</v>
      </c>
    </row>
    <row r="234" spans="2:5">
      <c r="B234" s="17" t="s">
        <v>8</v>
      </c>
    </row>
  </sheetData>
  <mergeCells count="15">
    <mergeCell ref="B153:B184"/>
    <mergeCell ref="B185:B210"/>
    <mergeCell ref="B211:B225"/>
    <mergeCell ref="B74:B75"/>
    <mergeCell ref="B76:B108"/>
    <mergeCell ref="B109:B133"/>
    <mergeCell ref="B134:B152"/>
    <mergeCell ref="B25:B28"/>
    <mergeCell ref="B29:B30"/>
    <mergeCell ref="B31:B34"/>
    <mergeCell ref="B35:B41"/>
    <mergeCell ref="B42:B73"/>
    <mergeCell ref="B6:E7"/>
    <mergeCell ref="B10:B21"/>
    <mergeCell ref="B22:B24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easCAJORV52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2012-03-22T22:59:30Z</dcterms:created>
  <dcterms:modified xsi:type="dcterms:W3CDTF">2012-03-23T20:18:28Z</dcterms:modified>
</cp:coreProperties>
</file>