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VTT000" sheetId="2" r:id="rId1"/>
  </sheets>
  <calcPr calcId="125725"/>
</workbook>
</file>

<file path=xl/calcChain.xml><?xml version="1.0" encoding="utf-8"?>
<calcChain xmlns="http://schemas.openxmlformats.org/spreadsheetml/2006/main">
  <c r="B316" i="2"/>
  <c r="B304"/>
  <c r="B302"/>
  <c r="B299"/>
  <c r="B297"/>
  <c r="B293"/>
  <c r="B263"/>
  <c r="B238"/>
  <c r="B230"/>
  <c r="B198"/>
  <c r="B178"/>
  <c r="B154"/>
  <c r="B140"/>
  <c r="B112"/>
  <c r="B88"/>
  <c r="B74"/>
  <c r="B58"/>
  <c r="B44"/>
  <c r="B29"/>
  <c r="B26"/>
  <c r="B10"/>
  <c r="C339"/>
  <c r="C338"/>
  <c r="B338"/>
  <c r="C337"/>
  <c r="B337"/>
  <c r="C336"/>
  <c r="B336"/>
  <c r="C335"/>
  <c r="B335"/>
  <c r="C334"/>
  <c r="B334"/>
  <c r="C333"/>
  <c r="B333"/>
  <c r="C332"/>
  <c r="B332"/>
  <c r="C331"/>
  <c r="B331"/>
  <c r="C330"/>
  <c r="B330"/>
  <c r="C329"/>
  <c r="B329"/>
  <c r="C328"/>
  <c r="B328"/>
  <c r="C327"/>
  <c r="B327"/>
  <c r="C326"/>
  <c r="B326"/>
  <c r="C325"/>
  <c r="B325"/>
  <c r="C324"/>
  <c r="B324"/>
  <c r="C323"/>
  <c r="B323"/>
  <c r="C322"/>
  <c r="B322"/>
  <c r="C321"/>
  <c r="B321"/>
  <c r="C320"/>
  <c r="B320"/>
  <c r="C319"/>
  <c r="B319"/>
  <c r="C318"/>
  <c r="B318"/>
  <c r="C317"/>
  <c r="B317"/>
  <c r="C316"/>
  <c r="C315"/>
  <c r="B315"/>
  <c r="C314"/>
  <c r="B314"/>
  <c r="C313"/>
  <c r="B313"/>
  <c r="C312"/>
  <c r="B312"/>
  <c r="C311"/>
  <c r="B311"/>
  <c r="C310"/>
  <c r="B310"/>
  <c r="C309"/>
  <c r="B309"/>
  <c r="C308"/>
  <c r="B308"/>
  <c r="C307"/>
  <c r="B307"/>
  <c r="C306"/>
  <c r="B306"/>
  <c r="C305"/>
  <c r="B305"/>
  <c r="C304"/>
  <c r="C303"/>
  <c r="B303"/>
  <c r="C302"/>
  <c r="C301"/>
  <c r="B301"/>
  <c r="C300"/>
  <c r="B300"/>
  <c r="C299"/>
  <c r="C298"/>
  <c r="B298"/>
  <c r="C297"/>
  <c r="C296"/>
  <c r="B296"/>
  <c r="C295"/>
  <c r="B295"/>
  <c r="C294"/>
  <c r="B294"/>
  <c r="C293"/>
  <c r="C292"/>
  <c r="B292"/>
  <c r="C291"/>
  <c r="B291"/>
  <c r="C290"/>
  <c r="B290"/>
  <c r="C289"/>
  <c r="B289"/>
  <c r="C288"/>
  <c r="B288"/>
  <c r="C287"/>
  <c r="B287"/>
  <c r="C286"/>
  <c r="B286"/>
  <c r="C285"/>
  <c r="B285"/>
  <c r="C284"/>
  <c r="B284"/>
  <c r="C283"/>
  <c r="B283"/>
  <c r="C282"/>
  <c r="B282"/>
  <c r="C281"/>
  <c r="B281"/>
  <c r="C280"/>
  <c r="B280"/>
  <c r="C279"/>
  <c r="B279"/>
  <c r="C278"/>
  <c r="B278"/>
  <c r="C277"/>
  <c r="B277"/>
  <c r="C276"/>
  <c r="B276"/>
  <c r="C275"/>
  <c r="B275"/>
  <c r="C274"/>
  <c r="B274"/>
  <c r="C273"/>
  <c r="B273"/>
  <c r="C272"/>
  <c r="B272"/>
  <c r="C271"/>
  <c r="B271"/>
  <c r="C270"/>
  <c r="B270"/>
  <c r="C269"/>
  <c r="B269"/>
  <c r="C268"/>
  <c r="B268"/>
  <c r="C267"/>
  <c r="B267"/>
  <c r="C266"/>
  <c r="B266"/>
  <c r="C265"/>
  <c r="B265"/>
  <c r="C264"/>
  <c r="B264"/>
  <c r="C263"/>
  <c r="C262"/>
  <c r="B262"/>
  <c r="C261"/>
  <c r="B261"/>
  <c r="C260"/>
  <c r="B260"/>
  <c r="C259"/>
  <c r="B259"/>
  <c r="C258"/>
  <c r="B258"/>
  <c r="C257"/>
  <c r="B257"/>
  <c r="C256"/>
  <c r="B256"/>
  <c r="C255"/>
  <c r="B255"/>
  <c r="C254"/>
  <c r="B254"/>
  <c r="C253"/>
  <c r="B253"/>
  <c r="C252"/>
  <c r="B252"/>
  <c r="C251"/>
  <c r="B251"/>
  <c r="C250"/>
  <c r="B250"/>
  <c r="C249"/>
  <c r="B249"/>
  <c r="C248"/>
  <c r="B248"/>
  <c r="C247"/>
  <c r="B247"/>
  <c r="C246"/>
  <c r="B246"/>
  <c r="C245"/>
  <c r="B245"/>
  <c r="C244"/>
  <c r="B244"/>
  <c r="C243"/>
  <c r="B243"/>
  <c r="C242"/>
  <c r="B242"/>
  <c r="C241"/>
  <c r="B241"/>
  <c r="C240"/>
  <c r="B240"/>
  <c r="C239"/>
  <c r="B239"/>
  <c r="C238"/>
  <c r="C237"/>
  <c r="B237"/>
  <c r="C236"/>
  <c r="B236"/>
  <c r="C235"/>
  <c r="B235"/>
  <c r="C234"/>
  <c r="B234"/>
  <c r="C233"/>
  <c r="B233"/>
  <c r="C232"/>
  <c r="B232"/>
  <c r="C231"/>
  <c r="B231"/>
  <c r="C230"/>
  <c r="C229"/>
  <c r="B229"/>
  <c r="C228"/>
  <c r="B228"/>
  <c r="C227"/>
  <c r="B227"/>
  <c r="C226"/>
  <c r="B226"/>
  <c r="C225"/>
  <c r="B225"/>
  <c r="C224"/>
  <c r="B224"/>
  <c r="C223"/>
  <c r="B223"/>
  <c r="C222"/>
  <c r="B222"/>
  <c r="C221"/>
  <c r="B221"/>
  <c r="C220"/>
  <c r="B220"/>
  <c r="C219"/>
  <c r="B219"/>
  <c r="C218"/>
  <c r="B218"/>
  <c r="C217"/>
  <c r="B217"/>
  <c r="C216"/>
  <c r="B216"/>
  <c r="C215"/>
  <c r="B215"/>
  <c r="C214"/>
  <c r="B214"/>
  <c r="C213"/>
  <c r="B213"/>
  <c r="C212"/>
  <c r="B212"/>
  <c r="C211"/>
  <c r="B211"/>
  <c r="C210"/>
  <c r="B210"/>
  <c r="C209"/>
  <c r="B209"/>
  <c r="C208"/>
  <c r="B208"/>
  <c r="C207"/>
  <c r="B207"/>
  <c r="C206"/>
  <c r="B206"/>
  <c r="C205"/>
  <c r="B205"/>
  <c r="C204"/>
  <c r="B204"/>
  <c r="C203"/>
  <c r="B203"/>
  <c r="C202"/>
  <c r="B202"/>
  <c r="C201"/>
  <c r="B201"/>
  <c r="C200"/>
  <c r="B200"/>
  <c r="C199"/>
  <c r="B199"/>
  <c r="C198"/>
  <c r="C197"/>
  <c r="B197"/>
  <c r="C196"/>
  <c r="B196"/>
  <c r="C195"/>
  <c r="B195"/>
  <c r="C194"/>
  <c r="B194"/>
  <c r="C193"/>
  <c r="B193"/>
  <c r="C192"/>
  <c r="B192"/>
  <c r="C191"/>
  <c r="B191"/>
  <c r="C190"/>
  <c r="B190"/>
  <c r="C189"/>
  <c r="B189"/>
  <c r="C188"/>
  <c r="B188"/>
  <c r="C187"/>
  <c r="B187"/>
  <c r="C186"/>
  <c r="B186"/>
  <c r="C185"/>
  <c r="B185"/>
  <c r="C184"/>
  <c r="B184"/>
  <c r="C183"/>
  <c r="B183"/>
  <c r="C182"/>
  <c r="B182"/>
  <c r="C181"/>
  <c r="B181"/>
  <c r="C180"/>
  <c r="B180"/>
  <c r="C179"/>
  <c r="B179"/>
  <c r="C178"/>
  <c r="C177"/>
  <c r="B177"/>
  <c r="C176"/>
  <c r="B176"/>
  <c r="C175"/>
  <c r="B175"/>
  <c r="C174"/>
  <c r="B174"/>
  <c r="C173"/>
  <c r="B173"/>
  <c r="C172"/>
  <c r="B172"/>
  <c r="C171"/>
  <c r="B171"/>
  <c r="C170"/>
  <c r="B170"/>
  <c r="C169"/>
  <c r="B169"/>
  <c r="C168"/>
  <c r="B168"/>
  <c r="C167"/>
  <c r="B167"/>
  <c r="C166"/>
  <c r="B166"/>
  <c r="C165"/>
  <c r="B165"/>
  <c r="C164"/>
  <c r="B164"/>
  <c r="C163"/>
  <c r="B163"/>
  <c r="C162"/>
  <c r="B162"/>
  <c r="C161"/>
  <c r="B161"/>
  <c r="C160"/>
  <c r="B160"/>
  <c r="C159"/>
  <c r="B159"/>
  <c r="C158"/>
  <c r="B158"/>
  <c r="C157"/>
  <c r="B157"/>
  <c r="C156"/>
  <c r="B156"/>
  <c r="C155"/>
  <c r="B155"/>
  <c r="C154"/>
  <c r="C153"/>
  <c r="B153"/>
  <c r="C152"/>
  <c r="B152"/>
  <c r="C151"/>
  <c r="B151"/>
  <c r="C150"/>
  <c r="B150"/>
  <c r="C149"/>
  <c r="B149"/>
  <c r="C148"/>
  <c r="B148"/>
  <c r="C147"/>
  <c r="B147"/>
  <c r="C146"/>
  <c r="B146"/>
  <c r="C145"/>
  <c r="B145"/>
  <c r="C144"/>
  <c r="B144"/>
  <c r="C143"/>
  <c r="B143"/>
  <c r="C142"/>
  <c r="B142"/>
  <c r="C141"/>
  <c r="B141"/>
  <c r="C140"/>
  <c r="C139"/>
  <c r="B139"/>
  <c r="C138"/>
  <c r="B138"/>
  <c r="C137"/>
  <c r="B137"/>
  <c r="C136"/>
  <c r="B136"/>
  <c r="C135"/>
  <c r="B135"/>
  <c r="C134"/>
  <c r="B134"/>
  <c r="C133"/>
  <c r="B133"/>
  <c r="C132"/>
  <c r="B132"/>
  <c r="C131"/>
  <c r="B131"/>
  <c r="C130"/>
  <c r="B130"/>
  <c r="C129"/>
  <c r="B129"/>
  <c r="C128"/>
  <c r="B128"/>
  <c r="C127"/>
  <c r="B127"/>
  <c r="C126"/>
  <c r="B126"/>
  <c r="C125"/>
  <c r="B125"/>
  <c r="C124"/>
  <c r="B124"/>
  <c r="C123"/>
  <c r="B123"/>
  <c r="C122"/>
  <c r="B122"/>
  <c r="C121"/>
  <c r="B121"/>
  <c r="C120"/>
  <c r="B120"/>
  <c r="C119"/>
  <c r="B119"/>
  <c r="C118"/>
  <c r="B118"/>
  <c r="C117"/>
  <c r="B117"/>
  <c r="C116"/>
  <c r="B116"/>
  <c r="C115"/>
  <c r="B115"/>
  <c r="C114"/>
  <c r="B114"/>
  <c r="C113"/>
  <c r="B113"/>
  <c r="C112"/>
  <c r="C111"/>
  <c r="B111"/>
  <c r="C110"/>
  <c r="B110"/>
  <c r="C109"/>
  <c r="B109"/>
  <c r="C108"/>
  <c r="B108"/>
  <c r="C107"/>
  <c r="B107"/>
  <c r="C106"/>
  <c r="B106"/>
  <c r="C105"/>
  <c r="B105"/>
  <c r="C104"/>
  <c r="B104"/>
  <c r="C103"/>
  <c r="B103"/>
  <c r="C102"/>
  <c r="B102"/>
  <c r="C101"/>
  <c r="B101"/>
  <c r="C100"/>
  <c r="B100"/>
  <c r="C99"/>
  <c r="B99"/>
  <c r="C98"/>
  <c r="B98"/>
  <c r="C97"/>
  <c r="B97"/>
  <c r="C96"/>
  <c r="B96"/>
  <c r="C95"/>
  <c r="B95"/>
  <c r="C94"/>
  <c r="B94"/>
  <c r="C93"/>
  <c r="B93"/>
  <c r="C92"/>
  <c r="B92"/>
  <c r="C91"/>
  <c r="B91"/>
  <c r="C90"/>
  <c r="B90"/>
  <c r="C89"/>
  <c r="B89"/>
  <c r="C88"/>
  <c r="C87"/>
  <c r="B87"/>
  <c r="C86"/>
  <c r="B86"/>
  <c r="C85"/>
  <c r="B85"/>
  <c r="C84"/>
  <c r="B84"/>
  <c r="C83"/>
  <c r="B83"/>
  <c r="C82"/>
  <c r="B82"/>
  <c r="C81"/>
  <c r="B81"/>
  <c r="C80"/>
  <c r="B80"/>
  <c r="C79"/>
  <c r="B79"/>
  <c r="C78"/>
  <c r="B78"/>
  <c r="C77"/>
  <c r="B77"/>
  <c r="C76"/>
  <c r="B76"/>
  <c r="C75"/>
  <c r="B75"/>
  <c r="C74"/>
  <c r="C73"/>
  <c r="B73"/>
  <c r="C72"/>
  <c r="B72"/>
  <c r="C71"/>
  <c r="B71"/>
  <c r="C70"/>
  <c r="B70"/>
  <c r="C69"/>
  <c r="B69"/>
  <c r="C68"/>
  <c r="B68"/>
  <c r="C67"/>
  <c r="B67"/>
  <c r="C66"/>
  <c r="B66"/>
  <c r="C65"/>
  <c r="B65"/>
  <c r="C64"/>
  <c r="B64"/>
  <c r="C63"/>
  <c r="B63"/>
  <c r="C62"/>
  <c r="B62"/>
  <c r="C61"/>
  <c r="B61"/>
  <c r="C60"/>
  <c r="B60"/>
  <c r="C59"/>
  <c r="B59"/>
  <c r="C58"/>
  <c r="C57"/>
  <c r="B57"/>
  <c r="C56"/>
  <c r="B56"/>
  <c r="C55"/>
  <c r="B55"/>
  <c r="C54"/>
  <c r="B54"/>
  <c r="C53"/>
  <c r="B53"/>
  <c r="C52"/>
  <c r="B52"/>
  <c r="C51"/>
  <c r="B51"/>
  <c r="C50"/>
  <c r="B50"/>
  <c r="C49"/>
  <c r="B49"/>
  <c r="C48"/>
  <c r="B48"/>
  <c r="C47"/>
  <c r="B47"/>
  <c r="C46"/>
  <c r="B46"/>
  <c r="C45"/>
  <c r="B45"/>
  <c r="C44"/>
  <c r="C43"/>
  <c r="B43"/>
  <c r="C42"/>
  <c r="B42"/>
  <c r="C41"/>
  <c r="B41"/>
  <c r="C40"/>
  <c r="B40"/>
  <c r="C39"/>
  <c r="B39"/>
  <c r="C38"/>
  <c r="B38"/>
  <c r="C37"/>
  <c r="B37"/>
  <c r="C36"/>
  <c r="B36"/>
  <c r="C35"/>
  <c r="B35"/>
  <c r="C34"/>
  <c r="B34"/>
  <c r="C33"/>
  <c r="B33"/>
  <c r="C32"/>
  <c r="B32"/>
  <c r="C31"/>
  <c r="B31"/>
  <c r="C30"/>
  <c r="B30"/>
  <c r="C29"/>
  <c r="C28"/>
  <c r="B28"/>
  <c r="C27"/>
  <c r="B27"/>
  <c r="C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</calcChain>
</file>

<file path=xl/sharedStrings.xml><?xml version="1.0" encoding="utf-8"?>
<sst xmlns="http://schemas.openxmlformats.org/spreadsheetml/2006/main" count="11" uniqueCount="11">
  <si>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</si>
  <si>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</si>
  <si>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</si>
  <si>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</si>
  <si>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</si>
  <si>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</si>
  <si>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</si>
  <si>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</si>
  <si>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</si>
  <si>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>MATRÍCULAS CONSULARES EXPEDIDAS EN EL ESTADO DE LOUISIANA EE.UU. POR ESTADOS DE LA REPUBLICA MEXICANA Y NIVEL DE EDUCACIÓN, DURANTE EL 2010</t>
  </si>
  <si>
    <t>TOTAL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</si>
</sst>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b/>
      <sz val="11"/>
      <color theme="1"/>
      <name val="Arial Narrow"/>
      <family val="2"/>
    </font>
    <font>
      <sz val="11"/>
      <color theme="1" tint="4.9989318521683403E-2"/>
      <name val="Arial Narrow"/>
      <family val="2"/>
    </font>
    <font>
      <b/>
      <sz val="11"/>
      <color theme="0" tint="-4.9989318521683403E-2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9" fillId="33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wrapText="1"/>
    </xf>
    <xf numFmtId="0" fontId="21" fillId="34" borderId="10" xfId="0" applyFont="1" applyFill="1" applyBorder="1" applyAlignment="1">
      <alignment horizontal="right" wrapText="1"/>
    </xf>
    <xf numFmtId="10" fontId="21" fillId="34" borderId="10" xfId="0" applyNumberFormat="1" applyFont="1" applyFill="1" applyBorder="1" applyAlignment="1">
      <alignment horizontal="right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22" fillId="33" borderId="13" xfId="0" applyFont="1" applyFill="1" applyBorder="1" applyAlignment="1">
      <alignment wrapText="1"/>
    </xf>
    <xf numFmtId="0" fontId="22" fillId="33" borderId="13" xfId="0" applyFont="1" applyFill="1" applyBorder="1" applyAlignment="1">
      <alignment horizontal="right" wrapText="1"/>
    </xf>
    <xf numFmtId="3" fontId="22" fillId="33" borderId="14" xfId="0" applyNumberFormat="1" applyFont="1" applyFill="1" applyBorder="1" applyAlignment="1">
      <alignment horizontal="right" wrapText="1"/>
    </xf>
    <xf numFmtId="10" fontId="22" fillId="33" borderId="14" xfId="0" applyNumberFormat="1" applyFont="1" applyFill="1" applyBorder="1" applyAlignment="1">
      <alignment horizontal="right" wrapText="1"/>
    </xf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48250" y="28575"/>
          <a:ext cx="1095375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346"/>
  <sheetViews>
    <sheetView showGridLines="0" tabSelected="1" workbookViewId="0">
      <selection activeCell="B340" sqref="B340"/>
    </sheetView>
  </sheetViews>
  <sheetFormatPr baseColWidth="10" defaultRowHeight="15"/>
  <cols>
    <col min="2" max="2" width="29.42578125" customWidth="1"/>
    <col min="3" max="3" width="33.140625" customWidth="1"/>
    <col min="4" max="4" width="11.28515625" customWidth="1"/>
    <col min="5" max="5" width="16.140625" bestFit="1" customWidth="1"/>
  </cols>
  <sheetData>
    <row r="6" spans="1:5">
      <c r="B6" s="4" t="s">
        <v>9</v>
      </c>
      <c r="C6" s="4"/>
      <c r="D6" s="4"/>
      <c r="E6" s="4"/>
    </row>
    <row r="7" spans="1:5" ht="16.5">
      <c r="A7" s="5"/>
      <c r="B7" s="4"/>
      <c r="C7" s="4"/>
      <c r="D7" s="4"/>
      <c r="E7" s="4"/>
    </row>
    <row r="9" spans="1:5" ht="33">
      <c r="B9" s="6" t="s">
        <v>0</v>
      </c>
      <c r="C9" s="6" t="s">
        <v>1</v>
      </c>
      <c r="D9" s="6" t="s">
        <v>2</v>
      </c>
      <c r="E9" s="6" t="s">
        <v>3</v>
      </c>
    </row>
    <row r="10" spans="1:5">
      <c r="B10" s="10" t="str">
        <f>"SIN ESTUDIOS"</f>
        <v>SIN ESTUDIOS</v>
      </c>
      <c r="C10" s="1" t="str">
        <f>"CHIAPAS"</f>
        <v>CHIAPAS</v>
      </c>
      <c r="D10" s="2">
        <v>2</v>
      </c>
      <c r="E10" s="3">
        <v>8.0000000000000004E-4</v>
      </c>
    </row>
    <row r="11" spans="1:5">
      <c r="B11" s="11" t="str">
        <f t="shared" ref="B10:B25" si="0">"11SIN ESTUDIOS"</f>
        <v>11SIN ESTUDIOS</v>
      </c>
      <c r="C11" s="1" t="str">
        <f>"DISTRITO FEDERAL"</f>
        <v>DISTRITO FEDERAL</v>
      </c>
      <c r="D11" s="2">
        <v>2</v>
      </c>
      <c r="E11" s="3">
        <v>8.0000000000000004E-4</v>
      </c>
    </row>
    <row r="12" spans="1:5">
      <c r="B12" s="11" t="str">
        <f t="shared" si="0"/>
        <v>11SIN ESTUDIOS</v>
      </c>
      <c r="C12" s="1" t="str">
        <f>"DURANGO"</f>
        <v>DURANGO</v>
      </c>
      <c r="D12" s="2">
        <v>1</v>
      </c>
      <c r="E12" s="3">
        <v>4.0000000000000002E-4</v>
      </c>
    </row>
    <row r="13" spans="1:5">
      <c r="B13" s="11" t="str">
        <f t="shared" si="0"/>
        <v>11SIN ESTUDIOS</v>
      </c>
      <c r="C13" s="1" t="str">
        <f>"GUANAJUATO"</f>
        <v>GUANAJUATO</v>
      </c>
      <c r="D13" s="2">
        <v>9</v>
      </c>
      <c r="E13" s="3">
        <v>3.7000000000000002E-3</v>
      </c>
    </row>
    <row r="14" spans="1:5">
      <c r="B14" s="11" t="str">
        <f t="shared" si="0"/>
        <v>11SIN ESTUDIOS</v>
      </c>
      <c r="C14" s="1" t="str">
        <f>"HIDALGO"</f>
        <v>HIDALGO</v>
      </c>
      <c r="D14" s="2">
        <v>1</v>
      </c>
      <c r="E14" s="3">
        <v>4.0000000000000002E-4</v>
      </c>
    </row>
    <row r="15" spans="1:5">
      <c r="B15" s="11" t="str">
        <f t="shared" si="0"/>
        <v>11SIN ESTUDIOS</v>
      </c>
      <c r="C15" s="1" t="str">
        <f>"JALISCO"</f>
        <v>JALISCO</v>
      </c>
      <c r="D15" s="2">
        <v>2</v>
      </c>
      <c r="E15" s="3">
        <v>8.0000000000000004E-4</v>
      </c>
    </row>
    <row r="16" spans="1:5">
      <c r="B16" s="11" t="str">
        <f t="shared" si="0"/>
        <v>11SIN ESTUDIOS</v>
      </c>
      <c r="C16" s="1" t="str">
        <f>"MEXICO"</f>
        <v>MEXICO</v>
      </c>
      <c r="D16" s="2">
        <v>2</v>
      </c>
      <c r="E16" s="3">
        <v>8.0000000000000004E-4</v>
      </c>
    </row>
    <row r="17" spans="2:5">
      <c r="B17" s="11" t="str">
        <f t="shared" si="0"/>
        <v>11SIN ESTUDIOS</v>
      </c>
      <c r="C17" s="1" t="str">
        <f>"NAYARIT"</f>
        <v>NAYARIT</v>
      </c>
      <c r="D17" s="2">
        <v>1</v>
      </c>
      <c r="E17" s="3">
        <v>4.0000000000000002E-4</v>
      </c>
    </row>
    <row r="18" spans="2:5">
      <c r="B18" s="11" t="str">
        <f t="shared" si="0"/>
        <v>11SIN ESTUDIOS</v>
      </c>
      <c r="C18" s="1" t="str">
        <f>"PUEBLA"</f>
        <v>PUEBLA</v>
      </c>
      <c r="D18" s="2">
        <v>1</v>
      </c>
      <c r="E18" s="3">
        <v>4.0000000000000002E-4</v>
      </c>
    </row>
    <row r="19" spans="2:5">
      <c r="B19" s="11" t="str">
        <f t="shared" si="0"/>
        <v>11SIN ESTUDIOS</v>
      </c>
      <c r="C19" s="1" t="str">
        <f>"QUERETARO DE ARTEAGA"</f>
        <v>QUERETARO DE ARTEAGA</v>
      </c>
      <c r="D19" s="2">
        <v>2</v>
      </c>
      <c r="E19" s="3">
        <v>8.0000000000000004E-4</v>
      </c>
    </row>
    <row r="20" spans="2:5">
      <c r="B20" s="11" t="str">
        <f t="shared" si="0"/>
        <v>11SIN ESTUDIOS</v>
      </c>
      <c r="C20" s="1" t="str">
        <f>"SAN LUIS POTOSI"</f>
        <v>SAN LUIS POTOSI</v>
      </c>
      <c r="D20" s="2">
        <v>3</v>
      </c>
      <c r="E20" s="3">
        <v>1.1999999999999999E-3</v>
      </c>
    </row>
    <row r="21" spans="2:5">
      <c r="B21" s="11" t="str">
        <f t="shared" si="0"/>
        <v>11SIN ESTUDIOS</v>
      </c>
      <c r="C21" s="1" t="str">
        <f>"TABASCO"</f>
        <v>TABASCO</v>
      </c>
      <c r="D21" s="2">
        <v>1</v>
      </c>
      <c r="E21" s="3">
        <v>4.0000000000000002E-4</v>
      </c>
    </row>
    <row r="22" spans="2:5">
      <c r="B22" s="11" t="str">
        <f t="shared" si="0"/>
        <v>11SIN ESTUDIOS</v>
      </c>
      <c r="C22" s="1" t="str">
        <f>"TAMAULIPAS"</f>
        <v>TAMAULIPAS</v>
      </c>
      <c r="D22" s="2">
        <v>2</v>
      </c>
      <c r="E22" s="3">
        <v>8.0000000000000004E-4</v>
      </c>
    </row>
    <row r="23" spans="2:5">
      <c r="B23" s="11" t="str">
        <f t="shared" si="0"/>
        <v>11SIN ESTUDIOS</v>
      </c>
      <c r="C23" s="1" t="str">
        <f>"VERACRUZ DE IGNACIO DE LA LLAVE"</f>
        <v>VERACRUZ DE IGNACIO DE LA LLAVE</v>
      </c>
      <c r="D23" s="2">
        <v>4</v>
      </c>
      <c r="E23" s="3">
        <v>1.6999999999999999E-3</v>
      </c>
    </row>
    <row r="24" spans="2:5">
      <c r="B24" s="11" t="str">
        <f t="shared" si="0"/>
        <v>11SIN ESTUDIOS</v>
      </c>
      <c r="C24" s="1" t="str">
        <f>"ZACATECAS"</f>
        <v>ZACATECAS</v>
      </c>
      <c r="D24" s="2">
        <v>1</v>
      </c>
      <c r="E24" s="3">
        <v>4.0000000000000002E-4</v>
      </c>
    </row>
    <row r="25" spans="2:5" ht="16.5">
      <c r="B25" s="11" t="str">
        <f t="shared" si="0"/>
        <v>11SIN ESTUDIOS</v>
      </c>
      <c r="C25" s="7" t="str">
        <f>"Total"</f>
        <v>Total</v>
      </c>
      <c r="D25" s="8">
        <v>34</v>
      </c>
      <c r="E25" s="9">
        <v>1.41E-2</v>
      </c>
    </row>
    <row r="26" spans="2:5">
      <c r="B26" s="10" t="str">
        <f>"1o. PRIMARIA"</f>
        <v>1o. PRIMARIA</v>
      </c>
      <c r="C26" s="1" t="str">
        <f>"GUANAJUATO"</f>
        <v>GUANAJUATO</v>
      </c>
      <c r="D26" s="2">
        <v>2</v>
      </c>
      <c r="E26" s="3">
        <v>8.0000000000000004E-4</v>
      </c>
    </row>
    <row r="27" spans="2:5">
      <c r="B27" s="11" t="str">
        <f>"211o. PRIMARIA"</f>
        <v>211o. PRIMARIA</v>
      </c>
      <c r="C27" s="1" t="str">
        <f>"ZACATECAS"</f>
        <v>ZACATECAS</v>
      </c>
      <c r="D27" s="2">
        <v>1</v>
      </c>
      <c r="E27" s="3">
        <v>4.0000000000000002E-4</v>
      </c>
    </row>
    <row r="28" spans="2:5" ht="16.5">
      <c r="B28" s="11" t="str">
        <f>"211o. PRIMARIA"</f>
        <v>211o. PRIMARIA</v>
      </c>
      <c r="C28" s="7" t="str">
        <f>"Total"</f>
        <v>Total</v>
      </c>
      <c r="D28" s="8">
        <v>3</v>
      </c>
      <c r="E28" s="9">
        <v>1.1999999999999999E-3</v>
      </c>
    </row>
    <row r="29" spans="2:5">
      <c r="B29" s="10" t="str">
        <f>"2o. PRIMARIA"</f>
        <v>2o. PRIMARIA</v>
      </c>
      <c r="C29" s="1" t="str">
        <f>"CHIAPAS"</f>
        <v>CHIAPAS</v>
      </c>
      <c r="D29" s="2">
        <v>2</v>
      </c>
      <c r="E29" s="3">
        <v>8.0000000000000004E-4</v>
      </c>
    </row>
    <row r="30" spans="2:5">
      <c r="B30" s="11" t="str">
        <f t="shared" ref="B29:B43" si="1">"222o. PRIMARIA"</f>
        <v>222o. PRIMARIA</v>
      </c>
      <c r="C30" s="1" t="str">
        <f>"CHIHUAHUA"</f>
        <v>CHIHUAHUA</v>
      </c>
      <c r="D30" s="2">
        <v>3</v>
      </c>
      <c r="E30" s="3">
        <v>1.1999999999999999E-3</v>
      </c>
    </row>
    <row r="31" spans="2:5">
      <c r="B31" s="11" t="str">
        <f t="shared" si="1"/>
        <v>222o. PRIMARIA</v>
      </c>
      <c r="C31" s="1" t="str">
        <f>"GUANAJUATO"</f>
        <v>GUANAJUATO</v>
      </c>
      <c r="D31" s="2">
        <v>4</v>
      </c>
      <c r="E31" s="3">
        <v>1.6999999999999999E-3</v>
      </c>
    </row>
    <row r="32" spans="2:5">
      <c r="B32" s="11" t="str">
        <f t="shared" si="1"/>
        <v>222o. PRIMARIA</v>
      </c>
      <c r="C32" s="1" t="str">
        <f>"GUERRERO"</f>
        <v>GUERRERO</v>
      </c>
      <c r="D32" s="2">
        <v>1</v>
      </c>
      <c r="E32" s="3">
        <v>4.0000000000000002E-4</v>
      </c>
    </row>
    <row r="33" spans="2:5">
      <c r="B33" s="11" t="str">
        <f t="shared" si="1"/>
        <v>222o. PRIMARIA</v>
      </c>
      <c r="C33" s="1" t="str">
        <f>"MEXICO"</f>
        <v>MEXICO</v>
      </c>
      <c r="D33" s="2">
        <v>1</v>
      </c>
      <c r="E33" s="3">
        <v>4.0000000000000002E-4</v>
      </c>
    </row>
    <row r="34" spans="2:5">
      <c r="B34" s="11" t="str">
        <f t="shared" si="1"/>
        <v>222o. PRIMARIA</v>
      </c>
      <c r="C34" s="1" t="str">
        <f>"MICHOACAN DE OCAMPO"</f>
        <v>MICHOACAN DE OCAMPO</v>
      </c>
      <c r="D34" s="2">
        <v>1</v>
      </c>
      <c r="E34" s="3">
        <v>4.0000000000000002E-4</v>
      </c>
    </row>
    <row r="35" spans="2:5">
      <c r="B35" s="11" t="str">
        <f t="shared" si="1"/>
        <v>222o. PRIMARIA</v>
      </c>
      <c r="C35" s="1" t="str">
        <f>"OAXACA"</f>
        <v>OAXACA</v>
      </c>
      <c r="D35" s="2">
        <v>1</v>
      </c>
      <c r="E35" s="3">
        <v>4.0000000000000002E-4</v>
      </c>
    </row>
    <row r="36" spans="2:5">
      <c r="B36" s="11" t="str">
        <f t="shared" si="1"/>
        <v>222o. PRIMARIA</v>
      </c>
      <c r="C36" s="1" t="str">
        <f>"QUERETARO DE ARTEAGA"</f>
        <v>QUERETARO DE ARTEAGA</v>
      </c>
      <c r="D36" s="2">
        <v>1</v>
      </c>
      <c r="E36" s="3">
        <v>4.0000000000000002E-4</v>
      </c>
    </row>
    <row r="37" spans="2:5">
      <c r="B37" s="11" t="str">
        <f t="shared" si="1"/>
        <v>222o. PRIMARIA</v>
      </c>
      <c r="C37" s="1" t="str">
        <f>"SAN LUIS POTOSI"</f>
        <v>SAN LUIS POTOSI</v>
      </c>
      <c r="D37" s="2">
        <v>4</v>
      </c>
      <c r="E37" s="3">
        <v>1.6999999999999999E-3</v>
      </c>
    </row>
    <row r="38" spans="2:5">
      <c r="B38" s="11" t="str">
        <f t="shared" si="1"/>
        <v>222o. PRIMARIA</v>
      </c>
      <c r="C38" s="1" t="str">
        <f>"SINALOA"</f>
        <v>SINALOA</v>
      </c>
      <c r="D38" s="2">
        <v>1</v>
      </c>
      <c r="E38" s="3">
        <v>4.0000000000000002E-4</v>
      </c>
    </row>
    <row r="39" spans="2:5">
      <c r="B39" s="11" t="str">
        <f t="shared" si="1"/>
        <v>222o. PRIMARIA</v>
      </c>
      <c r="C39" s="1" t="str">
        <f>"TABASCO"</f>
        <v>TABASCO</v>
      </c>
      <c r="D39" s="2">
        <v>1</v>
      </c>
      <c r="E39" s="3">
        <v>4.0000000000000002E-4</v>
      </c>
    </row>
    <row r="40" spans="2:5">
      <c r="B40" s="11" t="str">
        <f t="shared" si="1"/>
        <v>222o. PRIMARIA</v>
      </c>
      <c r="C40" s="1" t="str">
        <f>"TAMAULIPAS"</f>
        <v>TAMAULIPAS</v>
      </c>
      <c r="D40" s="2">
        <v>1</v>
      </c>
      <c r="E40" s="3">
        <v>4.0000000000000002E-4</v>
      </c>
    </row>
    <row r="41" spans="2:5">
      <c r="B41" s="11" t="str">
        <f t="shared" si="1"/>
        <v>222o. PRIMARIA</v>
      </c>
      <c r="C41" s="1" t="str">
        <f>"VERACRUZ DE IGNACIO DE LA LLAVE"</f>
        <v>VERACRUZ DE IGNACIO DE LA LLAVE</v>
      </c>
      <c r="D41" s="2">
        <v>4</v>
      </c>
      <c r="E41" s="3">
        <v>1.6999999999999999E-3</v>
      </c>
    </row>
    <row r="42" spans="2:5">
      <c r="B42" s="11" t="str">
        <f t="shared" si="1"/>
        <v>222o. PRIMARIA</v>
      </c>
      <c r="C42" s="1" t="str">
        <f>"ZACATECAS"</f>
        <v>ZACATECAS</v>
      </c>
      <c r="D42" s="2">
        <v>1</v>
      </c>
      <c r="E42" s="3">
        <v>4.0000000000000002E-4</v>
      </c>
    </row>
    <row r="43" spans="2:5" ht="16.5">
      <c r="B43" s="11" t="str">
        <f t="shared" si="1"/>
        <v>222o. PRIMARIA</v>
      </c>
      <c r="C43" s="7" t="str">
        <f>"Total"</f>
        <v>Total</v>
      </c>
      <c r="D43" s="8">
        <v>26</v>
      </c>
      <c r="E43" s="9">
        <v>1.0800000000000001E-2</v>
      </c>
    </row>
    <row r="44" spans="2:5">
      <c r="B44" s="10" t="str">
        <f>"3o. PRIMARIA"</f>
        <v>3o. PRIMARIA</v>
      </c>
      <c r="C44" s="1" t="str">
        <f>"CHIAPAS"</f>
        <v>CHIAPAS</v>
      </c>
      <c r="D44" s="2">
        <v>2</v>
      </c>
      <c r="E44" s="3">
        <v>8.0000000000000004E-4</v>
      </c>
    </row>
    <row r="45" spans="2:5">
      <c r="B45" s="11" t="str">
        <f t="shared" ref="B44:B57" si="2">"233o. PRIMARIA"</f>
        <v>233o. PRIMARIA</v>
      </c>
      <c r="C45" s="1" t="str">
        <f>"DURANGO"</f>
        <v>DURANGO</v>
      </c>
      <c r="D45" s="2">
        <v>4</v>
      </c>
      <c r="E45" s="3">
        <v>1.6999999999999999E-3</v>
      </c>
    </row>
    <row r="46" spans="2:5">
      <c r="B46" s="11" t="str">
        <f t="shared" si="2"/>
        <v>233o. PRIMARIA</v>
      </c>
      <c r="C46" s="1" t="str">
        <f>"GUANAJUATO"</f>
        <v>GUANAJUATO</v>
      </c>
      <c r="D46" s="2">
        <v>7</v>
      </c>
      <c r="E46" s="3">
        <v>2.8999999999999998E-3</v>
      </c>
    </row>
    <row r="47" spans="2:5">
      <c r="B47" s="11" t="str">
        <f t="shared" si="2"/>
        <v>233o. PRIMARIA</v>
      </c>
      <c r="C47" s="1" t="str">
        <f>"MICHOACAN DE OCAMPO"</f>
        <v>MICHOACAN DE OCAMPO</v>
      </c>
      <c r="D47" s="2">
        <v>3</v>
      </c>
      <c r="E47" s="3">
        <v>1.1999999999999999E-3</v>
      </c>
    </row>
    <row r="48" spans="2:5">
      <c r="B48" s="11" t="str">
        <f t="shared" si="2"/>
        <v>233o. PRIMARIA</v>
      </c>
      <c r="C48" s="1" t="str">
        <f>"NAYARIT"</f>
        <v>NAYARIT</v>
      </c>
      <c r="D48" s="2">
        <v>1</v>
      </c>
      <c r="E48" s="3">
        <v>4.0000000000000002E-4</v>
      </c>
    </row>
    <row r="49" spans="2:5">
      <c r="B49" s="11" t="str">
        <f t="shared" si="2"/>
        <v>233o. PRIMARIA</v>
      </c>
      <c r="C49" s="1" t="str">
        <f>"OAXACA"</f>
        <v>OAXACA</v>
      </c>
      <c r="D49" s="2">
        <v>1</v>
      </c>
      <c r="E49" s="3">
        <v>4.0000000000000002E-4</v>
      </c>
    </row>
    <row r="50" spans="2:5">
      <c r="B50" s="11" t="str">
        <f t="shared" si="2"/>
        <v>233o. PRIMARIA</v>
      </c>
      <c r="C50" s="1" t="str">
        <f>"PUEBLA"</f>
        <v>PUEBLA</v>
      </c>
      <c r="D50" s="2">
        <v>5</v>
      </c>
      <c r="E50" s="3">
        <v>2.0999999999999999E-3</v>
      </c>
    </row>
    <row r="51" spans="2:5">
      <c r="B51" s="11" t="str">
        <f t="shared" si="2"/>
        <v>233o. PRIMARIA</v>
      </c>
      <c r="C51" s="1" t="str">
        <f>"QUERETARO DE ARTEAGA"</f>
        <v>QUERETARO DE ARTEAGA</v>
      </c>
      <c r="D51" s="2">
        <v>2</v>
      </c>
      <c r="E51" s="3">
        <v>8.0000000000000004E-4</v>
      </c>
    </row>
    <row r="52" spans="2:5">
      <c r="B52" s="11" t="str">
        <f t="shared" si="2"/>
        <v>233o. PRIMARIA</v>
      </c>
      <c r="C52" s="1" t="str">
        <f>"SAN LUIS POTOSI"</f>
        <v>SAN LUIS POTOSI</v>
      </c>
      <c r="D52" s="2">
        <v>5</v>
      </c>
      <c r="E52" s="3">
        <v>2.0999999999999999E-3</v>
      </c>
    </row>
    <row r="53" spans="2:5">
      <c r="B53" s="11" t="str">
        <f t="shared" si="2"/>
        <v>233o. PRIMARIA</v>
      </c>
      <c r="C53" s="1" t="str">
        <f>"TABASCO"</f>
        <v>TABASCO</v>
      </c>
      <c r="D53" s="2">
        <v>1</v>
      </c>
      <c r="E53" s="3">
        <v>4.0000000000000002E-4</v>
      </c>
    </row>
    <row r="54" spans="2:5">
      <c r="B54" s="11" t="str">
        <f t="shared" si="2"/>
        <v>233o. PRIMARIA</v>
      </c>
      <c r="C54" s="1" t="str">
        <f>"TAMAULIPAS"</f>
        <v>TAMAULIPAS</v>
      </c>
      <c r="D54" s="2">
        <v>2</v>
      </c>
      <c r="E54" s="3">
        <v>8.0000000000000004E-4</v>
      </c>
    </row>
    <row r="55" spans="2:5">
      <c r="B55" s="11" t="str">
        <f t="shared" si="2"/>
        <v>233o. PRIMARIA</v>
      </c>
      <c r="C55" s="1" t="str">
        <f>"VERACRUZ DE IGNACIO DE LA LLAVE"</f>
        <v>VERACRUZ DE IGNACIO DE LA LLAVE</v>
      </c>
      <c r="D55" s="2">
        <v>1</v>
      </c>
      <c r="E55" s="3">
        <v>4.0000000000000002E-4</v>
      </c>
    </row>
    <row r="56" spans="2:5">
      <c r="B56" s="11" t="str">
        <f t="shared" si="2"/>
        <v>233o. PRIMARIA</v>
      </c>
      <c r="C56" s="1" t="str">
        <f>"ZACATECAS"</f>
        <v>ZACATECAS</v>
      </c>
      <c r="D56" s="2">
        <v>3</v>
      </c>
      <c r="E56" s="3">
        <v>1.1999999999999999E-3</v>
      </c>
    </row>
    <row r="57" spans="2:5" ht="16.5">
      <c r="B57" s="11" t="str">
        <f t="shared" si="2"/>
        <v>233o. PRIMARIA</v>
      </c>
      <c r="C57" s="7" t="str">
        <f>"Total"</f>
        <v>Total</v>
      </c>
      <c r="D57" s="8">
        <v>37</v>
      </c>
      <c r="E57" s="9">
        <v>1.5299999999999999E-2</v>
      </c>
    </row>
    <row r="58" spans="2:5">
      <c r="B58" s="10" t="str">
        <f>"4o. PRIMARIA"</f>
        <v>4o. PRIMARIA</v>
      </c>
      <c r="C58" s="1" t="str">
        <f>"CHIAPAS"</f>
        <v>CHIAPAS</v>
      </c>
      <c r="D58" s="2">
        <v>1</v>
      </c>
      <c r="E58" s="3">
        <v>4.0000000000000002E-4</v>
      </c>
    </row>
    <row r="59" spans="2:5">
      <c r="B59" s="11" t="str">
        <f t="shared" ref="B58:B73" si="3">"244o. PRIMARIA"</f>
        <v>244o. PRIMARIA</v>
      </c>
      <c r="C59" s="1" t="str">
        <f>"CHIHUAHUA"</f>
        <v>CHIHUAHUA</v>
      </c>
      <c r="D59" s="2">
        <v>1</v>
      </c>
      <c r="E59" s="3">
        <v>4.0000000000000002E-4</v>
      </c>
    </row>
    <row r="60" spans="2:5">
      <c r="B60" s="11" t="str">
        <f t="shared" si="3"/>
        <v>244o. PRIMARIA</v>
      </c>
      <c r="C60" s="1" t="str">
        <f>"DURANGO"</f>
        <v>DURANGO</v>
      </c>
      <c r="D60" s="2">
        <v>1</v>
      </c>
      <c r="E60" s="3">
        <v>4.0000000000000002E-4</v>
      </c>
    </row>
    <row r="61" spans="2:5">
      <c r="B61" s="11" t="str">
        <f t="shared" si="3"/>
        <v>244o. PRIMARIA</v>
      </c>
      <c r="C61" s="1" t="str">
        <f>"GUANAJUATO"</f>
        <v>GUANAJUATO</v>
      </c>
      <c r="D61" s="2">
        <v>6</v>
      </c>
      <c r="E61" s="3">
        <v>2.5000000000000001E-3</v>
      </c>
    </row>
    <row r="62" spans="2:5">
      <c r="B62" s="11" t="str">
        <f t="shared" si="3"/>
        <v>244o. PRIMARIA</v>
      </c>
      <c r="C62" s="1" t="str">
        <f>"GUERRERO"</f>
        <v>GUERRERO</v>
      </c>
      <c r="D62" s="2">
        <v>2</v>
      </c>
      <c r="E62" s="3">
        <v>8.0000000000000004E-4</v>
      </c>
    </row>
    <row r="63" spans="2:5">
      <c r="B63" s="11" t="str">
        <f t="shared" si="3"/>
        <v>244o. PRIMARIA</v>
      </c>
      <c r="C63" s="1" t="str">
        <f>"HIDALGO"</f>
        <v>HIDALGO</v>
      </c>
      <c r="D63" s="2">
        <v>2</v>
      </c>
      <c r="E63" s="3">
        <v>8.0000000000000004E-4</v>
      </c>
    </row>
    <row r="64" spans="2:5">
      <c r="B64" s="11" t="str">
        <f t="shared" si="3"/>
        <v>244o. PRIMARIA</v>
      </c>
      <c r="C64" s="1" t="str">
        <f>"MEXICO"</f>
        <v>MEXICO</v>
      </c>
      <c r="D64" s="2">
        <v>3</v>
      </c>
      <c r="E64" s="3">
        <v>1.1999999999999999E-3</v>
      </c>
    </row>
    <row r="65" spans="2:5">
      <c r="B65" s="11" t="str">
        <f t="shared" si="3"/>
        <v>244o. PRIMARIA</v>
      </c>
      <c r="C65" s="1" t="str">
        <f>"MICHOACAN DE OCAMPO"</f>
        <v>MICHOACAN DE OCAMPO</v>
      </c>
      <c r="D65" s="2">
        <v>7</v>
      </c>
      <c r="E65" s="3">
        <v>2.8999999999999998E-3</v>
      </c>
    </row>
    <row r="66" spans="2:5">
      <c r="B66" s="11" t="str">
        <f t="shared" si="3"/>
        <v>244o. PRIMARIA</v>
      </c>
      <c r="C66" s="1" t="str">
        <f>"OAXACA"</f>
        <v>OAXACA</v>
      </c>
      <c r="D66" s="2">
        <v>2</v>
      </c>
      <c r="E66" s="3">
        <v>8.0000000000000004E-4</v>
      </c>
    </row>
    <row r="67" spans="2:5">
      <c r="B67" s="11" t="str">
        <f t="shared" si="3"/>
        <v>244o. PRIMARIA</v>
      </c>
      <c r="C67" s="1" t="str">
        <f>"PUEBLA"</f>
        <v>PUEBLA</v>
      </c>
      <c r="D67" s="2">
        <v>2</v>
      </c>
      <c r="E67" s="3">
        <v>8.0000000000000004E-4</v>
      </c>
    </row>
    <row r="68" spans="2:5">
      <c r="B68" s="11" t="str">
        <f t="shared" si="3"/>
        <v>244o. PRIMARIA</v>
      </c>
      <c r="C68" s="1" t="str">
        <f>"QUERETARO DE ARTEAGA"</f>
        <v>QUERETARO DE ARTEAGA</v>
      </c>
      <c r="D68" s="2">
        <v>3</v>
      </c>
      <c r="E68" s="3">
        <v>1.1999999999999999E-3</v>
      </c>
    </row>
    <row r="69" spans="2:5">
      <c r="B69" s="11" t="str">
        <f t="shared" si="3"/>
        <v>244o. PRIMARIA</v>
      </c>
      <c r="C69" s="1" t="str">
        <f>"SAN LUIS POTOSI"</f>
        <v>SAN LUIS POTOSI</v>
      </c>
      <c r="D69" s="2">
        <v>6</v>
      </c>
      <c r="E69" s="3">
        <v>2.5000000000000001E-3</v>
      </c>
    </row>
    <row r="70" spans="2:5">
      <c r="B70" s="11" t="str">
        <f t="shared" si="3"/>
        <v>244o. PRIMARIA</v>
      </c>
      <c r="C70" s="1" t="str">
        <f>"TAMAULIPAS"</f>
        <v>TAMAULIPAS</v>
      </c>
      <c r="D70" s="2">
        <v>2</v>
      </c>
      <c r="E70" s="3">
        <v>8.0000000000000004E-4</v>
      </c>
    </row>
    <row r="71" spans="2:5">
      <c r="B71" s="11" t="str">
        <f t="shared" si="3"/>
        <v>244o. PRIMARIA</v>
      </c>
      <c r="C71" s="1" t="str">
        <f>"VERACRUZ DE IGNACIO DE LA LLAVE"</f>
        <v>VERACRUZ DE IGNACIO DE LA LLAVE</v>
      </c>
      <c r="D71" s="2">
        <v>5</v>
      </c>
      <c r="E71" s="3">
        <v>2.0999999999999999E-3</v>
      </c>
    </row>
    <row r="72" spans="2:5">
      <c r="B72" s="11" t="str">
        <f t="shared" si="3"/>
        <v>244o. PRIMARIA</v>
      </c>
      <c r="C72" s="1" t="str">
        <f>"ZACATECAS"</f>
        <v>ZACATECAS</v>
      </c>
      <c r="D72" s="2">
        <v>2</v>
      </c>
      <c r="E72" s="3">
        <v>8.0000000000000004E-4</v>
      </c>
    </row>
    <row r="73" spans="2:5" ht="16.5">
      <c r="B73" s="11" t="str">
        <f t="shared" si="3"/>
        <v>244o. PRIMARIA</v>
      </c>
      <c r="C73" s="7" t="str">
        <f>"Total"</f>
        <v>Total</v>
      </c>
      <c r="D73" s="8">
        <v>45</v>
      </c>
      <c r="E73" s="9">
        <v>1.8700000000000001E-2</v>
      </c>
    </row>
    <row r="74" spans="2:5">
      <c r="B74" s="10" t="str">
        <f>"5o. PRIMARIA"</f>
        <v>5o. PRIMARIA</v>
      </c>
      <c r="C74" s="1" t="str">
        <f>"CHIAPAS"</f>
        <v>CHIAPAS</v>
      </c>
      <c r="D74" s="2">
        <v>3</v>
      </c>
      <c r="E74" s="3">
        <v>1.1999999999999999E-3</v>
      </c>
    </row>
    <row r="75" spans="2:5">
      <c r="B75" s="11" t="str">
        <f t="shared" ref="B74:B87" si="4">"255o. PRIMARIA"</f>
        <v>255o. PRIMARIA</v>
      </c>
      <c r="C75" s="1" t="str">
        <f>"GUANAJUATO"</f>
        <v>GUANAJUATO</v>
      </c>
      <c r="D75" s="2">
        <v>8</v>
      </c>
      <c r="E75" s="3">
        <v>3.3E-3</v>
      </c>
    </row>
    <row r="76" spans="2:5">
      <c r="B76" s="11" t="str">
        <f t="shared" si="4"/>
        <v>255o. PRIMARIA</v>
      </c>
      <c r="C76" s="1" t="str">
        <f>"GUERRERO"</f>
        <v>GUERRERO</v>
      </c>
      <c r="D76" s="2">
        <v>1</v>
      </c>
      <c r="E76" s="3">
        <v>4.0000000000000002E-4</v>
      </c>
    </row>
    <row r="77" spans="2:5">
      <c r="B77" s="11" t="str">
        <f t="shared" si="4"/>
        <v>255o. PRIMARIA</v>
      </c>
      <c r="C77" s="1" t="str">
        <f>"HIDALGO"</f>
        <v>HIDALGO</v>
      </c>
      <c r="D77" s="2">
        <v>2</v>
      </c>
      <c r="E77" s="3">
        <v>8.0000000000000004E-4</v>
      </c>
    </row>
    <row r="78" spans="2:5">
      <c r="B78" s="11" t="str">
        <f t="shared" si="4"/>
        <v>255o. PRIMARIA</v>
      </c>
      <c r="C78" s="1" t="str">
        <f>"JALISCO"</f>
        <v>JALISCO</v>
      </c>
      <c r="D78" s="2">
        <v>4</v>
      </c>
      <c r="E78" s="3">
        <v>1.6999999999999999E-3</v>
      </c>
    </row>
    <row r="79" spans="2:5">
      <c r="B79" s="11" t="str">
        <f t="shared" si="4"/>
        <v>255o. PRIMARIA</v>
      </c>
      <c r="C79" s="1" t="str">
        <f>"MICHOACAN DE OCAMPO"</f>
        <v>MICHOACAN DE OCAMPO</v>
      </c>
      <c r="D79" s="2">
        <v>7</v>
      </c>
      <c r="E79" s="3">
        <v>2.8999999999999998E-3</v>
      </c>
    </row>
    <row r="80" spans="2:5">
      <c r="B80" s="11" t="str">
        <f t="shared" si="4"/>
        <v>255o. PRIMARIA</v>
      </c>
      <c r="C80" s="1" t="str">
        <f>"OAXACA"</f>
        <v>OAXACA</v>
      </c>
      <c r="D80" s="2">
        <v>3</v>
      </c>
      <c r="E80" s="3">
        <v>1.1999999999999999E-3</v>
      </c>
    </row>
    <row r="81" spans="2:5">
      <c r="B81" s="11" t="str">
        <f t="shared" si="4"/>
        <v>255o. PRIMARIA</v>
      </c>
      <c r="C81" s="1" t="str">
        <f>"QUERETARO DE ARTEAGA"</f>
        <v>QUERETARO DE ARTEAGA</v>
      </c>
      <c r="D81" s="2">
        <v>2</v>
      </c>
      <c r="E81" s="3">
        <v>8.0000000000000004E-4</v>
      </c>
    </row>
    <row r="82" spans="2:5">
      <c r="B82" s="11" t="str">
        <f t="shared" si="4"/>
        <v>255o. PRIMARIA</v>
      </c>
      <c r="C82" s="1" t="str">
        <f>"SAN LUIS POTOSI"</f>
        <v>SAN LUIS POTOSI</v>
      </c>
      <c r="D82" s="2">
        <v>7</v>
      </c>
      <c r="E82" s="3">
        <v>2.8999999999999998E-3</v>
      </c>
    </row>
    <row r="83" spans="2:5">
      <c r="B83" s="11" t="str">
        <f t="shared" si="4"/>
        <v>255o. PRIMARIA</v>
      </c>
      <c r="C83" s="1" t="str">
        <f>"TAMAULIPAS"</f>
        <v>TAMAULIPAS</v>
      </c>
      <c r="D83" s="2">
        <v>2</v>
      </c>
      <c r="E83" s="3">
        <v>8.0000000000000004E-4</v>
      </c>
    </row>
    <row r="84" spans="2:5">
      <c r="B84" s="11" t="str">
        <f t="shared" si="4"/>
        <v>255o. PRIMARIA</v>
      </c>
      <c r="C84" s="1" t="str">
        <f>"TLAXCALA"</f>
        <v>TLAXCALA</v>
      </c>
      <c r="D84" s="2">
        <v>1</v>
      </c>
      <c r="E84" s="3">
        <v>4.0000000000000002E-4</v>
      </c>
    </row>
    <row r="85" spans="2:5">
      <c r="B85" s="11" t="str">
        <f t="shared" si="4"/>
        <v>255o. PRIMARIA</v>
      </c>
      <c r="C85" s="1" t="str">
        <f>"VERACRUZ DE IGNACIO DE LA LLAVE"</f>
        <v>VERACRUZ DE IGNACIO DE LA LLAVE</v>
      </c>
      <c r="D85" s="2">
        <v>5</v>
      </c>
      <c r="E85" s="3">
        <v>2.0999999999999999E-3</v>
      </c>
    </row>
    <row r="86" spans="2:5">
      <c r="B86" s="11" t="str">
        <f t="shared" si="4"/>
        <v>255o. PRIMARIA</v>
      </c>
      <c r="C86" s="1" t="str">
        <f>"ZACATECAS"</f>
        <v>ZACATECAS</v>
      </c>
      <c r="D86" s="2">
        <v>5</v>
      </c>
      <c r="E86" s="3">
        <v>2.0999999999999999E-3</v>
      </c>
    </row>
    <row r="87" spans="2:5" ht="16.5">
      <c r="B87" s="11" t="str">
        <f t="shared" si="4"/>
        <v>255o. PRIMARIA</v>
      </c>
      <c r="C87" s="7" t="str">
        <f>"Total"</f>
        <v>Total</v>
      </c>
      <c r="D87" s="8">
        <v>50</v>
      </c>
      <c r="E87" s="9">
        <v>2.07E-2</v>
      </c>
    </row>
    <row r="88" spans="2:5">
      <c r="B88" s="10" t="str">
        <f>"6o. PRIMARIA"</f>
        <v>6o. PRIMARIA</v>
      </c>
      <c r="C88" s="1" t="str">
        <f>"BAJA CALIFORNIA"</f>
        <v>BAJA CALIFORNIA</v>
      </c>
      <c r="D88" s="2">
        <v>1</v>
      </c>
      <c r="E88" s="3">
        <v>4.0000000000000002E-4</v>
      </c>
    </row>
    <row r="89" spans="2:5">
      <c r="B89" s="11" t="str">
        <f t="shared" ref="B88:B111" si="5">"266o. PRIMARIA"</f>
        <v>266o. PRIMARIA</v>
      </c>
      <c r="C89" s="1" t="str">
        <f>"CAMPECHE"</f>
        <v>CAMPECHE</v>
      </c>
      <c r="D89" s="2">
        <v>1</v>
      </c>
      <c r="E89" s="3">
        <v>4.0000000000000002E-4</v>
      </c>
    </row>
    <row r="90" spans="2:5">
      <c r="B90" s="11" t="str">
        <f t="shared" si="5"/>
        <v>266o. PRIMARIA</v>
      </c>
      <c r="C90" s="1" t="str">
        <f>"CHIAPAS"</f>
        <v>CHIAPAS</v>
      </c>
      <c r="D90" s="2">
        <v>2</v>
      </c>
      <c r="E90" s="3">
        <v>8.0000000000000004E-4</v>
      </c>
    </row>
    <row r="91" spans="2:5">
      <c r="B91" s="11" t="str">
        <f t="shared" si="5"/>
        <v>266o. PRIMARIA</v>
      </c>
      <c r="C91" s="1" t="str">
        <f>"CHIHUAHUA"</f>
        <v>CHIHUAHUA</v>
      </c>
      <c r="D91" s="2">
        <v>3</v>
      </c>
      <c r="E91" s="3">
        <v>1.1999999999999999E-3</v>
      </c>
    </row>
    <row r="92" spans="2:5">
      <c r="B92" s="11" t="str">
        <f t="shared" si="5"/>
        <v>266o. PRIMARIA</v>
      </c>
      <c r="C92" s="1" t="str">
        <f>"COAHUILA DE ZARAGOZA"</f>
        <v>COAHUILA DE ZARAGOZA</v>
      </c>
      <c r="D92" s="2">
        <v>6</v>
      </c>
      <c r="E92" s="3">
        <v>2.5000000000000001E-3</v>
      </c>
    </row>
    <row r="93" spans="2:5">
      <c r="B93" s="11" t="str">
        <f t="shared" si="5"/>
        <v>266o. PRIMARIA</v>
      </c>
      <c r="C93" s="1" t="str">
        <f>"DISTRITO FEDERAL"</f>
        <v>DISTRITO FEDERAL</v>
      </c>
      <c r="D93" s="2">
        <v>5</v>
      </c>
      <c r="E93" s="3">
        <v>2.0999999999999999E-3</v>
      </c>
    </row>
    <row r="94" spans="2:5">
      <c r="B94" s="11" t="str">
        <f t="shared" si="5"/>
        <v>266o. PRIMARIA</v>
      </c>
      <c r="C94" s="1" t="str">
        <f>"DURANGO"</f>
        <v>DURANGO</v>
      </c>
      <c r="D94" s="2">
        <v>4</v>
      </c>
      <c r="E94" s="3">
        <v>1.6999999999999999E-3</v>
      </c>
    </row>
    <row r="95" spans="2:5">
      <c r="B95" s="11" t="str">
        <f t="shared" si="5"/>
        <v>266o. PRIMARIA</v>
      </c>
      <c r="C95" s="1" t="str">
        <f>"GUANAJUATO"</f>
        <v>GUANAJUATO</v>
      </c>
      <c r="D95" s="2">
        <v>30</v>
      </c>
      <c r="E95" s="3">
        <v>1.24E-2</v>
      </c>
    </row>
    <row r="96" spans="2:5">
      <c r="B96" s="11" t="str">
        <f t="shared" si="5"/>
        <v>266o. PRIMARIA</v>
      </c>
      <c r="C96" s="1" t="str">
        <f>"GUERRERO"</f>
        <v>GUERRERO</v>
      </c>
      <c r="D96" s="2">
        <v>3</v>
      </c>
      <c r="E96" s="3">
        <v>1.1999999999999999E-3</v>
      </c>
    </row>
    <row r="97" spans="2:5">
      <c r="B97" s="11" t="str">
        <f t="shared" si="5"/>
        <v>266o. PRIMARIA</v>
      </c>
      <c r="C97" s="1" t="str">
        <f>"HIDALGO"</f>
        <v>HIDALGO</v>
      </c>
      <c r="D97" s="2">
        <v>5</v>
      </c>
      <c r="E97" s="3">
        <v>2.0999999999999999E-3</v>
      </c>
    </row>
    <row r="98" spans="2:5">
      <c r="B98" s="11" t="str">
        <f t="shared" si="5"/>
        <v>266o. PRIMARIA</v>
      </c>
      <c r="C98" s="1" t="str">
        <f>"JALISCO"</f>
        <v>JALISCO</v>
      </c>
      <c r="D98" s="2">
        <v>10</v>
      </c>
      <c r="E98" s="3">
        <v>4.1000000000000003E-3</v>
      </c>
    </row>
    <row r="99" spans="2:5">
      <c r="B99" s="11" t="str">
        <f t="shared" si="5"/>
        <v>266o. PRIMARIA</v>
      </c>
      <c r="C99" s="1" t="str">
        <f>"MEXICO"</f>
        <v>MEXICO</v>
      </c>
      <c r="D99" s="2">
        <v>8</v>
      </c>
      <c r="E99" s="3">
        <v>3.3E-3</v>
      </c>
    </row>
    <row r="100" spans="2:5">
      <c r="B100" s="11" t="str">
        <f t="shared" si="5"/>
        <v>266o. PRIMARIA</v>
      </c>
      <c r="C100" s="1" t="str">
        <f>"MICHOACAN DE OCAMPO"</f>
        <v>MICHOACAN DE OCAMPO</v>
      </c>
      <c r="D100" s="2">
        <v>11</v>
      </c>
      <c r="E100" s="3">
        <v>4.5999999999999999E-3</v>
      </c>
    </row>
    <row r="101" spans="2:5">
      <c r="B101" s="11" t="str">
        <f t="shared" si="5"/>
        <v>266o. PRIMARIA</v>
      </c>
      <c r="C101" s="1" t="str">
        <f>"NUEVO LEON"</f>
        <v>NUEVO LEON</v>
      </c>
      <c r="D101" s="2">
        <v>1</v>
      </c>
      <c r="E101" s="3">
        <v>4.0000000000000002E-4</v>
      </c>
    </row>
    <row r="102" spans="2:5">
      <c r="B102" s="11" t="str">
        <f t="shared" si="5"/>
        <v>266o. PRIMARIA</v>
      </c>
      <c r="C102" s="1" t="str">
        <f>"OAXACA"</f>
        <v>OAXACA</v>
      </c>
      <c r="D102" s="2">
        <v>7</v>
      </c>
      <c r="E102" s="3">
        <v>2.8999999999999998E-3</v>
      </c>
    </row>
    <row r="103" spans="2:5">
      <c r="B103" s="11" t="str">
        <f t="shared" si="5"/>
        <v>266o. PRIMARIA</v>
      </c>
      <c r="C103" s="1" t="str">
        <f>"PUEBLA"</f>
        <v>PUEBLA</v>
      </c>
      <c r="D103" s="2">
        <v>8</v>
      </c>
      <c r="E103" s="3">
        <v>3.3E-3</v>
      </c>
    </row>
    <row r="104" spans="2:5">
      <c r="B104" s="11" t="str">
        <f t="shared" si="5"/>
        <v>266o. PRIMARIA</v>
      </c>
      <c r="C104" s="1" t="str">
        <f>"QUERETARO DE ARTEAGA"</f>
        <v>QUERETARO DE ARTEAGA</v>
      </c>
      <c r="D104" s="2">
        <v>11</v>
      </c>
      <c r="E104" s="3">
        <v>4.5999999999999999E-3</v>
      </c>
    </row>
    <row r="105" spans="2:5">
      <c r="B105" s="11" t="str">
        <f t="shared" si="5"/>
        <v>266o. PRIMARIA</v>
      </c>
      <c r="C105" s="1" t="str">
        <f>"SAN LUIS POTOSI"</f>
        <v>SAN LUIS POTOSI</v>
      </c>
      <c r="D105" s="2">
        <v>24</v>
      </c>
      <c r="E105" s="3">
        <v>0.01</v>
      </c>
    </row>
    <row r="106" spans="2:5">
      <c r="B106" s="11" t="str">
        <f t="shared" si="5"/>
        <v>266o. PRIMARIA</v>
      </c>
      <c r="C106" s="1" t="str">
        <f>"SINALOA"</f>
        <v>SINALOA</v>
      </c>
      <c r="D106" s="2">
        <v>2</v>
      </c>
      <c r="E106" s="3">
        <v>8.0000000000000004E-4</v>
      </c>
    </row>
    <row r="107" spans="2:5">
      <c r="B107" s="11" t="str">
        <f t="shared" si="5"/>
        <v>266o. PRIMARIA</v>
      </c>
      <c r="C107" s="1" t="str">
        <f>"TABASCO"</f>
        <v>TABASCO</v>
      </c>
      <c r="D107" s="2">
        <v>3</v>
      </c>
      <c r="E107" s="3">
        <v>1.1999999999999999E-3</v>
      </c>
    </row>
    <row r="108" spans="2:5">
      <c r="B108" s="11" t="str">
        <f t="shared" si="5"/>
        <v>266o. PRIMARIA</v>
      </c>
      <c r="C108" s="1" t="str">
        <f>"TAMAULIPAS"</f>
        <v>TAMAULIPAS</v>
      </c>
      <c r="D108" s="2">
        <v>6</v>
      </c>
      <c r="E108" s="3">
        <v>2.5000000000000001E-3</v>
      </c>
    </row>
    <row r="109" spans="2:5">
      <c r="B109" s="11" t="str">
        <f t="shared" si="5"/>
        <v>266o. PRIMARIA</v>
      </c>
      <c r="C109" s="1" t="str">
        <f>"VERACRUZ DE IGNACIO DE LA LLAVE"</f>
        <v>VERACRUZ DE IGNACIO DE LA LLAVE</v>
      </c>
      <c r="D109" s="2">
        <v>10</v>
      </c>
      <c r="E109" s="3">
        <v>4.1000000000000003E-3</v>
      </c>
    </row>
    <row r="110" spans="2:5">
      <c r="B110" s="11" t="str">
        <f t="shared" si="5"/>
        <v>266o. PRIMARIA</v>
      </c>
      <c r="C110" s="1" t="str">
        <f>"ZACATECAS"</f>
        <v>ZACATECAS</v>
      </c>
      <c r="D110" s="2">
        <v>18</v>
      </c>
      <c r="E110" s="3">
        <v>7.4999999999999997E-3</v>
      </c>
    </row>
    <row r="111" spans="2:5" ht="16.5">
      <c r="B111" s="11" t="str">
        <f t="shared" si="5"/>
        <v>266o. PRIMARIA</v>
      </c>
      <c r="C111" s="7" t="str">
        <f>"Total"</f>
        <v>Total</v>
      </c>
      <c r="D111" s="8">
        <v>179</v>
      </c>
      <c r="E111" s="9">
        <v>7.4200000000000002E-2</v>
      </c>
    </row>
    <row r="112" spans="2:5">
      <c r="B112" s="10" t="str">
        <f>"PRIMARIA CON CERTIFICADO"</f>
        <v>PRIMARIA CON CERTIFICADO</v>
      </c>
      <c r="C112" s="1" t="str">
        <f>"AGUASCALIENTES"</f>
        <v>AGUASCALIENTES</v>
      </c>
      <c r="D112" s="2">
        <v>2</v>
      </c>
      <c r="E112" s="3">
        <v>8.0000000000000004E-4</v>
      </c>
    </row>
    <row r="113" spans="2:5">
      <c r="B113" s="11" t="str">
        <f t="shared" ref="B112:B139" si="6">"27PRIMARIA CON CERTIFICADO"</f>
        <v>27PRIMARIA CON CERTIFICADO</v>
      </c>
      <c r="C113" s="1" t="str">
        <f>"CAMPECHE"</f>
        <v>CAMPECHE</v>
      </c>
      <c r="D113" s="2">
        <v>1</v>
      </c>
      <c r="E113" s="3">
        <v>4.0000000000000002E-4</v>
      </c>
    </row>
    <row r="114" spans="2:5">
      <c r="B114" s="11" t="str">
        <f t="shared" si="6"/>
        <v>27PRIMARIA CON CERTIFICADO</v>
      </c>
      <c r="C114" s="1" t="str">
        <f>"CHIAPAS"</f>
        <v>CHIAPAS</v>
      </c>
      <c r="D114" s="2">
        <v>18</v>
      </c>
      <c r="E114" s="3">
        <v>7.4999999999999997E-3</v>
      </c>
    </row>
    <row r="115" spans="2:5">
      <c r="B115" s="11" t="str">
        <f t="shared" si="6"/>
        <v>27PRIMARIA CON CERTIFICADO</v>
      </c>
      <c r="C115" s="1" t="str">
        <f>"CHIHUAHUA"</f>
        <v>CHIHUAHUA</v>
      </c>
      <c r="D115" s="2">
        <v>4</v>
      </c>
      <c r="E115" s="3">
        <v>1.6999999999999999E-3</v>
      </c>
    </row>
    <row r="116" spans="2:5">
      <c r="B116" s="11" t="str">
        <f t="shared" si="6"/>
        <v>27PRIMARIA CON CERTIFICADO</v>
      </c>
      <c r="C116" s="1" t="str">
        <f>"COAHUILA DE ZARAGOZA"</f>
        <v>COAHUILA DE ZARAGOZA</v>
      </c>
      <c r="D116" s="2">
        <v>4</v>
      </c>
      <c r="E116" s="3">
        <v>1.6999999999999999E-3</v>
      </c>
    </row>
    <row r="117" spans="2:5">
      <c r="B117" s="11" t="str">
        <f t="shared" si="6"/>
        <v>27PRIMARIA CON CERTIFICADO</v>
      </c>
      <c r="C117" s="1" t="str">
        <f>"COLIMA"</f>
        <v>COLIMA</v>
      </c>
      <c r="D117" s="2">
        <v>1</v>
      </c>
      <c r="E117" s="3">
        <v>4.0000000000000002E-4</v>
      </c>
    </row>
    <row r="118" spans="2:5">
      <c r="B118" s="11" t="str">
        <f t="shared" si="6"/>
        <v>27PRIMARIA CON CERTIFICADO</v>
      </c>
      <c r="C118" s="1" t="str">
        <f>"DISTRITO FEDERAL"</f>
        <v>DISTRITO FEDERAL</v>
      </c>
      <c r="D118" s="2">
        <v>9</v>
      </c>
      <c r="E118" s="3">
        <v>3.7000000000000002E-3</v>
      </c>
    </row>
    <row r="119" spans="2:5">
      <c r="B119" s="11" t="str">
        <f t="shared" si="6"/>
        <v>27PRIMARIA CON CERTIFICADO</v>
      </c>
      <c r="C119" s="1" t="str">
        <f>"DURANGO"</f>
        <v>DURANGO</v>
      </c>
      <c r="D119" s="2">
        <v>12</v>
      </c>
      <c r="E119" s="3">
        <v>5.0000000000000001E-3</v>
      </c>
    </row>
    <row r="120" spans="2:5">
      <c r="B120" s="11" t="str">
        <f t="shared" si="6"/>
        <v>27PRIMARIA CON CERTIFICADO</v>
      </c>
      <c r="C120" s="1" t="str">
        <f>"GUANAJUATO"</f>
        <v>GUANAJUATO</v>
      </c>
      <c r="D120" s="2">
        <v>86</v>
      </c>
      <c r="E120" s="3">
        <v>3.5700000000000003E-2</v>
      </c>
    </row>
    <row r="121" spans="2:5">
      <c r="B121" s="11" t="str">
        <f t="shared" si="6"/>
        <v>27PRIMARIA CON CERTIFICADO</v>
      </c>
      <c r="C121" s="1" t="str">
        <f>"GUERRERO"</f>
        <v>GUERRERO</v>
      </c>
      <c r="D121" s="2">
        <v>20</v>
      </c>
      <c r="E121" s="3">
        <v>8.3000000000000001E-3</v>
      </c>
    </row>
    <row r="122" spans="2:5">
      <c r="B122" s="11" t="str">
        <f t="shared" si="6"/>
        <v>27PRIMARIA CON CERTIFICADO</v>
      </c>
      <c r="C122" s="1" t="str">
        <f>"HIDALGO"</f>
        <v>HIDALGO</v>
      </c>
      <c r="D122" s="2">
        <v>21</v>
      </c>
      <c r="E122" s="3">
        <v>8.6999999999999994E-3</v>
      </c>
    </row>
    <row r="123" spans="2:5">
      <c r="B123" s="11" t="str">
        <f t="shared" si="6"/>
        <v>27PRIMARIA CON CERTIFICADO</v>
      </c>
      <c r="C123" s="1" t="str">
        <f>"JALISCO"</f>
        <v>JALISCO</v>
      </c>
      <c r="D123" s="2">
        <v>13</v>
      </c>
      <c r="E123" s="3">
        <v>5.4000000000000003E-3</v>
      </c>
    </row>
    <row r="124" spans="2:5">
      <c r="B124" s="11" t="str">
        <f t="shared" si="6"/>
        <v>27PRIMARIA CON CERTIFICADO</v>
      </c>
      <c r="C124" s="1" t="str">
        <f>"MEXICO"</f>
        <v>MEXICO</v>
      </c>
      <c r="D124" s="2">
        <v>14</v>
      </c>
      <c r="E124" s="3">
        <v>5.7999999999999996E-3</v>
      </c>
    </row>
    <row r="125" spans="2:5">
      <c r="B125" s="11" t="str">
        <f t="shared" si="6"/>
        <v>27PRIMARIA CON CERTIFICADO</v>
      </c>
      <c r="C125" s="1" t="str">
        <f>"MICHOACAN DE OCAMPO"</f>
        <v>MICHOACAN DE OCAMPO</v>
      </c>
      <c r="D125" s="2">
        <v>31</v>
      </c>
      <c r="E125" s="3">
        <v>1.29E-2</v>
      </c>
    </row>
    <row r="126" spans="2:5">
      <c r="B126" s="11" t="str">
        <f t="shared" si="6"/>
        <v>27PRIMARIA CON CERTIFICADO</v>
      </c>
      <c r="C126" s="1" t="str">
        <f>"MORELOS"</f>
        <v>MORELOS</v>
      </c>
      <c r="D126" s="2">
        <v>2</v>
      </c>
      <c r="E126" s="3">
        <v>8.0000000000000004E-4</v>
      </c>
    </row>
    <row r="127" spans="2:5">
      <c r="B127" s="11" t="str">
        <f t="shared" si="6"/>
        <v>27PRIMARIA CON CERTIFICADO</v>
      </c>
      <c r="C127" s="1" t="str">
        <f>"NAYARIT"</f>
        <v>NAYARIT</v>
      </c>
      <c r="D127" s="2">
        <v>4</v>
      </c>
      <c r="E127" s="3">
        <v>1.6999999999999999E-3</v>
      </c>
    </row>
    <row r="128" spans="2:5">
      <c r="B128" s="11" t="str">
        <f t="shared" si="6"/>
        <v>27PRIMARIA CON CERTIFICADO</v>
      </c>
      <c r="C128" s="1" t="str">
        <f>"NUEVO LEON"</f>
        <v>NUEVO LEON</v>
      </c>
      <c r="D128" s="2">
        <v>5</v>
      </c>
      <c r="E128" s="3">
        <v>2.0999999999999999E-3</v>
      </c>
    </row>
    <row r="129" spans="2:5">
      <c r="B129" s="11" t="str">
        <f t="shared" si="6"/>
        <v>27PRIMARIA CON CERTIFICADO</v>
      </c>
      <c r="C129" s="1" t="str">
        <f>"OAXACA"</f>
        <v>OAXACA</v>
      </c>
      <c r="D129" s="2">
        <v>23</v>
      </c>
      <c r="E129" s="3">
        <v>9.4999999999999998E-3</v>
      </c>
    </row>
    <row r="130" spans="2:5">
      <c r="B130" s="11" t="str">
        <f t="shared" si="6"/>
        <v>27PRIMARIA CON CERTIFICADO</v>
      </c>
      <c r="C130" s="1" t="str">
        <f>"PUEBLA"</f>
        <v>PUEBLA</v>
      </c>
      <c r="D130" s="2">
        <v>30</v>
      </c>
      <c r="E130" s="3">
        <v>1.24E-2</v>
      </c>
    </row>
    <row r="131" spans="2:5">
      <c r="B131" s="11" t="str">
        <f t="shared" si="6"/>
        <v>27PRIMARIA CON CERTIFICADO</v>
      </c>
      <c r="C131" s="1" t="str">
        <f>"QUERETARO DE ARTEAGA"</f>
        <v>QUERETARO DE ARTEAGA</v>
      </c>
      <c r="D131" s="2">
        <v>19</v>
      </c>
      <c r="E131" s="3">
        <v>7.9000000000000008E-3</v>
      </c>
    </row>
    <row r="132" spans="2:5">
      <c r="B132" s="11" t="str">
        <f t="shared" si="6"/>
        <v>27PRIMARIA CON CERTIFICADO</v>
      </c>
      <c r="C132" s="1" t="str">
        <f>"SAN LUIS POTOSI"</f>
        <v>SAN LUIS POTOSI</v>
      </c>
      <c r="D132" s="2">
        <v>33</v>
      </c>
      <c r="E132" s="3">
        <v>1.37E-2</v>
      </c>
    </row>
    <row r="133" spans="2:5">
      <c r="B133" s="11" t="str">
        <f t="shared" si="6"/>
        <v>27PRIMARIA CON CERTIFICADO</v>
      </c>
      <c r="C133" s="1" t="str">
        <f>"SINALOA"</f>
        <v>SINALOA</v>
      </c>
      <c r="D133" s="2">
        <v>2</v>
      </c>
      <c r="E133" s="3">
        <v>8.0000000000000004E-4</v>
      </c>
    </row>
    <row r="134" spans="2:5">
      <c r="B134" s="11" t="str">
        <f t="shared" si="6"/>
        <v>27PRIMARIA CON CERTIFICADO</v>
      </c>
      <c r="C134" s="1" t="str">
        <f>"TABASCO"</f>
        <v>TABASCO</v>
      </c>
      <c r="D134" s="2">
        <v>6</v>
      </c>
      <c r="E134" s="3">
        <v>2.5000000000000001E-3</v>
      </c>
    </row>
    <row r="135" spans="2:5">
      <c r="B135" s="11" t="str">
        <f t="shared" si="6"/>
        <v>27PRIMARIA CON CERTIFICADO</v>
      </c>
      <c r="C135" s="1" t="str">
        <f>"TAMAULIPAS"</f>
        <v>TAMAULIPAS</v>
      </c>
      <c r="D135" s="2">
        <v>15</v>
      </c>
      <c r="E135" s="3">
        <v>6.1999999999999998E-3</v>
      </c>
    </row>
    <row r="136" spans="2:5">
      <c r="B136" s="11" t="str">
        <f t="shared" si="6"/>
        <v>27PRIMARIA CON CERTIFICADO</v>
      </c>
      <c r="C136" s="1" t="str">
        <f>"TLAXCALA"</f>
        <v>TLAXCALA</v>
      </c>
      <c r="D136" s="2">
        <v>2</v>
      </c>
      <c r="E136" s="3">
        <v>8.0000000000000004E-4</v>
      </c>
    </row>
    <row r="137" spans="2:5">
      <c r="B137" s="11" t="str">
        <f t="shared" si="6"/>
        <v>27PRIMARIA CON CERTIFICADO</v>
      </c>
      <c r="C137" s="1" t="str">
        <f>"VERACRUZ DE IGNACIO DE LA LLAVE"</f>
        <v>VERACRUZ DE IGNACIO DE LA LLAVE</v>
      </c>
      <c r="D137" s="2">
        <v>43</v>
      </c>
      <c r="E137" s="3">
        <v>1.78E-2</v>
      </c>
    </row>
    <row r="138" spans="2:5">
      <c r="B138" s="11" t="str">
        <f t="shared" si="6"/>
        <v>27PRIMARIA CON CERTIFICADO</v>
      </c>
      <c r="C138" s="1" t="str">
        <f>"ZACATECAS"</f>
        <v>ZACATECAS</v>
      </c>
      <c r="D138" s="2">
        <v>25</v>
      </c>
      <c r="E138" s="3">
        <v>1.04E-2</v>
      </c>
    </row>
    <row r="139" spans="2:5" ht="16.5">
      <c r="B139" s="11" t="str">
        <f t="shared" si="6"/>
        <v>27PRIMARIA CON CERTIFICADO</v>
      </c>
      <c r="C139" s="7" t="str">
        <f>"Total"</f>
        <v>Total</v>
      </c>
      <c r="D139" s="8">
        <v>445</v>
      </c>
      <c r="E139" s="9">
        <v>0.18459999999999999</v>
      </c>
    </row>
    <row r="140" spans="2:5">
      <c r="B140" s="10" t="str">
        <f>"1o. SECUNDARIA"</f>
        <v>1o. SECUNDARIA</v>
      </c>
      <c r="C140" s="1" t="str">
        <f>"AGUASCALIENTES"</f>
        <v>AGUASCALIENTES</v>
      </c>
      <c r="D140" s="2">
        <v>1</v>
      </c>
      <c r="E140" s="3">
        <v>4.0000000000000002E-4</v>
      </c>
    </row>
    <row r="141" spans="2:5">
      <c r="B141" s="11" t="str">
        <f t="shared" ref="B140:B153" si="7">"311o. SECUNDARIA"</f>
        <v>311o. SECUNDARIA</v>
      </c>
      <c r="C141" s="1" t="str">
        <f>"CHIAPAS"</f>
        <v>CHIAPAS</v>
      </c>
      <c r="D141" s="2">
        <v>2</v>
      </c>
      <c r="E141" s="3">
        <v>8.0000000000000004E-4</v>
      </c>
    </row>
    <row r="142" spans="2:5">
      <c r="B142" s="11" t="str">
        <f t="shared" si="7"/>
        <v>311o. SECUNDARIA</v>
      </c>
      <c r="C142" s="1" t="str">
        <f>"DISTRITO FEDERAL"</f>
        <v>DISTRITO FEDERAL</v>
      </c>
      <c r="D142" s="2">
        <v>3</v>
      </c>
      <c r="E142" s="3">
        <v>1.1999999999999999E-3</v>
      </c>
    </row>
    <row r="143" spans="2:5">
      <c r="B143" s="11" t="str">
        <f t="shared" si="7"/>
        <v>311o. SECUNDARIA</v>
      </c>
      <c r="C143" s="1" t="str">
        <f>"GUANAJUATO"</f>
        <v>GUANAJUATO</v>
      </c>
      <c r="D143" s="2">
        <v>5</v>
      </c>
      <c r="E143" s="3">
        <v>2.0999999999999999E-3</v>
      </c>
    </row>
    <row r="144" spans="2:5">
      <c r="B144" s="11" t="str">
        <f t="shared" si="7"/>
        <v>311o. SECUNDARIA</v>
      </c>
      <c r="C144" s="1" t="str">
        <f>"JALISCO"</f>
        <v>JALISCO</v>
      </c>
      <c r="D144" s="2">
        <v>1</v>
      </c>
      <c r="E144" s="3">
        <v>4.0000000000000002E-4</v>
      </c>
    </row>
    <row r="145" spans="2:5">
      <c r="B145" s="11" t="str">
        <f t="shared" si="7"/>
        <v>311o. SECUNDARIA</v>
      </c>
      <c r="C145" s="1" t="str">
        <f>"MICHOACAN DE OCAMPO"</f>
        <v>MICHOACAN DE OCAMPO</v>
      </c>
      <c r="D145" s="2">
        <v>1</v>
      </c>
      <c r="E145" s="3">
        <v>4.0000000000000002E-4</v>
      </c>
    </row>
    <row r="146" spans="2:5">
      <c r="B146" s="11" t="str">
        <f t="shared" si="7"/>
        <v>311o. SECUNDARIA</v>
      </c>
      <c r="C146" s="1" t="str">
        <f>"NUEVO LEON"</f>
        <v>NUEVO LEON</v>
      </c>
      <c r="D146" s="2">
        <v>1</v>
      </c>
      <c r="E146" s="3">
        <v>4.0000000000000002E-4</v>
      </c>
    </row>
    <row r="147" spans="2:5">
      <c r="B147" s="11" t="str">
        <f t="shared" si="7"/>
        <v>311o. SECUNDARIA</v>
      </c>
      <c r="C147" s="1" t="str">
        <f>"QUERETARO DE ARTEAGA"</f>
        <v>QUERETARO DE ARTEAGA</v>
      </c>
      <c r="D147" s="2">
        <v>1</v>
      </c>
      <c r="E147" s="3">
        <v>4.0000000000000002E-4</v>
      </c>
    </row>
    <row r="148" spans="2:5">
      <c r="B148" s="11" t="str">
        <f t="shared" si="7"/>
        <v>311o. SECUNDARIA</v>
      </c>
      <c r="C148" s="1" t="str">
        <f>"SAN LUIS POTOSI"</f>
        <v>SAN LUIS POTOSI</v>
      </c>
      <c r="D148" s="2">
        <v>4</v>
      </c>
      <c r="E148" s="3">
        <v>1.6999999999999999E-3</v>
      </c>
    </row>
    <row r="149" spans="2:5">
      <c r="B149" s="11" t="str">
        <f t="shared" si="7"/>
        <v>311o. SECUNDARIA</v>
      </c>
      <c r="C149" s="1" t="str">
        <f>"SINALOA"</f>
        <v>SINALOA</v>
      </c>
      <c r="D149" s="2">
        <v>1</v>
      </c>
      <c r="E149" s="3">
        <v>4.0000000000000002E-4</v>
      </c>
    </row>
    <row r="150" spans="2:5">
      <c r="B150" s="11" t="str">
        <f t="shared" si="7"/>
        <v>311o. SECUNDARIA</v>
      </c>
      <c r="C150" s="1" t="str">
        <f>"TABASCO"</f>
        <v>TABASCO</v>
      </c>
      <c r="D150" s="2">
        <v>2</v>
      </c>
      <c r="E150" s="3">
        <v>8.0000000000000004E-4</v>
      </c>
    </row>
    <row r="151" spans="2:5">
      <c r="B151" s="11" t="str">
        <f t="shared" si="7"/>
        <v>311o. SECUNDARIA</v>
      </c>
      <c r="C151" s="1" t="str">
        <f>"VERACRUZ DE IGNACIO DE LA LLAVE"</f>
        <v>VERACRUZ DE IGNACIO DE LA LLAVE</v>
      </c>
      <c r="D151" s="2">
        <v>1</v>
      </c>
      <c r="E151" s="3">
        <v>4.0000000000000002E-4</v>
      </c>
    </row>
    <row r="152" spans="2:5">
      <c r="B152" s="11" t="str">
        <f t="shared" si="7"/>
        <v>311o. SECUNDARIA</v>
      </c>
      <c r="C152" s="1" t="str">
        <f>"ZACATECAS"</f>
        <v>ZACATECAS</v>
      </c>
      <c r="D152" s="2">
        <v>2</v>
      </c>
      <c r="E152" s="3">
        <v>8.0000000000000004E-4</v>
      </c>
    </row>
    <row r="153" spans="2:5" ht="16.5">
      <c r="B153" s="11" t="str">
        <f t="shared" si="7"/>
        <v>311o. SECUNDARIA</v>
      </c>
      <c r="C153" s="7" t="str">
        <f>"Total"</f>
        <v>Total</v>
      </c>
      <c r="D153" s="8">
        <v>25</v>
      </c>
      <c r="E153" s="9">
        <v>1.04E-2</v>
      </c>
    </row>
    <row r="154" spans="2:5">
      <c r="B154" s="10" t="str">
        <f>"2o. SECUNDARIA"</f>
        <v>2o. SECUNDARIA</v>
      </c>
      <c r="C154" s="1" t="str">
        <f>"CHIAPAS"</f>
        <v>CHIAPAS</v>
      </c>
      <c r="D154" s="2">
        <v>2</v>
      </c>
      <c r="E154" s="3">
        <v>8.0000000000000004E-4</v>
      </c>
    </row>
    <row r="155" spans="2:5">
      <c r="B155" s="11" t="str">
        <f t="shared" ref="B154:B177" si="8">"322o. SECUNDARIA"</f>
        <v>322o. SECUNDARIA</v>
      </c>
      <c r="C155" s="1" t="str">
        <f>"CHIHUAHUA"</f>
        <v>CHIHUAHUA</v>
      </c>
      <c r="D155" s="2">
        <v>2</v>
      </c>
      <c r="E155" s="3">
        <v>8.0000000000000004E-4</v>
      </c>
    </row>
    <row r="156" spans="2:5">
      <c r="B156" s="11" t="str">
        <f t="shared" si="8"/>
        <v>322o. SECUNDARIA</v>
      </c>
      <c r="C156" s="1" t="str">
        <f>"COAHUILA DE ZARAGOZA"</f>
        <v>COAHUILA DE ZARAGOZA</v>
      </c>
      <c r="D156" s="2">
        <v>1</v>
      </c>
      <c r="E156" s="3">
        <v>4.0000000000000002E-4</v>
      </c>
    </row>
    <row r="157" spans="2:5">
      <c r="B157" s="11" t="str">
        <f t="shared" si="8"/>
        <v>322o. SECUNDARIA</v>
      </c>
      <c r="C157" s="1" t="str">
        <f>"DISTRITO FEDERAL"</f>
        <v>DISTRITO FEDERAL</v>
      </c>
      <c r="D157" s="2">
        <v>4</v>
      </c>
      <c r="E157" s="3">
        <v>1.6999999999999999E-3</v>
      </c>
    </row>
    <row r="158" spans="2:5">
      <c r="B158" s="11" t="str">
        <f t="shared" si="8"/>
        <v>322o. SECUNDARIA</v>
      </c>
      <c r="C158" s="1" t="str">
        <f>"DURANGO"</f>
        <v>DURANGO</v>
      </c>
      <c r="D158" s="2">
        <v>3</v>
      </c>
      <c r="E158" s="3">
        <v>1.1999999999999999E-3</v>
      </c>
    </row>
    <row r="159" spans="2:5">
      <c r="B159" s="11" t="str">
        <f t="shared" si="8"/>
        <v>322o. SECUNDARIA</v>
      </c>
      <c r="C159" s="1" t="str">
        <f>"GUANAJUATO"</f>
        <v>GUANAJUATO</v>
      </c>
      <c r="D159" s="2">
        <v>8</v>
      </c>
      <c r="E159" s="3">
        <v>3.3E-3</v>
      </c>
    </row>
    <row r="160" spans="2:5">
      <c r="B160" s="11" t="str">
        <f t="shared" si="8"/>
        <v>322o. SECUNDARIA</v>
      </c>
      <c r="C160" s="1" t="str">
        <f>"GUERRERO"</f>
        <v>GUERRERO</v>
      </c>
      <c r="D160" s="2">
        <v>2</v>
      </c>
      <c r="E160" s="3">
        <v>8.0000000000000004E-4</v>
      </c>
    </row>
    <row r="161" spans="2:5">
      <c r="B161" s="11" t="str">
        <f t="shared" si="8"/>
        <v>322o. SECUNDARIA</v>
      </c>
      <c r="C161" s="1" t="str">
        <f>"HIDALGO"</f>
        <v>HIDALGO</v>
      </c>
      <c r="D161" s="2">
        <v>3</v>
      </c>
      <c r="E161" s="3">
        <v>1.1999999999999999E-3</v>
      </c>
    </row>
    <row r="162" spans="2:5">
      <c r="B162" s="11" t="str">
        <f t="shared" si="8"/>
        <v>322o. SECUNDARIA</v>
      </c>
      <c r="C162" s="1" t="str">
        <f>"JALISCO"</f>
        <v>JALISCO</v>
      </c>
      <c r="D162" s="2">
        <v>5</v>
      </c>
      <c r="E162" s="3">
        <v>2.0999999999999999E-3</v>
      </c>
    </row>
    <row r="163" spans="2:5">
      <c r="B163" s="11" t="str">
        <f t="shared" si="8"/>
        <v>322o. SECUNDARIA</v>
      </c>
      <c r="C163" s="1" t="str">
        <f>"MEXICO"</f>
        <v>MEXICO</v>
      </c>
      <c r="D163" s="2">
        <v>3</v>
      </c>
      <c r="E163" s="3">
        <v>1.1999999999999999E-3</v>
      </c>
    </row>
    <row r="164" spans="2:5">
      <c r="B164" s="11" t="str">
        <f t="shared" si="8"/>
        <v>322o. SECUNDARIA</v>
      </c>
      <c r="C164" s="1" t="str">
        <f>"MICHOACAN DE OCAMPO"</f>
        <v>MICHOACAN DE OCAMPO</v>
      </c>
      <c r="D164" s="2">
        <v>2</v>
      </c>
      <c r="E164" s="3">
        <v>8.0000000000000004E-4</v>
      </c>
    </row>
    <row r="165" spans="2:5">
      <c r="B165" s="11" t="str">
        <f t="shared" si="8"/>
        <v>322o. SECUNDARIA</v>
      </c>
      <c r="C165" s="1" t="str">
        <f>"MORELOS"</f>
        <v>MORELOS</v>
      </c>
      <c r="D165" s="2">
        <v>1</v>
      </c>
      <c r="E165" s="3">
        <v>4.0000000000000002E-4</v>
      </c>
    </row>
    <row r="166" spans="2:5">
      <c r="B166" s="11" t="str">
        <f t="shared" si="8"/>
        <v>322o. SECUNDARIA</v>
      </c>
      <c r="C166" s="1" t="str">
        <f>"NUEVO LEON"</f>
        <v>NUEVO LEON</v>
      </c>
      <c r="D166" s="2">
        <v>2</v>
      </c>
      <c r="E166" s="3">
        <v>8.0000000000000004E-4</v>
      </c>
    </row>
    <row r="167" spans="2:5">
      <c r="B167" s="11" t="str">
        <f t="shared" si="8"/>
        <v>322o. SECUNDARIA</v>
      </c>
      <c r="C167" s="1" t="str">
        <f>"OAXACA"</f>
        <v>OAXACA</v>
      </c>
      <c r="D167" s="2">
        <v>4</v>
      </c>
      <c r="E167" s="3">
        <v>1.6999999999999999E-3</v>
      </c>
    </row>
    <row r="168" spans="2:5">
      <c r="B168" s="11" t="str">
        <f t="shared" si="8"/>
        <v>322o. SECUNDARIA</v>
      </c>
      <c r="C168" s="1" t="str">
        <f>"PUEBLA"</f>
        <v>PUEBLA</v>
      </c>
      <c r="D168" s="2">
        <v>2</v>
      </c>
      <c r="E168" s="3">
        <v>8.0000000000000004E-4</v>
      </c>
    </row>
    <row r="169" spans="2:5">
      <c r="B169" s="11" t="str">
        <f t="shared" si="8"/>
        <v>322o. SECUNDARIA</v>
      </c>
      <c r="C169" s="1" t="str">
        <f>"QUERETARO DE ARTEAGA"</f>
        <v>QUERETARO DE ARTEAGA</v>
      </c>
      <c r="D169" s="2">
        <v>1</v>
      </c>
      <c r="E169" s="3">
        <v>4.0000000000000002E-4</v>
      </c>
    </row>
    <row r="170" spans="2:5">
      <c r="B170" s="11" t="str">
        <f t="shared" si="8"/>
        <v>322o. SECUNDARIA</v>
      </c>
      <c r="C170" s="1" t="str">
        <f>"QUINTANA ROO"</f>
        <v>QUINTANA ROO</v>
      </c>
      <c r="D170" s="2">
        <v>1</v>
      </c>
      <c r="E170" s="3">
        <v>4.0000000000000002E-4</v>
      </c>
    </row>
    <row r="171" spans="2:5">
      <c r="B171" s="11" t="str">
        <f t="shared" si="8"/>
        <v>322o. SECUNDARIA</v>
      </c>
      <c r="C171" s="1" t="str">
        <f>"SAN LUIS POTOSI"</f>
        <v>SAN LUIS POTOSI</v>
      </c>
      <c r="D171" s="2">
        <v>5</v>
      </c>
      <c r="E171" s="3">
        <v>2.0999999999999999E-3</v>
      </c>
    </row>
    <row r="172" spans="2:5">
      <c r="B172" s="11" t="str">
        <f t="shared" si="8"/>
        <v>322o. SECUNDARIA</v>
      </c>
      <c r="C172" s="1" t="str">
        <f>"SINALOA"</f>
        <v>SINALOA</v>
      </c>
      <c r="D172" s="2">
        <v>1</v>
      </c>
      <c r="E172" s="3">
        <v>4.0000000000000002E-4</v>
      </c>
    </row>
    <row r="173" spans="2:5">
      <c r="B173" s="11" t="str">
        <f t="shared" si="8"/>
        <v>322o. SECUNDARIA</v>
      </c>
      <c r="C173" s="1" t="str">
        <f>"TAMAULIPAS"</f>
        <v>TAMAULIPAS</v>
      </c>
      <c r="D173" s="2">
        <v>4</v>
      </c>
      <c r="E173" s="3">
        <v>1.6999999999999999E-3</v>
      </c>
    </row>
    <row r="174" spans="2:5">
      <c r="B174" s="11" t="str">
        <f t="shared" si="8"/>
        <v>322o. SECUNDARIA</v>
      </c>
      <c r="C174" s="1" t="str">
        <f>"TLAXCALA"</f>
        <v>TLAXCALA</v>
      </c>
      <c r="D174" s="2">
        <v>1</v>
      </c>
      <c r="E174" s="3">
        <v>4.0000000000000002E-4</v>
      </c>
    </row>
    <row r="175" spans="2:5">
      <c r="B175" s="11" t="str">
        <f t="shared" si="8"/>
        <v>322o. SECUNDARIA</v>
      </c>
      <c r="C175" s="1" t="str">
        <f>"VERACRUZ DE IGNACIO DE LA LLAVE"</f>
        <v>VERACRUZ DE IGNACIO DE LA LLAVE</v>
      </c>
      <c r="D175" s="2">
        <v>7</v>
      </c>
      <c r="E175" s="3">
        <v>2.8999999999999998E-3</v>
      </c>
    </row>
    <row r="176" spans="2:5">
      <c r="B176" s="11" t="str">
        <f t="shared" si="8"/>
        <v>322o. SECUNDARIA</v>
      </c>
      <c r="C176" s="1" t="str">
        <f>"ZACATECAS"</f>
        <v>ZACATECAS</v>
      </c>
      <c r="D176" s="2">
        <v>4</v>
      </c>
      <c r="E176" s="3">
        <v>1.6999999999999999E-3</v>
      </c>
    </row>
    <row r="177" spans="2:5" ht="16.5">
      <c r="B177" s="11" t="str">
        <f t="shared" si="8"/>
        <v>322o. SECUNDARIA</v>
      </c>
      <c r="C177" s="7" t="str">
        <f>"Total"</f>
        <v>Total</v>
      </c>
      <c r="D177" s="8">
        <v>68</v>
      </c>
      <c r="E177" s="9">
        <v>2.8199999999999999E-2</v>
      </c>
    </row>
    <row r="178" spans="2:5">
      <c r="B178" s="10" t="str">
        <f>"3o. SECUNDARIA"</f>
        <v>3o. SECUNDARIA</v>
      </c>
      <c r="C178" s="1" t="str">
        <f>"AGUASCALIENTES"</f>
        <v>AGUASCALIENTES</v>
      </c>
      <c r="D178" s="2">
        <v>1</v>
      </c>
      <c r="E178" s="3">
        <v>4.0000000000000002E-4</v>
      </c>
    </row>
    <row r="179" spans="2:5">
      <c r="B179" s="11" t="str">
        <f t="shared" ref="B178:B197" si="9">"333o. SECUNDARIA"</f>
        <v>333o. SECUNDARIA</v>
      </c>
      <c r="C179" s="1" t="str">
        <f>"CAMPECHE"</f>
        <v>CAMPECHE</v>
      </c>
      <c r="D179" s="2">
        <v>1</v>
      </c>
      <c r="E179" s="3">
        <v>4.0000000000000002E-4</v>
      </c>
    </row>
    <row r="180" spans="2:5">
      <c r="B180" s="11" t="str">
        <f t="shared" si="9"/>
        <v>333o. SECUNDARIA</v>
      </c>
      <c r="C180" s="1" t="str">
        <f>"CHIAPAS"</f>
        <v>CHIAPAS</v>
      </c>
      <c r="D180" s="2">
        <v>1</v>
      </c>
      <c r="E180" s="3">
        <v>4.0000000000000002E-4</v>
      </c>
    </row>
    <row r="181" spans="2:5">
      <c r="B181" s="11" t="str">
        <f t="shared" si="9"/>
        <v>333o. SECUNDARIA</v>
      </c>
      <c r="C181" s="1" t="str">
        <f>"CHIHUAHUA"</f>
        <v>CHIHUAHUA</v>
      </c>
      <c r="D181" s="2">
        <v>3</v>
      </c>
      <c r="E181" s="3">
        <v>1.1999999999999999E-3</v>
      </c>
    </row>
    <row r="182" spans="2:5">
      <c r="B182" s="11" t="str">
        <f t="shared" si="9"/>
        <v>333o. SECUNDARIA</v>
      </c>
      <c r="C182" s="1" t="str">
        <f>"DISTRITO FEDERAL"</f>
        <v>DISTRITO FEDERAL</v>
      </c>
      <c r="D182" s="2">
        <v>5</v>
      </c>
      <c r="E182" s="3">
        <v>2.0999999999999999E-3</v>
      </c>
    </row>
    <row r="183" spans="2:5">
      <c r="B183" s="11" t="str">
        <f t="shared" si="9"/>
        <v>333o. SECUNDARIA</v>
      </c>
      <c r="C183" s="1" t="str">
        <f>"GUANAJUATO"</f>
        <v>GUANAJUATO</v>
      </c>
      <c r="D183" s="2">
        <v>5</v>
      </c>
      <c r="E183" s="3">
        <v>2.0999999999999999E-3</v>
      </c>
    </row>
    <row r="184" spans="2:5">
      <c r="B184" s="11" t="str">
        <f t="shared" si="9"/>
        <v>333o. SECUNDARIA</v>
      </c>
      <c r="C184" s="1" t="str">
        <f>"HIDALGO"</f>
        <v>HIDALGO</v>
      </c>
      <c r="D184" s="2">
        <v>6</v>
      </c>
      <c r="E184" s="3">
        <v>2.5000000000000001E-3</v>
      </c>
    </row>
    <row r="185" spans="2:5">
      <c r="B185" s="11" t="str">
        <f t="shared" si="9"/>
        <v>333o. SECUNDARIA</v>
      </c>
      <c r="C185" s="1" t="str">
        <f>"MEXICO"</f>
        <v>MEXICO</v>
      </c>
      <c r="D185" s="2">
        <v>4</v>
      </c>
      <c r="E185" s="3">
        <v>1.6999999999999999E-3</v>
      </c>
    </row>
    <row r="186" spans="2:5">
      <c r="B186" s="11" t="str">
        <f t="shared" si="9"/>
        <v>333o. SECUNDARIA</v>
      </c>
      <c r="C186" s="1" t="str">
        <f>"MICHOACAN DE OCAMPO"</f>
        <v>MICHOACAN DE OCAMPO</v>
      </c>
      <c r="D186" s="2">
        <v>1</v>
      </c>
      <c r="E186" s="3">
        <v>4.0000000000000002E-4</v>
      </c>
    </row>
    <row r="187" spans="2:5">
      <c r="B187" s="11" t="str">
        <f t="shared" si="9"/>
        <v>333o. SECUNDARIA</v>
      </c>
      <c r="C187" s="1" t="str">
        <f>"NUEVO LEON"</f>
        <v>NUEVO LEON</v>
      </c>
      <c r="D187" s="2">
        <v>2</v>
      </c>
      <c r="E187" s="3">
        <v>8.0000000000000004E-4</v>
      </c>
    </row>
    <row r="188" spans="2:5">
      <c r="B188" s="11" t="str">
        <f t="shared" si="9"/>
        <v>333o. SECUNDARIA</v>
      </c>
      <c r="C188" s="1" t="str">
        <f>"OAXACA"</f>
        <v>OAXACA</v>
      </c>
      <c r="D188" s="2">
        <v>1</v>
      </c>
      <c r="E188" s="3">
        <v>4.0000000000000002E-4</v>
      </c>
    </row>
    <row r="189" spans="2:5">
      <c r="B189" s="11" t="str">
        <f t="shared" si="9"/>
        <v>333o. SECUNDARIA</v>
      </c>
      <c r="C189" s="1" t="str">
        <f>"PUEBLA"</f>
        <v>PUEBLA</v>
      </c>
      <c r="D189" s="2">
        <v>1</v>
      </c>
      <c r="E189" s="3">
        <v>4.0000000000000002E-4</v>
      </c>
    </row>
    <row r="190" spans="2:5">
      <c r="B190" s="11" t="str">
        <f t="shared" si="9"/>
        <v>333o. SECUNDARIA</v>
      </c>
      <c r="C190" s="1" t="str">
        <f>"QUERETARO DE ARTEAGA"</f>
        <v>QUERETARO DE ARTEAGA</v>
      </c>
      <c r="D190" s="2">
        <v>2</v>
      </c>
      <c r="E190" s="3">
        <v>8.0000000000000004E-4</v>
      </c>
    </row>
    <row r="191" spans="2:5">
      <c r="B191" s="11" t="str">
        <f t="shared" si="9"/>
        <v>333o. SECUNDARIA</v>
      </c>
      <c r="C191" s="1" t="str">
        <f>"SAN LUIS POTOSI"</f>
        <v>SAN LUIS POTOSI</v>
      </c>
      <c r="D191" s="2">
        <v>7</v>
      </c>
      <c r="E191" s="3">
        <v>2.8999999999999998E-3</v>
      </c>
    </row>
    <row r="192" spans="2:5">
      <c r="B192" s="11" t="str">
        <f t="shared" si="9"/>
        <v>333o. SECUNDARIA</v>
      </c>
      <c r="C192" s="1" t="str">
        <f>"SONORA"</f>
        <v>SONORA</v>
      </c>
      <c r="D192" s="2">
        <v>1</v>
      </c>
      <c r="E192" s="3">
        <v>4.0000000000000002E-4</v>
      </c>
    </row>
    <row r="193" spans="2:5">
      <c r="B193" s="11" t="str">
        <f t="shared" si="9"/>
        <v>333o. SECUNDARIA</v>
      </c>
      <c r="C193" s="1" t="str">
        <f>"TABASCO"</f>
        <v>TABASCO</v>
      </c>
      <c r="D193" s="2">
        <v>2</v>
      </c>
      <c r="E193" s="3">
        <v>8.0000000000000004E-4</v>
      </c>
    </row>
    <row r="194" spans="2:5">
      <c r="B194" s="11" t="str">
        <f t="shared" si="9"/>
        <v>333o. SECUNDARIA</v>
      </c>
      <c r="C194" s="1" t="str">
        <f>"TAMAULIPAS"</f>
        <v>TAMAULIPAS</v>
      </c>
      <c r="D194" s="2">
        <v>3</v>
      </c>
      <c r="E194" s="3">
        <v>1.1999999999999999E-3</v>
      </c>
    </row>
    <row r="195" spans="2:5">
      <c r="B195" s="11" t="str">
        <f t="shared" si="9"/>
        <v>333o. SECUNDARIA</v>
      </c>
      <c r="C195" s="1" t="str">
        <f>"VERACRUZ DE IGNACIO DE LA LLAVE"</f>
        <v>VERACRUZ DE IGNACIO DE LA LLAVE</v>
      </c>
      <c r="D195" s="2">
        <v>7</v>
      </c>
      <c r="E195" s="3">
        <v>2.8999999999999998E-3</v>
      </c>
    </row>
    <row r="196" spans="2:5">
      <c r="B196" s="11" t="str">
        <f t="shared" si="9"/>
        <v>333o. SECUNDARIA</v>
      </c>
      <c r="C196" s="1" t="str">
        <f>"ZACATECAS"</f>
        <v>ZACATECAS</v>
      </c>
      <c r="D196" s="2">
        <v>3</v>
      </c>
      <c r="E196" s="3">
        <v>1.1999999999999999E-3</v>
      </c>
    </row>
    <row r="197" spans="2:5" ht="16.5">
      <c r="B197" s="11" t="str">
        <f t="shared" si="9"/>
        <v>333o. SECUNDARIA</v>
      </c>
      <c r="C197" s="7" t="str">
        <f>"Total"</f>
        <v>Total</v>
      </c>
      <c r="D197" s="8">
        <v>56</v>
      </c>
      <c r="E197" s="9">
        <v>2.3199999999999998E-2</v>
      </c>
    </row>
    <row r="198" spans="2:5">
      <c r="B198" s="10" t="str">
        <f>"SECUNDARIA CON CERTIFICADO"</f>
        <v>SECUNDARIA CON CERTIFICADO</v>
      </c>
      <c r="C198" s="1" t="str">
        <f>"AGUASCALIENTES"</f>
        <v>AGUASCALIENTES</v>
      </c>
      <c r="D198" s="2">
        <v>6</v>
      </c>
      <c r="E198" s="3">
        <v>2.5000000000000001E-3</v>
      </c>
    </row>
    <row r="199" spans="2:5">
      <c r="B199" s="11" t="str">
        <f t="shared" ref="B198:B229" si="10">"34SECUNDARIA CON CERTIFICADO"</f>
        <v>34SECUNDARIA CON CERTIFICADO</v>
      </c>
      <c r="C199" s="1" t="str">
        <f>"BAJA CALIFORNIA"</f>
        <v>BAJA CALIFORNIA</v>
      </c>
      <c r="D199" s="2">
        <v>1</v>
      </c>
      <c r="E199" s="3">
        <v>4.0000000000000002E-4</v>
      </c>
    </row>
    <row r="200" spans="2:5">
      <c r="B200" s="11" t="str">
        <f t="shared" si="10"/>
        <v>34SECUNDARIA CON CERTIFICADO</v>
      </c>
      <c r="C200" s="1" t="str">
        <f>"CAMPECHE"</f>
        <v>CAMPECHE</v>
      </c>
      <c r="D200" s="2">
        <v>2</v>
      </c>
      <c r="E200" s="3">
        <v>8.0000000000000004E-4</v>
      </c>
    </row>
    <row r="201" spans="2:5">
      <c r="B201" s="11" t="str">
        <f t="shared" si="10"/>
        <v>34SECUNDARIA CON CERTIFICADO</v>
      </c>
      <c r="C201" s="1" t="str">
        <f>"CHIAPAS"</f>
        <v>CHIAPAS</v>
      </c>
      <c r="D201" s="2">
        <v>27</v>
      </c>
      <c r="E201" s="3">
        <v>1.12E-2</v>
      </c>
    </row>
    <row r="202" spans="2:5">
      <c r="B202" s="11" t="str">
        <f t="shared" si="10"/>
        <v>34SECUNDARIA CON CERTIFICADO</v>
      </c>
      <c r="C202" s="1" t="str">
        <f>"CHIHUAHUA"</f>
        <v>CHIHUAHUA</v>
      </c>
      <c r="D202" s="2">
        <v>20</v>
      </c>
      <c r="E202" s="3">
        <v>8.3000000000000001E-3</v>
      </c>
    </row>
    <row r="203" spans="2:5">
      <c r="B203" s="11" t="str">
        <f t="shared" si="10"/>
        <v>34SECUNDARIA CON CERTIFICADO</v>
      </c>
      <c r="C203" s="1" t="str">
        <f>"COAHUILA DE ZARAGOZA"</f>
        <v>COAHUILA DE ZARAGOZA</v>
      </c>
      <c r="D203" s="2">
        <v>13</v>
      </c>
      <c r="E203" s="3">
        <v>5.4000000000000003E-3</v>
      </c>
    </row>
    <row r="204" spans="2:5">
      <c r="B204" s="11" t="str">
        <f t="shared" si="10"/>
        <v>34SECUNDARIA CON CERTIFICADO</v>
      </c>
      <c r="C204" s="1" t="str">
        <f>"COLIMA"</f>
        <v>COLIMA</v>
      </c>
      <c r="D204" s="2">
        <v>1</v>
      </c>
      <c r="E204" s="3">
        <v>4.0000000000000002E-4</v>
      </c>
    </row>
    <row r="205" spans="2:5">
      <c r="B205" s="11" t="str">
        <f t="shared" si="10"/>
        <v>34SECUNDARIA CON CERTIFICADO</v>
      </c>
      <c r="C205" s="1" t="str">
        <f>"DISTRITO FEDERAL"</f>
        <v>DISTRITO FEDERAL</v>
      </c>
      <c r="D205" s="2">
        <v>37</v>
      </c>
      <c r="E205" s="3">
        <v>1.5299999999999999E-2</v>
      </c>
    </row>
    <row r="206" spans="2:5">
      <c r="B206" s="11" t="str">
        <f t="shared" si="10"/>
        <v>34SECUNDARIA CON CERTIFICADO</v>
      </c>
      <c r="C206" s="1" t="str">
        <f>"DURANGO"</f>
        <v>DURANGO</v>
      </c>
      <c r="D206" s="2">
        <v>17</v>
      </c>
      <c r="E206" s="3">
        <v>7.1000000000000004E-3</v>
      </c>
    </row>
    <row r="207" spans="2:5">
      <c r="B207" s="11" t="str">
        <f t="shared" si="10"/>
        <v>34SECUNDARIA CON CERTIFICADO</v>
      </c>
      <c r="C207" s="1" t="str">
        <f>"GUANAJUATO"</f>
        <v>GUANAJUATO</v>
      </c>
      <c r="D207" s="2">
        <v>102</v>
      </c>
      <c r="E207" s="3">
        <v>4.2299999999999997E-2</v>
      </c>
    </row>
    <row r="208" spans="2:5">
      <c r="B208" s="11" t="str">
        <f t="shared" si="10"/>
        <v>34SECUNDARIA CON CERTIFICADO</v>
      </c>
      <c r="C208" s="1" t="str">
        <f>"GUERRERO"</f>
        <v>GUERRERO</v>
      </c>
      <c r="D208" s="2">
        <v>36</v>
      </c>
      <c r="E208" s="3">
        <v>1.49E-2</v>
      </c>
    </row>
    <row r="209" spans="2:5">
      <c r="B209" s="11" t="str">
        <f t="shared" si="10"/>
        <v>34SECUNDARIA CON CERTIFICADO</v>
      </c>
      <c r="C209" s="1" t="str">
        <f>"HIDALGO"</f>
        <v>HIDALGO</v>
      </c>
      <c r="D209" s="2">
        <v>64</v>
      </c>
      <c r="E209" s="3">
        <v>2.6499999999999999E-2</v>
      </c>
    </row>
    <row r="210" spans="2:5">
      <c r="B210" s="11" t="str">
        <f t="shared" si="10"/>
        <v>34SECUNDARIA CON CERTIFICADO</v>
      </c>
      <c r="C210" s="1" t="str">
        <f>"JALISCO"</f>
        <v>JALISCO</v>
      </c>
      <c r="D210" s="2">
        <v>28</v>
      </c>
      <c r="E210" s="3">
        <v>1.1599999999999999E-2</v>
      </c>
    </row>
    <row r="211" spans="2:5">
      <c r="B211" s="11" t="str">
        <f t="shared" si="10"/>
        <v>34SECUNDARIA CON CERTIFICADO</v>
      </c>
      <c r="C211" s="1" t="str">
        <f>"MEXICO"</f>
        <v>MEXICO</v>
      </c>
      <c r="D211" s="2">
        <v>25</v>
      </c>
      <c r="E211" s="3">
        <v>1.04E-2</v>
      </c>
    </row>
    <row r="212" spans="2:5">
      <c r="B212" s="11" t="str">
        <f t="shared" si="10"/>
        <v>34SECUNDARIA CON CERTIFICADO</v>
      </c>
      <c r="C212" s="1" t="str">
        <f>"MICHOACAN DE OCAMPO"</f>
        <v>MICHOACAN DE OCAMPO</v>
      </c>
      <c r="D212" s="2">
        <v>38</v>
      </c>
      <c r="E212" s="3">
        <v>1.5800000000000002E-2</v>
      </c>
    </row>
    <row r="213" spans="2:5">
      <c r="B213" s="11" t="str">
        <f t="shared" si="10"/>
        <v>34SECUNDARIA CON CERTIFICADO</v>
      </c>
      <c r="C213" s="1" t="str">
        <f>"MORELOS"</f>
        <v>MORELOS</v>
      </c>
      <c r="D213" s="2">
        <v>11</v>
      </c>
      <c r="E213" s="3">
        <v>4.5999999999999999E-3</v>
      </c>
    </row>
    <row r="214" spans="2:5">
      <c r="B214" s="11" t="str">
        <f t="shared" si="10"/>
        <v>34SECUNDARIA CON CERTIFICADO</v>
      </c>
      <c r="C214" s="1" t="str">
        <f>"NAYARIT"</f>
        <v>NAYARIT</v>
      </c>
      <c r="D214" s="2">
        <v>6</v>
      </c>
      <c r="E214" s="3">
        <v>2.5000000000000001E-3</v>
      </c>
    </row>
    <row r="215" spans="2:5">
      <c r="B215" s="11" t="str">
        <f t="shared" si="10"/>
        <v>34SECUNDARIA CON CERTIFICADO</v>
      </c>
      <c r="C215" s="1" t="str">
        <f>"NUEVO LEON"</f>
        <v>NUEVO LEON</v>
      </c>
      <c r="D215" s="2">
        <v>21</v>
      </c>
      <c r="E215" s="3">
        <v>8.6999999999999994E-3</v>
      </c>
    </row>
    <row r="216" spans="2:5">
      <c r="B216" s="11" t="str">
        <f t="shared" si="10"/>
        <v>34SECUNDARIA CON CERTIFICADO</v>
      </c>
      <c r="C216" s="1" t="str">
        <f>"OAXACA"</f>
        <v>OAXACA</v>
      </c>
      <c r="D216" s="2">
        <v>32</v>
      </c>
      <c r="E216" s="3">
        <v>1.3299999999999999E-2</v>
      </c>
    </row>
    <row r="217" spans="2:5">
      <c r="B217" s="11" t="str">
        <f t="shared" si="10"/>
        <v>34SECUNDARIA CON CERTIFICADO</v>
      </c>
      <c r="C217" s="1" t="str">
        <f>"PUEBLA"</f>
        <v>PUEBLA</v>
      </c>
      <c r="D217" s="2">
        <v>53</v>
      </c>
      <c r="E217" s="3">
        <v>2.1999999999999999E-2</v>
      </c>
    </row>
    <row r="218" spans="2:5">
      <c r="B218" s="11" t="str">
        <f t="shared" si="10"/>
        <v>34SECUNDARIA CON CERTIFICADO</v>
      </c>
      <c r="C218" s="1" t="str">
        <f>"QUERETARO DE ARTEAGA"</f>
        <v>QUERETARO DE ARTEAGA</v>
      </c>
      <c r="D218" s="2">
        <v>41</v>
      </c>
      <c r="E218" s="3">
        <v>1.7000000000000001E-2</v>
      </c>
    </row>
    <row r="219" spans="2:5">
      <c r="B219" s="11" t="str">
        <f t="shared" si="10"/>
        <v>34SECUNDARIA CON CERTIFICADO</v>
      </c>
      <c r="C219" s="1" t="str">
        <f>"QUINTANA ROO"</f>
        <v>QUINTANA ROO</v>
      </c>
      <c r="D219" s="2">
        <v>1</v>
      </c>
      <c r="E219" s="3">
        <v>4.0000000000000002E-4</v>
      </c>
    </row>
    <row r="220" spans="2:5">
      <c r="B220" s="11" t="str">
        <f t="shared" si="10"/>
        <v>34SECUNDARIA CON CERTIFICADO</v>
      </c>
      <c r="C220" s="1" t="str">
        <f>"SAN LUIS POTOSI"</f>
        <v>SAN LUIS POTOSI</v>
      </c>
      <c r="D220" s="2">
        <v>88</v>
      </c>
      <c r="E220" s="3">
        <v>3.6499999999999998E-2</v>
      </c>
    </row>
    <row r="221" spans="2:5">
      <c r="B221" s="11" t="str">
        <f t="shared" si="10"/>
        <v>34SECUNDARIA CON CERTIFICADO</v>
      </c>
      <c r="C221" s="1" t="str">
        <f>"SINALOA"</f>
        <v>SINALOA</v>
      </c>
      <c r="D221" s="2">
        <v>2</v>
      </c>
      <c r="E221" s="3">
        <v>8.0000000000000004E-4</v>
      </c>
    </row>
    <row r="222" spans="2:5">
      <c r="B222" s="11" t="str">
        <f t="shared" si="10"/>
        <v>34SECUNDARIA CON CERTIFICADO</v>
      </c>
      <c r="C222" s="1" t="str">
        <f>"SONORA"</f>
        <v>SONORA</v>
      </c>
      <c r="D222" s="2">
        <v>4</v>
      </c>
      <c r="E222" s="3">
        <v>1.6999999999999999E-3</v>
      </c>
    </row>
    <row r="223" spans="2:5">
      <c r="B223" s="11" t="str">
        <f t="shared" si="10"/>
        <v>34SECUNDARIA CON CERTIFICADO</v>
      </c>
      <c r="C223" s="1" t="str">
        <f>"TABASCO"</f>
        <v>TABASCO</v>
      </c>
      <c r="D223" s="2">
        <v>20</v>
      </c>
      <c r="E223" s="3">
        <v>8.3000000000000001E-3</v>
      </c>
    </row>
    <row r="224" spans="2:5">
      <c r="B224" s="11" t="str">
        <f t="shared" si="10"/>
        <v>34SECUNDARIA CON CERTIFICADO</v>
      </c>
      <c r="C224" s="1" t="str">
        <f>"TAMAULIPAS"</f>
        <v>TAMAULIPAS</v>
      </c>
      <c r="D224" s="2">
        <v>39</v>
      </c>
      <c r="E224" s="3">
        <v>1.6199999999999999E-2</v>
      </c>
    </row>
    <row r="225" spans="2:5">
      <c r="B225" s="11" t="str">
        <f t="shared" si="10"/>
        <v>34SECUNDARIA CON CERTIFICADO</v>
      </c>
      <c r="C225" s="1" t="str">
        <f>"TLAXCALA"</f>
        <v>TLAXCALA</v>
      </c>
      <c r="D225" s="2">
        <v>10</v>
      </c>
      <c r="E225" s="3">
        <v>4.1000000000000003E-3</v>
      </c>
    </row>
    <row r="226" spans="2:5">
      <c r="B226" s="11" t="str">
        <f t="shared" si="10"/>
        <v>34SECUNDARIA CON CERTIFICADO</v>
      </c>
      <c r="C226" s="1" t="str">
        <f>"VERACRUZ DE IGNACIO DE LA LLAVE"</f>
        <v>VERACRUZ DE IGNACIO DE LA LLAVE</v>
      </c>
      <c r="D226" s="2">
        <v>95</v>
      </c>
      <c r="E226" s="3">
        <v>3.9399999999999998E-2</v>
      </c>
    </row>
    <row r="227" spans="2:5">
      <c r="B227" s="11" t="str">
        <f t="shared" si="10"/>
        <v>34SECUNDARIA CON CERTIFICADO</v>
      </c>
      <c r="C227" s="1" t="str">
        <f>"YUCATAN"</f>
        <v>YUCATAN</v>
      </c>
      <c r="D227" s="2">
        <v>2</v>
      </c>
      <c r="E227" s="3">
        <v>8.0000000000000004E-4</v>
      </c>
    </row>
    <row r="228" spans="2:5">
      <c r="B228" s="11" t="str">
        <f t="shared" si="10"/>
        <v>34SECUNDARIA CON CERTIFICADO</v>
      </c>
      <c r="C228" s="1" t="str">
        <f>"ZACATECAS"</f>
        <v>ZACATECAS</v>
      </c>
      <c r="D228" s="2">
        <v>37</v>
      </c>
      <c r="E228" s="3">
        <v>1.5299999999999999E-2</v>
      </c>
    </row>
    <row r="229" spans="2:5" ht="16.5">
      <c r="B229" s="11" t="str">
        <f t="shared" si="10"/>
        <v>34SECUNDARIA CON CERTIFICADO</v>
      </c>
      <c r="C229" s="7" t="str">
        <f>"Total"</f>
        <v>Total</v>
      </c>
      <c r="D229" s="8">
        <v>879</v>
      </c>
      <c r="E229" s="9">
        <v>0.36459999999999998</v>
      </c>
    </row>
    <row r="230" spans="2:5">
      <c r="B230" s="10" t="str">
        <f>"CAPACITACION TECNICA"</f>
        <v>CAPACITACION TECNICA</v>
      </c>
      <c r="C230" s="1" t="str">
        <f>"DISTRITO FEDERAL"</f>
        <v>DISTRITO FEDERAL</v>
      </c>
      <c r="D230" s="2">
        <v>2</v>
      </c>
      <c r="E230" s="3">
        <v>8.0000000000000004E-4</v>
      </c>
    </row>
    <row r="231" spans="2:5">
      <c r="B231" s="11" t="str">
        <f t="shared" ref="B230:B237" si="11">"41CAPACITACION TECNICA"</f>
        <v>41CAPACITACION TECNICA</v>
      </c>
      <c r="C231" s="1" t="str">
        <f>"GUANAJUATO"</f>
        <v>GUANAJUATO</v>
      </c>
      <c r="D231" s="2">
        <v>3</v>
      </c>
      <c r="E231" s="3">
        <v>1.1999999999999999E-3</v>
      </c>
    </row>
    <row r="232" spans="2:5">
      <c r="B232" s="11" t="str">
        <f t="shared" si="11"/>
        <v>41CAPACITACION TECNICA</v>
      </c>
      <c r="C232" s="1" t="str">
        <f>"NAYARIT"</f>
        <v>NAYARIT</v>
      </c>
      <c r="D232" s="2">
        <v>1</v>
      </c>
      <c r="E232" s="3">
        <v>4.0000000000000002E-4</v>
      </c>
    </row>
    <row r="233" spans="2:5">
      <c r="B233" s="11" t="str">
        <f t="shared" si="11"/>
        <v>41CAPACITACION TECNICA</v>
      </c>
      <c r="C233" s="1" t="str">
        <f>"PUEBLA"</f>
        <v>PUEBLA</v>
      </c>
      <c r="D233" s="2">
        <v>2</v>
      </c>
      <c r="E233" s="3">
        <v>8.0000000000000004E-4</v>
      </c>
    </row>
    <row r="234" spans="2:5">
      <c r="B234" s="11" t="str">
        <f t="shared" si="11"/>
        <v>41CAPACITACION TECNICA</v>
      </c>
      <c r="C234" s="1" t="str">
        <f>"SONORA"</f>
        <v>SONORA</v>
      </c>
      <c r="D234" s="2">
        <v>1</v>
      </c>
      <c r="E234" s="3">
        <v>4.0000000000000002E-4</v>
      </c>
    </row>
    <row r="235" spans="2:5">
      <c r="B235" s="11" t="str">
        <f t="shared" si="11"/>
        <v>41CAPACITACION TECNICA</v>
      </c>
      <c r="C235" s="1" t="str">
        <f>"TAMAULIPAS"</f>
        <v>TAMAULIPAS</v>
      </c>
      <c r="D235" s="2">
        <v>2</v>
      </c>
      <c r="E235" s="3">
        <v>8.0000000000000004E-4</v>
      </c>
    </row>
    <row r="236" spans="2:5">
      <c r="B236" s="11" t="str">
        <f t="shared" si="11"/>
        <v>41CAPACITACION TECNICA</v>
      </c>
      <c r="C236" s="1" t="str">
        <f>"ZACATECAS"</f>
        <v>ZACATECAS</v>
      </c>
      <c r="D236" s="2">
        <v>1</v>
      </c>
      <c r="E236" s="3">
        <v>4.0000000000000002E-4</v>
      </c>
    </row>
    <row r="237" spans="2:5" ht="16.5">
      <c r="B237" s="11" t="str">
        <f t="shared" si="11"/>
        <v>41CAPACITACION TECNICA</v>
      </c>
      <c r="C237" s="7" t="str">
        <f>"Total"</f>
        <v>Total</v>
      </c>
      <c r="D237" s="8">
        <v>12</v>
      </c>
      <c r="E237" s="9">
        <v>5.0000000000000001E-3</v>
      </c>
    </row>
    <row r="238" spans="2:5">
      <c r="B238" s="10" t="str">
        <f>"PREPARATORIA SIN CERTIFICADO"</f>
        <v>PREPARATORIA SIN CERTIFICADO</v>
      </c>
      <c r="C238" s="1" t="str">
        <f>"AGUASCALIENTES"</f>
        <v>AGUASCALIENTES</v>
      </c>
      <c r="D238" s="2">
        <v>1</v>
      </c>
      <c r="E238" s="3">
        <v>4.0000000000000002E-4</v>
      </c>
    </row>
    <row r="239" spans="2:5">
      <c r="B239" s="11" t="str">
        <f t="shared" ref="B238:B262" si="12">"51PREPARATORIA SIN CERTIFICADO"</f>
        <v>51PREPARATORIA SIN CERTIFICADO</v>
      </c>
      <c r="C239" s="1" t="str">
        <f>"BAJA CALIFORNIA SUR"</f>
        <v>BAJA CALIFORNIA SUR</v>
      </c>
      <c r="D239" s="2">
        <v>1</v>
      </c>
      <c r="E239" s="3">
        <v>4.0000000000000002E-4</v>
      </c>
    </row>
    <row r="240" spans="2:5">
      <c r="B240" s="11" t="str">
        <f t="shared" si="12"/>
        <v>51PREPARATORIA SIN CERTIFICADO</v>
      </c>
      <c r="C240" s="1" t="str">
        <f>"CAMPECHE"</f>
        <v>CAMPECHE</v>
      </c>
      <c r="D240" s="2">
        <v>1</v>
      </c>
      <c r="E240" s="3">
        <v>4.0000000000000002E-4</v>
      </c>
    </row>
    <row r="241" spans="2:5">
      <c r="B241" s="11" t="str">
        <f t="shared" si="12"/>
        <v>51PREPARATORIA SIN CERTIFICADO</v>
      </c>
      <c r="C241" s="1" t="str">
        <f>"CHIHUAHUA"</f>
        <v>CHIHUAHUA</v>
      </c>
      <c r="D241" s="2">
        <v>8</v>
      </c>
      <c r="E241" s="3">
        <v>3.3E-3</v>
      </c>
    </row>
    <row r="242" spans="2:5">
      <c r="B242" s="11" t="str">
        <f t="shared" si="12"/>
        <v>51PREPARATORIA SIN CERTIFICADO</v>
      </c>
      <c r="C242" s="1" t="str">
        <f>"COAHUILA DE ZARAGOZA"</f>
        <v>COAHUILA DE ZARAGOZA</v>
      </c>
      <c r="D242" s="2">
        <v>2</v>
      </c>
      <c r="E242" s="3">
        <v>8.0000000000000004E-4</v>
      </c>
    </row>
    <row r="243" spans="2:5">
      <c r="B243" s="11" t="str">
        <f t="shared" si="12"/>
        <v>51PREPARATORIA SIN CERTIFICADO</v>
      </c>
      <c r="C243" s="1" t="str">
        <f>"COLIMA"</f>
        <v>COLIMA</v>
      </c>
      <c r="D243" s="2">
        <v>1</v>
      </c>
      <c r="E243" s="3">
        <v>4.0000000000000002E-4</v>
      </c>
    </row>
    <row r="244" spans="2:5">
      <c r="B244" s="11" t="str">
        <f t="shared" si="12"/>
        <v>51PREPARATORIA SIN CERTIFICADO</v>
      </c>
      <c r="C244" s="1" t="str">
        <f>"DISTRITO FEDERAL"</f>
        <v>DISTRITO FEDERAL</v>
      </c>
      <c r="D244" s="2">
        <v>2</v>
      </c>
      <c r="E244" s="3">
        <v>8.0000000000000004E-4</v>
      </c>
    </row>
    <row r="245" spans="2:5">
      <c r="B245" s="11" t="str">
        <f t="shared" si="12"/>
        <v>51PREPARATORIA SIN CERTIFICADO</v>
      </c>
      <c r="C245" s="1" t="str">
        <f>"DURANGO"</f>
        <v>DURANGO</v>
      </c>
      <c r="D245" s="2">
        <v>2</v>
      </c>
      <c r="E245" s="3">
        <v>8.0000000000000004E-4</v>
      </c>
    </row>
    <row r="246" spans="2:5">
      <c r="B246" s="11" t="str">
        <f t="shared" si="12"/>
        <v>51PREPARATORIA SIN CERTIFICADO</v>
      </c>
      <c r="C246" s="1" t="str">
        <f>"GUANAJUATO"</f>
        <v>GUANAJUATO</v>
      </c>
      <c r="D246" s="2">
        <v>5</v>
      </c>
      <c r="E246" s="3">
        <v>2.0999999999999999E-3</v>
      </c>
    </row>
    <row r="247" spans="2:5">
      <c r="B247" s="11" t="str">
        <f t="shared" si="12"/>
        <v>51PREPARATORIA SIN CERTIFICADO</v>
      </c>
      <c r="C247" s="1" t="str">
        <f>"GUERRERO"</f>
        <v>GUERRERO</v>
      </c>
      <c r="D247" s="2">
        <v>3</v>
      </c>
      <c r="E247" s="3">
        <v>1.1999999999999999E-3</v>
      </c>
    </row>
    <row r="248" spans="2:5">
      <c r="B248" s="11" t="str">
        <f t="shared" si="12"/>
        <v>51PREPARATORIA SIN CERTIFICADO</v>
      </c>
      <c r="C248" s="1" t="str">
        <f>"HIDALGO"</f>
        <v>HIDALGO</v>
      </c>
      <c r="D248" s="2">
        <v>3</v>
      </c>
      <c r="E248" s="3">
        <v>1.1999999999999999E-3</v>
      </c>
    </row>
    <row r="249" spans="2:5">
      <c r="B249" s="11" t="str">
        <f t="shared" si="12"/>
        <v>51PREPARATORIA SIN CERTIFICADO</v>
      </c>
      <c r="C249" s="1" t="str">
        <f>"JALISCO"</f>
        <v>JALISCO</v>
      </c>
      <c r="D249" s="2">
        <v>2</v>
      </c>
      <c r="E249" s="3">
        <v>8.0000000000000004E-4</v>
      </c>
    </row>
    <row r="250" spans="2:5">
      <c r="B250" s="11" t="str">
        <f t="shared" si="12"/>
        <v>51PREPARATORIA SIN CERTIFICADO</v>
      </c>
      <c r="C250" s="1" t="str">
        <f>"MEXICO"</f>
        <v>MEXICO</v>
      </c>
      <c r="D250" s="2">
        <v>4</v>
      </c>
      <c r="E250" s="3">
        <v>1.6999999999999999E-3</v>
      </c>
    </row>
    <row r="251" spans="2:5">
      <c r="B251" s="11" t="str">
        <f t="shared" si="12"/>
        <v>51PREPARATORIA SIN CERTIFICADO</v>
      </c>
      <c r="C251" s="1" t="str">
        <f>"MICHOACAN DE OCAMPO"</f>
        <v>MICHOACAN DE OCAMPO</v>
      </c>
      <c r="D251" s="2">
        <v>2</v>
      </c>
      <c r="E251" s="3">
        <v>8.0000000000000004E-4</v>
      </c>
    </row>
    <row r="252" spans="2:5">
      <c r="B252" s="11" t="str">
        <f t="shared" si="12"/>
        <v>51PREPARATORIA SIN CERTIFICADO</v>
      </c>
      <c r="C252" s="1" t="str">
        <f>"NAYARIT"</f>
        <v>NAYARIT</v>
      </c>
      <c r="D252" s="2">
        <v>1</v>
      </c>
      <c r="E252" s="3">
        <v>4.0000000000000002E-4</v>
      </c>
    </row>
    <row r="253" spans="2:5">
      <c r="B253" s="11" t="str">
        <f t="shared" si="12"/>
        <v>51PREPARATORIA SIN CERTIFICADO</v>
      </c>
      <c r="C253" s="1" t="str">
        <f>"NUEVO LEON"</f>
        <v>NUEVO LEON</v>
      </c>
      <c r="D253" s="2">
        <v>4</v>
      </c>
      <c r="E253" s="3">
        <v>1.6999999999999999E-3</v>
      </c>
    </row>
    <row r="254" spans="2:5">
      <c r="B254" s="11" t="str">
        <f t="shared" si="12"/>
        <v>51PREPARATORIA SIN CERTIFICADO</v>
      </c>
      <c r="C254" s="1" t="str">
        <f>"PUEBLA"</f>
        <v>PUEBLA</v>
      </c>
      <c r="D254" s="2">
        <v>4</v>
      </c>
      <c r="E254" s="3">
        <v>1.6999999999999999E-3</v>
      </c>
    </row>
    <row r="255" spans="2:5">
      <c r="B255" s="11" t="str">
        <f t="shared" si="12"/>
        <v>51PREPARATORIA SIN CERTIFICADO</v>
      </c>
      <c r="C255" s="1" t="str">
        <f>"QUERETARO DE ARTEAGA"</f>
        <v>QUERETARO DE ARTEAGA</v>
      </c>
      <c r="D255" s="2">
        <v>1</v>
      </c>
      <c r="E255" s="3">
        <v>4.0000000000000002E-4</v>
      </c>
    </row>
    <row r="256" spans="2:5">
      <c r="B256" s="11" t="str">
        <f t="shared" si="12"/>
        <v>51PREPARATORIA SIN CERTIFICADO</v>
      </c>
      <c r="C256" s="1" t="str">
        <f>"SAN LUIS POTOSI"</f>
        <v>SAN LUIS POTOSI</v>
      </c>
      <c r="D256" s="2">
        <v>11</v>
      </c>
      <c r="E256" s="3">
        <v>4.5999999999999999E-3</v>
      </c>
    </row>
    <row r="257" spans="2:5">
      <c r="B257" s="11" t="str">
        <f t="shared" si="12"/>
        <v>51PREPARATORIA SIN CERTIFICADO</v>
      </c>
      <c r="C257" s="1" t="str">
        <f>"TABASCO"</f>
        <v>TABASCO</v>
      </c>
      <c r="D257" s="2">
        <v>2</v>
      </c>
      <c r="E257" s="3">
        <v>8.0000000000000004E-4</v>
      </c>
    </row>
    <row r="258" spans="2:5">
      <c r="B258" s="11" t="str">
        <f t="shared" si="12"/>
        <v>51PREPARATORIA SIN CERTIFICADO</v>
      </c>
      <c r="C258" s="1" t="str">
        <f>"TAMAULIPAS"</f>
        <v>TAMAULIPAS</v>
      </c>
      <c r="D258" s="2">
        <v>4</v>
      </c>
      <c r="E258" s="3">
        <v>1.6999999999999999E-3</v>
      </c>
    </row>
    <row r="259" spans="2:5">
      <c r="B259" s="11" t="str">
        <f t="shared" si="12"/>
        <v>51PREPARATORIA SIN CERTIFICADO</v>
      </c>
      <c r="C259" s="1" t="str">
        <f>"TLAXCALA"</f>
        <v>TLAXCALA</v>
      </c>
      <c r="D259" s="2">
        <v>1</v>
      </c>
      <c r="E259" s="3">
        <v>4.0000000000000002E-4</v>
      </c>
    </row>
    <row r="260" spans="2:5">
      <c r="B260" s="11" t="str">
        <f t="shared" si="12"/>
        <v>51PREPARATORIA SIN CERTIFICADO</v>
      </c>
      <c r="C260" s="1" t="str">
        <f>"VERACRUZ DE IGNACIO DE LA LLAVE"</f>
        <v>VERACRUZ DE IGNACIO DE LA LLAVE</v>
      </c>
      <c r="D260" s="2">
        <v>7</v>
      </c>
      <c r="E260" s="3">
        <v>2.8999999999999998E-3</v>
      </c>
    </row>
    <row r="261" spans="2:5">
      <c r="B261" s="11" t="str">
        <f t="shared" si="12"/>
        <v>51PREPARATORIA SIN CERTIFICADO</v>
      </c>
      <c r="C261" s="1" t="str">
        <f>"ZACATECAS"</f>
        <v>ZACATECAS</v>
      </c>
      <c r="D261" s="2">
        <v>3</v>
      </c>
      <c r="E261" s="3">
        <v>1.1999999999999999E-3</v>
      </c>
    </row>
    <row r="262" spans="2:5" ht="16.5">
      <c r="B262" s="11" t="str">
        <f t="shared" si="12"/>
        <v>51PREPARATORIA SIN CERTIFICADO</v>
      </c>
      <c r="C262" s="7" t="str">
        <f>"Total"</f>
        <v>Total</v>
      </c>
      <c r="D262" s="8">
        <v>75</v>
      </c>
      <c r="E262" s="9">
        <v>3.1099999999999999E-2</v>
      </c>
    </row>
    <row r="263" spans="2:5">
      <c r="B263" s="10" t="str">
        <f>"PREPARATORIA CON CERTIFICADO"</f>
        <v>PREPARATORIA CON CERTIFICADO</v>
      </c>
      <c r="C263" s="1" t="str">
        <f>"AGUASCALIENTES"</f>
        <v>AGUASCALIENTES</v>
      </c>
      <c r="D263" s="2">
        <v>5</v>
      </c>
      <c r="E263" s="3">
        <v>2.0999999999999999E-3</v>
      </c>
    </row>
    <row r="264" spans="2:5">
      <c r="B264" s="11" t="str">
        <f t="shared" ref="B263:B292" si="13">"52PREPARATORIA CON CERTIFICADO"</f>
        <v>52PREPARATORIA CON CERTIFICADO</v>
      </c>
      <c r="C264" s="1" t="str">
        <f>"BAJA CALIFORNIA"</f>
        <v>BAJA CALIFORNIA</v>
      </c>
      <c r="D264" s="2">
        <v>3</v>
      </c>
      <c r="E264" s="3">
        <v>1.1999999999999999E-3</v>
      </c>
    </row>
    <row r="265" spans="2:5">
      <c r="B265" s="11" t="str">
        <f t="shared" si="13"/>
        <v>52PREPARATORIA CON CERTIFICADO</v>
      </c>
      <c r="C265" s="1" t="str">
        <f>"CAMPECHE"</f>
        <v>CAMPECHE</v>
      </c>
      <c r="D265" s="2">
        <v>1</v>
      </c>
      <c r="E265" s="3">
        <v>4.0000000000000002E-4</v>
      </c>
    </row>
    <row r="266" spans="2:5">
      <c r="B266" s="11" t="str">
        <f t="shared" si="13"/>
        <v>52PREPARATORIA CON CERTIFICADO</v>
      </c>
      <c r="C266" s="1" t="str">
        <f>"CHIAPAS"</f>
        <v>CHIAPAS</v>
      </c>
      <c r="D266" s="2">
        <v>13</v>
      </c>
      <c r="E266" s="3">
        <v>5.4000000000000003E-3</v>
      </c>
    </row>
    <row r="267" spans="2:5">
      <c r="B267" s="11" t="str">
        <f t="shared" si="13"/>
        <v>52PREPARATORIA CON CERTIFICADO</v>
      </c>
      <c r="C267" s="1" t="str">
        <f>"CHIHUAHUA"</f>
        <v>CHIHUAHUA</v>
      </c>
      <c r="D267" s="2">
        <v>22</v>
      </c>
      <c r="E267" s="3">
        <v>9.1000000000000004E-3</v>
      </c>
    </row>
    <row r="268" spans="2:5">
      <c r="B268" s="11" t="str">
        <f t="shared" si="13"/>
        <v>52PREPARATORIA CON CERTIFICADO</v>
      </c>
      <c r="C268" s="1" t="str">
        <f>"COAHUILA DE ZARAGOZA"</f>
        <v>COAHUILA DE ZARAGOZA</v>
      </c>
      <c r="D268" s="2">
        <v>11</v>
      </c>
      <c r="E268" s="3">
        <v>4.5999999999999999E-3</v>
      </c>
    </row>
    <row r="269" spans="2:5">
      <c r="B269" s="11" t="str">
        <f t="shared" si="13"/>
        <v>52PREPARATORIA CON CERTIFICADO</v>
      </c>
      <c r="C269" s="1" t="str">
        <f>"DISTRITO FEDERAL"</f>
        <v>DISTRITO FEDERAL</v>
      </c>
      <c r="D269" s="2">
        <v>31</v>
      </c>
      <c r="E269" s="3">
        <v>1.29E-2</v>
      </c>
    </row>
    <row r="270" spans="2:5">
      <c r="B270" s="11" t="str">
        <f t="shared" si="13"/>
        <v>52PREPARATORIA CON CERTIFICADO</v>
      </c>
      <c r="C270" s="1" t="str">
        <f>"DURANGO"</f>
        <v>DURANGO</v>
      </c>
      <c r="D270" s="2">
        <v>6</v>
      </c>
      <c r="E270" s="3">
        <v>2.5000000000000001E-3</v>
      </c>
    </row>
    <row r="271" spans="2:5">
      <c r="B271" s="11" t="str">
        <f t="shared" si="13"/>
        <v>52PREPARATORIA CON CERTIFICADO</v>
      </c>
      <c r="C271" s="1" t="str">
        <f>"GUANAJUATO"</f>
        <v>GUANAJUATO</v>
      </c>
      <c r="D271" s="2">
        <v>36</v>
      </c>
      <c r="E271" s="3">
        <v>1.49E-2</v>
      </c>
    </row>
    <row r="272" spans="2:5">
      <c r="B272" s="11" t="str">
        <f t="shared" si="13"/>
        <v>52PREPARATORIA CON CERTIFICADO</v>
      </c>
      <c r="C272" s="1" t="str">
        <f>"GUERRERO"</f>
        <v>GUERRERO</v>
      </c>
      <c r="D272" s="2">
        <v>14</v>
      </c>
      <c r="E272" s="3">
        <v>5.7999999999999996E-3</v>
      </c>
    </row>
    <row r="273" spans="2:5">
      <c r="B273" s="11" t="str">
        <f t="shared" si="13"/>
        <v>52PREPARATORIA CON CERTIFICADO</v>
      </c>
      <c r="C273" s="1" t="str">
        <f>"HIDALGO"</f>
        <v>HIDALGO</v>
      </c>
      <c r="D273" s="2">
        <v>13</v>
      </c>
      <c r="E273" s="3">
        <v>5.4000000000000003E-3</v>
      </c>
    </row>
    <row r="274" spans="2:5">
      <c r="B274" s="11" t="str">
        <f t="shared" si="13"/>
        <v>52PREPARATORIA CON CERTIFICADO</v>
      </c>
      <c r="C274" s="1" t="str">
        <f>"JALISCO"</f>
        <v>JALISCO</v>
      </c>
      <c r="D274" s="2">
        <v>6</v>
      </c>
      <c r="E274" s="3">
        <v>2.5000000000000001E-3</v>
      </c>
    </row>
    <row r="275" spans="2:5">
      <c r="B275" s="11" t="str">
        <f t="shared" si="13"/>
        <v>52PREPARATORIA CON CERTIFICADO</v>
      </c>
      <c r="C275" s="1" t="str">
        <f>"MEXICO"</f>
        <v>MEXICO</v>
      </c>
      <c r="D275" s="2">
        <v>16</v>
      </c>
      <c r="E275" s="3">
        <v>6.6E-3</v>
      </c>
    </row>
    <row r="276" spans="2:5">
      <c r="B276" s="11" t="str">
        <f t="shared" si="13"/>
        <v>52PREPARATORIA CON CERTIFICADO</v>
      </c>
      <c r="C276" s="1" t="str">
        <f>"MICHOACAN DE OCAMPO"</f>
        <v>MICHOACAN DE OCAMPO</v>
      </c>
      <c r="D276" s="2">
        <v>17</v>
      </c>
      <c r="E276" s="3">
        <v>7.1000000000000004E-3</v>
      </c>
    </row>
    <row r="277" spans="2:5">
      <c r="B277" s="11" t="str">
        <f t="shared" si="13"/>
        <v>52PREPARATORIA CON CERTIFICADO</v>
      </c>
      <c r="C277" s="1" t="str">
        <f>"MORELOS"</f>
        <v>MORELOS</v>
      </c>
      <c r="D277" s="2">
        <v>5</v>
      </c>
      <c r="E277" s="3">
        <v>2.0999999999999999E-3</v>
      </c>
    </row>
    <row r="278" spans="2:5">
      <c r="B278" s="11" t="str">
        <f t="shared" si="13"/>
        <v>52PREPARATORIA CON CERTIFICADO</v>
      </c>
      <c r="C278" s="1" t="str">
        <f>"NAYARIT"</f>
        <v>NAYARIT</v>
      </c>
      <c r="D278" s="2">
        <v>1</v>
      </c>
      <c r="E278" s="3">
        <v>4.0000000000000002E-4</v>
      </c>
    </row>
    <row r="279" spans="2:5">
      <c r="B279" s="11" t="str">
        <f t="shared" si="13"/>
        <v>52PREPARATORIA CON CERTIFICADO</v>
      </c>
      <c r="C279" s="1" t="str">
        <f>"NUEVO LEON"</f>
        <v>NUEVO LEON</v>
      </c>
      <c r="D279" s="2">
        <v>17</v>
      </c>
      <c r="E279" s="3">
        <v>7.1000000000000004E-3</v>
      </c>
    </row>
    <row r="280" spans="2:5">
      <c r="B280" s="11" t="str">
        <f t="shared" si="13"/>
        <v>52PREPARATORIA CON CERTIFICADO</v>
      </c>
      <c r="C280" s="1" t="str">
        <f>"OAXACA"</f>
        <v>OAXACA</v>
      </c>
      <c r="D280" s="2">
        <v>6</v>
      </c>
      <c r="E280" s="3">
        <v>2.5000000000000001E-3</v>
      </c>
    </row>
    <row r="281" spans="2:5">
      <c r="B281" s="11" t="str">
        <f t="shared" si="13"/>
        <v>52PREPARATORIA CON CERTIFICADO</v>
      </c>
      <c r="C281" s="1" t="str">
        <f>"PUEBLA"</f>
        <v>PUEBLA</v>
      </c>
      <c r="D281" s="2">
        <v>27</v>
      </c>
      <c r="E281" s="3">
        <v>1.12E-2</v>
      </c>
    </row>
    <row r="282" spans="2:5">
      <c r="B282" s="11" t="str">
        <f t="shared" si="13"/>
        <v>52PREPARATORIA CON CERTIFICADO</v>
      </c>
      <c r="C282" s="1" t="str">
        <f>"QUERETARO DE ARTEAGA"</f>
        <v>QUERETARO DE ARTEAGA</v>
      </c>
      <c r="D282" s="2">
        <v>5</v>
      </c>
      <c r="E282" s="3">
        <v>2.0999999999999999E-3</v>
      </c>
    </row>
    <row r="283" spans="2:5">
      <c r="B283" s="11" t="str">
        <f t="shared" si="13"/>
        <v>52PREPARATORIA CON CERTIFICADO</v>
      </c>
      <c r="C283" s="1" t="str">
        <f>"QUINTANA ROO"</f>
        <v>QUINTANA ROO</v>
      </c>
      <c r="D283" s="2">
        <v>1</v>
      </c>
      <c r="E283" s="3">
        <v>4.0000000000000002E-4</v>
      </c>
    </row>
    <row r="284" spans="2:5">
      <c r="B284" s="11" t="str">
        <f t="shared" si="13"/>
        <v>52PREPARATORIA CON CERTIFICADO</v>
      </c>
      <c r="C284" s="1" t="str">
        <f>"SAN LUIS POTOSI"</f>
        <v>SAN LUIS POTOSI</v>
      </c>
      <c r="D284" s="2">
        <v>25</v>
      </c>
      <c r="E284" s="3">
        <v>1.04E-2</v>
      </c>
    </row>
    <row r="285" spans="2:5">
      <c r="B285" s="11" t="str">
        <f t="shared" si="13"/>
        <v>52PREPARATORIA CON CERTIFICADO</v>
      </c>
      <c r="C285" s="1" t="str">
        <f>"SINALOA"</f>
        <v>SINALOA</v>
      </c>
      <c r="D285" s="2">
        <v>6</v>
      </c>
      <c r="E285" s="3">
        <v>2.5000000000000001E-3</v>
      </c>
    </row>
    <row r="286" spans="2:5">
      <c r="B286" s="11" t="str">
        <f t="shared" si="13"/>
        <v>52PREPARATORIA CON CERTIFICADO</v>
      </c>
      <c r="C286" s="1" t="str">
        <f>"SONORA"</f>
        <v>SONORA</v>
      </c>
      <c r="D286" s="2">
        <v>3</v>
      </c>
      <c r="E286" s="3">
        <v>1.1999999999999999E-3</v>
      </c>
    </row>
    <row r="287" spans="2:5">
      <c r="B287" s="11" t="str">
        <f t="shared" si="13"/>
        <v>52PREPARATORIA CON CERTIFICADO</v>
      </c>
      <c r="C287" s="1" t="str">
        <f>"TABASCO"</f>
        <v>TABASCO</v>
      </c>
      <c r="D287" s="2">
        <v>10</v>
      </c>
      <c r="E287" s="3">
        <v>4.1000000000000003E-3</v>
      </c>
    </row>
    <row r="288" spans="2:5">
      <c r="B288" s="11" t="str">
        <f t="shared" si="13"/>
        <v>52PREPARATORIA CON CERTIFICADO</v>
      </c>
      <c r="C288" s="1" t="str">
        <f>"TAMAULIPAS"</f>
        <v>TAMAULIPAS</v>
      </c>
      <c r="D288" s="2">
        <v>30</v>
      </c>
      <c r="E288" s="3">
        <v>1.24E-2</v>
      </c>
    </row>
    <row r="289" spans="2:5">
      <c r="B289" s="11" t="str">
        <f t="shared" si="13"/>
        <v>52PREPARATORIA CON CERTIFICADO</v>
      </c>
      <c r="C289" s="1" t="str">
        <f>"TLAXCALA"</f>
        <v>TLAXCALA</v>
      </c>
      <c r="D289" s="2">
        <v>6</v>
      </c>
      <c r="E289" s="3">
        <v>2.5000000000000001E-3</v>
      </c>
    </row>
    <row r="290" spans="2:5">
      <c r="B290" s="11" t="str">
        <f t="shared" si="13"/>
        <v>52PREPARATORIA CON CERTIFICADO</v>
      </c>
      <c r="C290" s="1" t="str">
        <f>"VERACRUZ DE IGNACIO DE LA LLAVE"</f>
        <v>VERACRUZ DE IGNACIO DE LA LLAVE</v>
      </c>
      <c r="D290" s="2">
        <v>41</v>
      </c>
      <c r="E290" s="3">
        <v>1.7000000000000001E-2</v>
      </c>
    </row>
    <row r="291" spans="2:5">
      <c r="B291" s="11" t="str">
        <f t="shared" si="13"/>
        <v>52PREPARATORIA CON CERTIFICADO</v>
      </c>
      <c r="C291" s="1" t="str">
        <f>"ZACATECAS"</f>
        <v>ZACATECAS</v>
      </c>
      <c r="D291" s="2">
        <v>17</v>
      </c>
      <c r="E291" s="3">
        <v>7.1000000000000004E-3</v>
      </c>
    </row>
    <row r="292" spans="2:5" ht="16.5">
      <c r="B292" s="11" t="str">
        <f t="shared" si="13"/>
        <v>52PREPARATORIA CON CERTIFICADO</v>
      </c>
      <c r="C292" s="7" t="str">
        <f>"Total"</f>
        <v>Total</v>
      </c>
      <c r="D292" s="8">
        <v>394</v>
      </c>
      <c r="E292" s="9">
        <v>0.16339999999999999</v>
      </c>
    </row>
    <row r="293" spans="2:5">
      <c r="B293" s="10" t="str">
        <f>"1o. ANO DE PROFESIONAL"</f>
        <v>1o. ANO DE PROFESIONAL</v>
      </c>
      <c r="C293" s="1" t="str">
        <f>"GUERRERO"</f>
        <v>GUERRERO</v>
      </c>
      <c r="D293" s="2">
        <v>1</v>
      </c>
      <c r="E293" s="3">
        <v>4.0000000000000002E-4</v>
      </c>
    </row>
    <row r="294" spans="2:5">
      <c r="B294" s="11" t="str">
        <f>"611o. ANO DE PROFESIONAL"</f>
        <v>611o. ANO DE PROFESIONAL</v>
      </c>
      <c r="C294" s="1" t="str">
        <f>"QUERETARO DE ARTEAGA"</f>
        <v>QUERETARO DE ARTEAGA</v>
      </c>
      <c r="D294" s="2">
        <v>1</v>
      </c>
      <c r="E294" s="3">
        <v>4.0000000000000002E-4</v>
      </c>
    </row>
    <row r="295" spans="2:5">
      <c r="B295" s="11" t="str">
        <f>"611o. ANO DE PROFESIONAL"</f>
        <v>611o. ANO DE PROFESIONAL</v>
      </c>
      <c r="C295" s="1" t="str">
        <f>"SAN LUIS POTOSI"</f>
        <v>SAN LUIS POTOSI</v>
      </c>
      <c r="D295" s="2">
        <v>2</v>
      </c>
      <c r="E295" s="3">
        <v>8.0000000000000004E-4</v>
      </c>
    </row>
    <row r="296" spans="2:5" ht="16.5">
      <c r="B296" s="11" t="str">
        <f>"611o. ANO DE PROFESIONAL"</f>
        <v>611o. ANO DE PROFESIONAL</v>
      </c>
      <c r="C296" s="7" t="str">
        <f>"Total"</f>
        <v>Total</v>
      </c>
      <c r="D296" s="8">
        <v>4</v>
      </c>
      <c r="E296" s="9">
        <v>1.6999999999999999E-3</v>
      </c>
    </row>
    <row r="297" spans="2:5">
      <c r="B297" s="10" t="str">
        <f>"20. ANO DE PROFESIONAL"</f>
        <v>20. ANO DE PROFESIONAL</v>
      </c>
      <c r="C297" s="1" t="str">
        <f>"CHIHUAHUA"</f>
        <v>CHIHUAHUA</v>
      </c>
      <c r="D297" s="2">
        <v>1</v>
      </c>
      <c r="E297" s="3">
        <v>4.0000000000000002E-4</v>
      </c>
    </row>
    <row r="298" spans="2:5" ht="16.5">
      <c r="B298" s="11" t="str">
        <f>"6220. ANO DE PROFESIONAL"</f>
        <v>6220. ANO DE PROFESIONAL</v>
      </c>
      <c r="C298" s="7" t="str">
        <f>"Total"</f>
        <v>Total</v>
      </c>
      <c r="D298" s="8">
        <v>1</v>
      </c>
      <c r="E298" s="9">
        <v>4.0000000000000002E-4</v>
      </c>
    </row>
    <row r="299" spans="2:5">
      <c r="B299" s="10" t="str">
        <f>"3er. ANO DE PROFESIONAL"</f>
        <v>3er. ANO DE PROFESIONAL</v>
      </c>
      <c r="C299" s="1" t="str">
        <f>"OAXACA"</f>
        <v>OAXACA</v>
      </c>
      <c r="D299" s="2">
        <v>1</v>
      </c>
      <c r="E299" s="3">
        <v>4.0000000000000002E-4</v>
      </c>
    </row>
    <row r="300" spans="2:5">
      <c r="B300" s="11" t="str">
        <f>"633er. ANO DE PROFESIONAL"</f>
        <v>633er. ANO DE PROFESIONAL</v>
      </c>
      <c r="C300" s="1" t="str">
        <f>"SAN LUIS POTOSI"</f>
        <v>SAN LUIS POTOSI</v>
      </c>
      <c r="D300" s="2">
        <v>1</v>
      </c>
      <c r="E300" s="3">
        <v>4.0000000000000002E-4</v>
      </c>
    </row>
    <row r="301" spans="2:5" ht="16.5">
      <c r="B301" s="11" t="str">
        <f>"633er. ANO DE PROFESIONAL"</f>
        <v>633er. ANO DE PROFESIONAL</v>
      </c>
      <c r="C301" s="7" t="str">
        <f>"Total"</f>
        <v>Total</v>
      </c>
      <c r="D301" s="8">
        <v>2</v>
      </c>
      <c r="E301" s="9">
        <v>8.0000000000000004E-4</v>
      </c>
    </row>
    <row r="302" spans="2:5">
      <c r="B302" s="10" t="str">
        <f>"4o. ANO DE PROFESIONAL"</f>
        <v>4o. ANO DE PROFESIONAL</v>
      </c>
      <c r="C302" s="1" t="str">
        <f>"NUEVO LEON"</f>
        <v>NUEVO LEON</v>
      </c>
      <c r="D302" s="2">
        <v>1</v>
      </c>
      <c r="E302" s="3">
        <v>4.0000000000000002E-4</v>
      </c>
    </row>
    <row r="303" spans="2:5" ht="16.5">
      <c r="B303" s="11" t="str">
        <f>"644o. ANO DE PROFESIONAL"</f>
        <v>644o. ANO DE PROFESIONAL</v>
      </c>
      <c r="C303" s="7" t="str">
        <f>"Total"</f>
        <v>Total</v>
      </c>
      <c r="D303" s="8">
        <v>1</v>
      </c>
      <c r="E303" s="9">
        <v>4.0000000000000002E-4</v>
      </c>
    </row>
    <row r="304" spans="2:5">
      <c r="B304" s="10" t="str">
        <f>"PROFESIONAL PASANTE"</f>
        <v>PROFESIONAL PASANTE</v>
      </c>
      <c r="C304" s="1" t="str">
        <f>"AGUASCALIENTES"</f>
        <v>AGUASCALIENTES</v>
      </c>
      <c r="D304" s="2">
        <v>1</v>
      </c>
      <c r="E304" s="3">
        <v>4.0000000000000002E-4</v>
      </c>
    </row>
    <row r="305" spans="2:5">
      <c r="B305" s="11" t="str">
        <f t="shared" ref="B304:B315" si="14">"65PROFESIONAL PASANTE"</f>
        <v>65PROFESIONAL PASANTE</v>
      </c>
      <c r="C305" s="1" t="str">
        <f>"DISTRITO FEDERAL"</f>
        <v>DISTRITO FEDERAL</v>
      </c>
      <c r="D305" s="2">
        <v>2</v>
      </c>
      <c r="E305" s="3">
        <v>8.0000000000000004E-4</v>
      </c>
    </row>
    <row r="306" spans="2:5">
      <c r="B306" s="11" t="str">
        <f t="shared" si="14"/>
        <v>65PROFESIONAL PASANTE</v>
      </c>
      <c r="C306" s="1" t="str">
        <f>"MEXICO"</f>
        <v>MEXICO</v>
      </c>
      <c r="D306" s="2">
        <v>2</v>
      </c>
      <c r="E306" s="3">
        <v>8.0000000000000004E-4</v>
      </c>
    </row>
    <row r="307" spans="2:5">
      <c r="B307" s="11" t="str">
        <f t="shared" si="14"/>
        <v>65PROFESIONAL PASANTE</v>
      </c>
      <c r="C307" s="1" t="str">
        <f>"MICHOACAN DE OCAMPO"</f>
        <v>MICHOACAN DE OCAMPO</v>
      </c>
      <c r="D307" s="2">
        <v>1</v>
      </c>
      <c r="E307" s="3">
        <v>4.0000000000000002E-4</v>
      </c>
    </row>
    <row r="308" spans="2:5">
      <c r="B308" s="11" t="str">
        <f t="shared" si="14"/>
        <v>65PROFESIONAL PASANTE</v>
      </c>
      <c r="C308" s="1" t="str">
        <f>"NAYARIT"</f>
        <v>NAYARIT</v>
      </c>
      <c r="D308" s="2">
        <v>1</v>
      </c>
      <c r="E308" s="3">
        <v>4.0000000000000002E-4</v>
      </c>
    </row>
    <row r="309" spans="2:5">
      <c r="B309" s="11" t="str">
        <f t="shared" si="14"/>
        <v>65PROFESIONAL PASANTE</v>
      </c>
      <c r="C309" s="1" t="str">
        <f>"NUEVO LEON"</f>
        <v>NUEVO LEON</v>
      </c>
      <c r="D309" s="2">
        <v>1</v>
      </c>
      <c r="E309" s="3">
        <v>4.0000000000000002E-4</v>
      </c>
    </row>
    <row r="310" spans="2:5">
      <c r="B310" s="11" t="str">
        <f t="shared" si="14"/>
        <v>65PROFESIONAL PASANTE</v>
      </c>
      <c r="C310" s="1" t="str">
        <f>"SAN LUIS POTOSI"</f>
        <v>SAN LUIS POTOSI</v>
      </c>
      <c r="D310" s="2">
        <v>2</v>
      </c>
      <c r="E310" s="3">
        <v>8.0000000000000004E-4</v>
      </c>
    </row>
    <row r="311" spans="2:5">
      <c r="B311" s="11" t="str">
        <f t="shared" si="14"/>
        <v>65PROFESIONAL PASANTE</v>
      </c>
      <c r="C311" s="1" t="str">
        <f>"SINALOA"</f>
        <v>SINALOA</v>
      </c>
      <c r="D311" s="2">
        <v>1</v>
      </c>
      <c r="E311" s="3">
        <v>4.0000000000000002E-4</v>
      </c>
    </row>
    <row r="312" spans="2:5">
      <c r="B312" s="11" t="str">
        <f t="shared" si="14"/>
        <v>65PROFESIONAL PASANTE</v>
      </c>
      <c r="C312" s="1" t="str">
        <f>"TAMAULIPAS"</f>
        <v>TAMAULIPAS</v>
      </c>
      <c r="D312" s="2">
        <v>2</v>
      </c>
      <c r="E312" s="3">
        <v>8.0000000000000004E-4</v>
      </c>
    </row>
    <row r="313" spans="2:5">
      <c r="B313" s="11" t="str">
        <f t="shared" si="14"/>
        <v>65PROFESIONAL PASANTE</v>
      </c>
      <c r="C313" s="1" t="str">
        <f>"TLAXCALA"</f>
        <v>TLAXCALA</v>
      </c>
      <c r="D313" s="2">
        <v>1</v>
      </c>
      <c r="E313" s="3">
        <v>4.0000000000000002E-4</v>
      </c>
    </row>
    <row r="314" spans="2:5">
      <c r="B314" s="11" t="str">
        <f t="shared" si="14"/>
        <v>65PROFESIONAL PASANTE</v>
      </c>
      <c r="C314" s="1" t="str">
        <f>"VERACRUZ DE IGNACIO DE LA LLAVE"</f>
        <v>VERACRUZ DE IGNACIO DE LA LLAVE</v>
      </c>
      <c r="D314" s="2">
        <v>1</v>
      </c>
      <c r="E314" s="3">
        <v>4.0000000000000002E-4</v>
      </c>
    </row>
    <row r="315" spans="2:5" ht="16.5">
      <c r="B315" s="11" t="str">
        <f t="shared" si="14"/>
        <v>65PROFESIONAL PASANTE</v>
      </c>
      <c r="C315" s="7" t="str">
        <f>"Total"</f>
        <v>Total</v>
      </c>
      <c r="D315" s="8">
        <v>15</v>
      </c>
      <c r="E315" s="9">
        <v>6.1999999999999998E-3</v>
      </c>
    </row>
    <row r="316" spans="2:5">
      <c r="B316" s="10" t="str">
        <f>"PROFESIONAL TITULADO"</f>
        <v>PROFESIONAL TITULADO</v>
      </c>
      <c r="C316" s="1" t="str">
        <f>"CAMPECHE"</f>
        <v>CAMPECHE</v>
      </c>
      <c r="D316" s="2">
        <v>1</v>
      </c>
      <c r="E316" s="3">
        <v>4.0000000000000002E-4</v>
      </c>
    </row>
    <row r="317" spans="2:5">
      <c r="B317" s="11" t="str">
        <f t="shared" ref="B316:B338" si="15">"66PROFESIONAL TITULADO"</f>
        <v>66PROFESIONAL TITULADO</v>
      </c>
      <c r="C317" s="1" t="str">
        <f>"CHIHUAHUA"</f>
        <v>CHIHUAHUA</v>
      </c>
      <c r="D317" s="2">
        <v>5</v>
      </c>
      <c r="E317" s="3">
        <v>2.0999999999999999E-3</v>
      </c>
    </row>
    <row r="318" spans="2:5">
      <c r="B318" s="11" t="str">
        <f t="shared" si="15"/>
        <v>66PROFESIONAL TITULADO</v>
      </c>
      <c r="C318" s="1" t="str">
        <f>"DISTRITO FEDERAL"</f>
        <v>DISTRITO FEDERAL</v>
      </c>
      <c r="D318" s="2">
        <v>3</v>
      </c>
      <c r="E318" s="3">
        <v>1.1999999999999999E-3</v>
      </c>
    </row>
    <row r="319" spans="2:5">
      <c r="B319" s="11" t="str">
        <f t="shared" si="15"/>
        <v>66PROFESIONAL TITULADO</v>
      </c>
      <c r="C319" s="1" t="str">
        <f>"DURANGO"</f>
        <v>DURANGO</v>
      </c>
      <c r="D319" s="2">
        <v>1</v>
      </c>
      <c r="E319" s="3">
        <v>4.0000000000000002E-4</v>
      </c>
    </row>
    <row r="320" spans="2:5">
      <c r="B320" s="11" t="str">
        <f t="shared" si="15"/>
        <v>66PROFESIONAL TITULADO</v>
      </c>
      <c r="C320" s="1" t="str">
        <f>"GUANAJUATO"</f>
        <v>GUANAJUATO</v>
      </c>
      <c r="D320" s="2">
        <v>3</v>
      </c>
      <c r="E320" s="3">
        <v>1.1999999999999999E-3</v>
      </c>
    </row>
    <row r="321" spans="2:5">
      <c r="B321" s="11" t="str">
        <f t="shared" si="15"/>
        <v>66PROFESIONAL TITULADO</v>
      </c>
      <c r="C321" s="1" t="str">
        <f>"GUERRERO"</f>
        <v>GUERRERO</v>
      </c>
      <c r="D321" s="2">
        <v>2</v>
      </c>
      <c r="E321" s="3">
        <v>8.0000000000000004E-4</v>
      </c>
    </row>
    <row r="322" spans="2:5">
      <c r="B322" s="11" t="str">
        <f t="shared" si="15"/>
        <v>66PROFESIONAL TITULADO</v>
      </c>
      <c r="C322" s="1" t="str">
        <f>"HIDALGO"</f>
        <v>HIDALGO</v>
      </c>
      <c r="D322" s="2">
        <v>1</v>
      </c>
      <c r="E322" s="3">
        <v>4.0000000000000002E-4</v>
      </c>
    </row>
    <row r="323" spans="2:5">
      <c r="B323" s="11" t="str">
        <f t="shared" si="15"/>
        <v>66PROFESIONAL TITULADO</v>
      </c>
      <c r="C323" s="1" t="str">
        <f>"JALISCO"</f>
        <v>JALISCO</v>
      </c>
      <c r="D323" s="2">
        <v>1</v>
      </c>
      <c r="E323" s="3">
        <v>4.0000000000000002E-4</v>
      </c>
    </row>
    <row r="324" spans="2:5">
      <c r="B324" s="11" t="str">
        <f t="shared" si="15"/>
        <v>66PROFESIONAL TITULADO</v>
      </c>
      <c r="C324" s="1" t="str">
        <f>"MEXICO"</f>
        <v>MEXICO</v>
      </c>
      <c r="D324" s="2">
        <v>3</v>
      </c>
      <c r="E324" s="3">
        <v>1.1999999999999999E-3</v>
      </c>
    </row>
    <row r="325" spans="2:5">
      <c r="B325" s="11" t="str">
        <f t="shared" si="15"/>
        <v>66PROFESIONAL TITULADO</v>
      </c>
      <c r="C325" s="1" t="str">
        <f>"MICHOACAN DE OCAMPO"</f>
        <v>MICHOACAN DE OCAMPO</v>
      </c>
      <c r="D325" s="2">
        <v>1</v>
      </c>
      <c r="E325" s="3">
        <v>4.0000000000000002E-4</v>
      </c>
    </row>
    <row r="326" spans="2:5">
      <c r="B326" s="11" t="str">
        <f t="shared" si="15"/>
        <v>66PROFESIONAL TITULADO</v>
      </c>
      <c r="C326" s="1" t="str">
        <f>"MORELOS"</f>
        <v>MORELOS</v>
      </c>
      <c r="D326" s="2">
        <v>1</v>
      </c>
      <c r="E326" s="3">
        <v>4.0000000000000002E-4</v>
      </c>
    </row>
    <row r="327" spans="2:5">
      <c r="B327" s="11" t="str">
        <f t="shared" si="15"/>
        <v>66PROFESIONAL TITULADO</v>
      </c>
      <c r="C327" s="1" t="str">
        <f>"NAYARIT"</f>
        <v>NAYARIT</v>
      </c>
      <c r="D327" s="2">
        <v>1</v>
      </c>
      <c r="E327" s="3">
        <v>4.0000000000000002E-4</v>
      </c>
    </row>
    <row r="328" spans="2:5">
      <c r="B328" s="11" t="str">
        <f t="shared" si="15"/>
        <v>66PROFESIONAL TITULADO</v>
      </c>
      <c r="C328" s="1" t="str">
        <f>"NUEVO LEON"</f>
        <v>NUEVO LEON</v>
      </c>
      <c r="D328" s="2">
        <v>6</v>
      </c>
      <c r="E328" s="3">
        <v>2.5000000000000001E-3</v>
      </c>
    </row>
    <row r="329" spans="2:5">
      <c r="B329" s="11" t="str">
        <f t="shared" si="15"/>
        <v>66PROFESIONAL TITULADO</v>
      </c>
      <c r="C329" s="1" t="str">
        <f>"OAXACA"</f>
        <v>OAXACA</v>
      </c>
      <c r="D329" s="2">
        <v>1</v>
      </c>
      <c r="E329" s="3">
        <v>4.0000000000000002E-4</v>
      </c>
    </row>
    <row r="330" spans="2:5">
      <c r="B330" s="11" t="str">
        <f t="shared" si="15"/>
        <v>66PROFESIONAL TITULADO</v>
      </c>
      <c r="C330" s="1" t="str">
        <f>"PUEBLA"</f>
        <v>PUEBLA</v>
      </c>
      <c r="D330" s="2">
        <v>2</v>
      </c>
      <c r="E330" s="3">
        <v>8.0000000000000004E-4</v>
      </c>
    </row>
    <row r="331" spans="2:5">
      <c r="B331" s="11" t="str">
        <f t="shared" si="15"/>
        <v>66PROFESIONAL TITULADO</v>
      </c>
      <c r="C331" s="1" t="str">
        <f>"SAN LUIS POTOSI"</f>
        <v>SAN LUIS POTOSI</v>
      </c>
      <c r="D331" s="2">
        <v>4</v>
      </c>
      <c r="E331" s="3">
        <v>1.6999999999999999E-3</v>
      </c>
    </row>
    <row r="332" spans="2:5">
      <c r="B332" s="11" t="str">
        <f t="shared" si="15"/>
        <v>66PROFESIONAL TITULADO</v>
      </c>
      <c r="C332" s="1" t="str">
        <f>"SINALOA"</f>
        <v>SINALOA</v>
      </c>
      <c r="D332" s="2">
        <v>1</v>
      </c>
      <c r="E332" s="3">
        <v>4.0000000000000002E-4</v>
      </c>
    </row>
    <row r="333" spans="2:5">
      <c r="B333" s="11" t="str">
        <f t="shared" si="15"/>
        <v>66PROFESIONAL TITULADO</v>
      </c>
      <c r="C333" s="1" t="str">
        <f>"TABASCO"</f>
        <v>TABASCO</v>
      </c>
      <c r="D333" s="2">
        <v>2</v>
      </c>
      <c r="E333" s="3">
        <v>8.0000000000000004E-4</v>
      </c>
    </row>
    <row r="334" spans="2:5">
      <c r="B334" s="11" t="str">
        <f t="shared" si="15"/>
        <v>66PROFESIONAL TITULADO</v>
      </c>
      <c r="C334" s="1" t="str">
        <f>"TAMAULIPAS"</f>
        <v>TAMAULIPAS</v>
      </c>
      <c r="D334" s="2">
        <v>9</v>
      </c>
      <c r="E334" s="3">
        <v>3.7000000000000002E-3</v>
      </c>
    </row>
    <row r="335" spans="2:5">
      <c r="B335" s="11" t="str">
        <f t="shared" si="15"/>
        <v>66PROFESIONAL TITULADO</v>
      </c>
      <c r="C335" s="1" t="str">
        <f>"TLAXCALA"</f>
        <v>TLAXCALA</v>
      </c>
      <c r="D335" s="2">
        <v>4</v>
      </c>
      <c r="E335" s="3">
        <v>1.6999999999999999E-3</v>
      </c>
    </row>
    <row r="336" spans="2:5">
      <c r="B336" s="11" t="str">
        <f t="shared" si="15"/>
        <v>66PROFESIONAL TITULADO</v>
      </c>
      <c r="C336" s="1" t="str">
        <f>"VERACRUZ DE IGNACIO DE LA LLAVE"</f>
        <v>VERACRUZ DE IGNACIO DE LA LLAVE</v>
      </c>
      <c r="D336" s="2">
        <v>7</v>
      </c>
      <c r="E336" s="3">
        <v>2.8999999999999998E-3</v>
      </c>
    </row>
    <row r="337" spans="2:5">
      <c r="B337" s="11" t="str">
        <f t="shared" si="15"/>
        <v>66PROFESIONAL TITULADO</v>
      </c>
      <c r="C337" s="1" t="str">
        <f>"ZACATECAS"</f>
        <v>ZACATECAS</v>
      </c>
      <c r="D337" s="2">
        <v>1</v>
      </c>
      <c r="E337" s="3">
        <v>4.0000000000000002E-4</v>
      </c>
    </row>
    <row r="338" spans="2:5" ht="16.5">
      <c r="B338" s="11" t="str">
        <f t="shared" si="15"/>
        <v>66PROFESIONAL TITULADO</v>
      </c>
      <c r="C338" s="7" t="str">
        <f>"Total"</f>
        <v>Total</v>
      </c>
      <c r="D338" s="8">
        <v>60</v>
      </c>
      <c r="E338" s="9">
        <v>2.4899999999999999E-2</v>
      </c>
    </row>
    <row r="339" spans="2:5" ht="16.5">
      <c r="B339" s="12" t="s">
        <v>10</v>
      </c>
      <c r="C339" s="13" t="str">
        <f>" "</f>
        <v> </v>
      </c>
      <c r="D339" s="14">
        <v>2411</v>
      </c>
      <c r="E339" s="15">
        <v>1</v>
      </c>
    </row>
    <row r="342" spans="2:5">
      <c r="B342" s="16" t="s">
        <v>4</v>
      </c>
    </row>
    <row r="343" spans="2:5">
      <c r="B343" s="16" t="s">
        <v>5</v>
      </c>
    </row>
    <row r="344" spans="2:5">
      <c r="B344" s="16" t="s">
        <v>6</v>
      </c>
    </row>
    <row r="345" spans="2:5">
      <c r="B345" s="16" t="s">
        <v>7</v>
      </c>
    </row>
    <row r="346" spans="2:5">
      <c r="B346" s="16" t="s">
        <v>8</v>
      </c>
    </row>
  </sheetData>
  <mergeCells count="22">
    <mergeCell ref="B299:B301"/>
    <mergeCell ref="B302:B303"/>
    <mergeCell ref="B304:B315"/>
    <mergeCell ref="B316:B338"/>
    <mergeCell ref="B230:B237"/>
    <mergeCell ref="B238:B262"/>
    <mergeCell ref="B263:B292"/>
    <mergeCell ref="B293:B296"/>
    <mergeCell ref="B297:B298"/>
    <mergeCell ref="B112:B139"/>
    <mergeCell ref="B140:B153"/>
    <mergeCell ref="B154:B177"/>
    <mergeCell ref="B178:B197"/>
    <mergeCell ref="B198:B229"/>
    <mergeCell ref="B29:B43"/>
    <mergeCell ref="B44:B57"/>
    <mergeCell ref="B58:B73"/>
    <mergeCell ref="B74:B87"/>
    <mergeCell ref="B88:B111"/>
    <mergeCell ref="B6:E7"/>
    <mergeCell ref="B10:B25"/>
    <mergeCell ref="B26:B28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easCAVTT000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2012-03-22T22:48:22Z</dcterms:created>
  <dcterms:modified xsi:type="dcterms:W3CDTF">2012-03-23T19:40:42Z</dcterms:modified>
</cp:coreProperties>
</file>