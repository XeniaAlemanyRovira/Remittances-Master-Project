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97RQJ0" sheetId="2" r:id="rId1"/>
  </sheets>
  <calcPr calcId="125725"/>
</workbook>
</file>

<file path=xl/calcChain.xml><?xml version="1.0" encoding="utf-8"?>
<calcChain xmlns="http://schemas.openxmlformats.org/spreadsheetml/2006/main">
  <c r="C280" i="2"/>
  <c r="C279"/>
  <c r="C278"/>
  <c r="C277"/>
  <c r="C276"/>
  <c r="C275"/>
  <c r="C274"/>
  <c r="C273"/>
  <c r="C272"/>
  <c r="C271"/>
  <c r="C270"/>
  <c r="C269"/>
  <c r="B269"/>
  <c r="C268"/>
  <c r="C267"/>
  <c r="B267"/>
  <c r="C266"/>
  <c r="C265"/>
  <c r="C264"/>
  <c r="C263"/>
  <c r="C262"/>
  <c r="C261"/>
  <c r="C260"/>
  <c r="C259"/>
  <c r="C258"/>
  <c r="C257"/>
  <c r="C256"/>
  <c r="C255"/>
  <c r="B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B236"/>
  <c r="C235"/>
  <c r="C234"/>
  <c r="C233"/>
  <c r="B233"/>
  <c r="C232"/>
  <c r="C231"/>
  <c r="C230"/>
  <c r="C229"/>
  <c r="C228"/>
  <c r="C227"/>
  <c r="B227"/>
  <c r="C226"/>
  <c r="C225"/>
  <c r="C224"/>
  <c r="C223"/>
  <c r="C222"/>
  <c r="C221"/>
  <c r="C220"/>
  <c r="C219"/>
  <c r="C218"/>
  <c r="B218"/>
  <c r="C217"/>
  <c r="C216"/>
  <c r="C215"/>
  <c r="C214"/>
  <c r="C213"/>
  <c r="C212"/>
  <c r="B212"/>
  <c r="C211"/>
  <c r="C210"/>
  <c r="C209"/>
  <c r="B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B191"/>
  <c r="C190"/>
  <c r="C189"/>
  <c r="C188"/>
  <c r="C187"/>
  <c r="C186"/>
  <c r="C185"/>
  <c r="C184"/>
  <c r="C183"/>
  <c r="C182"/>
  <c r="C181"/>
  <c r="C180"/>
  <c r="C179"/>
  <c r="C178"/>
  <c r="C177"/>
  <c r="B177"/>
  <c r="C176"/>
  <c r="C175"/>
  <c r="B175"/>
  <c r="C174"/>
  <c r="C173"/>
  <c r="C172"/>
  <c r="C171"/>
  <c r="B171"/>
  <c r="C170"/>
  <c r="C169"/>
  <c r="C168"/>
  <c r="C167"/>
  <c r="C166"/>
  <c r="C165"/>
  <c r="B165"/>
  <c r="C164"/>
  <c r="C163"/>
  <c r="C162"/>
  <c r="C161"/>
  <c r="C160"/>
  <c r="C159"/>
  <c r="C158"/>
  <c r="C157"/>
  <c r="C156"/>
  <c r="C155"/>
  <c r="C154"/>
  <c r="C153"/>
  <c r="C152"/>
  <c r="C151"/>
  <c r="B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B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B113"/>
  <c r="C112"/>
  <c r="C111"/>
  <c r="C110"/>
  <c r="C109"/>
  <c r="C108"/>
  <c r="C107"/>
  <c r="C106"/>
  <c r="C105"/>
  <c r="C104"/>
  <c r="C103"/>
  <c r="C102"/>
  <c r="B102"/>
  <c r="C101"/>
  <c r="C100"/>
  <c r="C99"/>
  <c r="C98"/>
  <c r="C97"/>
  <c r="C96"/>
  <c r="C95"/>
  <c r="C94"/>
  <c r="C93"/>
  <c r="C92"/>
  <c r="C91"/>
  <c r="B91"/>
  <c r="C90"/>
  <c r="C89"/>
  <c r="C88"/>
  <c r="C87"/>
  <c r="C86"/>
  <c r="C85"/>
  <c r="C84"/>
  <c r="C83"/>
  <c r="C82"/>
  <c r="C81"/>
  <c r="C80"/>
  <c r="C79"/>
  <c r="C78"/>
  <c r="C77"/>
  <c r="C76"/>
  <c r="C75"/>
  <c r="C74"/>
  <c r="B74"/>
  <c r="C73"/>
  <c r="C72"/>
  <c r="C71"/>
  <c r="C70"/>
  <c r="C69"/>
  <c r="C68"/>
  <c r="C67"/>
  <c r="C66"/>
  <c r="C65"/>
  <c r="C64"/>
  <c r="C63"/>
  <c r="C62"/>
  <c r="B62"/>
  <c r="C61"/>
  <c r="C60"/>
  <c r="C59"/>
  <c r="C58"/>
  <c r="C57"/>
  <c r="C56"/>
  <c r="C55"/>
  <c r="C54"/>
  <c r="C53"/>
  <c r="C52"/>
  <c r="B52"/>
  <c r="C51"/>
  <c r="C50"/>
  <c r="C49"/>
  <c r="B49"/>
  <c r="C48"/>
  <c r="C47"/>
  <c r="C46"/>
  <c r="C45"/>
  <c r="C44"/>
  <c r="C43"/>
  <c r="B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B21"/>
  <c r="C20"/>
  <c r="C19"/>
  <c r="C18"/>
  <c r="C17"/>
  <c r="B17"/>
  <c r="C16"/>
  <c r="C15"/>
  <c r="C14"/>
  <c r="B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<sst xmlns="http://schemas.openxmlformats.org/spreadsheetml/2006/main" count="11" uniqueCount="11">
  <si>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</si>
  <si>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</si>
  <si>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</si>
  <si>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</si>
  <si>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</si>
  <si>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</si>
  <si>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</si>
  <si>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>Estado de Origen</t>
  </si>
  <si>
    <t xml:space="preserve"> Municipio de Origen</t>
  </si>
  <si>
    <t>Porcentaje de Matrículas</t>
  </si>
  <si>
    <t>MATRÍCULAS CONSULARES DE ALTA SEGURIDAD EXPEDIDAS EN EL ESTADO DE WYOMING POR ESTADO Y MUNICIPIO DE LA REPÚBLICA MEXICANA, 2010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</si>
</sst>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1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7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8" fillId="0" borderId="10" xfId="42" applyFont="1" applyBorder="1" applyAlignment="1"/>
    <xf numFmtId="0" fontId="22" fillId="0" borderId="0" xfId="42" applyFill="1"/>
    <xf numFmtId="0" fontId="0" fillId="0" borderId="0" xfId="0" applyFill="1"/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0" fontId="13" fillId="34" borderId="10" xfId="0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6"/>
  <sheetViews>
    <sheetView showGridLines="0" tabSelected="1" workbookViewId="0">
      <selection activeCell="A8" sqref="A8"/>
    </sheetView>
  </sheetViews>
  <sheetFormatPr baseColWidth="10" defaultRowHeight="15"/>
  <cols>
    <col min="2" max="2" width="45.85546875" customWidth="1"/>
    <col min="3" max="3" width="17.7109375" customWidth="1"/>
    <col min="4" max="5" width="16.140625" bestFit="1" customWidth="1"/>
  </cols>
  <sheetData>
    <row r="1" spans="1:7">
      <c r="A1" s="5"/>
      <c r="B1" s="6"/>
      <c r="C1" s="5"/>
      <c r="D1" s="7"/>
      <c r="E1" s="7"/>
      <c r="F1" s="5"/>
    </row>
    <row r="2" spans="1:7">
      <c r="A2" s="5"/>
      <c r="B2" s="6"/>
      <c r="C2" s="5"/>
      <c r="D2" s="7"/>
      <c r="E2" s="7"/>
      <c r="F2" s="5"/>
    </row>
    <row r="3" spans="1:7">
      <c r="A3" s="5"/>
      <c r="B3" s="6"/>
      <c r="C3" s="5"/>
      <c r="D3" s="7"/>
      <c r="E3" s="7"/>
      <c r="F3" s="5"/>
    </row>
    <row r="4" spans="1:7">
      <c r="A4" s="5"/>
      <c r="B4" s="6"/>
      <c r="C4" s="5"/>
      <c r="D4" s="7"/>
      <c r="E4" s="7"/>
      <c r="F4" s="5"/>
    </row>
    <row r="5" spans="1:7" ht="16.5">
      <c r="B5" s="8"/>
      <c r="C5" s="9"/>
      <c r="D5" s="10"/>
      <c r="E5" s="10"/>
      <c r="F5" s="9"/>
    </row>
    <row r="6" spans="1:7">
      <c r="B6" s="11" t="s">
        <v>10</v>
      </c>
      <c r="C6" s="11"/>
      <c r="D6" s="11"/>
      <c r="E6" s="11"/>
      <c r="F6" s="9"/>
    </row>
    <row r="7" spans="1:7">
      <c r="A7" s="5"/>
      <c r="B7" s="12"/>
      <c r="C7" s="12"/>
      <c r="D7" s="12"/>
      <c r="E7" s="12"/>
      <c r="F7" s="5"/>
    </row>
    <row r="8" spans="1:7">
      <c r="A8" s="5"/>
      <c r="B8" s="13" t="s">
        <v>7</v>
      </c>
      <c r="C8" s="13" t="s">
        <v>8</v>
      </c>
      <c r="D8" s="14" t="s">
        <v>0</v>
      </c>
      <c r="E8" s="14" t="s">
        <v>9</v>
      </c>
      <c r="F8" s="5"/>
    </row>
    <row r="9" spans="1:7" ht="18" customHeight="1">
      <c r="A9" s="5"/>
      <c r="B9" s="15"/>
      <c r="C9" s="16"/>
      <c r="D9" s="17"/>
      <c r="E9" s="17"/>
      <c r="F9" s="18"/>
      <c r="G9" s="19"/>
    </row>
    <row r="10" spans="1:7">
      <c r="B10" s="20" t="str">
        <f>"AGUASCALIENTES"</f>
        <v>AGUASCALIENTES</v>
      </c>
      <c r="C10" s="1" t="str">
        <f>"AGUASCALIENTES"</f>
        <v>AGUASCALIENTES</v>
      </c>
      <c r="D10" s="2">
        <v>10</v>
      </c>
      <c r="E10" s="27">
        <v>1.34E-2</v>
      </c>
    </row>
    <row r="11" spans="1:7" ht="30">
      <c r="B11" s="21"/>
      <c r="C11" s="1" t="str">
        <f>"PABELLON DE ARTEAGA"</f>
        <v>PABELLON DE ARTEAGA</v>
      </c>
      <c r="D11" s="2">
        <v>3</v>
      </c>
      <c r="E11" s="27">
        <v>4.0000000000000001E-3</v>
      </c>
    </row>
    <row r="12" spans="1:7">
      <c r="B12" s="21"/>
      <c r="C12" s="1" t="str">
        <f>"TEPEZALA"</f>
        <v>TEPEZALA</v>
      </c>
      <c r="D12" s="2">
        <v>1</v>
      </c>
      <c r="E12" s="27">
        <v>1.2999999999999999E-3</v>
      </c>
    </row>
    <row r="13" spans="1:7">
      <c r="B13" s="22"/>
      <c r="C13" s="28" t="str">
        <f>"Total"</f>
        <v>Total</v>
      </c>
      <c r="D13" s="29">
        <v>14</v>
      </c>
      <c r="E13" s="30">
        <v>1.8800000000000001E-2</v>
      </c>
    </row>
    <row r="14" spans="1:7">
      <c r="B14" s="20" t="str">
        <f>"BAJA CALIFORNIA"</f>
        <v>BAJA CALIFORNIA</v>
      </c>
      <c r="C14" s="1" t="str">
        <f>"MEXICALI"</f>
        <v>MEXICALI</v>
      </c>
      <c r="D14" s="2">
        <v>1</v>
      </c>
      <c r="E14" s="27">
        <v>1.2999999999999999E-3</v>
      </c>
    </row>
    <row r="15" spans="1:7">
      <c r="B15" s="21"/>
      <c r="C15" s="1" t="str">
        <f>"TIJUANA"</f>
        <v>TIJUANA</v>
      </c>
      <c r="D15" s="2">
        <v>2</v>
      </c>
      <c r="E15" s="27">
        <v>2.7000000000000001E-3</v>
      </c>
    </row>
    <row r="16" spans="1:7">
      <c r="B16" s="22"/>
      <c r="C16" s="28" t="str">
        <f>"Total"</f>
        <v>Total</v>
      </c>
      <c r="D16" s="29">
        <v>3</v>
      </c>
      <c r="E16" s="30">
        <v>4.0000000000000001E-3</v>
      </c>
    </row>
    <row r="17" spans="2:5">
      <c r="B17" s="20" t="str">
        <f>"CHIAPAS"</f>
        <v>CHIAPAS</v>
      </c>
      <c r="C17" s="1" t="str">
        <f>"ACAPETAHUA"</f>
        <v>ACAPETAHUA</v>
      </c>
      <c r="D17" s="2">
        <v>3</v>
      </c>
      <c r="E17" s="27">
        <v>4.0000000000000001E-3</v>
      </c>
    </row>
    <row r="18" spans="2:5" ht="30">
      <c r="B18" s="21"/>
      <c r="C18" s="1" t="str">
        <f>"AMATENANGO DE LA FRONTERA"</f>
        <v>AMATENANGO DE LA FRONTERA</v>
      </c>
      <c r="D18" s="2">
        <v>1</v>
      </c>
      <c r="E18" s="27">
        <v>1.2999999999999999E-3</v>
      </c>
    </row>
    <row r="19" spans="2:5" ht="30">
      <c r="B19" s="21"/>
      <c r="C19" s="1" t="str">
        <f>"FRONTERA COMALAPA"</f>
        <v>FRONTERA COMALAPA</v>
      </c>
      <c r="D19" s="2">
        <v>2</v>
      </c>
      <c r="E19" s="27">
        <v>2.7000000000000001E-3</v>
      </c>
    </row>
    <row r="20" spans="2:5">
      <c r="B20" s="22"/>
      <c r="C20" s="28" t="str">
        <f>"Total"</f>
        <v>Total</v>
      </c>
      <c r="D20" s="29">
        <v>6</v>
      </c>
      <c r="E20" s="30">
        <v>8.0999999999999996E-3</v>
      </c>
    </row>
    <row r="21" spans="2:5">
      <c r="B21" s="20" t="str">
        <f t="shared" ref="B21:B42" si="0">"CHIHUAHUA"</f>
        <v>CHIHUAHUA</v>
      </c>
      <c r="C21" s="1" t="str">
        <f>"AHUMADA"</f>
        <v>AHUMADA</v>
      </c>
      <c r="D21" s="2">
        <v>1</v>
      </c>
      <c r="E21" s="27">
        <v>1.2999999999999999E-3</v>
      </c>
    </row>
    <row r="22" spans="2:5">
      <c r="B22" s="21"/>
      <c r="C22" s="1" t="str">
        <f>"ALLENDE"</f>
        <v>ALLENDE</v>
      </c>
      <c r="D22" s="2">
        <v>1</v>
      </c>
      <c r="E22" s="27">
        <v>1.2999999999999999E-3</v>
      </c>
    </row>
    <row r="23" spans="2:5">
      <c r="B23" s="21"/>
      <c r="C23" s="1" t="str">
        <f>"ASCENSION"</f>
        <v>ASCENSION</v>
      </c>
      <c r="D23" s="2">
        <v>1</v>
      </c>
      <c r="E23" s="27">
        <v>1.2999999999999999E-3</v>
      </c>
    </row>
    <row r="24" spans="2:5">
      <c r="B24" s="21"/>
      <c r="C24" s="1" t="str">
        <f>"BACHINIVA"</f>
        <v>BACHINIVA</v>
      </c>
      <c r="D24" s="2">
        <v>1</v>
      </c>
      <c r="E24" s="27">
        <v>1.2999999999999999E-3</v>
      </c>
    </row>
    <row r="25" spans="2:5">
      <c r="B25" s="21"/>
      <c r="C25" s="1" t="str">
        <f>"BUENAVENTURA"</f>
        <v>BUENAVENTURA</v>
      </c>
      <c r="D25" s="2">
        <v>1</v>
      </c>
      <c r="E25" s="27">
        <v>1.2999999999999999E-3</v>
      </c>
    </row>
    <row r="26" spans="2:5">
      <c r="B26" s="21"/>
      <c r="C26" s="1" t="str">
        <f>"CASAS GRANDES"</f>
        <v>CASAS GRANDES</v>
      </c>
      <c r="D26" s="2">
        <v>1</v>
      </c>
      <c r="E26" s="27">
        <v>1.2999999999999999E-3</v>
      </c>
    </row>
    <row r="27" spans="2:5">
      <c r="B27" s="21"/>
      <c r="C27" s="1" t="str">
        <f>"CHIHUAHUA"</f>
        <v>CHIHUAHUA</v>
      </c>
      <c r="D27" s="2">
        <v>18</v>
      </c>
      <c r="E27" s="27">
        <v>2.4199999999999999E-2</v>
      </c>
    </row>
    <row r="28" spans="2:5">
      <c r="B28" s="21"/>
      <c r="C28" s="1" t="str">
        <f>"CUAUHTEMOC"</f>
        <v>CUAUHTEMOC</v>
      </c>
      <c r="D28" s="2">
        <v>9</v>
      </c>
      <c r="E28" s="27">
        <v>1.21E-2</v>
      </c>
    </row>
    <row r="29" spans="2:5">
      <c r="B29" s="21"/>
      <c r="C29" s="1" t="str">
        <f>"DELICIAS"</f>
        <v>DELICIAS</v>
      </c>
      <c r="D29" s="2">
        <v>7</v>
      </c>
      <c r="E29" s="27">
        <v>9.4000000000000004E-3</v>
      </c>
    </row>
    <row r="30" spans="2:5">
      <c r="B30" s="21"/>
      <c r="C30" s="1" t="str">
        <f>"EL TULE"</f>
        <v>EL TULE</v>
      </c>
      <c r="D30" s="2">
        <v>2</v>
      </c>
      <c r="E30" s="27">
        <v>2.7000000000000001E-3</v>
      </c>
    </row>
    <row r="31" spans="2:5">
      <c r="B31" s="21"/>
      <c r="C31" s="1" t="str">
        <f>"GOMEZ FARIAS"</f>
        <v>GOMEZ FARIAS</v>
      </c>
      <c r="D31" s="2">
        <v>1</v>
      </c>
      <c r="E31" s="27">
        <v>1.2999999999999999E-3</v>
      </c>
    </row>
    <row r="32" spans="2:5">
      <c r="B32" s="21"/>
      <c r="C32" s="1" t="str">
        <f>"GRAN MORELOS"</f>
        <v>GRAN MORELOS</v>
      </c>
      <c r="D32" s="2">
        <v>3</v>
      </c>
      <c r="E32" s="27">
        <v>4.0000000000000001E-3</v>
      </c>
    </row>
    <row r="33" spans="2:5">
      <c r="B33" s="21"/>
      <c r="C33" s="1" t="str">
        <f>"GUERRERO"</f>
        <v>GUERRERO</v>
      </c>
      <c r="D33" s="2">
        <v>5</v>
      </c>
      <c r="E33" s="27">
        <v>6.7000000000000002E-3</v>
      </c>
    </row>
    <row r="34" spans="2:5" ht="30">
      <c r="B34" s="21"/>
      <c r="C34" s="1" t="str">
        <f>"HIDALGO DEL PARRAL"</f>
        <v>HIDALGO DEL PARRAL</v>
      </c>
      <c r="D34" s="2">
        <v>4</v>
      </c>
      <c r="E34" s="27">
        <v>5.4000000000000003E-3</v>
      </c>
    </row>
    <row r="35" spans="2:5" ht="30">
      <c r="B35" s="21"/>
      <c r="C35" s="1" t="str">
        <f>"IGNACIO ZARAGOZA"</f>
        <v>IGNACIO ZARAGOZA</v>
      </c>
      <c r="D35" s="2">
        <v>3</v>
      </c>
      <c r="E35" s="27">
        <v>4.0000000000000001E-3</v>
      </c>
    </row>
    <row r="36" spans="2:5">
      <c r="B36" s="21"/>
      <c r="C36" s="1" t="str">
        <f>"JUAREZ"</f>
        <v>JUAREZ</v>
      </c>
      <c r="D36" s="2">
        <v>12</v>
      </c>
      <c r="E36" s="27">
        <v>1.61E-2</v>
      </c>
    </row>
    <row r="37" spans="2:5">
      <c r="B37" s="21"/>
      <c r="C37" s="1" t="str">
        <f>"MADERA"</f>
        <v>MADERA</v>
      </c>
      <c r="D37" s="2">
        <v>7</v>
      </c>
      <c r="E37" s="27">
        <v>9.4000000000000004E-3</v>
      </c>
    </row>
    <row r="38" spans="2:5">
      <c r="B38" s="21"/>
      <c r="C38" s="1" t="str">
        <f>"NAMIQUIPA"</f>
        <v>NAMIQUIPA</v>
      </c>
      <c r="D38" s="2">
        <v>4</v>
      </c>
      <c r="E38" s="27">
        <v>5.4000000000000003E-3</v>
      </c>
    </row>
    <row r="39" spans="2:5" ht="30">
      <c r="B39" s="21"/>
      <c r="C39" s="1" t="str">
        <f>"NUEVO CASAS GRANDES"</f>
        <v>NUEVO CASAS GRANDES</v>
      </c>
      <c r="D39" s="2">
        <v>1</v>
      </c>
      <c r="E39" s="27">
        <v>1.2999999999999999E-3</v>
      </c>
    </row>
    <row r="40" spans="2:5">
      <c r="B40" s="21"/>
      <c r="C40" s="1" t="str">
        <f>"ROSARIO"</f>
        <v>ROSARIO</v>
      </c>
      <c r="D40" s="2">
        <v>3</v>
      </c>
      <c r="E40" s="27">
        <v>4.0000000000000001E-3</v>
      </c>
    </row>
    <row r="41" spans="2:5" ht="30">
      <c r="B41" s="21"/>
      <c r="C41" s="1" t="str">
        <f>"SAN FRANCISCO DEL ORO"</f>
        <v>SAN FRANCISCO DEL ORO</v>
      </c>
      <c r="D41" s="2">
        <v>1</v>
      </c>
      <c r="E41" s="27">
        <v>1.2999999999999999E-3</v>
      </c>
    </row>
    <row r="42" spans="2:5">
      <c r="B42" s="22"/>
      <c r="C42" s="28" t="str">
        <f>"Total"</f>
        <v>Total</v>
      </c>
      <c r="D42" s="29">
        <v>86</v>
      </c>
      <c r="E42" s="30">
        <v>0.1154</v>
      </c>
    </row>
    <row r="43" spans="2:5">
      <c r="B43" s="20" t="str">
        <f t="shared" ref="B43:B48" si="1">"COAHUILA DE ZARAGOZA"</f>
        <v>COAHUILA DE ZARAGOZA</v>
      </c>
      <c r="C43" s="1" t="str">
        <f>"MONCLOVA"</f>
        <v>MONCLOVA</v>
      </c>
      <c r="D43" s="2">
        <v>1</v>
      </c>
      <c r="E43" s="27">
        <v>1.2999999999999999E-3</v>
      </c>
    </row>
    <row r="44" spans="2:5">
      <c r="B44" s="21"/>
      <c r="C44" s="1" t="str">
        <f>"MUZQUIZ"</f>
        <v>MUZQUIZ</v>
      </c>
      <c r="D44" s="2">
        <v>1</v>
      </c>
      <c r="E44" s="27">
        <v>1.2999999999999999E-3</v>
      </c>
    </row>
    <row r="45" spans="2:5">
      <c r="B45" s="21"/>
      <c r="C45" s="1" t="str">
        <f>"PROGRESO"</f>
        <v>PROGRESO</v>
      </c>
      <c r="D45" s="2">
        <v>1</v>
      </c>
      <c r="E45" s="27">
        <v>1.2999999999999999E-3</v>
      </c>
    </row>
    <row r="46" spans="2:5">
      <c r="B46" s="21"/>
      <c r="C46" s="1" t="str">
        <f>"SALTILLO"</f>
        <v>SALTILLO</v>
      </c>
      <c r="D46" s="2">
        <v>1</v>
      </c>
      <c r="E46" s="27">
        <v>1.2999999999999999E-3</v>
      </c>
    </row>
    <row r="47" spans="2:5">
      <c r="B47" s="21"/>
      <c r="C47" s="1" t="str">
        <f>"TORREON"</f>
        <v>TORREON</v>
      </c>
      <c r="D47" s="2">
        <v>4</v>
      </c>
      <c r="E47" s="27">
        <v>5.4000000000000003E-3</v>
      </c>
    </row>
    <row r="48" spans="2:5">
      <c r="B48" s="22"/>
      <c r="C48" s="28" t="str">
        <f>"Total"</f>
        <v>Total</v>
      </c>
      <c r="D48" s="29">
        <v>8</v>
      </c>
      <c r="E48" s="30">
        <v>1.0699999999999999E-2</v>
      </c>
    </row>
    <row r="49" spans="2:5">
      <c r="B49" s="20" t="str">
        <f>"COLIMA"</f>
        <v>COLIMA</v>
      </c>
      <c r="C49" s="1" t="str">
        <f>"COLIMA"</f>
        <v>COLIMA</v>
      </c>
      <c r="D49" s="2">
        <v>2</v>
      </c>
      <c r="E49" s="27">
        <v>2.7000000000000001E-3</v>
      </c>
    </row>
    <row r="50" spans="2:5">
      <c r="B50" s="21"/>
      <c r="C50" s="1" t="str">
        <f>"TECOMAN"</f>
        <v>TECOMAN</v>
      </c>
      <c r="D50" s="2">
        <v>1</v>
      </c>
      <c r="E50" s="27">
        <v>1.2999999999999999E-3</v>
      </c>
    </row>
    <row r="51" spans="2:5">
      <c r="B51" s="22"/>
      <c r="C51" s="28" t="str">
        <f>"Total"</f>
        <v>Total</v>
      </c>
      <c r="D51" s="29">
        <v>3</v>
      </c>
      <c r="E51" s="30">
        <v>4.0000000000000001E-3</v>
      </c>
    </row>
    <row r="52" spans="2:5">
      <c r="B52" s="20" t="str">
        <f t="shared" ref="B52:B61" si="2">"DISTRITO FEDERAL"</f>
        <v>DISTRITO FEDERAL</v>
      </c>
      <c r="C52" s="1" t="str">
        <f>"ALVARO OBREGON"</f>
        <v>ALVARO OBREGON</v>
      </c>
      <c r="D52" s="2">
        <v>1</v>
      </c>
      <c r="E52" s="27">
        <v>1.2999999999999999E-3</v>
      </c>
    </row>
    <row r="53" spans="2:5">
      <c r="B53" s="21"/>
      <c r="C53" s="1" t="str">
        <f>"BENITO JUAREZ"</f>
        <v>BENITO JUAREZ</v>
      </c>
      <c r="D53" s="2">
        <v>2</v>
      </c>
      <c r="E53" s="27">
        <v>2.7000000000000001E-3</v>
      </c>
    </row>
    <row r="54" spans="2:5">
      <c r="B54" s="21"/>
      <c r="C54" s="1" t="str">
        <f>"CUAUHTEMOC"</f>
        <v>CUAUHTEMOC</v>
      </c>
      <c r="D54" s="2">
        <v>3</v>
      </c>
      <c r="E54" s="27">
        <v>4.0000000000000001E-3</v>
      </c>
    </row>
    <row r="55" spans="2:5" ht="30">
      <c r="B55" s="21"/>
      <c r="C55" s="1" t="str">
        <f>"GUSTAVO A. MADERO"</f>
        <v>GUSTAVO A. MADERO</v>
      </c>
      <c r="D55" s="2">
        <v>53</v>
      </c>
      <c r="E55" s="27">
        <v>7.1099999999999997E-2</v>
      </c>
    </row>
    <row r="56" spans="2:5">
      <c r="B56" s="21"/>
      <c r="C56" s="1" t="str">
        <f>"IZTACALCO"</f>
        <v>IZTACALCO</v>
      </c>
      <c r="D56" s="2">
        <v>1</v>
      </c>
      <c r="E56" s="27">
        <v>1.2999999999999999E-3</v>
      </c>
    </row>
    <row r="57" spans="2:5">
      <c r="B57" s="21"/>
      <c r="C57" s="1" t="str">
        <f>"IZTAPALAPA"</f>
        <v>IZTAPALAPA</v>
      </c>
      <c r="D57" s="2">
        <v>2</v>
      </c>
      <c r="E57" s="27">
        <v>2.7000000000000001E-3</v>
      </c>
    </row>
    <row r="58" spans="2:5" ht="30">
      <c r="B58" s="21"/>
      <c r="C58" s="1" t="str">
        <f>"LA MAGDALENA CONTRERAS"</f>
        <v>LA MAGDALENA CONTRERAS</v>
      </c>
      <c r="D58" s="2">
        <v>1</v>
      </c>
      <c r="E58" s="27">
        <v>1.2999999999999999E-3</v>
      </c>
    </row>
    <row r="59" spans="2:5" ht="30">
      <c r="B59" s="21"/>
      <c r="C59" s="1" t="str">
        <f>"VENUSTIANO CARRANZA"</f>
        <v>VENUSTIANO CARRANZA</v>
      </c>
      <c r="D59" s="2">
        <v>1</v>
      </c>
      <c r="E59" s="27">
        <v>1.2999999999999999E-3</v>
      </c>
    </row>
    <row r="60" spans="2:5">
      <c r="B60" s="21"/>
      <c r="C60" s="1" t="str">
        <f>"XOCHIMILCO"</f>
        <v>XOCHIMILCO</v>
      </c>
      <c r="D60" s="2">
        <v>1</v>
      </c>
      <c r="E60" s="27">
        <v>1.2999999999999999E-3</v>
      </c>
    </row>
    <row r="61" spans="2:5">
      <c r="B61" s="22"/>
      <c r="C61" s="28" t="str">
        <f>"Total"</f>
        <v>Total</v>
      </c>
      <c r="D61" s="29">
        <v>65</v>
      </c>
      <c r="E61" s="30">
        <v>8.72E-2</v>
      </c>
    </row>
    <row r="62" spans="2:5">
      <c r="B62" s="20" t="str">
        <f t="shared" ref="B62:B73" si="3">"DURANGO"</f>
        <v>DURANGO</v>
      </c>
      <c r="C62" s="1" t="str">
        <f>"CUENCAME"</f>
        <v>CUENCAME</v>
      </c>
      <c r="D62" s="2">
        <v>1</v>
      </c>
      <c r="E62" s="27">
        <v>1.2999999999999999E-3</v>
      </c>
    </row>
    <row r="63" spans="2:5">
      <c r="B63" s="21"/>
      <c r="C63" s="1" t="str">
        <f>"DURANGO"</f>
        <v>DURANGO</v>
      </c>
      <c r="D63" s="2">
        <v>8</v>
      </c>
      <c r="E63" s="27">
        <v>1.0699999999999999E-2</v>
      </c>
    </row>
    <row r="64" spans="2:5">
      <c r="B64" s="21"/>
      <c r="C64" s="1" t="str">
        <f>"GOMEZ PALACIO"</f>
        <v>GOMEZ PALACIO</v>
      </c>
      <c r="D64" s="2">
        <v>1</v>
      </c>
      <c r="E64" s="27">
        <v>1.2999999999999999E-3</v>
      </c>
    </row>
    <row r="65" spans="2:5" ht="30">
      <c r="B65" s="21"/>
      <c r="C65" s="1" t="str">
        <f>"GRAL. SIMON BOIVAR"</f>
        <v>GRAL. SIMON BOIVAR</v>
      </c>
      <c r="D65" s="2">
        <v>1</v>
      </c>
      <c r="E65" s="27">
        <v>1.2999999999999999E-3</v>
      </c>
    </row>
    <row r="66" spans="2:5">
      <c r="B66" s="21"/>
      <c r="C66" s="1" t="str">
        <f>"GUANACEVI"</f>
        <v>GUANACEVI</v>
      </c>
      <c r="D66" s="2">
        <v>1</v>
      </c>
      <c r="E66" s="27">
        <v>1.2999999999999999E-3</v>
      </c>
    </row>
    <row r="67" spans="2:5">
      <c r="B67" s="21"/>
      <c r="C67" s="1" t="str">
        <f>"NAZAS"</f>
        <v>NAZAS</v>
      </c>
      <c r="D67" s="2">
        <v>1</v>
      </c>
      <c r="E67" s="27">
        <v>1.2999999999999999E-3</v>
      </c>
    </row>
    <row r="68" spans="2:5">
      <c r="B68" s="21"/>
      <c r="C68" s="1" t="str">
        <f>"OCAMPO"</f>
        <v>OCAMPO</v>
      </c>
      <c r="D68" s="2">
        <v>1</v>
      </c>
      <c r="E68" s="27">
        <v>1.2999999999999999E-3</v>
      </c>
    </row>
    <row r="69" spans="2:5">
      <c r="B69" s="21"/>
      <c r="C69" s="1" t="str">
        <f>"SAN BERNARDO"</f>
        <v>SAN BERNARDO</v>
      </c>
      <c r="D69" s="2">
        <v>1</v>
      </c>
      <c r="E69" s="27">
        <v>1.2999999999999999E-3</v>
      </c>
    </row>
    <row r="70" spans="2:5">
      <c r="B70" s="21"/>
      <c r="C70" s="1" t="str">
        <f>"SAN JUAN DEL RIO"</f>
        <v>SAN JUAN DEL RIO</v>
      </c>
      <c r="D70" s="2">
        <v>2</v>
      </c>
      <c r="E70" s="27">
        <v>2.7000000000000001E-3</v>
      </c>
    </row>
    <row r="71" spans="2:5" ht="30">
      <c r="B71" s="21"/>
      <c r="C71" s="1" t="str">
        <f>"SAN PEDRO DEL GALLO"</f>
        <v>SAN PEDRO DEL GALLO</v>
      </c>
      <c r="D71" s="2">
        <v>1</v>
      </c>
      <c r="E71" s="27">
        <v>1.2999999999999999E-3</v>
      </c>
    </row>
    <row r="72" spans="2:5" ht="30">
      <c r="B72" s="21"/>
      <c r="C72" s="1" t="str">
        <f>"VICENTE GUERRERO"</f>
        <v>VICENTE GUERRERO</v>
      </c>
      <c r="D72" s="2">
        <v>4</v>
      </c>
      <c r="E72" s="27">
        <v>5.4000000000000003E-3</v>
      </c>
    </row>
    <row r="73" spans="2:5">
      <c r="B73" s="22"/>
      <c r="C73" s="28" t="str">
        <f>"Total"</f>
        <v>Total</v>
      </c>
      <c r="D73" s="29">
        <v>22</v>
      </c>
      <c r="E73" s="30">
        <v>2.9499999999999998E-2</v>
      </c>
    </row>
    <row r="74" spans="2:5">
      <c r="B74" s="20" t="str">
        <f t="shared" ref="B74:B90" si="4">"GUANAJUATO"</f>
        <v>GUANAJUATO</v>
      </c>
      <c r="C74" s="1" t="str">
        <f>"CELAYA"</f>
        <v>CELAYA</v>
      </c>
      <c r="D74" s="2">
        <v>1</v>
      </c>
      <c r="E74" s="27">
        <v>1.2999999999999999E-3</v>
      </c>
    </row>
    <row r="75" spans="2:5">
      <c r="B75" s="21"/>
      <c r="C75" s="1" t="str">
        <f>"CORTAZAR"</f>
        <v>CORTAZAR</v>
      </c>
      <c r="D75" s="2">
        <v>1</v>
      </c>
      <c r="E75" s="27">
        <v>1.2999999999999999E-3</v>
      </c>
    </row>
    <row r="76" spans="2:5">
      <c r="B76" s="21"/>
      <c r="C76" s="1" t="str">
        <f>"DOCTOR MORA"</f>
        <v>DOCTOR MORA</v>
      </c>
      <c r="D76" s="2">
        <v>2</v>
      </c>
      <c r="E76" s="27">
        <v>2.7000000000000001E-3</v>
      </c>
    </row>
    <row r="77" spans="2:5">
      <c r="B77" s="21"/>
      <c r="C77" s="1" t="str">
        <f>"DOLORES HIDALGO"</f>
        <v>DOLORES HIDALGO</v>
      </c>
      <c r="D77" s="2">
        <v>2</v>
      </c>
      <c r="E77" s="27">
        <v>2.7000000000000001E-3</v>
      </c>
    </row>
    <row r="78" spans="2:5">
      <c r="B78" s="21"/>
      <c r="C78" s="1" t="str">
        <f>"GUANAJUATO"</f>
        <v>GUANAJUATO</v>
      </c>
      <c r="D78" s="2">
        <v>1</v>
      </c>
      <c r="E78" s="27">
        <v>1.2999999999999999E-3</v>
      </c>
    </row>
    <row r="79" spans="2:5">
      <c r="B79" s="21"/>
      <c r="C79" s="1" t="str">
        <f>"IRAPUATO"</f>
        <v>IRAPUATO</v>
      </c>
      <c r="D79" s="2">
        <v>3</v>
      </c>
      <c r="E79" s="27">
        <v>4.0000000000000001E-3</v>
      </c>
    </row>
    <row r="80" spans="2:5">
      <c r="B80" s="21"/>
      <c r="C80" s="1" t="str">
        <f>"LEON"</f>
        <v>LEON</v>
      </c>
      <c r="D80" s="2">
        <v>2</v>
      </c>
      <c r="E80" s="27">
        <v>2.7000000000000001E-3</v>
      </c>
    </row>
    <row r="81" spans="2:5" ht="30">
      <c r="B81" s="21"/>
      <c r="C81" s="1" t="str">
        <f>"MANUEL DOBLADO"</f>
        <v>MANUEL DOBLADO</v>
      </c>
      <c r="D81" s="2">
        <v>1</v>
      </c>
      <c r="E81" s="27">
        <v>1.2999999999999999E-3</v>
      </c>
    </row>
    <row r="82" spans="2:5">
      <c r="B82" s="21"/>
      <c r="C82" s="1" t="str">
        <f>"PUEBLO NUEVO"</f>
        <v>PUEBLO NUEVO</v>
      </c>
      <c r="D82" s="2">
        <v>1</v>
      </c>
      <c r="E82" s="27">
        <v>1.2999999999999999E-3</v>
      </c>
    </row>
    <row r="83" spans="2:5">
      <c r="B83" s="21"/>
      <c r="C83" s="1" t="str">
        <f>"SALAMANCA"</f>
        <v>SALAMANCA</v>
      </c>
      <c r="D83" s="2">
        <v>2</v>
      </c>
      <c r="E83" s="27">
        <v>2.7000000000000001E-3</v>
      </c>
    </row>
    <row r="84" spans="2:5">
      <c r="B84" s="21"/>
      <c r="C84" s="1" t="str">
        <f>"SALVATIERRA"</f>
        <v>SALVATIERRA</v>
      </c>
      <c r="D84" s="2">
        <v>1</v>
      </c>
      <c r="E84" s="27">
        <v>1.2999999999999999E-3</v>
      </c>
    </row>
    <row r="85" spans="2:5" ht="30">
      <c r="B85" s="21"/>
      <c r="C85" s="1" t="str">
        <f>"SAN DIEGO DE LA UNION"</f>
        <v>SAN DIEGO DE LA UNION</v>
      </c>
      <c r="D85" s="2">
        <v>1</v>
      </c>
      <c r="E85" s="27">
        <v>1.2999999999999999E-3</v>
      </c>
    </row>
    <row r="86" spans="2:5" ht="30">
      <c r="B86" s="21"/>
      <c r="C86" s="1" t="str">
        <f>"SAN JOSE ITURBIDE"</f>
        <v>SAN JOSE ITURBIDE</v>
      </c>
      <c r="D86" s="2">
        <v>3</v>
      </c>
      <c r="E86" s="27">
        <v>4.0000000000000001E-3</v>
      </c>
    </row>
    <row r="87" spans="2:5" ht="30">
      <c r="B87" s="21"/>
      <c r="C87" s="1" t="str">
        <f>"VALLE DE SANTIAGO"</f>
        <v>VALLE DE SANTIAGO</v>
      </c>
      <c r="D87" s="2">
        <v>1</v>
      </c>
      <c r="E87" s="27">
        <v>1.2999999999999999E-3</v>
      </c>
    </row>
    <row r="88" spans="2:5">
      <c r="B88" s="21"/>
      <c r="C88" s="1" t="str">
        <f>"VILLAGRAN"</f>
        <v>VILLAGRAN</v>
      </c>
      <c r="D88" s="2">
        <v>1</v>
      </c>
      <c r="E88" s="27">
        <v>1.2999999999999999E-3</v>
      </c>
    </row>
    <row r="89" spans="2:5">
      <c r="B89" s="21"/>
      <c r="C89" s="1" t="str">
        <f>"YURIRIA"</f>
        <v>YURIRIA</v>
      </c>
      <c r="D89" s="2">
        <v>6</v>
      </c>
      <c r="E89" s="27">
        <v>8.0999999999999996E-3</v>
      </c>
    </row>
    <row r="90" spans="2:5">
      <c r="B90" s="22"/>
      <c r="C90" s="28" t="str">
        <f>"Total"</f>
        <v>Total</v>
      </c>
      <c r="D90" s="29">
        <v>29</v>
      </c>
      <c r="E90" s="30">
        <v>3.8899999999999997E-2</v>
      </c>
    </row>
    <row r="91" spans="2:5" ht="30">
      <c r="B91" s="20" t="str">
        <f t="shared" ref="B91:B101" si="5">"GUERRERO"</f>
        <v>GUERRERO</v>
      </c>
      <c r="C91" s="1" t="str">
        <f>"ACAPULCO DE JUAREZ"</f>
        <v>ACAPULCO DE JUAREZ</v>
      </c>
      <c r="D91" s="2">
        <v>3</v>
      </c>
      <c r="E91" s="27">
        <v>4.0000000000000001E-3</v>
      </c>
    </row>
    <row r="92" spans="2:5">
      <c r="B92" s="21"/>
      <c r="C92" s="1" t="str">
        <f>"COCULA"</f>
        <v>COCULA</v>
      </c>
      <c r="D92" s="2">
        <v>1</v>
      </c>
      <c r="E92" s="27">
        <v>1.2999999999999999E-3</v>
      </c>
    </row>
    <row r="93" spans="2:5">
      <c r="B93" s="21"/>
      <c r="C93" s="1" t="str">
        <f>"COPALA"</f>
        <v>COPALA</v>
      </c>
      <c r="D93" s="2">
        <v>1</v>
      </c>
      <c r="E93" s="27">
        <v>1.2999999999999999E-3</v>
      </c>
    </row>
    <row r="94" spans="2:5">
      <c r="B94" s="21"/>
      <c r="C94" s="1" t="str">
        <f>"JOSE AZUETA"</f>
        <v>JOSE AZUETA</v>
      </c>
      <c r="D94" s="2">
        <v>1</v>
      </c>
      <c r="E94" s="27">
        <v>1.2999999999999999E-3</v>
      </c>
    </row>
    <row r="95" spans="2:5">
      <c r="B95" s="21"/>
      <c r="C95" s="1" t="str">
        <f>"JUAN R. ESCUDERO"</f>
        <v>JUAN R. ESCUDERO</v>
      </c>
      <c r="D95" s="2">
        <v>5</v>
      </c>
      <c r="E95" s="27">
        <v>6.7000000000000002E-3</v>
      </c>
    </row>
    <row r="96" spans="2:5">
      <c r="B96" s="21"/>
      <c r="C96" s="1" t="str">
        <f>"PUNGARABATO"</f>
        <v>PUNGARABATO</v>
      </c>
      <c r="D96" s="2">
        <v>1</v>
      </c>
      <c r="E96" s="27">
        <v>1.2999999999999999E-3</v>
      </c>
    </row>
    <row r="97" spans="2:5">
      <c r="B97" s="21"/>
      <c r="C97" s="1" t="str">
        <f>"SAN MARCOS"</f>
        <v>SAN MARCOS</v>
      </c>
      <c r="D97" s="2">
        <v>1</v>
      </c>
      <c r="E97" s="27">
        <v>1.2999999999999999E-3</v>
      </c>
    </row>
    <row r="98" spans="2:5" ht="30">
      <c r="B98" s="21"/>
      <c r="C98" s="1" t="str">
        <f>"TEPECOACUILCO DE TRUJANO"</f>
        <v>TEPECOACUILCO DE TRUJANO</v>
      </c>
      <c r="D98" s="2">
        <v>1</v>
      </c>
      <c r="E98" s="27">
        <v>1.2999999999999999E-3</v>
      </c>
    </row>
    <row r="99" spans="2:5" ht="30">
      <c r="B99" s="21"/>
      <c r="C99" s="1" t="str">
        <f>"TLAPA DE COMONFORT"</f>
        <v>TLAPA DE COMONFORT</v>
      </c>
      <c r="D99" s="2">
        <v>1</v>
      </c>
      <c r="E99" s="27">
        <v>1.2999999999999999E-3</v>
      </c>
    </row>
    <row r="100" spans="2:5">
      <c r="B100" s="21"/>
      <c r="C100" s="1" t="str">
        <f>"ZITLALA"</f>
        <v>ZITLALA</v>
      </c>
      <c r="D100" s="2">
        <v>1</v>
      </c>
      <c r="E100" s="27">
        <v>1.2999999999999999E-3</v>
      </c>
    </row>
    <row r="101" spans="2:5">
      <c r="B101" s="22"/>
      <c r="C101" s="28" t="str">
        <f>"Total"</f>
        <v>Total</v>
      </c>
      <c r="D101" s="29">
        <v>16</v>
      </c>
      <c r="E101" s="30">
        <v>2.1499999999999998E-2</v>
      </c>
    </row>
    <row r="102" spans="2:5">
      <c r="B102" s="20" t="str">
        <f t="shared" ref="B102:B112" si="6">"HIDALGO"</f>
        <v>HIDALGO</v>
      </c>
      <c r="C102" s="1" t="str">
        <f>"APAN"</f>
        <v>APAN</v>
      </c>
      <c r="D102" s="2">
        <v>1</v>
      </c>
      <c r="E102" s="27">
        <v>1.2999999999999999E-3</v>
      </c>
    </row>
    <row r="103" spans="2:5">
      <c r="B103" s="21"/>
      <c r="C103" s="1" t="str">
        <f>"HUICHAPAN"</f>
        <v>HUICHAPAN</v>
      </c>
      <c r="D103" s="2">
        <v>1</v>
      </c>
      <c r="E103" s="27">
        <v>1.2999999999999999E-3</v>
      </c>
    </row>
    <row r="104" spans="2:5">
      <c r="B104" s="21"/>
      <c r="C104" s="1" t="str">
        <f>"IXMIQUILPAN"</f>
        <v>IXMIQUILPAN</v>
      </c>
      <c r="D104" s="2">
        <v>3</v>
      </c>
      <c r="E104" s="27">
        <v>4.0000000000000001E-3</v>
      </c>
    </row>
    <row r="105" spans="2:5">
      <c r="B105" s="21"/>
      <c r="C105" s="1" t="str">
        <f>"PACHUCA DE SOTO"</f>
        <v>PACHUCA DE SOTO</v>
      </c>
      <c r="D105" s="2">
        <v>1</v>
      </c>
      <c r="E105" s="27">
        <v>1.2999999999999999E-3</v>
      </c>
    </row>
    <row r="106" spans="2:5">
      <c r="B106" s="21"/>
      <c r="C106" s="1" t="str">
        <f>"PACULA"</f>
        <v>PACULA</v>
      </c>
      <c r="D106" s="2">
        <v>2</v>
      </c>
      <c r="E106" s="27">
        <v>2.7000000000000001E-3</v>
      </c>
    </row>
    <row r="107" spans="2:5" ht="30">
      <c r="B107" s="21"/>
      <c r="C107" s="1" t="str">
        <f>"SAN AGUSTIN TLAXIACA"</f>
        <v>SAN AGUSTIN TLAXIACA</v>
      </c>
      <c r="D107" s="2">
        <v>1</v>
      </c>
      <c r="E107" s="27">
        <v>1.2999999999999999E-3</v>
      </c>
    </row>
    <row r="108" spans="2:5" ht="30">
      <c r="B108" s="21"/>
      <c r="C108" s="1" t="str">
        <f>"SANTIAGO DE ANAYA"</f>
        <v>SANTIAGO DE ANAYA</v>
      </c>
      <c r="D108" s="2">
        <v>1</v>
      </c>
      <c r="E108" s="27">
        <v>1.2999999999999999E-3</v>
      </c>
    </row>
    <row r="109" spans="2:5">
      <c r="B109" s="21"/>
      <c r="C109" s="1" t="str">
        <f>"SINGUILUCAN"</f>
        <v>SINGUILUCAN</v>
      </c>
      <c r="D109" s="2">
        <v>1</v>
      </c>
      <c r="E109" s="27">
        <v>1.2999999999999999E-3</v>
      </c>
    </row>
    <row r="110" spans="2:5">
      <c r="B110" s="21"/>
      <c r="C110" s="1" t="str">
        <f>"TEPEAPULCO"</f>
        <v>TEPEAPULCO</v>
      </c>
      <c r="D110" s="2">
        <v>2</v>
      </c>
      <c r="E110" s="27">
        <v>2.7000000000000001E-3</v>
      </c>
    </row>
    <row r="111" spans="2:5">
      <c r="B111" s="21"/>
      <c r="C111" s="1" t="str">
        <f>"TLANCHINOL"</f>
        <v>TLANCHINOL</v>
      </c>
      <c r="D111" s="2">
        <v>1</v>
      </c>
      <c r="E111" s="27">
        <v>1.2999999999999999E-3</v>
      </c>
    </row>
    <row r="112" spans="2:5">
      <c r="B112" s="22"/>
      <c r="C112" s="28" t="str">
        <f>"Total"</f>
        <v>Total</v>
      </c>
      <c r="D112" s="29">
        <v>14</v>
      </c>
      <c r="E112" s="30">
        <v>1.8800000000000001E-2</v>
      </c>
    </row>
    <row r="113" spans="2:5">
      <c r="B113" s="20" t="str">
        <f t="shared" ref="B113:B133" si="7">"JALISCO"</f>
        <v>JALISCO</v>
      </c>
      <c r="C113" s="1" t="str">
        <f>"AMECA"</f>
        <v>AMECA</v>
      </c>
      <c r="D113" s="2">
        <v>2</v>
      </c>
      <c r="E113" s="27">
        <v>2.7000000000000001E-3</v>
      </c>
    </row>
    <row r="114" spans="2:5" ht="30">
      <c r="B114" s="21"/>
      <c r="C114" s="1" t="str">
        <f>"AUTLAN DE NAVARRO"</f>
        <v>AUTLAN DE NAVARRO</v>
      </c>
      <c r="D114" s="2">
        <v>3</v>
      </c>
      <c r="E114" s="27">
        <v>4.0000000000000001E-3</v>
      </c>
    </row>
    <row r="115" spans="2:5">
      <c r="B115" s="21"/>
      <c r="C115" s="1" t="str">
        <f>"AYUTLA"</f>
        <v>AYUTLA</v>
      </c>
      <c r="D115" s="2">
        <v>3</v>
      </c>
      <c r="E115" s="27">
        <v>4.0000000000000001E-3</v>
      </c>
    </row>
    <row r="116" spans="2:5">
      <c r="B116" s="21"/>
      <c r="C116" s="1" t="str">
        <f>"CABO CORRIENTES"</f>
        <v>CABO CORRIENTES</v>
      </c>
      <c r="D116" s="2">
        <v>1</v>
      </c>
      <c r="E116" s="27">
        <v>1.2999999999999999E-3</v>
      </c>
    </row>
    <row r="117" spans="2:5">
      <c r="B117" s="21"/>
      <c r="C117" s="1" t="str">
        <f>"CHIMALTITAN"</f>
        <v>CHIMALTITAN</v>
      </c>
      <c r="D117" s="2">
        <v>1</v>
      </c>
      <c r="E117" s="27">
        <v>1.2999999999999999E-3</v>
      </c>
    </row>
    <row r="118" spans="2:5">
      <c r="B118" s="21"/>
      <c r="C118" s="1" t="str">
        <f>"EL GRULLO"</f>
        <v>EL GRULLO</v>
      </c>
      <c r="D118" s="2">
        <v>1</v>
      </c>
      <c r="E118" s="27">
        <v>1.2999999999999999E-3</v>
      </c>
    </row>
    <row r="119" spans="2:5">
      <c r="B119" s="21"/>
      <c r="C119" s="1" t="str">
        <f>"GUADALAJARA"</f>
        <v>GUADALAJARA</v>
      </c>
      <c r="D119" s="2">
        <v>10</v>
      </c>
      <c r="E119" s="27">
        <v>1.34E-2</v>
      </c>
    </row>
    <row r="120" spans="2:5" ht="30">
      <c r="B120" s="21"/>
      <c r="C120" s="1" t="str">
        <f>"HUEJUQUILLA EL ALTO"</f>
        <v>HUEJUQUILLA EL ALTO</v>
      </c>
      <c r="D120" s="2">
        <v>1</v>
      </c>
      <c r="E120" s="27">
        <v>1.2999999999999999E-3</v>
      </c>
    </row>
    <row r="121" spans="2:5" ht="30">
      <c r="B121" s="21"/>
      <c r="C121" s="1" t="str">
        <f>"LAGOS DE MORENO"</f>
        <v>LAGOS DE MORENO</v>
      </c>
      <c r="D121" s="2">
        <v>8</v>
      </c>
      <c r="E121" s="27">
        <v>1.0699999999999999E-2</v>
      </c>
    </row>
    <row r="122" spans="2:5">
      <c r="B122" s="21"/>
      <c r="C122" s="1" t="str">
        <f>"OCOTLAN"</f>
        <v>OCOTLAN</v>
      </c>
      <c r="D122" s="2">
        <v>4</v>
      </c>
      <c r="E122" s="27">
        <v>5.4000000000000003E-3</v>
      </c>
    </row>
    <row r="123" spans="2:5">
      <c r="B123" s="21"/>
      <c r="C123" s="1" t="str">
        <f>"PUERTO VALLARTA"</f>
        <v>PUERTO VALLARTA</v>
      </c>
      <c r="D123" s="2">
        <v>2</v>
      </c>
      <c r="E123" s="27">
        <v>2.7000000000000001E-3</v>
      </c>
    </row>
    <row r="124" spans="2:5" ht="30">
      <c r="B124" s="21"/>
      <c r="C124" s="1" t="str">
        <f>"SAN DIEGO DE ALEJANDRIA"</f>
        <v>SAN DIEGO DE ALEJANDRIA</v>
      </c>
      <c r="D124" s="2">
        <v>2</v>
      </c>
      <c r="E124" s="27">
        <v>2.7000000000000001E-3</v>
      </c>
    </row>
    <row r="125" spans="2:5">
      <c r="B125" s="21"/>
      <c r="C125" s="1" t="str">
        <f>"TALA"</f>
        <v>TALA</v>
      </c>
      <c r="D125" s="2">
        <v>2</v>
      </c>
      <c r="E125" s="27">
        <v>2.7000000000000001E-3</v>
      </c>
    </row>
    <row r="126" spans="2:5" ht="30">
      <c r="B126" s="21"/>
      <c r="C126" s="1" t="str">
        <f>"TAMAZULA DE GORDIANO"</f>
        <v>TAMAZULA DE GORDIANO</v>
      </c>
      <c r="D126" s="2">
        <v>1</v>
      </c>
      <c r="E126" s="27">
        <v>1.2999999999999999E-3</v>
      </c>
    </row>
    <row r="127" spans="2:5">
      <c r="B127" s="21"/>
      <c r="C127" s="1" t="str">
        <f>"TLAQUEPAQUE"</f>
        <v>TLAQUEPAQUE</v>
      </c>
      <c r="D127" s="2">
        <v>2</v>
      </c>
      <c r="E127" s="27">
        <v>2.7000000000000001E-3</v>
      </c>
    </row>
    <row r="128" spans="2:5">
      <c r="B128" s="21"/>
      <c r="C128" s="1" t="str">
        <f>"TONALA"</f>
        <v>TONALA</v>
      </c>
      <c r="D128" s="2">
        <v>1</v>
      </c>
      <c r="E128" s="27">
        <v>1.2999999999999999E-3</v>
      </c>
    </row>
    <row r="129" spans="2:5">
      <c r="B129" s="21"/>
      <c r="C129" s="1" t="str">
        <f>"TOTOTLAN"</f>
        <v>TOTOTLAN</v>
      </c>
      <c r="D129" s="2">
        <v>1</v>
      </c>
      <c r="E129" s="27">
        <v>1.2999999999999999E-3</v>
      </c>
    </row>
    <row r="130" spans="2:5">
      <c r="B130" s="21"/>
      <c r="C130" s="1" t="str">
        <f>"UNION DE TULA"</f>
        <v>UNION DE TULA</v>
      </c>
      <c r="D130" s="2">
        <v>3</v>
      </c>
      <c r="E130" s="27">
        <v>4.0000000000000001E-3</v>
      </c>
    </row>
    <row r="131" spans="2:5" ht="30">
      <c r="B131" s="21"/>
      <c r="C131" s="1" t="str">
        <f>"VILLA PURIFICACION"</f>
        <v>VILLA PURIFICACION</v>
      </c>
      <c r="D131" s="2">
        <v>1</v>
      </c>
      <c r="E131" s="27">
        <v>1.2999999999999999E-3</v>
      </c>
    </row>
    <row r="132" spans="2:5">
      <c r="B132" s="21"/>
      <c r="C132" s="1" t="str">
        <f>"ZAPOPAN"</f>
        <v>ZAPOPAN</v>
      </c>
      <c r="D132" s="2">
        <v>1</v>
      </c>
      <c r="E132" s="27">
        <v>1.2999999999999999E-3</v>
      </c>
    </row>
    <row r="133" spans="2:5">
      <c r="B133" s="22"/>
      <c r="C133" s="28" t="str">
        <f>"Total"</f>
        <v>Total</v>
      </c>
      <c r="D133" s="29">
        <v>50</v>
      </c>
      <c r="E133" s="30">
        <v>6.7100000000000007E-2</v>
      </c>
    </row>
    <row r="134" spans="2:5">
      <c r="B134" s="20" t="str">
        <f t="shared" ref="B134:B150" si="8">"MEXICO"</f>
        <v>MEXICO</v>
      </c>
      <c r="C134" s="1" t="str">
        <f>"ACAMBAY"</f>
        <v>ACAMBAY</v>
      </c>
      <c r="D134" s="2">
        <v>1</v>
      </c>
      <c r="E134" s="27">
        <v>1.2999999999999999E-3</v>
      </c>
    </row>
    <row r="135" spans="2:5">
      <c r="B135" s="21"/>
      <c r="C135" s="1" t="str">
        <f>"ACOLMAN"</f>
        <v>ACOLMAN</v>
      </c>
      <c r="D135" s="2">
        <v>1</v>
      </c>
      <c r="E135" s="27">
        <v>1.2999999999999999E-3</v>
      </c>
    </row>
    <row r="136" spans="2:5">
      <c r="B136" s="21"/>
      <c r="C136" s="1" t="str">
        <f>"AMECAMECA"</f>
        <v>AMECAMECA</v>
      </c>
      <c r="D136" s="2">
        <v>1</v>
      </c>
      <c r="E136" s="27">
        <v>1.2999999999999999E-3</v>
      </c>
    </row>
    <row r="137" spans="2:5">
      <c r="B137" s="21"/>
      <c r="C137" s="1" t="str">
        <f>"CHIMALHUACAN"</f>
        <v>CHIMALHUACAN</v>
      </c>
      <c r="D137" s="2">
        <v>3</v>
      </c>
      <c r="E137" s="27">
        <v>4.0000000000000001E-3</v>
      </c>
    </row>
    <row r="138" spans="2:5" ht="30">
      <c r="B138" s="21"/>
      <c r="C138" s="1" t="str">
        <f>"CUAUTITLAN IZCALLI"</f>
        <v>CUAUTITLAN IZCALLI</v>
      </c>
      <c r="D138" s="2">
        <v>1</v>
      </c>
      <c r="E138" s="27">
        <v>1.2999999999999999E-3</v>
      </c>
    </row>
    <row r="139" spans="2:5" ht="30">
      <c r="B139" s="21"/>
      <c r="C139" s="1" t="str">
        <f>"ECATEPEC DE MORELOS"</f>
        <v>ECATEPEC DE MORELOS</v>
      </c>
      <c r="D139" s="2">
        <v>3</v>
      </c>
      <c r="E139" s="27">
        <v>4.0000000000000001E-3</v>
      </c>
    </row>
    <row r="140" spans="2:5">
      <c r="B140" s="21"/>
      <c r="C140" s="1" t="str">
        <f>"HUEYPOXTLA"</f>
        <v>HUEYPOXTLA</v>
      </c>
      <c r="D140" s="2">
        <v>1</v>
      </c>
      <c r="E140" s="27">
        <v>1.2999999999999999E-3</v>
      </c>
    </row>
    <row r="141" spans="2:5">
      <c r="B141" s="21"/>
      <c r="C141" s="1" t="str">
        <f>"NEZAHUALCOYOTL"</f>
        <v>NEZAHUALCOYOTL</v>
      </c>
      <c r="D141" s="2">
        <v>4</v>
      </c>
      <c r="E141" s="27">
        <v>5.4000000000000003E-3</v>
      </c>
    </row>
    <row r="142" spans="2:5" ht="30">
      <c r="B142" s="21"/>
      <c r="C142" s="1" t="str">
        <f>"SAN FELIPE DEL PROGRESO"</f>
        <v>SAN FELIPE DEL PROGRESO</v>
      </c>
      <c r="D142" s="2">
        <v>1</v>
      </c>
      <c r="E142" s="27">
        <v>1.2999999999999999E-3</v>
      </c>
    </row>
    <row r="143" spans="2:5">
      <c r="B143" s="21"/>
      <c r="C143" s="1" t="str">
        <f>"TEJUPILCO"</f>
        <v>TEJUPILCO</v>
      </c>
      <c r="D143" s="2">
        <v>1</v>
      </c>
      <c r="E143" s="27">
        <v>1.2999999999999999E-3</v>
      </c>
    </row>
    <row r="144" spans="2:5">
      <c r="B144" s="21"/>
      <c r="C144" s="1" t="str">
        <f>"TEMASCALCINGO"</f>
        <v>TEMASCALCINGO</v>
      </c>
      <c r="D144" s="2">
        <v>1</v>
      </c>
      <c r="E144" s="27">
        <v>1.2999999999999999E-3</v>
      </c>
    </row>
    <row r="145" spans="2:5">
      <c r="B145" s="21"/>
      <c r="C145" s="1" t="str">
        <f>"TEMASCALTEPEC"</f>
        <v>TEMASCALTEPEC</v>
      </c>
      <c r="D145" s="2">
        <v>1</v>
      </c>
      <c r="E145" s="27">
        <v>1.2999999999999999E-3</v>
      </c>
    </row>
    <row r="146" spans="2:5">
      <c r="B146" s="21"/>
      <c r="C146" s="1" t="str">
        <f>"TEXCOCO"</f>
        <v>TEXCOCO</v>
      </c>
      <c r="D146" s="2">
        <v>1</v>
      </c>
      <c r="E146" s="27">
        <v>1.2999999999999999E-3</v>
      </c>
    </row>
    <row r="147" spans="2:5">
      <c r="B147" s="21"/>
      <c r="C147" s="1" t="str">
        <f>"TIANGUISTENCO"</f>
        <v>TIANGUISTENCO</v>
      </c>
      <c r="D147" s="2">
        <v>1</v>
      </c>
      <c r="E147" s="27">
        <v>1.2999999999999999E-3</v>
      </c>
    </row>
    <row r="148" spans="2:5" ht="30">
      <c r="B148" s="21"/>
      <c r="C148" s="1" t="str">
        <f>"TLALNEPANTLA DE BAZ"</f>
        <v>TLALNEPANTLA DE BAZ</v>
      </c>
      <c r="D148" s="2">
        <v>7</v>
      </c>
      <c r="E148" s="27">
        <v>9.4000000000000004E-3</v>
      </c>
    </row>
    <row r="149" spans="2:5">
      <c r="B149" s="21"/>
      <c r="C149" s="1" t="str">
        <f>"TOLUCA"</f>
        <v>TOLUCA</v>
      </c>
      <c r="D149" s="2">
        <v>3</v>
      </c>
      <c r="E149" s="27">
        <v>4.0000000000000001E-3</v>
      </c>
    </row>
    <row r="150" spans="2:5">
      <c r="B150" s="22"/>
      <c r="C150" s="28" t="str">
        <f>"Total"</f>
        <v>Total</v>
      </c>
      <c r="D150" s="29">
        <v>31</v>
      </c>
      <c r="E150" s="30">
        <v>4.1599999999999998E-2</v>
      </c>
    </row>
    <row r="151" spans="2:5">
      <c r="B151" s="20" t="str">
        <f t="shared" ref="B151:B164" si="9">"MICHOACAN DE OCAMPO"</f>
        <v>MICHOACAN DE OCAMPO</v>
      </c>
      <c r="C151" s="1" t="str">
        <f>"ACUITZIO"</f>
        <v>ACUITZIO</v>
      </c>
      <c r="D151" s="2">
        <v>1</v>
      </c>
      <c r="E151" s="27">
        <v>1.2999999999999999E-3</v>
      </c>
    </row>
    <row r="152" spans="2:5">
      <c r="B152" s="21"/>
      <c r="C152" s="1" t="str">
        <f>"CONTEPEC"</f>
        <v>CONTEPEC</v>
      </c>
      <c r="D152" s="2">
        <v>1</v>
      </c>
      <c r="E152" s="27">
        <v>1.2999999999999999E-3</v>
      </c>
    </row>
    <row r="153" spans="2:5">
      <c r="B153" s="21"/>
      <c r="C153" s="1" t="str">
        <f>"EPITACIO HUERTA"</f>
        <v>EPITACIO HUERTA</v>
      </c>
      <c r="D153" s="2">
        <v>1</v>
      </c>
      <c r="E153" s="27">
        <v>1.2999999999999999E-3</v>
      </c>
    </row>
    <row r="154" spans="2:5">
      <c r="B154" s="21"/>
      <c r="C154" s="1" t="str">
        <f>"IXTLAN"</f>
        <v>IXTLAN</v>
      </c>
      <c r="D154" s="2">
        <v>1</v>
      </c>
      <c r="E154" s="27">
        <v>1.2999999999999999E-3</v>
      </c>
    </row>
    <row r="155" spans="2:5">
      <c r="B155" s="21"/>
      <c r="C155" s="1" t="str">
        <f>"LA PIEDAD"</f>
        <v>LA PIEDAD</v>
      </c>
      <c r="D155" s="2">
        <v>2</v>
      </c>
      <c r="E155" s="27">
        <v>2.7000000000000001E-3</v>
      </c>
    </row>
    <row r="156" spans="2:5">
      <c r="B156" s="21"/>
      <c r="C156" s="1" t="str">
        <f>"PURUANDIRO"</f>
        <v>PURUANDIRO</v>
      </c>
      <c r="D156" s="2">
        <v>1</v>
      </c>
      <c r="E156" s="27">
        <v>1.2999999999999999E-3</v>
      </c>
    </row>
    <row r="157" spans="2:5">
      <c r="B157" s="21"/>
      <c r="C157" s="1" t="str">
        <f>"QUERENDARO"</f>
        <v>QUERENDARO</v>
      </c>
      <c r="D157" s="2">
        <v>3</v>
      </c>
      <c r="E157" s="27">
        <v>4.0000000000000001E-3</v>
      </c>
    </row>
    <row r="158" spans="2:5">
      <c r="B158" s="21"/>
      <c r="C158" s="1" t="str">
        <f>"TEPALCATEPEC"</f>
        <v>TEPALCATEPEC</v>
      </c>
      <c r="D158" s="2">
        <v>1</v>
      </c>
      <c r="E158" s="27">
        <v>1.2999999999999999E-3</v>
      </c>
    </row>
    <row r="159" spans="2:5">
      <c r="B159" s="21"/>
      <c r="C159" s="1" t="str">
        <f>"TUXPAN"</f>
        <v>TUXPAN</v>
      </c>
      <c r="D159" s="2">
        <v>1</v>
      </c>
      <c r="E159" s="27">
        <v>1.2999999999999999E-3</v>
      </c>
    </row>
    <row r="160" spans="2:5">
      <c r="B160" s="21"/>
      <c r="C160" s="1" t="str">
        <f>"URUAPAN"</f>
        <v>URUAPAN</v>
      </c>
      <c r="D160" s="2">
        <v>1</v>
      </c>
      <c r="E160" s="27">
        <v>1.2999999999999999E-3</v>
      </c>
    </row>
    <row r="161" spans="2:5">
      <c r="B161" s="21"/>
      <c r="C161" s="1" t="str">
        <f>"ZAMORA"</f>
        <v>ZAMORA</v>
      </c>
      <c r="D161" s="2">
        <v>5</v>
      </c>
      <c r="E161" s="27">
        <v>6.7000000000000002E-3</v>
      </c>
    </row>
    <row r="162" spans="2:5">
      <c r="B162" s="21"/>
      <c r="C162" s="1" t="str">
        <f>"ZINAPECUARO"</f>
        <v>ZINAPECUARO</v>
      </c>
      <c r="D162" s="2">
        <v>3</v>
      </c>
      <c r="E162" s="27">
        <v>4.0000000000000001E-3</v>
      </c>
    </row>
    <row r="163" spans="2:5">
      <c r="B163" s="21"/>
      <c r="C163" s="1" t="str">
        <f>"ZITACUARO"</f>
        <v>ZITACUARO</v>
      </c>
      <c r="D163" s="2">
        <v>1</v>
      </c>
      <c r="E163" s="27">
        <v>1.2999999999999999E-3</v>
      </c>
    </row>
    <row r="164" spans="2:5">
      <c r="B164" s="22"/>
      <c r="C164" s="28" t="str">
        <f>"Total"</f>
        <v>Total</v>
      </c>
      <c r="D164" s="29">
        <v>22</v>
      </c>
      <c r="E164" s="30">
        <v>2.9499999999999998E-2</v>
      </c>
    </row>
    <row r="165" spans="2:5">
      <c r="B165" s="20" t="str">
        <f t="shared" ref="B165:B170" si="10">"MORELOS"</f>
        <v>MORELOS</v>
      </c>
      <c r="C165" s="1" t="str">
        <f>"AYALA"</f>
        <v>AYALA</v>
      </c>
      <c r="D165" s="2">
        <v>2</v>
      </c>
      <c r="E165" s="27">
        <v>2.7000000000000001E-3</v>
      </c>
    </row>
    <row r="166" spans="2:5">
      <c r="B166" s="21"/>
      <c r="C166" s="1" t="str">
        <f>"CUERNAVACA"</f>
        <v>CUERNAVACA</v>
      </c>
      <c r="D166" s="2">
        <v>2</v>
      </c>
      <c r="E166" s="27">
        <v>2.7000000000000001E-3</v>
      </c>
    </row>
    <row r="167" spans="2:5">
      <c r="B167" s="21"/>
      <c r="C167" s="1" t="str">
        <f>"JOJUTLA"</f>
        <v>JOJUTLA</v>
      </c>
      <c r="D167" s="2">
        <v>1</v>
      </c>
      <c r="E167" s="27">
        <v>1.2999999999999999E-3</v>
      </c>
    </row>
    <row r="168" spans="2:5">
      <c r="B168" s="21"/>
      <c r="C168" s="1" t="str">
        <f>"MIACATLAN"</f>
        <v>MIACATLAN</v>
      </c>
      <c r="D168" s="2">
        <v>1</v>
      </c>
      <c r="E168" s="27">
        <v>1.2999999999999999E-3</v>
      </c>
    </row>
    <row r="169" spans="2:5">
      <c r="B169" s="21"/>
      <c r="C169" s="1" t="str">
        <f>"PUENTE DE IXTLA"</f>
        <v>PUENTE DE IXTLA</v>
      </c>
      <c r="D169" s="2">
        <v>1</v>
      </c>
      <c r="E169" s="27">
        <v>1.2999999999999999E-3</v>
      </c>
    </row>
    <row r="170" spans="2:5">
      <c r="B170" s="22"/>
      <c r="C170" s="28" t="str">
        <f>"Total"</f>
        <v>Total</v>
      </c>
      <c r="D170" s="29">
        <v>7</v>
      </c>
      <c r="E170" s="30">
        <v>9.4000000000000004E-3</v>
      </c>
    </row>
    <row r="171" spans="2:5">
      <c r="B171" s="20" t="str">
        <f>"NAYARIT"</f>
        <v>NAYARIT</v>
      </c>
      <c r="C171" s="1" t="str">
        <f>"ROSAMORADA"</f>
        <v>ROSAMORADA</v>
      </c>
      <c r="D171" s="2">
        <v>1</v>
      </c>
      <c r="E171" s="27">
        <v>1.2999999999999999E-3</v>
      </c>
    </row>
    <row r="172" spans="2:5" ht="30">
      <c r="B172" s="21"/>
      <c r="C172" s="1" t="str">
        <f>"SANTA MARIA DEL ORO"</f>
        <v>SANTA MARIA DEL ORO</v>
      </c>
      <c r="D172" s="2">
        <v>2</v>
      </c>
      <c r="E172" s="27">
        <v>2.7000000000000001E-3</v>
      </c>
    </row>
    <row r="173" spans="2:5">
      <c r="B173" s="21"/>
      <c r="C173" s="1" t="str">
        <f>"TEPIC"</f>
        <v>TEPIC</v>
      </c>
      <c r="D173" s="2">
        <v>4</v>
      </c>
      <c r="E173" s="27">
        <v>5.4000000000000003E-3</v>
      </c>
    </row>
    <row r="174" spans="2:5">
      <c r="B174" s="22"/>
      <c r="C174" s="28" t="str">
        <f>"Total"</f>
        <v>Total</v>
      </c>
      <c r="D174" s="29">
        <v>7</v>
      </c>
      <c r="E174" s="30">
        <v>9.4000000000000004E-3</v>
      </c>
    </row>
    <row r="175" spans="2:5">
      <c r="B175" s="20" t="str">
        <f>"NUEVO LEON"</f>
        <v>NUEVO LEON</v>
      </c>
      <c r="C175" s="1" t="str">
        <f>"MONTERREY"</f>
        <v>MONTERREY</v>
      </c>
      <c r="D175" s="2">
        <v>2</v>
      </c>
      <c r="E175" s="27">
        <v>2.7000000000000001E-3</v>
      </c>
    </row>
    <row r="176" spans="2:5">
      <c r="B176" s="22"/>
      <c r="C176" s="28" t="str">
        <f>"Total"</f>
        <v>Total</v>
      </c>
      <c r="D176" s="29">
        <v>2</v>
      </c>
      <c r="E176" s="30">
        <v>2.7000000000000001E-3</v>
      </c>
    </row>
    <row r="177" spans="2:5">
      <c r="B177" s="20" t="str">
        <f t="shared" ref="B177:B190" si="11">"OAXACA"</f>
        <v>OAXACA</v>
      </c>
      <c r="C177" s="1" t="str">
        <f>"ABEJONES"</f>
        <v>ABEJONES</v>
      </c>
      <c r="D177" s="2">
        <v>1</v>
      </c>
      <c r="E177" s="27">
        <v>1.2999999999999999E-3</v>
      </c>
    </row>
    <row r="178" spans="2:5" ht="30">
      <c r="B178" s="21"/>
      <c r="C178" s="1" t="str">
        <f>"CHALCATONGO DE HIDALGO"</f>
        <v>CHALCATONGO DE HIDALGO</v>
      </c>
      <c r="D178" s="2">
        <v>1</v>
      </c>
      <c r="E178" s="27">
        <v>1.2999999999999999E-3</v>
      </c>
    </row>
    <row r="179" spans="2:5" ht="30">
      <c r="B179" s="21"/>
      <c r="C179" s="1" t="str">
        <f>"OAXACA DE JUAREZ"</f>
        <v>OAXACA DE JUAREZ</v>
      </c>
      <c r="D179" s="2">
        <v>7</v>
      </c>
      <c r="E179" s="27">
        <v>9.4000000000000004E-3</v>
      </c>
    </row>
    <row r="180" spans="2:5" ht="30">
      <c r="B180" s="21"/>
      <c r="C180" s="1" t="str">
        <f>"SAN FRANCISCO TEOPAN"</f>
        <v>SAN FRANCISCO TEOPAN</v>
      </c>
      <c r="D180" s="2">
        <v>1</v>
      </c>
      <c r="E180" s="27">
        <v>1.2999999999999999E-3</v>
      </c>
    </row>
    <row r="181" spans="2:5" ht="45">
      <c r="B181" s="21"/>
      <c r="C181" s="1" t="str">
        <f>"SAN JUAN BAUTISTA TUXTEPEC"</f>
        <v>SAN JUAN BAUTISTA TUXTEPEC</v>
      </c>
      <c r="D181" s="2">
        <v>2</v>
      </c>
      <c r="E181" s="27">
        <v>2.7000000000000001E-3</v>
      </c>
    </row>
    <row r="182" spans="2:5" ht="30">
      <c r="B182" s="21"/>
      <c r="C182" s="1" t="str">
        <f>"SAN MATEO CAJONOS"</f>
        <v>SAN MATEO CAJONOS</v>
      </c>
      <c r="D182" s="2">
        <v>1</v>
      </c>
      <c r="E182" s="27">
        <v>1.2999999999999999E-3</v>
      </c>
    </row>
    <row r="183" spans="2:5" ht="30">
      <c r="B183" s="21"/>
      <c r="C183" s="1" t="str">
        <f>"SAN NICOLAS HIDALGO"</f>
        <v>SAN NICOLAS HIDALGO</v>
      </c>
      <c r="D183" s="2">
        <v>1</v>
      </c>
      <c r="E183" s="27">
        <v>1.2999999999999999E-3</v>
      </c>
    </row>
    <row r="184" spans="2:5" ht="30">
      <c r="B184" s="21"/>
      <c r="C184" s="1" t="str">
        <f>"SAN PEDRO MARTIR"</f>
        <v>SAN PEDRO MARTIR</v>
      </c>
      <c r="D184" s="2">
        <v>2</v>
      </c>
      <c r="E184" s="27">
        <v>2.7000000000000001E-3</v>
      </c>
    </row>
    <row r="185" spans="2:5">
      <c r="B185" s="21"/>
      <c r="C185" s="1" t="str">
        <f>"SAN PEDRO TIDAA"</f>
        <v>SAN PEDRO TIDAA</v>
      </c>
      <c r="D185" s="2">
        <v>2</v>
      </c>
      <c r="E185" s="27">
        <v>2.7000000000000001E-3</v>
      </c>
    </row>
    <row r="186" spans="2:5" ht="30">
      <c r="B186" s="21"/>
      <c r="C186" s="1" t="str">
        <f>"SANTA CATARINA JUQUILA"</f>
        <v>SANTA CATARINA JUQUILA</v>
      </c>
      <c r="D186" s="2">
        <v>1</v>
      </c>
      <c r="E186" s="27">
        <v>1.2999999999999999E-3</v>
      </c>
    </row>
    <row r="187" spans="2:5" ht="30">
      <c r="B187" s="21"/>
      <c r="C187" s="1" t="str">
        <f>"SANTIAGO LACHIGUIRI"</f>
        <v>SANTIAGO LACHIGUIRI</v>
      </c>
      <c r="D187" s="2">
        <v>1</v>
      </c>
      <c r="E187" s="27">
        <v>1.2999999999999999E-3</v>
      </c>
    </row>
    <row r="188" spans="2:5">
      <c r="B188" s="21"/>
      <c r="C188" s="1" t="str">
        <f>"SILACAYOAPAM"</f>
        <v>SILACAYOAPAM</v>
      </c>
      <c r="D188" s="2">
        <v>4</v>
      </c>
      <c r="E188" s="27">
        <v>5.4000000000000003E-3</v>
      </c>
    </row>
    <row r="189" spans="2:5" ht="60">
      <c r="B189" s="21"/>
      <c r="C189" s="1" t="str">
        <f>"VILLA DE TUTUTEPEC DE MELCHOR OCAMPO"</f>
        <v>VILLA DE TUTUTEPEC DE MELCHOR OCAMPO</v>
      </c>
      <c r="D189" s="2">
        <v>1</v>
      </c>
      <c r="E189" s="27">
        <v>1.2999999999999999E-3</v>
      </c>
    </row>
    <row r="190" spans="2:5">
      <c r="B190" s="22"/>
      <c r="C190" s="28" t="str">
        <f>"Total"</f>
        <v>Total</v>
      </c>
      <c r="D190" s="29">
        <v>25</v>
      </c>
      <c r="E190" s="30">
        <v>3.3599999999999998E-2</v>
      </c>
    </row>
    <row r="191" spans="2:5">
      <c r="B191" s="20" t="str">
        <f t="shared" ref="B191:B208" si="12">"PUEBLA"</f>
        <v>PUEBLA</v>
      </c>
      <c r="C191" s="1" t="str">
        <f>"AJALPAN"</f>
        <v>AJALPAN</v>
      </c>
      <c r="D191" s="2">
        <v>1</v>
      </c>
      <c r="E191" s="27">
        <v>1.2999999999999999E-3</v>
      </c>
    </row>
    <row r="192" spans="2:5">
      <c r="B192" s="21"/>
      <c r="C192" s="1" t="str">
        <f>"ATLIXCO"</f>
        <v>ATLIXCO</v>
      </c>
      <c r="D192" s="2">
        <v>1</v>
      </c>
      <c r="E192" s="27">
        <v>1.2999999999999999E-3</v>
      </c>
    </row>
    <row r="193" spans="2:5">
      <c r="B193" s="21"/>
      <c r="C193" s="1" t="str">
        <f>"CHIAUTZINGO"</f>
        <v>CHIAUTZINGO</v>
      </c>
      <c r="D193" s="2">
        <v>1</v>
      </c>
      <c r="E193" s="27">
        <v>1.2999999999999999E-3</v>
      </c>
    </row>
    <row r="194" spans="2:5">
      <c r="B194" s="21"/>
      <c r="C194" s="1" t="str">
        <f>"CHIGNAHUAPAN"</f>
        <v>CHIGNAHUAPAN</v>
      </c>
      <c r="D194" s="2">
        <v>2</v>
      </c>
      <c r="E194" s="27">
        <v>2.7000000000000001E-3</v>
      </c>
    </row>
    <row r="195" spans="2:5">
      <c r="B195" s="21"/>
      <c r="C195" s="1" t="str">
        <f>"HUAUCHINANGO"</f>
        <v>HUAUCHINANGO</v>
      </c>
      <c r="D195" s="2">
        <v>3</v>
      </c>
      <c r="E195" s="27">
        <v>4.0000000000000001E-3</v>
      </c>
    </row>
    <row r="196" spans="2:5">
      <c r="B196" s="21"/>
      <c r="C196" s="1" t="str">
        <f>"JOPALA"</f>
        <v>JOPALA</v>
      </c>
      <c r="D196" s="2">
        <v>3</v>
      </c>
      <c r="E196" s="27">
        <v>4.0000000000000001E-3</v>
      </c>
    </row>
    <row r="197" spans="2:5">
      <c r="B197" s="21"/>
      <c r="C197" s="1" t="str">
        <f>"PUEBLA"</f>
        <v>PUEBLA</v>
      </c>
      <c r="D197" s="2">
        <v>2</v>
      </c>
      <c r="E197" s="27">
        <v>2.7000000000000001E-3</v>
      </c>
    </row>
    <row r="198" spans="2:5" ht="30">
      <c r="B198" s="21"/>
      <c r="C198" s="1" t="str">
        <f>"SAN MARTIN TEXMELUCAN"</f>
        <v>SAN MARTIN TEXMELUCAN</v>
      </c>
      <c r="D198" s="2">
        <v>1</v>
      </c>
      <c r="E198" s="27">
        <v>1.2999999999999999E-3</v>
      </c>
    </row>
    <row r="199" spans="2:5" ht="30">
      <c r="B199" s="21"/>
      <c r="C199" s="1" t="str">
        <f>"SAN MIGUEL XOXTLA"</f>
        <v>SAN MIGUEL XOXTLA</v>
      </c>
      <c r="D199" s="2">
        <v>1</v>
      </c>
      <c r="E199" s="27">
        <v>1.2999999999999999E-3</v>
      </c>
    </row>
    <row r="200" spans="2:5">
      <c r="B200" s="21"/>
      <c r="C200" s="1" t="str">
        <f>"TEHUACAN"</f>
        <v>TEHUACAN</v>
      </c>
      <c r="D200" s="2">
        <v>1</v>
      </c>
      <c r="E200" s="27">
        <v>1.2999999999999999E-3</v>
      </c>
    </row>
    <row r="201" spans="2:5">
      <c r="B201" s="21"/>
      <c r="C201" s="1" t="str">
        <f>"TEPEACA"</f>
        <v>TEPEACA</v>
      </c>
      <c r="D201" s="2">
        <v>2</v>
      </c>
      <c r="E201" s="27">
        <v>2.7000000000000001E-3</v>
      </c>
    </row>
    <row r="202" spans="2:5" ht="30">
      <c r="B202" s="21"/>
      <c r="C202" s="1" t="str">
        <f>"TEPEXI DE RODRIGUEZ"</f>
        <v>TEPEXI DE RODRIGUEZ</v>
      </c>
      <c r="D202" s="2">
        <v>1</v>
      </c>
      <c r="E202" s="27">
        <v>1.2999999999999999E-3</v>
      </c>
    </row>
    <row r="203" spans="2:5">
      <c r="B203" s="21"/>
      <c r="C203" s="1" t="str">
        <f>"TLAPACOYA"</f>
        <v>TLAPACOYA</v>
      </c>
      <c r="D203" s="2">
        <v>4</v>
      </c>
      <c r="E203" s="27">
        <v>5.4000000000000003E-3</v>
      </c>
    </row>
    <row r="204" spans="2:5">
      <c r="B204" s="21"/>
      <c r="C204" s="1" t="str">
        <f>"TLATLAUQUITEPEC"</f>
        <v>TLATLAUQUITEPEC</v>
      </c>
      <c r="D204" s="2">
        <v>1</v>
      </c>
      <c r="E204" s="27">
        <v>1.2999999999999999E-3</v>
      </c>
    </row>
    <row r="205" spans="2:5">
      <c r="B205" s="21"/>
      <c r="C205" s="1" t="str">
        <f>"TOCHTEPEC"</f>
        <v>TOCHTEPEC</v>
      </c>
      <c r="D205" s="2">
        <v>1</v>
      </c>
      <c r="E205" s="27">
        <v>1.2999999999999999E-3</v>
      </c>
    </row>
    <row r="206" spans="2:5">
      <c r="B206" s="21"/>
      <c r="C206" s="1" t="str">
        <f>"ZACAPALA"</f>
        <v>ZACAPALA</v>
      </c>
      <c r="D206" s="2">
        <v>1</v>
      </c>
      <c r="E206" s="27">
        <v>1.2999999999999999E-3</v>
      </c>
    </row>
    <row r="207" spans="2:5">
      <c r="B207" s="21"/>
      <c r="C207" s="1" t="str">
        <f>"ZONGOZOTLA"</f>
        <v>ZONGOZOTLA</v>
      </c>
      <c r="D207" s="2">
        <v>1</v>
      </c>
      <c r="E207" s="27">
        <v>1.2999999999999999E-3</v>
      </c>
    </row>
    <row r="208" spans="2:5">
      <c r="B208" s="22"/>
      <c r="C208" s="28" t="str">
        <f>"Total"</f>
        <v>Total</v>
      </c>
      <c r="D208" s="29">
        <v>27</v>
      </c>
      <c r="E208" s="30">
        <v>3.6200000000000003E-2</v>
      </c>
    </row>
    <row r="209" spans="2:5">
      <c r="B209" s="20" t="str">
        <f>"QUERETARO DE ARTEAGA"</f>
        <v>QUERETARO DE ARTEAGA</v>
      </c>
      <c r="C209" s="1" t="str">
        <f>"PEÑAMILLER"</f>
        <v>PEÑAMILLER</v>
      </c>
      <c r="D209" s="2">
        <v>1</v>
      </c>
      <c r="E209" s="27">
        <v>1.2999999999999999E-3</v>
      </c>
    </row>
    <row r="210" spans="2:5">
      <c r="B210" s="21"/>
      <c r="C210" s="1" t="str">
        <f>"QUERETARO"</f>
        <v>QUERETARO</v>
      </c>
      <c r="D210" s="2">
        <v>1</v>
      </c>
      <c r="E210" s="27">
        <v>1.2999999999999999E-3</v>
      </c>
    </row>
    <row r="211" spans="2:5">
      <c r="B211" s="22"/>
      <c r="C211" s="28" t="str">
        <f>"Total"</f>
        <v>Total</v>
      </c>
      <c r="D211" s="29">
        <v>2</v>
      </c>
      <c r="E211" s="30">
        <v>2.7000000000000001E-3</v>
      </c>
    </row>
    <row r="212" spans="2:5">
      <c r="B212" s="20" t="str">
        <f t="shared" ref="B212:B217" si="13">"SAN LUIS POTOSI"</f>
        <v>SAN LUIS POTOSI</v>
      </c>
      <c r="C212" s="1" t="str">
        <f>"AHUALULCO"</f>
        <v>AHUALULCO</v>
      </c>
      <c r="D212" s="2">
        <v>1</v>
      </c>
      <c r="E212" s="27">
        <v>1.2999999999999999E-3</v>
      </c>
    </row>
    <row r="213" spans="2:5">
      <c r="B213" s="21"/>
      <c r="C213" s="1" t="str">
        <f>"MATEHUALA"</f>
        <v>MATEHUALA</v>
      </c>
      <c r="D213" s="2">
        <v>1</v>
      </c>
      <c r="E213" s="27">
        <v>1.2999999999999999E-3</v>
      </c>
    </row>
    <row r="214" spans="2:5">
      <c r="B214" s="21"/>
      <c r="C214" s="1" t="str">
        <f>"SAN LUIS POTOSI"</f>
        <v>SAN LUIS POTOSI</v>
      </c>
      <c r="D214" s="2">
        <v>1</v>
      </c>
      <c r="E214" s="27">
        <v>1.2999999999999999E-3</v>
      </c>
    </row>
    <row r="215" spans="2:5" ht="30">
      <c r="B215" s="21"/>
      <c r="C215" s="1" t="str">
        <f>"SANTA MARIA DEL RIO"</f>
        <v>SANTA MARIA DEL RIO</v>
      </c>
      <c r="D215" s="2">
        <v>4</v>
      </c>
      <c r="E215" s="27">
        <v>5.4000000000000003E-3</v>
      </c>
    </row>
    <row r="216" spans="2:5">
      <c r="B216" s="21"/>
      <c r="C216" s="1" t="str">
        <f>"XILITLA"</f>
        <v>XILITLA</v>
      </c>
      <c r="D216" s="2">
        <v>1</v>
      </c>
      <c r="E216" s="27">
        <v>1.2999999999999999E-3</v>
      </c>
    </row>
    <row r="217" spans="2:5">
      <c r="B217" s="22"/>
      <c r="C217" s="28" t="str">
        <f>"Total"</f>
        <v>Total</v>
      </c>
      <c r="D217" s="29">
        <v>8</v>
      </c>
      <c r="E217" s="30">
        <v>1.0699999999999999E-2</v>
      </c>
    </row>
    <row r="218" spans="2:5">
      <c r="B218" s="20" t="str">
        <f t="shared" ref="B218:B226" si="14">"SINALOA"</f>
        <v>SINALOA</v>
      </c>
      <c r="C218" s="1" t="str">
        <f>"AHOME"</f>
        <v>AHOME</v>
      </c>
      <c r="D218" s="2">
        <v>1</v>
      </c>
      <c r="E218" s="27">
        <v>1.2999999999999999E-3</v>
      </c>
    </row>
    <row r="219" spans="2:5">
      <c r="B219" s="21"/>
      <c r="C219" s="1" t="str">
        <f>"ANGOSTURA"</f>
        <v>ANGOSTURA</v>
      </c>
      <c r="D219" s="2">
        <v>1</v>
      </c>
      <c r="E219" s="27">
        <v>1.2999999999999999E-3</v>
      </c>
    </row>
    <row r="220" spans="2:5">
      <c r="B220" s="21"/>
      <c r="C220" s="1" t="str">
        <f>"BADIRAGUATO"</f>
        <v>BADIRAGUATO</v>
      </c>
      <c r="D220" s="2">
        <v>3</v>
      </c>
      <c r="E220" s="27">
        <v>4.0000000000000001E-3</v>
      </c>
    </row>
    <row r="221" spans="2:5">
      <c r="B221" s="21"/>
      <c r="C221" s="1" t="str">
        <f>"CHOIX"</f>
        <v>CHOIX</v>
      </c>
      <c r="D221" s="2">
        <v>1</v>
      </c>
      <c r="E221" s="27">
        <v>1.2999999999999999E-3</v>
      </c>
    </row>
    <row r="222" spans="2:5">
      <c r="B222" s="21"/>
      <c r="C222" s="1" t="str">
        <f>"CULIACAN"</f>
        <v>CULIACAN</v>
      </c>
      <c r="D222" s="2">
        <v>15</v>
      </c>
      <c r="E222" s="27">
        <v>2.01E-2</v>
      </c>
    </row>
    <row r="223" spans="2:5">
      <c r="B223" s="21"/>
      <c r="C223" s="1" t="str">
        <f>"MOCORITO"</f>
        <v>MOCORITO</v>
      </c>
      <c r="D223" s="2">
        <v>1</v>
      </c>
      <c r="E223" s="27">
        <v>1.2999999999999999E-3</v>
      </c>
    </row>
    <row r="224" spans="2:5">
      <c r="B224" s="21"/>
      <c r="C224" s="1" t="str">
        <f>"NAVOLATO"</f>
        <v>NAVOLATO</v>
      </c>
      <c r="D224" s="2">
        <v>2</v>
      </c>
      <c r="E224" s="27">
        <v>2.7000000000000001E-3</v>
      </c>
    </row>
    <row r="225" spans="2:5" ht="30">
      <c r="B225" s="21"/>
      <c r="C225" s="1" t="str">
        <f>"SALVADOR ALVARADO"</f>
        <v>SALVADOR ALVARADO</v>
      </c>
      <c r="D225" s="2">
        <v>1</v>
      </c>
      <c r="E225" s="27">
        <v>1.2999999999999999E-3</v>
      </c>
    </row>
    <row r="226" spans="2:5">
      <c r="B226" s="22"/>
      <c r="C226" s="28" t="str">
        <f>"Total"</f>
        <v>Total</v>
      </c>
      <c r="D226" s="29">
        <v>25</v>
      </c>
      <c r="E226" s="30">
        <v>3.3599999999999998E-2</v>
      </c>
    </row>
    <row r="227" spans="2:5">
      <c r="B227" s="20" t="str">
        <f t="shared" ref="B227:B232" si="15">"SONORA"</f>
        <v>SONORA</v>
      </c>
      <c r="C227" s="1" t="str">
        <f>"AGUA PRIETA"</f>
        <v>AGUA PRIETA</v>
      </c>
      <c r="D227" s="2">
        <v>3</v>
      </c>
      <c r="E227" s="27">
        <v>4.0000000000000001E-3</v>
      </c>
    </row>
    <row r="228" spans="2:5">
      <c r="B228" s="21"/>
      <c r="C228" s="1" t="str">
        <f>"GUAYMAS"</f>
        <v>GUAYMAS</v>
      </c>
      <c r="D228" s="2">
        <v>1</v>
      </c>
      <c r="E228" s="27">
        <v>1.2999999999999999E-3</v>
      </c>
    </row>
    <row r="229" spans="2:5">
      <c r="B229" s="21"/>
      <c r="C229" s="1" t="str">
        <f>"HERMOSILLO"</f>
        <v>HERMOSILLO</v>
      </c>
      <c r="D229" s="2">
        <v>3</v>
      </c>
      <c r="E229" s="27">
        <v>4.0000000000000001E-3</v>
      </c>
    </row>
    <row r="230" spans="2:5">
      <c r="B230" s="21"/>
      <c r="C230" s="1" t="str">
        <f>"HUATABAMPO"</f>
        <v>HUATABAMPO</v>
      </c>
      <c r="D230" s="2">
        <v>1</v>
      </c>
      <c r="E230" s="27">
        <v>1.2999999999999999E-3</v>
      </c>
    </row>
    <row r="231" spans="2:5">
      <c r="B231" s="21"/>
      <c r="C231" s="1" t="str">
        <f>"SAHUARIPA"</f>
        <v>SAHUARIPA</v>
      </c>
      <c r="D231" s="2">
        <v>1</v>
      </c>
      <c r="E231" s="27">
        <v>1.2999999999999999E-3</v>
      </c>
    </row>
    <row r="232" spans="2:5">
      <c r="B232" s="22"/>
      <c r="C232" s="28" t="str">
        <f>"Total"</f>
        <v>Total</v>
      </c>
      <c r="D232" s="29">
        <v>9</v>
      </c>
      <c r="E232" s="30">
        <v>1.21E-2</v>
      </c>
    </row>
    <row r="233" spans="2:5">
      <c r="B233" s="20" t="str">
        <f>"TAMAULIPAS"</f>
        <v>TAMAULIPAS</v>
      </c>
      <c r="C233" s="1" t="str">
        <f>"MATAMOROS"</f>
        <v>MATAMOROS</v>
      </c>
      <c r="D233" s="2">
        <v>2</v>
      </c>
      <c r="E233" s="27">
        <v>2.7000000000000001E-3</v>
      </c>
    </row>
    <row r="234" spans="2:5">
      <c r="B234" s="21"/>
      <c r="C234" s="1" t="str">
        <f>"REYNOSA"</f>
        <v>REYNOSA</v>
      </c>
      <c r="D234" s="2">
        <v>2</v>
      </c>
      <c r="E234" s="27">
        <v>2.7000000000000001E-3</v>
      </c>
    </row>
    <row r="235" spans="2:5">
      <c r="B235" s="22"/>
      <c r="C235" s="28" t="str">
        <f>"Total"</f>
        <v>Total</v>
      </c>
      <c r="D235" s="29">
        <v>4</v>
      </c>
      <c r="E235" s="30">
        <v>5.4000000000000003E-3</v>
      </c>
    </row>
    <row r="236" spans="2:5">
      <c r="B236" s="20" t="str">
        <f t="shared" ref="B236:B254" si="16">"TLAXCALA"</f>
        <v>TLAXCALA</v>
      </c>
      <c r="C236" s="1" t="str">
        <f>"APIZACO"</f>
        <v>APIZACO</v>
      </c>
      <c r="D236" s="2">
        <v>22</v>
      </c>
      <c r="E236" s="27">
        <v>2.9499999999999998E-2</v>
      </c>
    </row>
    <row r="237" spans="2:5">
      <c r="B237" s="21"/>
      <c r="C237" s="1" t="str">
        <f>"CALPULALPAN"</f>
        <v>CALPULALPAN</v>
      </c>
      <c r="D237" s="2">
        <v>9</v>
      </c>
      <c r="E237" s="27">
        <v>1.21E-2</v>
      </c>
    </row>
    <row r="238" spans="2:5">
      <c r="B238" s="21"/>
      <c r="C238" s="1" t="str">
        <f>"CHIAUTEMPAN"</f>
        <v>CHIAUTEMPAN</v>
      </c>
      <c r="D238" s="2">
        <v>5</v>
      </c>
      <c r="E238" s="27">
        <v>6.7000000000000002E-3</v>
      </c>
    </row>
    <row r="239" spans="2:5">
      <c r="B239" s="21"/>
      <c r="C239" s="1" t="str">
        <f>"EMILIANO ZAPATA"</f>
        <v>EMILIANO ZAPATA</v>
      </c>
      <c r="D239" s="2">
        <v>1</v>
      </c>
      <c r="E239" s="27">
        <v>1.2999999999999999E-3</v>
      </c>
    </row>
    <row r="240" spans="2:5">
      <c r="B240" s="21"/>
      <c r="C240" s="1" t="str">
        <f>"ESPAÑITA"</f>
        <v>ESPAÑITA</v>
      </c>
      <c r="D240" s="2">
        <v>2</v>
      </c>
      <c r="E240" s="27">
        <v>2.7000000000000001E-3</v>
      </c>
    </row>
    <row r="241" spans="2:5">
      <c r="B241" s="21"/>
      <c r="C241" s="1" t="str">
        <f>"HUAMANTLA"</f>
        <v>HUAMANTLA</v>
      </c>
      <c r="D241" s="2">
        <v>2</v>
      </c>
      <c r="E241" s="27">
        <v>2.7000000000000001E-3</v>
      </c>
    </row>
    <row r="242" spans="2:5">
      <c r="B242" s="21"/>
      <c r="C242" s="1" t="str">
        <f>"HUEYOTLIPAN"</f>
        <v>HUEYOTLIPAN</v>
      </c>
      <c r="D242" s="2">
        <v>109</v>
      </c>
      <c r="E242" s="27">
        <v>0.14630000000000001</v>
      </c>
    </row>
    <row r="243" spans="2:5" ht="45">
      <c r="B243" s="21"/>
      <c r="C243" s="1" t="str">
        <f>"IXTACUIXTLA DE MARIANO MATAMOROS"</f>
        <v>IXTACUIXTLA DE MARIANO MATAMOROS</v>
      </c>
      <c r="D243" s="2">
        <v>2</v>
      </c>
      <c r="E243" s="27">
        <v>2.7000000000000001E-3</v>
      </c>
    </row>
    <row r="244" spans="2:5" ht="30">
      <c r="B244" s="21"/>
      <c r="C244" s="1" t="str">
        <f>"LAZARO CARDENAS"</f>
        <v>LAZARO CARDENAS</v>
      </c>
      <c r="D244" s="2">
        <v>1</v>
      </c>
      <c r="E244" s="27">
        <v>1.2999999999999999E-3</v>
      </c>
    </row>
    <row r="245" spans="2:5" ht="45">
      <c r="B245" s="21"/>
      <c r="C245" s="1" t="str">
        <f>"MUÑOZ DE DOMINGO ARENAS"</f>
        <v>MUÑOZ DE DOMINGO ARENAS</v>
      </c>
      <c r="D245" s="2">
        <v>4</v>
      </c>
      <c r="E245" s="27">
        <v>5.4000000000000003E-3</v>
      </c>
    </row>
    <row r="246" spans="2:5">
      <c r="B246" s="21"/>
      <c r="C246" s="1" t="str">
        <f>"PANOTLA"</f>
        <v>PANOTLA</v>
      </c>
      <c r="D246" s="2">
        <v>1</v>
      </c>
      <c r="E246" s="27">
        <v>1.2999999999999999E-3</v>
      </c>
    </row>
    <row r="247" spans="2:5" ht="45">
      <c r="B247" s="21"/>
      <c r="C247" s="1" t="str">
        <f>"SANCTORUM DE LAZARO CARDENAS"</f>
        <v>SANCTORUM DE LAZARO CARDENAS</v>
      </c>
      <c r="D247" s="2">
        <v>1</v>
      </c>
      <c r="E247" s="27">
        <v>1.2999999999999999E-3</v>
      </c>
    </row>
    <row r="248" spans="2:5" ht="30">
      <c r="B248" s="21"/>
      <c r="C248" s="1" t="str">
        <f>"TEPETITLA DE LARDIZABAL"</f>
        <v>TEPETITLA DE LARDIZABAL</v>
      </c>
      <c r="D248" s="2">
        <v>1</v>
      </c>
      <c r="E248" s="27">
        <v>1.2999999999999999E-3</v>
      </c>
    </row>
    <row r="249" spans="2:5">
      <c r="B249" s="21"/>
      <c r="C249" s="1" t="str">
        <f>"TLAXCALA"</f>
        <v>TLAXCALA</v>
      </c>
      <c r="D249" s="2">
        <v>34</v>
      </c>
      <c r="E249" s="27">
        <v>4.5600000000000002E-2</v>
      </c>
    </row>
    <row r="250" spans="2:5">
      <c r="B250" s="21"/>
      <c r="C250" s="1" t="str">
        <f>"TLAXCO"</f>
        <v>TLAXCO</v>
      </c>
      <c r="D250" s="2">
        <v>3</v>
      </c>
      <c r="E250" s="27">
        <v>4.0000000000000001E-3</v>
      </c>
    </row>
    <row r="251" spans="2:5">
      <c r="B251" s="21"/>
      <c r="C251" s="1" t="str">
        <f>"XALOZTOC"</f>
        <v>XALOZTOC</v>
      </c>
      <c r="D251" s="2">
        <v>1</v>
      </c>
      <c r="E251" s="27">
        <v>1.2999999999999999E-3</v>
      </c>
    </row>
    <row r="252" spans="2:5">
      <c r="B252" s="21"/>
      <c r="C252" s="1" t="str">
        <f>"XALTOCAN"</f>
        <v>XALTOCAN</v>
      </c>
      <c r="D252" s="2">
        <v>20</v>
      </c>
      <c r="E252" s="27">
        <v>2.6800000000000001E-2</v>
      </c>
    </row>
    <row r="253" spans="2:5">
      <c r="B253" s="21"/>
      <c r="C253" s="1" t="str">
        <f>"ZACATELCO"</f>
        <v>ZACATELCO</v>
      </c>
      <c r="D253" s="2">
        <v>1</v>
      </c>
      <c r="E253" s="27">
        <v>1.2999999999999999E-3</v>
      </c>
    </row>
    <row r="254" spans="2:5">
      <c r="B254" s="22"/>
      <c r="C254" s="28" t="str">
        <f>"Total"</f>
        <v>Total</v>
      </c>
      <c r="D254" s="29">
        <v>219</v>
      </c>
      <c r="E254" s="30">
        <v>0.29399999999999998</v>
      </c>
    </row>
    <row r="255" spans="2:5">
      <c r="B255" s="20" t="str">
        <f t="shared" ref="B255:B266" si="17">"VERACRUZ DE IGNACIO DE LA LLAVE"</f>
        <v>VERACRUZ DE IGNACIO DE LA LLAVE</v>
      </c>
      <c r="C255" s="1" t="str">
        <f>"ALVARADO"</f>
        <v>ALVARADO</v>
      </c>
      <c r="D255" s="2">
        <v>1</v>
      </c>
      <c r="E255" s="27">
        <v>1.2999999999999999E-3</v>
      </c>
    </row>
    <row r="256" spans="2:5">
      <c r="B256" s="21"/>
      <c r="C256" s="1" t="str">
        <f>"ATZALAN"</f>
        <v>ATZALAN</v>
      </c>
      <c r="D256" s="2">
        <v>1</v>
      </c>
      <c r="E256" s="27">
        <v>1.2999999999999999E-3</v>
      </c>
    </row>
    <row r="257" spans="2:5">
      <c r="B257" s="21"/>
      <c r="C257" s="1" t="str">
        <f>"CALCAHUALCO"</f>
        <v>CALCAHUALCO</v>
      </c>
      <c r="D257" s="2">
        <v>1</v>
      </c>
      <c r="E257" s="27">
        <v>1.2999999999999999E-3</v>
      </c>
    </row>
    <row r="258" spans="2:5">
      <c r="B258" s="21"/>
      <c r="C258" s="1" t="str">
        <f>"COMAPA"</f>
        <v>COMAPA</v>
      </c>
      <c r="D258" s="2">
        <v>1</v>
      </c>
      <c r="E258" s="27">
        <v>1.2999999999999999E-3</v>
      </c>
    </row>
    <row r="259" spans="2:5">
      <c r="B259" s="21"/>
      <c r="C259" s="1" t="str">
        <f>"CORDOBA"</f>
        <v>CORDOBA</v>
      </c>
      <c r="D259" s="2">
        <v>1</v>
      </c>
      <c r="E259" s="27">
        <v>1.2999999999999999E-3</v>
      </c>
    </row>
    <row r="260" spans="2:5">
      <c r="B260" s="21"/>
      <c r="C260" s="1" t="str">
        <f>"COSCOMATEPEC"</f>
        <v>COSCOMATEPEC</v>
      </c>
      <c r="D260" s="2">
        <v>3</v>
      </c>
      <c r="E260" s="27">
        <v>4.0000000000000001E-3</v>
      </c>
    </row>
    <row r="261" spans="2:5">
      <c r="B261" s="21"/>
      <c r="C261" s="1" t="str">
        <f>"HUATUSCO"</f>
        <v>HUATUSCO</v>
      </c>
      <c r="D261" s="2">
        <v>1</v>
      </c>
      <c r="E261" s="27">
        <v>1.2999999999999999E-3</v>
      </c>
    </row>
    <row r="262" spans="2:5">
      <c r="B262" s="21"/>
      <c r="C262" s="1" t="str">
        <f>"PANUCO"</f>
        <v>PANUCO</v>
      </c>
      <c r="D262" s="2">
        <v>1</v>
      </c>
      <c r="E262" s="27">
        <v>1.2999999999999999E-3</v>
      </c>
    </row>
    <row r="263" spans="2:5">
      <c r="B263" s="21"/>
      <c r="C263" s="1" t="str">
        <f>"PASO DE OVEJAS"</f>
        <v>PASO DE OVEJAS</v>
      </c>
      <c r="D263" s="2">
        <v>1</v>
      </c>
      <c r="E263" s="27">
        <v>1.2999999999999999E-3</v>
      </c>
    </row>
    <row r="264" spans="2:5">
      <c r="B264" s="21"/>
      <c r="C264" s="1" t="str">
        <f>"TIHUATLAN"</f>
        <v>TIHUATLAN</v>
      </c>
      <c r="D264" s="2">
        <v>2</v>
      </c>
      <c r="E264" s="27">
        <v>2.7000000000000001E-3</v>
      </c>
    </row>
    <row r="265" spans="2:5">
      <c r="B265" s="21"/>
      <c r="C265" s="1" t="str">
        <f>"XALAPA"</f>
        <v>XALAPA</v>
      </c>
      <c r="D265" s="2">
        <v>4</v>
      </c>
      <c r="E265" s="27">
        <v>5.4000000000000003E-3</v>
      </c>
    </row>
    <row r="266" spans="2:5">
      <c r="B266" s="22"/>
      <c r="C266" s="28" t="str">
        <f>"Total"</f>
        <v>Total</v>
      </c>
      <c r="D266" s="29">
        <v>17</v>
      </c>
      <c r="E266" s="30">
        <v>2.2800000000000001E-2</v>
      </c>
    </row>
    <row r="267" spans="2:5">
      <c r="B267" s="20" t="str">
        <f>"YUCATAN"</f>
        <v>YUCATAN</v>
      </c>
      <c r="C267" s="1" t="str">
        <f>"BUCTZOTZ"</f>
        <v>BUCTZOTZ</v>
      </c>
      <c r="D267" s="2">
        <v>1</v>
      </c>
      <c r="E267" s="27">
        <v>1.2999999999999999E-3</v>
      </c>
    </row>
    <row r="268" spans="2:5">
      <c r="B268" s="22"/>
      <c r="C268" s="28" t="str">
        <f>"Total"</f>
        <v>Total</v>
      </c>
      <c r="D268" s="29">
        <v>1</v>
      </c>
      <c r="E268" s="30">
        <v>1.2999999999999999E-3</v>
      </c>
    </row>
    <row r="269" spans="2:5" ht="30">
      <c r="B269" s="20" t="str">
        <f t="shared" ref="B269:B279" si="18">"ZACATECAS"</f>
        <v>ZACATECAS</v>
      </c>
      <c r="C269" s="1" t="str">
        <f>"CONCEPCION DEL ORO"</f>
        <v>CONCEPCION DEL ORO</v>
      </c>
      <c r="D269" s="2">
        <v>1</v>
      </c>
      <c r="E269" s="27">
        <v>1.2999999999999999E-3</v>
      </c>
    </row>
    <row r="270" spans="2:5">
      <c r="B270" s="21"/>
      <c r="C270" s="1" t="str">
        <f>"CUAUHTEMOC"</f>
        <v>CUAUHTEMOC</v>
      </c>
      <c r="D270" s="2">
        <v>1</v>
      </c>
      <c r="E270" s="27">
        <v>1.2999999999999999E-3</v>
      </c>
    </row>
    <row r="271" spans="2:5">
      <c r="B271" s="21"/>
      <c r="C271" s="1" t="str">
        <f>"FRESNILLO"</f>
        <v>FRESNILLO</v>
      </c>
      <c r="D271" s="2">
        <v>6</v>
      </c>
      <c r="E271" s="27">
        <v>8.0999999999999996E-3</v>
      </c>
    </row>
    <row r="272" spans="2:5">
      <c r="B272" s="21"/>
      <c r="C272" s="1" t="str">
        <f>"GENARO CODINA"</f>
        <v>GENARO CODINA</v>
      </c>
      <c r="D272" s="2">
        <v>2</v>
      </c>
      <c r="E272" s="27">
        <v>2.7000000000000001E-3</v>
      </c>
    </row>
    <row r="273" spans="2:5" ht="30">
      <c r="B273" s="21"/>
      <c r="C273" s="1" t="str">
        <f>"NOCHISTLAN DE MEJIA"</f>
        <v>NOCHISTLAN DE MEJIA</v>
      </c>
      <c r="D273" s="2">
        <v>1</v>
      </c>
      <c r="E273" s="27">
        <v>1.2999999999999999E-3</v>
      </c>
    </row>
    <row r="274" spans="2:5" ht="30">
      <c r="B274" s="21"/>
      <c r="C274" s="1" t="str">
        <f>"TLALTENANGO DE SANCHEZ ROMAN"</f>
        <v>TLALTENANGO DE SANCHEZ ROMAN</v>
      </c>
      <c r="D274" s="2">
        <v>4</v>
      </c>
      <c r="E274" s="27">
        <v>5.4000000000000003E-3</v>
      </c>
    </row>
    <row r="275" spans="2:5">
      <c r="B275" s="21"/>
      <c r="C275" s="1" t="str">
        <f>"VALPARAISO"</f>
        <v>VALPARAISO</v>
      </c>
      <c r="D275" s="2">
        <v>4</v>
      </c>
      <c r="E275" s="27">
        <v>5.4000000000000003E-3</v>
      </c>
    </row>
    <row r="276" spans="2:5">
      <c r="B276" s="21"/>
      <c r="C276" s="1" t="str">
        <f>"VILLA DE COS"</f>
        <v>VILLA DE COS</v>
      </c>
      <c r="D276" s="2">
        <v>1</v>
      </c>
      <c r="E276" s="27">
        <v>1.2999999999999999E-3</v>
      </c>
    </row>
    <row r="277" spans="2:5">
      <c r="B277" s="21"/>
      <c r="C277" s="1" t="str">
        <f>"VILLANUEVA"</f>
        <v>VILLANUEVA</v>
      </c>
      <c r="D277" s="2">
        <v>2</v>
      </c>
      <c r="E277" s="27">
        <v>2.7000000000000001E-3</v>
      </c>
    </row>
    <row r="278" spans="2:5">
      <c r="B278" s="21"/>
      <c r="C278" s="1" t="str">
        <f>"ZACATECAS"</f>
        <v>ZACATECAS</v>
      </c>
      <c r="D278" s="2">
        <v>1</v>
      </c>
      <c r="E278" s="27">
        <v>1.2999999999999999E-3</v>
      </c>
    </row>
    <row r="279" spans="2:5">
      <c r="B279" s="22"/>
      <c r="C279" s="28" t="str">
        <f>"Total"</f>
        <v>Total</v>
      </c>
      <c r="D279" s="29">
        <v>23</v>
      </c>
      <c r="E279" s="30">
        <v>3.09E-2</v>
      </c>
    </row>
    <row r="280" spans="2:5">
      <c r="B280" s="23" t="s">
        <v>1</v>
      </c>
      <c r="C280" s="24" t="str">
        <f>" "</f>
        <v> </v>
      </c>
      <c r="D280" s="25">
        <v>745</v>
      </c>
      <c r="E280" s="26">
        <v>1</v>
      </c>
    </row>
    <row r="282" spans="2:5" ht="16.5">
      <c r="B282" s="3" t="s">
        <v>2</v>
      </c>
      <c r="C282" s="4"/>
    </row>
    <row r="283" spans="2:5" ht="16.5">
      <c r="B283" s="3" t="s">
        <v>3</v>
      </c>
      <c r="C283" s="4"/>
    </row>
    <row r="284" spans="2:5" ht="16.5">
      <c r="B284" s="3" t="s">
        <v>4</v>
      </c>
      <c r="C284" s="4"/>
    </row>
    <row r="285" spans="2:5" ht="16.5">
      <c r="B285" s="3" t="s">
        <v>5</v>
      </c>
      <c r="C285" s="4"/>
    </row>
    <row r="286" spans="2:5">
      <c r="B286" s="3" t="s">
        <v>6</v>
      </c>
    </row>
  </sheetData>
  <mergeCells count="33">
    <mergeCell ref="B267:B268"/>
    <mergeCell ref="B269:B279"/>
    <mergeCell ref="B218:B226"/>
    <mergeCell ref="B227:B232"/>
    <mergeCell ref="B233:B235"/>
    <mergeCell ref="B236:B254"/>
    <mergeCell ref="B255:B266"/>
    <mergeCell ref="B175:B176"/>
    <mergeCell ref="B177:B190"/>
    <mergeCell ref="B191:B208"/>
    <mergeCell ref="B209:B211"/>
    <mergeCell ref="B212:B217"/>
    <mergeCell ref="B113:B133"/>
    <mergeCell ref="B134:B150"/>
    <mergeCell ref="B151:B164"/>
    <mergeCell ref="B165:B170"/>
    <mergeCell ref="B171:B174"/>
    <mergeCell ref="B52:B61"/>
    <mergeCell ref="B62:B73"/>
    <mergeCell ref="B74:B90"/>
    <mergeCell ref="B91:B101"/>
    <mergeCell ref="B102:B112"/>
    <mergeCell ref="B14:B16"/>
    <mergeCell ref="B17:B20"/>
    <mergeCell ref="B21:B42"/>
    <mergeCell ref="B43:B48"/>
    <mergeCell ref="B49:B51"/>
    <mergeCell ref="B6:E7"/>
    <mergeCell ref="B8:B9"/>
    <mergeCell ref="C8:C9"/>
    <mergeCell ref="D8:D9"/>
    <mergeCell ref="E8:E9"/>
    <mergeCell ref="B10:B13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easCA97RQJ0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2012-03-13T21:51:42Z</dcterms:created>
  <dcterms:modified xsi:type="dcterms:W3CDTF">2012-03-16T19:09:19Z</dcterms:modified>
</cp:coreProperties>
</file>