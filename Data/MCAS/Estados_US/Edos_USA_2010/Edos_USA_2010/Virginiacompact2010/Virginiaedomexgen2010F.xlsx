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AOI3NH" sheetId="2" r:id="rId1"/>
  </sheets>
  <calcPr calcId="125725"/>
</workbook>
</file>

<file path=xl/calcChain.xml><?xml version="1.0" encoding="utf-8"?>
<calcChain xmlns="http://schemas.openxmlformats.org/spreadsheetml/2006/main">
  <c r="B37" i="2"/>
  <c r="C103"/>
  <c r="C102"/>
  <c r="C101"/>
  <c r="C100"/>
  <c r="B100"/>
  <c r="C99"/>
  <c r="C98"/>
  <c r="C97"/>
  <c r="B97"/>
  <c r="C96"/>
  <c r="C95"/>
  <c r="C94"/>
  <c r="B94"/>
  <c r="C93"/>
  <c r="C92"/>
  <c r="C91"/>
  <c r="B91"/>
  <c r="C90"/>
  <c r="C89"/>
  <c r="C88"/>
  <c r="B88"/>
  <c r="C87"/>
  <c r="C86"/>
  <c r="C85"/>
  <c r="B85"/>
  <c r="C84"/>
  <c r="C83"/>
  <c r="C82"/>
  <c r="B82"/>
  <c r="C81"/>
  <c r="C80"/>
  <c r="C79"/>
  <c r="B79"/>
  <c r="C78"/>
  <c r="C77"/>
  <c r="C76"/>
  <c r="B76"/>
  <c r="C75"/>
  <c r="C74"/>
  <c r="C73"/>
  <c r="B73"/>
  <c r="C72"/>
  <c r="C71"/>
  <c r="C70"/>
  <c r="B70"/>
  <c r="C69"/>
  <c r="C68"/>
  <c r="C67"/>
  <c r="B67"/>
  <c r="C66"/>
  <c r="C65"/>
  <c r="C64"/>
  <c r="B64"/>
  <c r="C63"/>
  <c r="C62"/>
  <c r="C61"/>
  <c r="B61"/>
  <c r="C60"/>
  <c r="C59"/>
  <c r="C58"/>
  <c r="B58"/>
  <c r="C57"/>
  <c r="C56"/>
  <c r="C55"/>
  <c r="B55"/>
  <c r="C54"/>
  <c r="C53"/>
  <c r="C52"/>
  <c r="B52"/>
  <c r="C51"/>
  <c r="C50"/>
  <c r="C49"/>
  <c r="B49"/>
  <c r="C48"/>
  <c r="C47"/>
  <c r="C46"/>
  <c r="B46"/>
  <c r="C45"/>
  <c r="C44"/>
  <c r="C43"/>
  <c r="B43"/>
  <c r="C42"/>
  <c r="C41"/>
  <c r="C40"/>
  <c r="B40"/>
  <c r="C39"/>
  <c r="C38"/>
  <c r="C37"/>
  <c r="C36"/>
  <c r="C35"/>
  <c r="C34"/>
  <c r="B34"/>
  <c r="C33"/>
  <c r="C32"/>
  <c r="C31"/>
  <c r="B31"/>
  <c r="C30"/>
  <c r="C29"/>
  <c r="C28"/>
  <c r="B28"/>
  <c r="C27"/>
  <c r="C26"/>
  <c r="C25"/>
  <c r="B25"/>
  <c r="C24"/>
  <c r="C23"/>
  <c r="C22"/>
  <c r="B22"/>
  <c r="C21"/>
  <c r="C20"/>
  <c r="C19"/>
  <c r="B19"/>
  <c r="C18"/>
  <c r="C17"/>
  <c r="C16"/>
  <c r="B16"/>
  <c r="C15"/>
  <c r="C14"/>
  <c r="B14"/>
  <c r="C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<sst xmlns="http://schemas.openxmlformats.org/spreadsheetml/2006/main" count="11" uniqueCount="11">
  <si>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</si>
  <si>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</si>
  <si>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</si>
  <si>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</si>
  <si>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</si>
  <si>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</si>
  <si>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</si>
  <si>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</si>
  <si>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</si>
  <si>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VIRGINIA,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</si>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</sst>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9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3" borderId="11" xfId="42" applyFont="1" applyFill="1" applyBorder="1" applyAlignment="1">
      <alignment horizontal="center" vertical="center" wrapText="1"/>
    </xf>
    <xf numFmtId="0" fontId="27" fillId="34" borderId="12" xfId="42" applyFont="1" applyFill="1" applyBorder="1" applyAlignment="1">
      <alignment horizontal="center" vertical="center" wrapText="1"/>
    </xf>
    <xf numFmtId="0" fontId="27" fillId="34" borderId="13" xfId="42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horizontal="right" wrapText="1"/>
    </xf>
    <xf numFmtId="10" fontId="18" fillId="35" borderId="10" xfId="0" applyNumberFormat="1" applyFont="1" applyFill="1" applyBorder="1" applyAlignment="1">
      <alignment horizontal="right" wrapText="1"/>
    </xf>
    <xf numFmtId="0" fontId="0" fillId="36" borderId="0" xfId="0" applyFill="1"/>
    <xf numFmtId="0" fontId="18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3" fillId="37" borderId="10" xfId="0" applyFont="1" applyFill="1" applyBorder="1" applyAlignment="1">
      <alignment wrapText="1"/>
    </xf>
    <xf numFmtId="0" fontId="17" fillId="37" borderId="10" xfId="0" applyFont="1" applyFill="1" applyBorder="1" applyAlignment="1">
      <alignment horizontal="right" wrapText="1"/>
    </xf>
    <xf numFmtId="3" fontId="13" fillId="37" borderId="10" xfId="0" applyNumberFormat="1" applyFont="1" applyFill="1" applyBorder="1" applyAlignment="1">
      <alignment horizontal="right" wrapText="1"/>
    </xf>
    <xf numFmtId="10" fontId="13" fillId="37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5322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109"/>
  <sheetViews>
    <sheetView showGridLines="0" tabSelected="1" zoomScaleNormal="100" workbookViewId="0">
      <selection activeCell="A7" sqref="A7"/>
    </sheetView>
  </sheetViews>
  <sheetFormatPr baseColWidth="10" defaultRowHeight="15"/>
  <cols>
    <col min="2" max="2" width="40.28515625" customWidth="1"/>
    <col min="3" max="3" width="20.140625" customWidth="1"/>
    <col min="4" max="5" width="16.140625" bestFit="1" customWidth="1"/>
  </cols>
  <sheetData>
    <row r="1" spans="2:7">
      <c r="B1" s="7"/>
      <c r="C1" s="7"/>
      <c r="D1" s="7"/>
      <c r="E1" s="7"/>
      <c r="F1" s="7"/>
      <c r="G1" s="7"/>
    </row>
    <row r="4" spans="2:7" ht="24" customHeight="1">
      <c r="B4" s="27" t="s">
        <v>9</v>
      </c>
      <c r="C4" s="27"/>
      <c r="D4" s="27"/>
      <c r="E4" s="27"/>
      <c r="F4" s="8"/>
      <c r="G4" s="7"/>
    </row>
    <row r="5" spans="2:7" ht="24" customHeight="1">
      <c r="B5" s="28"/>
      <c r="C5" s="28"/>
      <c r="D5" s="28"/>
      <c r="E5" s="28"/>
      <c r="F5" s="7"/>
      <c r="G5" s="7"/>
    </row>
    <row r="6" spans="2:7" ht="16.5">
      <c r="B6" s="9"/>
      <c r="C6" s="9"/>
      <c r="D6" s="9"/>
      <c r="E6" s="9"/>
      <c r="F6" s="7"/>
      <c r="G6" s="7"/>
    </row>
    <row r="7" spans="2:7" ht="33">
      <c r="B7" s="10" t="s">
        <v>7</v>
      </c>
      <c r="C7" s="11" t="s">
        <v>0</v>
      </c>
      <c r="D7" s="11" t="s">
        <v>1</v>
      </c>
      <c r="E7" s="12" t="s">
        <v>8</v>
      </c>
      <c r="F7" s="7"/>
      <c r="G7" s="7"/>
    </row>
    <row r="8" spans="2:7">
      <c r="B8" s="24" t="str">
        <f>"AGUASCALIENTES"</f>
        <v>AGUASCALIENTES</v>
      </c>
      <c r="C8" s="1" t="str">
        <f>"HOMBRE"</f>
        <v>HOMBRE</v>
      </c>
      <c r="D8" s="2">
        <v>21</v>
      </c>
      <c r="E8" s="3">
        <v>4.7000000000000002E-3</v>
      </c>
    </row>
    <row r="9" spans="2:7">
      <c r="B9" s="25"/>
      <c r="C9" s="1" t="str">
        <f>"MUJER"</f>
        <v>MUJER</v>
      </c>
      <c r="D9" s="2">
        <v>7</v>
      </c>
      <c r="E9" s="3">
        <v>1.6000000000000001E-3</v>
      </c>
    </row>
    <row r="10" spans="2:7">
      <c r="B10" s="26"/>
      <c r="C10" s="13" t="str">
        <f>"Total"</f>
        <v>Total</v>
      </c>
      <c r="D10" s="14">
        <v>28</v>
      </c>
      <c r="E10" s="15">
        <v>6.1999999999999998E-3</v>
      </c>
    </row>
    <row r="11" spans="2:7">
      <c r="B11" s="24" t="str">
        <f>"BAJA CALIFORNIA"</f>
        <v>BAJA CALIFORNIA</v>
      </c>
      <c r="C11" s="1" t="str">
        <f>"HOMBRE"</f>
        <v>HOMBRE</v>
      </c>
      <c r="D11" s="2">
        <v>7</v>
      </c>
      <c r="E11" s="3">
        <v>1.6000000000000001E-3</v>
      </c>
    </row>
    <row r="12" spans="2:7">
      <c r="B12" s="25"/>
      <c r="C12" s="1" t="str">
        <f>"MUJER"</f>
        <v>MUJER</v>
      </c>
      <c r="D12" s="2">
        <v>7</v>
      </c>
      <c r="E12" s="3">
        <v>1.6000000000000001E-3</v>
      </c>
    </row>
    <row r="13" spans="2:7">
      <c r="B13" s="26"/>
      <c r="C13" s="13" t="str">
        <f>"Total"</f>
        <v>Total</v>
      </c>
      <c r="D13" s="14">
        <v>14</v>
      </c>
      <c r="E13" s="15">
        <v>3.0999999999999999E-3</v>
      </c>
    </row>
    <row r="14" spans="2:7">
      <c r="B14" s="24" t="str">
        <f>"BAJA CALIFORNIA SUR"</f>
        <v>BAJA CALIFORNIA SUR</v>
      </c>
      <c r="C14" s="1" t="str">
        <f>"MUJER"</f>
        <v>MUJER</v>
      </c>
      <c r="D14" s="2">
        <v>1</v>
      </c>
      <c r="E14" s="3">
        <v>2.0000000000000001E-4</v>
      </c>
    </row>
    <row r="15" spans="2:7">
      <c r="B15" s="26"/>
      <c r="C15" s="13" t="str">
        <f>"Total"</f>
        <v>Total</v>
      </c>
      <c r="D15" s="14">
        <v>1</v>
      </c>
      <c r="E15" s="15">
        <v>2.0000000000000001E-4</v>
      </c>
    </row>
    <row r="16" spans="2:7">
      <c r="B16" s="24" t="str">
        <f>"CAMPECHE"</f>
        <v>CAMPECHE</v>
      </c>
      <c r="C16" s="1" t="str">
        <f>"HOMBRE"</f>
        <v>HOMBRE</v>
      </c>
      <c r="D16" s="2">
        <v>15</v>
      </c>
      <c r="E16" s="3">
        <v>3.3E-3</v>
      </c>
    </row>
    <row r="17" spans="2:5">
      <c r="B17" s="25"/>
      <c r="C17" s="1" t="str">
        <f>"MUJER"</f>
        <v>MUJER</v>
      </c>
      <c r="D17" s="2">
        <v>7</v>
      </c>
      <c r="E17" s="3">
        <v>1.6000000000000001E-3</v>
      </c>
    </row>
    <row r="18" spans="2:5">
      <c r="B18" s="26"/>
      <c r="C18" s="13" t="str">
        <f>"Total"</f>
        <v>Total</v>
      </c>
      <c r="D18" s="14">
        <v>22</v>
      </c>
      <c r="E18" s="15">
        <v>4.8999999999999998E-3</v>
      </c>
    </row>
    <row r="19" spans="2:5">
      <c r="B19" s="24" t="str">
        <f>"CHIAPAS"</f>
        <v>CHIAPAS</v>
      </c>
      <c r="C19" s="1" t="str">
        <f>"HOMBRE"</f>
        <v>HOMBRE</v>
      </c>
      <c r="D19" s="2">
        <v>139</v>
      </c>
      <c r="E19" s="3">
        <v>3.09E-2</v>
      </c>
    </row>
    <row r="20" spans="2:5">
      <c r="B20" s="25"/>
      <c r="C20" s="1" t="str">
        <f>"MUJER"</f>
        <v>MUJER</v>
      </c>
      <c r="D20" s="2">
        <v>71</v>
      </c>
      <c r="E20" s="3">
        <v>1.5800000000000002E-2</v>
      </c>
    </row>
    <row r="21" spans="2:5">
      <c r="B21" s="26"/>
      <c r="C21" s="13" t="str">
        <f>"Total"</f>
        <v>Total</v>
      </c>
      <c r="D21" s="14">
        <v>210</v>
      </c>
      <c r="E21" s="15">
        <v>4.6699999999999998E-2</v>
      </c>
    </row>
    <row r="22" spans="2:5">
      <c r="B22" s="24" t="str">
        <f>"CHIHUAHUA"</f>
        <v>CHIHUAHUA</v>
      </c>
      <c r="C22" s="1" t="str">
        <f>"HOMBRE"</f>
        <v>HOMBRE</v>
      </c>
      <c r="D22" s="2">
        <v>15</v>
      </c>
      <c r="E22" s="3">
        <v>3.3E-3</v>
      </c>
    </row>
    <row r="23" spans="2:5">
      <c r="B23" s="25"/>
      <c r="C23" s="1" t="str">
        <f>"MUJER"</f>
        <v>MUJER</v>
      </c>
      <c r="D23" s="2">
        <v>17</v>
      </c>
      <c r="E23" s="3">
        <v>3.8E-3</v>
      </c>
    </row>
    <row r="24" spans="2:5">
      <c r="B24" s="26"/>
      <c r="C24" s="13" t="str">
        <f>"Total"</f>
        <v>Total</v>
      </c>
      <c r="D24" s="14">
        <v>32</v>
      </c>
      <c r="E24" s="15">
        <v>7.1000000000000004E-3</v>
      </c>
    </row>
    <row r="25" spans="2:5">
      <c r="B25" s="24" t="str">
        <f>"COAHUILA DE ZARAGOZA"</f>
        <v>COAHUILA DE ZARAGOZA</v>
      </c>
      <c r="C25" s="1" t="str">
        <f>"HOMBRE"</f>
        <v>HOMBRE</v>
      </c>
      <c r="D25" s="2">
        <v>23</v>
      </c>
      <c r="E25" s="3">
        <v>5.1000000000000004E-3</v>
      </c>
    </row>
    <row r="26" spans="2:5">
      <c r="B26" s="25"/>
      <c r="C26" s="1" t="str">
        <f>"MUJER"</f>
        <v>MUJER</v>
      </c>
      <c r="D26" s="2">
        <v>12</v>
      </c>
      <c r="E26" s="3">
        <v>2.7000000000000001E-3</v>
      </c>
    </row>
    <row r="27" spans="2:5">
      <c r="B27" s="26"/>
      <c r="C27" s="13" t="str">
        <f>"Total"</f>
        <v>Total</v>
      </c>
      <c r="D27" s="14">
        <v>35</v>
      </c>
      <c r="E27" s="15">
        <v>7.7999999999999996E-3</v>
      </c>
    </row>
    <row r="28" spans="2:5">
      <c r="B28" s="24" t="str">
        <f>"COLIMA"</f>
        <v>COLIMA</v>
      </c>
      <c r="C28" s="1" t="str">
        <f>"HOMBRE"</f>
        <v>HOMBRE</v>
      </c>
      <c r="D28" s="2">
        <v>4</v>
      </c>
      <c r="E28" s="3">
        <v>8.9999999999999998E-4</v>
      </c>
    </row>
    <row r="29" spans="2:5">
      <c r="B29" s="25"/>
      <c r="C29" s="1" t="str">
        <f>"MUJER"</f>
        <v>MUJER</v>
      </c>
      <c r="D29" s="2">
        <v>2</v>
      </c>
      <c r="E29" s="3">
        <v>4.0000000000000002E-4</v>
      </c>
    </row>
    <row r="30" spans="2:5">
      <c r="B30" s="26"/>
      <c r="C30" s="13" t="str">
        <f>"Total"</f>
        <v>Total</v>
      </c>
      <c r="D30" s="14">
        <v>6</v>
      </c>
      <c r="E30" s="15">
        <v>1.2999999999999999E-3</v>
      </c>
    </row>
    <row r="31" spans="2:5">
      <c r="B31" s="24" t="str">
        <f>"DISTRITO FEDERAL"</f>
        <v>DISTRITO FEDERAL</v>
      </c>
      <c r="C31" s="1" t="str">
        <f>"HOMBRE"</f>
        <v>HOMBRE</v>
      </c>
      <c r="D31" s="2">
        <v>150</v>
      </c>
      <c r="E31" s="3">
        <v>3.3300000000000003E-2</v>
      </c>
    </row>
    <row r="32" spans="2:5">
      <c r="B32" s="25"/>
      <c r="C32" s="1" t="str">
        <f>"MUJER"</f>
        <v>MUJER</v>
      </c>
      <c r="D32" s="2">
        <v>90</v>
      </c>
      <c r="E32" s="3">
        <v>0.02</v>
      </c>
    </row>
    <row r="33" spans="2:5">
      <c r="B33" s="26"/>
      <c r="C33" s="13" t="str">
        <f>"Total"</f>
        <v>Total</v>
      </c>
      <c r="D33" s="14">
        <v>240</v>
      </c>
      <c r="E33" s="15">
        <v>5.33E-2</v>
      </c>
    </row>
    <row r="34" spans="2:5">
      <c r="B34" s="24" t="str">
        <f>"DURANGO"</f>
        <v>DURANGO</v>
      </c>
      <c r="C34" s="1" t="str">
        <f>"HOMBRE"</f>
        <v>HOMBRE</v>
      </c>
      <c r="D34" s="2">
        <v>60</v>
      </c>
      <c r="E34" s="3">
        <v>1.3299999999999999E-2</v>
      </c>
    </row>
    <row r="35" spans="2:5">
      <c r="B35" s="25"/>
      <c r="C35" s="1" t="str">
        <f>"MUJER"</f>
        <v>MUJER</v>
      </c>
      <c r="D35" s="2">
        <v>41</v>
      </c>
      <c r="E35" s="3">
        <v>9.1000000000000004E-3</v>
      </c>
    </row>
    <row r="36" spans="2:5">
      <c r="B36" s="26"/>
      <c r="C36" s="13" t="str">
        <f>"Total"</f>
        <v>Total</v>
      </c>
      <c r="D36" s="14">
        <v>101</v>
      </c>
      <c r="E36" s="15">
        <v>2.24E-2</v>
      </c>
    </row>
    <row r="37" spans="2:5">
      <c r="B37" s="24" t="str">
        <f>"GUANAJUATO"</f>
        <v>GUANAJUATO</v>
      </c>
      <c r="C37" s="1" t="str">
        <f>"HOMBRE"</f>
        <v>HOMBRE</v>
      </c>
      <c r="D37" s="2">
        <v>233</v>
      </c>
      <c r="E37" s="3">
        <v>5.1799999999999999E-2</v>
      </c>
    </row>
    <row r="38" spans="2:5">
      <c r="B38" s="25"/>
      <c r="C38" s="1" t="str">
        <f>"MUJER"</f>
        <v>MUJER</v>
      </c>
      <c r="D38" s="2">
        <v>97</v>
      </c>
      <c r="E38" s="3">
        <v>2.1600000000000001E-2</v>
      </c>
    </row>
    <row r="39" spans="2:5">
      <c r="B39" s="26"/>
      <c r="C39" s="13" t="str">
        <f>"Total"</f>
        <v>Total</v>
      </c>
      <c r="D39" s="14">
        <v>330</v>
      </c>
      <c r="E39" s="15">
        <v>7.3300000000000004E-2</v>
      </c>
    </row>
    <row r="40" spans="2:5">
      <c r="B40" s="24" t="str">
        <f>"GUERRERO"</f>
        <v>GUERRERO</v>
      </c>
      <c r="C40" s="1" t="str">
        <f>"HOMBRE"</f>
        <v>HOMBRE</v>
      </c>
      <c r="D40" s="2">
        <v>160</v>
      </c>
      <c r="E40" s="3">
        <v>3.56E-2</v>
      </c>
    </row>
    <row r="41" spans="2:5">
      <c r="B41" s="25"/>
      <c r="C41" s="1" t="str">
        <f>"MUJER"</f>
        <v>MUJER</v>
      </c>
      <c r="D41" s="2">
        <v>105</v>
      </c>
      <c r="E41" s="3">
        <v>2.3300000000000001E-2</v>
      </c>
    </row>
    <row r="42" spans="2:5">
      <c r="B42" s="26"/>
      <c r="C42" s="13" t="str">
        <f>"Total"</f>
        <v>Total</v>
      </c>
      <c r="D42" s="14">
        <v>265</v>
      </c>
      <c r="E42" s="15">
        <v>5.8900000000000001E-2</v>
      </c>
    </row>
    <row r="43" spans="2:5">
      <c r="B43" s="24" t="str">
        <f>"HIDALGO"</f>
        <v>HIDALGO</v>
      </c>
      <c r="C43" s="1" t="str">
        <f>"HOMBRE"</f>
        <v>HOMBRE</v>
      </c>
      <c r="D43" s="2">
        <v>138</v>
      </c>
      <c r="E43" s="3">
        <v>3.0700000000000002E-2</v>
      </c>
    </row>
    <row r="44" spans="2:5">
      <c r="B44" s="25"/>
      <c r="C44" s="1" t="str">
        <f>"MUJER"</f>
        <v>MUJER</v>
      </c>
      <c r="D44" s="2">
        <v>49</v>
      </c>
      <c r="E44" s="3">
        <v>1.09E-2</v>
      </c>
    </row>
    <row r="45" spans="2:5">
      <c r="B45" s="26"/>
      <c r="C45" s="13" t="str">
        <f>"Total"</f>
        <v>Total</v>
      </c>
      <c r="D45" s="14">
        <v>187</v>
      </c>
      <c r="E45" s="15">
        <v>4.1599999999999998E-2</v>
      </c>
    </row>
    <row r="46" spans="2:5">
      <c r="B46" s="24" t="str">
        <f>"JALISCO"</f>
        <v>JALISCO</v>
      </c>
      <c r="C46" s="1" t="str">
        <f>"HOMBRE"</f>
        <v>HOMBRE</v>
      </c>
      <c r="D46" s="2">
        <v>181</v>
      </c>
      <c r="E46" s="3">
        <v>4.02E-2</v>
      </c>
    </row>
    <row r="47" spans="2:5">
      <c r="B47" s="25"/>
      <c r="C47" s="1" t="str">
        <f>"MUJER"</f>
        <v>MUJER</v>
      </c>
      <c r="D47" s="2">
        <v>109</v>
      </c>
      <c r="E47" s="3">
        <v>2.4199999999999999E-2</v>
      </c>
    </row>
    <row r="48" spans="2:5">
      <c r="B48" s="26"/>
      <c r="C48" s="13" t="str">
        <f>"Total"</f>
        <v>Total</v>
      </c>
      <c r="D48" s="14">
        <v>290</v>
      </c>
      <c r="E48" s="15">
        <v>6.4399999999999999E-2</v>
      </c>
    </row>
    <row r="49" spans="2:5">
      <c r="B49" s="24" t="str">
        <f>"MEXICO"</f>
        <v>MEXICO</v>
      </c>
      <c r="C49" s="1" t="str">
        <f>"HOMBRE"</f>
        <v>HOMBRE</v>
      </c>
      <c r="D49" s="2">
        <v>211</v>
      </c>
      <c r="E49" s="3">
        <v>4.6899999999999997E-2</v>
      </c>
    </row>
    <row r="50" spans="2:5">
      <c r="B50" s="25"/>
      <c r="C50" s="1" t="str">
        <f>"MUJER"</f>
        <v>MUJER</v>
      </c>
      <c r="D50" s="2">
        <v>122</v>
      </c>
      <c r="E50" s="3">
        <v>2.7099999999999999E-2</v>
      </c>
    </row>
    <row r="51" spans="2:5">
      <c r="B51" s="26"/>
      <c r="C51" s="13" t="str">
        <f>"Total"</f>
        <v>Total</v>
      </c>
      <c r="D51" s="14">
        <v>333</v>
      </c>
      <c r="E51" s="15">
        <v>7.3999999999999996E-2</v>
      </c>
    </row>
    <row r="52" spans="2:5">
      <c r="B52" s="24" t="str">
        <f>"MICHOACAN DE OCAMPO"</f>
        <v>MICHOACAN DE OCAMPO</v>
      </c>
      <c r="C52" s="1" t="str">
        <f>"HOMBRE"</f>
        <v>HOMBRE</v>
      </c>
      <c r="D52" s="2">
        <v>194</v>
      </c>
      <c r="E52" s="3">
        <v>4.3099999999999999E-2</v>
      </c>
    </row>
    <row r="53" spans="2:5">
      <c r="B53" s="25"/>
      <c r="C53" s="1" t="str">
        <f>"MUJER"</f>
        <v>MUJER</v>
      </c>
      <c r="D53" s="2">
        <v>84</v>
      </c>
      <c r="E53" s="3">
        <v>1.8700000000000001E-2</v>
      </c>
    </row>
    <row r="54" spans="2:5">
      <c r="B54" s="26"/>
      <c r="C54" s="13" t="str">
        <f>"Total"</f>
        <v>Total</v>
      </c>
      <c r="D54" s="14">
        <v>278</v>
      </c>
      <c r="E54" s="15">
        <v>6.1800000000000001E-2</v>
      </c>
    </row>
    <row r="55" spans="2:5">
      <c r="B55" s="24" t="str">
        <f>"MORELOS"</f>
        <v>MORELOS</v>
      </c>
      <c r="C55" s="17" t="str">
        <f>"HOMBRE"</f>
        <v>HOMBRE</v>
      </c>
      <c r="D55" s="18">
        <v>68</v>
      </c>
      <c r="E55" s="19">
        <v>1.5100000000000001E-2</v>
      </c>
    </row>
    <row r="56" spans="2:5">
      <c r="B56" s="25"/>
      <c r="C56" s="1" t="str">
        <f>"MUJER"</f>
        <v>MUJER</v>
      </c>
      <c r="D56" s="2">
        <v>52</v>
      </c>
      <c r="E56" s="3">
        <v>1.1599999999999999E-2</v>
      </c>
    </row>
    <row r="57" spans="2:5">
      <c r="B57" s="26"/>
      <c r="C57" s="13" t="str">
        <f>"Total"</f>
        <v>Total</v>
      </c>
      <c r="D57" s="14">
        <v>120</v>
      </c>
      <c r="E57" s="15">
        <v>2.6700000000000002E-2</v>
      </c>
    </row>
    <row r="58" spans="2:5">
      <c r="B58" s="24" t="str">
        <f>"NAYARIT"</f>
        <v>NAYARIT</v>
      </c>
      <c r="C58" s="1" t="str">
        <f>"HOMBRE"</f>
        <v>HOMBRE</v>
      </c>
      <c r="D58" s="2">
        <v>43</v>
      </c>
      <c r="E58" s="3">
        <v>9.5999999999999992E-3</v>
      </c>
    </row>
    <row r="59" spans="2:5">
      <c r="B59" s="25"/>
      <c r="C59" s="1" t="str">
        <f>"MUJER"</f>
        <v>MUJER</v>
      </c>
      <c r="D59" s="2">
        <v>36</v>
      </c>
      <c r="E59" s="3">
        <v>8.0000000000000002E-3</v>
      </c>
    </row>
    <row r="60" spans="2:5">
      <c r="B60" s="26"/>
      <c r="C60" s="13" t="str">
        <f>"Total"</f>
        <v>Total</v>
      </c>
      <c r="D60" s="14">
        <v>79</v>
      </c>
      <c r="E60" s="15">
        <v>1.7600000000000001E-2</v>
      </c>
    </row>
    <row r="61" spans="2:5">
      <c r="B61" s="24" t="str">
        <f>"NUEVO LEON"</f>
        <v>NUEVO LEON</v>
      </c>
      <c r="C61" s="1" t="str">
        <f>"HOMBRE"</f>
        <v>HOMBRE</v>
      </c>
      <c r="D61" s="2">
        <v>18</v>
      </c>
      <c r="E61" s="3">
        <v>4.0000000000000001E-3</v>
      </c>
    </row>
    <row r="62" spans="2:5">
      <c r="B62" s="25"/>
      <c r="C62" s="1" t="str">
        <f>"MUJER"</f>
        <v>MUJER</v>
      </c>
      <c r="D62" s="2">
        <v>8</v>
      </c>
      <c r="E62" s="3">
        <v>1.8E-3</v>
      </c>
    </row>
    <row r="63" spans="2:5">
      <c r="B63" s="26"/>
      <c r="C63" s="13" t="str">
        <f>"Total"</f>
        <v>Total</v>
      </c>
      <c r="D63" s="14">
        <v>26</v>
      </c>
      <c r="E63" s="15">
        <v>5.7999999999999996E-3</v>
      </c>
    </row>
    <row r="64" spans="2:5">
      <c r="B64" s="24" t="str">
        <f>"OAXACA"</f>
        <v>OAXACA</v>
      </c>
      <c r="C64" s="1" t="str">
        <f>"HOMBRE"</f>
        <v>HOMBRE</v>
      </c>
      <c r="D64" s="2">
        <v>301</v>
      </c>
      <c r="E64" s="3">
        <v>6.6900000000000001E-2</v>
      </c>
    </row>
    <row r="65" spans="2:5">
      <c r="B65" s="25"/>
      <c r="C65" s="1" t="str">
        <f>"MUJER"</f>
        <v>MUJER</v>
      </c>
      <c r="D65" s="2">
        <v>168</v>
      </c>
      <c r="E65" s="3">
        <v>3.73E-2</v>
      </c>
    </row>
    <row r="66" spans="2:5">
      <c r="B66" s="26"/>
      <c r="C66" s="13" t="str">
        <f>"Total"</f>
        <v>Total</v>
      </c>
      <c r="D66" s="14">
        <v>469</v>
      </c>
      <c r="E66" s="15">
        <v>0.1042</v>
      </c>
    </row>
    <row r="67" spans="2:5">
      <c r="B67" s="24" t="str">
        <f>"PUEBLA"</f>
        <v>PUEBLA</v>
      </c>
      <c r="C67" s="1" t="str">
        <f>"HOMBRE"</f>
        <v>HOMBRE</v>
      </c>
      <c r="D67" s="2">
        <v>226</v>
      </c>
      <c r="E67" s="3">
        <v>5.0200000000000002E-2</v>
      </c>
    </row>
    <row r="68" spans="2:5">
      <c r="B68" s="25"/>
      <c r="C68" s="1" t="str">
        <f>"MUJER"</f>
        <v>MUJER</v>
      </c>
      <c r="D68" s="2">
        <v>88</v>
      </c>
      <c r="E68" s="3">
        <v>1.9599999999999999E-2</v>
      </c>
    </row>
    <row r="69" spans="2:5">
      <c r="B69" s="26"/>
      <c r="C69" s="13" t="str">
        <f>"Total"</f>
        <v>Total</v>
      </c>
      <c r="D69" s="14">
        <v>314</v>
      </c>
      <c r="E69" s="15">
        <v>6.9800000000000001E-2</v>
      </c>
    </row>
    <row r="70" spans="2:5">
      <c r="B70" s="24" t="str">
        <f>"QUERETARO DE ARTEAGA"</f>
        <v>QUERETARO DE ARTEAGA</v>
      </c>
      <c r="C70" s="1" t="str">
        <f>"HOMBRE"</f>
        <v>HOMBRE</v>
      </c>
      <c r="D70" s="2">
        <v>82</v>
      </c>
      <c r="E70" s="3">
        <v>1.8200000000000001E-2</v>
      </c>
    </row>
    <row r="71" spans="2:5">
      <c r="B71" s="25"/>
      <c r="C71" s="1" t="str">
        <f>"MUJER"</f>
        <v>MUJER</v>
      </c>
      <c r="D71" s="2">
        <v>22</v>
      </c>
      <c r="E71" s="3">
        <v>4.8999999999999998E-3</v>
      </c>
    </row>
    <row r="72" spans="2:5">
      <c r="B72" s="26"/>
      <c r="C72" s="13" t="str">
        <f>"Total"</f>
        <v>Total</v>
      </c>
      <c r="D72" s="14">
        <v>104</v>
      </c>
      <c r="E72" s="15">
        <v>2.3099999999999999E-2</v>
      </c>
    </row>
    <row r="73" spans="2:5">
      <c r="B73" s="24" t="str">
        <f>"QUINTANA ROO"</f>
        <v>QUINTANA ROO</v>
      </c>
      <c r="C73" s="1" t="str">
        <f>"HOMBRE"</f>
        <v>HOMBRE</v>
      </c>
      <c r="D73" s="2">
        <v>5</v>
      </c>
      <c r="E73" s="3">
        <v>1.1000000000000001E-3</v>
      </c>
    </row>
    <row r="74" spans="2:5">
      <c r="B74" s="25"/>
      <c r="C74" s="1" t="str">
        <f>"MUJER"</f>
        <v>MUJER</v>
      </c>
      <c r="D74" s="2">
        <v>2</v>
      </c>
      <c r="E74" s="3">
        <v>4.0000000000000002E-4</v>
      </c>
    </row>
    <row r="75" spans="2:5">
      <c r="B75" s="26"/>
      <c r="C75" s="13" t="str">
        <f>"Total"</f>
        <v>Total</v>
      </c>
      <c r="D75" s="14">
        <v>7</v>
      </c>
      <c r="E75" s="15">
        <v>1.6000000000000001E-3</v>
      </c>
    </row>
    <row r="76" spans="2:5">
      <c r="B76" s="24" t="str">
        <f>"SAN LUIS POTOSI"</f>
        <v>SAN LUIS POTOSI</v>
      </c>
      <c r="C76" s="1" t="str">
        <f>"HOMBRE"</f>
        <v>HOMBRE</v>
      </c>
      <c r="D76" s="2">
        <v>107</v>
      </c>
      <c r="E76" s="3">
        <v>2.3800000000000002E-2</v>
      </c>
    </row>
    <row r="77" spans="2:5">
      <c r="B77" s="25"/>
      <c r="C77" s="1" t="str">
        <f>"MUJER"</f>
        <v>MUJER</v>
      </c>
      <c r="D77" s="2">
        <v>53</v>
      </c>
      <c r="E77" s="3">
        <v>1.18E-2</v>
      </c>
    </row>
    <row r="78" spans="2:5">
      <c r="B78" s="26"/>
      <c r="C78" s="13" t="str">
        <f>"Total"</f>
        <v>Total</v>
      </c>
      <c r="D78" s="14">
        <v>160</v>
      </c>
      <c r="E78" s="15">
        <v>3.56E-2</v>
      </c>
    </row>
    <row r="79" spans="2:5">
      <c r="B79" s="24" t="str">
        <f>"SINALOA"</f>
        <v>SINALOA</v>
      </c>
      <c r="C79" s="1" t="str">
        <f>"HOMBRE"</f>
        <v>HOMBRE</v>
      </c>
      <c r="D79" s="2">
        <v>15</v>
      </c>
      <c r="E79" s="3">
        <v>3.3E-3</v>
      </c>
    </row>
    <row r="80" spans="2:5">
      <c r="B80" s="25"/>
      <c r="C80" s="1" t="str">
        <f>"MUJER"</f>
        <v>MUJER</v>
      </c>
      <c r="D80" s="2">
        <v>9</v>
      </c>
      <c r="E80" s="3">
        <v>2E-3</v>
      </c>
    </row>
    <row r="81" spans="2:6">
      <c r="B81" s="26"/>
      <c r="C81" s="13" t="str">
        <f>"Total"</f>
        <v>Total</v>
      </c>
      <c r="D81" s="14">
        <v>24</v>
      </c>
      <c r="E81" s="15">
        <v>5.3E-3</v>
      </c>
    </row>
    <row r="82" spans="2:6">
      <c r="B82" s="24" t="str">
        <f>"SONORA"</f>
        <v>SONORA</v>
      </c>
      <c r="C82" s="1" t="str">
        <f>"HOMBRE"</f>
        <v>HOMBRE</v>
      </c>
      <c r="D82" s="2">
        <v>2</v>
      </c>
      <c r="E82" s="3">
        <v>4.0000000000000002E-4</v>
      </c>
    </row>
    <row r="83" spans="2:6">
      <c r="B83" s="25"/>
      <c r="C83" s="1" t="str">
        <f>"MUJER"</f>
        <v>MUJER</v>
      </c>
      <c r="D83" s="2">
        <v>9</v>
      </c>
      <c r="E83" s="3">
        <v>2E-3</v>
      </c>
    </row>
    <row r="84" spans="2:6">
      <c r="B84" s="26"/>
      <c r="C84" s="13" t="str">
        <f>"Total"</f>
        <v>Total</v>
      </c>
      <c r="D84" s="14">
        <v>11</v>
      </c>
      <c r="E84" s="15">
        <v>2.3999999999999998E-3</v>
      </c>
    </row>
    <row r="85" spans="2:6">
      <c r="B85" s="24" t="str">
        <f>"TABASCO"</f>
        <v>TABASCO</v>
      </c>
      <c r="C85" s="1" t="str">
        <f>"HOMBRE"</f>
        <v>HOMBRE</v>
      </c>
      <c r="D85" s="2">
        <v>50</v>
      </c>
      <c r="E85" s="3">
        <v>1.11E-2</v>
      </c>
    </row>
    <row r="86" spans="2:6">
      <c r="B86" s="25"/>
      <c r="C86" s="1" t="str">
        <f>"MUJER"</f>
        <v>MUJER</v>
      </c>
      <c r="D86" s="2">
        <v>21</v>
      </c>
      <c r="E86" s="3">
        <v>4.7000000000000002E-3</v>
      </c>
    </row>
    <row r="87" spans="2:6">
      <c r="B87" s="26"/>
      <c r="C87" s="13" t="str">
        <f>"Total"</f>
        <v>Total</v>
      </c>
      <c r="D87" s="14">
        <v>71</v>
      </c>
      <c r="E87" s="15">
        <v>1.5800000000000002E-2</v>
      </c>
      <c r="F87" s="16"/>
    </row>
    <row r="88" spans="2:6">
      <c r="B88" s="24" t="str">
        <f>"TAMAULIPAS"</f>
        <v>TAMAULIPAS</v>
      </c>
      <c r="C88" s="1" t="str">
        <f>"HOMBRE"</f>
        <v>HOMBRE</v>
      </c>
      <c r="D88" s="2">
        <v>44</v>
      </c>
      <c r="E88" s="3">
        <v>9.7999999999999997E-3</v>
      </c>
    </row>
    <row r="89" spans="2:6">
      <c r="B89" s="25"/>
      <c r="C89" s="1" t="str">
        <f>"MUJER"</f>
        <v>MUJER</v>
      </c>
      <c r="D89" s="2">
        <v>20</v>
      </c>
      <c r="E89" s="3">
        <v>4.4000000000000003E-3</v>
      </c>
    </row>
    <row r="90" spans="2:6">
      <c r="B90" s="26"/>
      <c r="C90" s="13" t="str">
        <f>"Total"</f>
        <v>Total</v>
      </c>
      <c r="D90" s="14">
        <v>64</v>
      </c>
      <c r="E90" s="15">
        <v>1.4200000000000001E-2</v>
      </c>
    </row>
    <row r="91" spans="2:6">
      <c r="B91" s="24" t="str">
        <f>"TLAXCALA"</f>
        <v>TLAXCALA</v>
      </c>
      <c r="C91" s="1" t="str">
        <f>"HOMBRE"</f>
        <v>HOMBRE</v>
      </c>
      <c r="D91" s="2">
        <v>28</v>
      </c>
      <c r="E91" s="3">
        <v>6.1999999999999998E-3</v>
      </c>
    </row>
    <row r="92" spans="2:6">
      <c r="B92" s="25"/>
      <c r="C92" s="1" t="str">
        <f>"MUJER"</f>
        <v>MUJER</v>
      </c>
      <c r="D92" s="2">
        <v>13</v>
      </c>
      <c r="E92" s="3">
        <v>2.8999999999999998E-3</v>
      </c>
    </row>
    <row r="93" spans="2:6">
      <c r="B93" s="26"/>
      <c r="C93" s="13" t="str">
        <f>"Total"</f>
        <v>Total</v>
      </c>
      <c r="D93" s="14">
        <v>41</v>
      </c>
      <c r="E93" s="15">
        <v>9.1000000000000004E-3</v>
      </c>
    </row>
    <row r="94" spans="2:6">
      <c r="B94" s="24" t="str">
        <f>"VERACRUZ DE IGNACIO DE LA LLAVE"</f>
        <v>VERACRUZ DE IGNACIO DE LA LLAVE</v>
      </c>
      <c r="C94" s="1" t="str">
        <f>"HOMBRE"</f>
        <v>HOMBRE</v>
      </c>
      <c r="D94" s="2">
        <v>331</v>
      </c>
      <c r="E94" s="3">
        <v>7.3599999999999999E-2</v>
      </c>
    </row>
    <row r="95" spans="2:6">
      <c r="B95" s="25"/>
      <c r="C95" s="1" t="str">
        <f>"MUJER"</f>
        <v>MUJER</v>
      </c>
      <c r="D95" s="2">
        <v>154</v>
      </c>
      <c r="E95" s="3">
        <v>3.4200000000000001E-2</v>
      </c>
    </row>
    <row r="96" spans="2:6">
      <c r="B96" s="26"/>
      <c r="C96" s="13" t="str">
        <f>"Total"</f>
        <v>Total</v>
      </c>
      <c r="D96" s="14">
        <v>485</v>
      </c>
      <c r="E96" s="15">
        <v>0.10780000000000001</v>
      </c>
    </row>
    <row r="97" spans="2:5">
      <c r="B97" s="24" t="str">
        <f>"YUCATAN"</f>
        <v>YUCATAN</v>
      </c>
      <c r="C97" s="1" t="str">
        <f>"HOMBRE"</f>
        <v>HOMBRE</v>
      </c>
      <c r="D97" s="2">
        <v>1</v>
      </c>
      <c r="E97" s="3">
        <v>2.0000000000000001E-4</v>
      </c>
    </row>
    <row r="98" spans="2:5">
      <c r="B98" s="25"/>
      <c r="C98" s="1" t="str">
        <f>"MUJER"</f>
        <v>MUJER</v>
      </c>
      <c r="D98" s="2">
        <v>1</v>
      </c>
      <c r="E98" s="3">
        <v>2.0000000000000001E-4</v>
      </c>
    </row>
    <row r="99" spans="2:5">
      <c r="B99" s="26"/>
      <c r="C99" s="13" t="str">
        <f>"Total"</f>
        <v>Total</v>
      </c>
      <c r="D99" s="14">
        <v>2</v>
      </c>
      <c r="E99" s="15">
        <v>4.0000000000000002E-4</v>
      </c>
    </row>
    <row r="100" spans="2:5">
      <c r="B100" s="24" t="str">
        <f>"ZACATECAS"</f>
        <v>ZACATECAS</v>
      </c>
      <c r="C100" s="1" t="str">
        <f>"HOMBRE"</f>
        <v>HOMBRE</v>
      </c>
      <c r="D100" s="2">
        <v>90</v>
      </c>
      <c r="E100" s="3">
        <v>0.02</v>
      </c>
    </row>
    <row r="101" spans="2:5">
      <c r="B101" s="25"/>
      <c r="C101" s="1" t="str">
        <f>"MUJER"</f>
        <v>MUJER</v>
      </c>
      <c r="D101" s="2">
        <v>61</v>
      </c>
      <c r="E101" s="3">
        <v>1.3599999999999999E-2</v>
      </c>
    </row>
    <row r="102" spans="2:5">
      <c r="B102" s="26"/>
      <c r="C102" s="13" t="str">
        <f>"Total"</f>
        <v>Total</v>
      </c>
      <c r="D102" s="14">
        <v>151</v>
      </c>
      <c r="E102" s="15">
        <v>3.3599999999999998E-2</v>
      </c>
    </row>
    <row r="103" spans="2:5">
      <c r="B103" s="20" t="s">
        <v>2</v>
      </c>
      <c r="C103" s="21" t="str">
        <f>" "</f>
        <v> </v>
      </c>
      <c r="D103" s="22">
        <v>4500</v>
      </c>
      <c r="E103" s="23">
        <v>1</v>
      </c>
    </row>
    <row r="105" spans="2:5" ht="16.5">
      <c r="B105" s="4" t="s">
        <v>3</v>
      </c>
      <c r="C105" s="5"/>
      <c r="D105" s="6"/>
    </row>
    <row r="106" spans="2:5" ht="16.5">
      <c r="B106" s="4" t="s">
        <v>4</v>
      </c>
      <c r="C106" s="5"/>
      <c r="D106" s="6"/>
    </row>
    <row r="107" spans="2:5" ht="16.5">
      <c r="B107" s="4" t="s">
        <v>5</v>
      </c>
      <c r="C107" s="5"/>
      <c r="D107" s="6"/>
    </row>
    <row r="108" spans="2:5" ht="16.5">
      <c r="B108" s="4" t="s">
        <v>6</v>
      </c>
      <c r="C108" s="5"/>
      <c r="D108" s="6"/>
    </row>
    <row r="109" spans="2:5">
      <c r="B109" s="4" t="s">
        <v>10</v>
      </c>
    </row>
  </sheetData>
  <mergeCells count="33">
    <mergeCell ref="B4:E5"/>
    <mergeCell ref="B8:B10"/>
    <mergeCell ref="B11:B13"/>
    <mergeCell ref="B28:B30"/>
    <mergeCell ref="B31:B33"/>
    <mergeCell ref="B34:B36"/>
    <mergeCell ref="B37:B39"/>
    <mergeCell ref="B14:B15"/>
    <mergeCell ref="B16:B18"/>
    <mergeCell ref="B19:B21"/>
    <mergeCell ref="B22:B24"/>
    <mergeCell ref="B25:B27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100:B102"/>
    <mergeCell ref="B85:B87"/>
    <mergeCell ref="B88:B90"/>
    <mergeCell ref="B91:B93"/>
    <mergeCell ref="B94:B96"/>
    <mergeCell ref="B97:B9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easCAAOI3NH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2012-02-28T20:56:40Z</dcterms:created>
  <dcterms:modified xsi:type="dcterms:W3CDTF">2012-03-15T20:15:55Z</dcterms:modified>
</cp:coreProperties>
</file>