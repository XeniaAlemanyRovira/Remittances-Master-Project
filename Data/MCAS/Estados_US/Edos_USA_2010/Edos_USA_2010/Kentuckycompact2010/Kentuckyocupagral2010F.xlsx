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3 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<sst xmlns="http://schemas.openxmlformats.org/spreadsheetml/2006/main" count="11" uniqueCount="11">
  <si>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</si>
  <si>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</si>
  <si>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</si>
  <si>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</si>
  <si>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</si>
  <si>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</si>
  <si>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</si>
  <si>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</si>
  <si>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</si>
  <si>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</si>
  <si>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KENTUCKY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</si>
</sst>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9102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5"/>
  <sheetViews>
    <sheetView showGridLines="0" tabSelected="1" workbookViewId="0">
      <selection activeCell="B7" sqref="B7:D7"/>
    </sheetView>
  </sheetViews>
  <sheetFormatPr baseColWidth="10" defaultRowHeight="15"/>
  <cols>
    <col min="2" max="2" width="38.1406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1857</v>
      </c>
      <c r="D10" s="3">
        <v>0.60550000000000004</v>
      </c>
    </row>
    <row r="11" spans="2:5">
      <c r="B11" s="1" t="str">
        <f>"HOGAR"</f>
        <v>HOGAR</v>
      </c>
      <c r="C11" s="4">
        <v>466</v>
      </c>
      <c r="D11" s="3">
        <v>0.15190000000000001</v>
      </c>
    </row>
    <row r="12" spans="2:5">
      <c r="B12" s="1" t="str">
        <f>"OBRERO(A)"</f>
        <v>OBRERO(A)</v>
      </c>
      <c r="C12" s="4">
        <v>269</v>
      </c>
      <c r="D12" s="3">
        <v>8.77E-2</v>
      </c>
    </row>
    <row r="13" spans="2:5">
      <c r="B13" s="1" t="str">
        <f>"CAMPESINO(A)"</f>
        <v>CAMPESINO(A)</v>
      </c>
      <c r="C13" s="4">
        <v>106</v>
      </c>
      <c r="D13" s="3">
        <v>3.4599999999999999E-2</v>
      </c>
    </row>
    <row r="14" spans="2:5">
      <c r="B14" s="1" t="str">
        <f>"ESTUDIANTE"</f>
        <v>ESTUDIANTE</v>
      </c>
      <c r="C14" s="4">
        <v>100</v>
      </c>
      <c r="D14" s="3">
        <v>3.2599999999999997E-2</v>
      </c>
    </row>
    <row r="15" spans="2:5">
      <c r="B15" s="1" t="str">
        <f>"ALBANIL"</f>
        <v>ALBANIL</v>
      </c>
      <c r="C15" s="4">
        <v>70</v>
      </c>
      <c r="D15" s="3">
        <v>2.2800000000000001E-2</v>
      </c>
    </row>
    <row r="16" spans="2:5">
      <c r="B16" s="1" t="str">
        <f>"COCINERO(A)"</f>
        <v>COCINERO(A)</v>
      </c>
      <c r="C16" s="4">
        <v>59</v>
      </c>
      <c r="D16" s="3">
        <v>1.9199999999999998E-2</v>
      </c>
    </row>
    <row r="17" spans="2:4">
      <c r="B17" s="1" t="str">
        <f>"MESERO(A)"</f>
        <v>MESERO(A)</v>
      </c>
      <c r="C17" s="4">
        <v>43</v>
      </c>
      <c r="D17" s="3">
        <v>1.4E-2</v>
      </c>
    </row>
    <row r="18" spans="2:4">
      <c r="B18" s="1" t="str">
        <f>"OTRO"</f>
        <v>OTRO</v>
      </c>
      <c r="C18" s="4">
        <v>41</v>
      </c>
      <c r="D18" s="3">
        <v>1.34E-2</v>
      </c>
    </row>
    <row r="19" spans="2:4">
      <c r="B19" s="1" t="str">
        <f>"PINTOR(A)"</f>
        <v>PINTOR(A)</v>
      </c>
      <c r="C19" s="4">
        <v>17</v>
      </c>
      <c r="D19" s="3">
        <v>5.4999999999999997E-3</v>
      </c>
    </row>
    <row r="20" spans="2:4">
      <c r="B20" s="1" t="str">
        <f>"JARDINERO(A)"</f>
        <v>JARDINERO(A)</v>
      </c>
      <c r="C20" s="4">
        <v>12</v>
      </c>
      <c r="D20" s="3">
        <v>3.8999999999999998E-3</v>
      </c>
    </row>
    <row r="21" spans="2:4">
      <c r="B21" s="1" t="str">
        <f>"CAJERO(A)"</f>
        <v>CAJERO(A)</v>
      </c>
      <c r="C21" s="4">
        <v>8</v>
      </c>
      <c r="D21" s="3">
        <v>2.5999999999999999E-3</v>
      </c>
    </row>
    <row r="22" spans="2:4">
      <c r="B22" s="1" t="str">
        <f>"OPERARIO(A)"</f>
        <v>OPERARIO(A)</v>
      </c>
      <c r="C22" s="4">
        <v>7</v>
      </c>
      <c r="D22" s="3">
        <v>2.3E-3</v>
      </c>
    </row>
    <row r="23" spans="2:4">
      <c r="B23" s="1" t="str">
        <f>"COMERCIANTE"</f>
        <v>COMERCIANTE</v>
      </c>
      <c r="C23" s="4">
        <v>5</v>
      </c>
      <c r="D23" s="3">
        <v>1.6000000000000001E-3</v>
      </c>
    </row>
    <row r="24" spans="2:4">
      <c r="B24" s="1" t="str">
        <f>"CHOFER"</f>
        <v>CHOFER</v>
      </c>
      <c r="C24" s="4">
        <v>3</v>
      </c>
      <c r="D24" s="3">
        <v>1E-3</v>
      </c>
    </row>
    <row r="25" spans="2:4">
      <c r="B25" s="1" t="str">
        <f>"PROFESIONISTA"</f>
        <v>PROFESIONISTA</v>
      </c>
      <c r="C25" s="4">
        <v>2</v>
      </c>
      <c r="D25" s="3">
        <v>6.9999999999999999E-4</v>
      </c>
    </row>
    <row r="26" spans="2:4">
      <c r="B26" s="1" t="str">
        <f>"PANADERO(A)"</f>
        <v>PANADERO(A)</v>
      </c>
      <c r="C26" s="4">
        <v>1</v>
      </c>
      <c r="D26" s="3">
        <v>2.9999999999999997E-4</v>
      </c>
    </row>
    <row r="27" spans="2:4">
      <c r="B27" s="1" t="str">
        <f>"SACERDOTE"</f>
        <v>SACERDOTE</v>
      </c>
      <c r="C27" s="4">
        <v>1</v>
      </c>
      <c r="D27" s="3">
        <v>2.9999999999999997E-4</v>
      </c>
    </row>
    <row r="28" spans="2:4">
      <c r="B28" s="10" t="s">
        <v>1</v>
      </c>
      <c r="C28" s="11">
        <v>3067</v>
      </c>
      <c r="D28" s="12">
        <v>1</v>
      </c>
    </row>
    <row r="31" spans="2:4">
      <c r="B31" s="13" t="s">
        <v>5</v>
      </c>
    </row>
    <row r="32" spans="2:4">
      <c r="B32" s="13" t="s">
        <v>6</v>
      </c>
    </row>
    <row r="33" spans="2:2">
      <c r="B33" s="13" t="s">
        <v>7</v>
      </c>
    </row>
    <row r="34" spans="2:2">
      <c r="B34" s="13" t="s">
        <v>8</v>
      </c>
    </row>
    <row r="35" spans="2:2">
      <c r="B35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3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2012-03-02T21:54:37Z</dcterms:created>
  <dcterms:modified xsi:type="dcterms:W3CDTF">2012-03-06T23:20:45Z</dcterms:modified>
</cp:coreProperties>
</file>