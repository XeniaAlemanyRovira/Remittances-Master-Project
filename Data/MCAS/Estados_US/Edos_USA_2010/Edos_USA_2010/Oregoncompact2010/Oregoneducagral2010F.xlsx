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0GOB20" sheetId="2" r:id="rId1"/>
  </sheets>
  <calcPr calcId="125725"/>
</workbook>
</file>

<file path=xl/calcChain.xml><?xml version="1.0" encoding="utf-8"?>
<calcChain xmlns="http://schemas.openxmlformats.org/spreadsheetml/2006/main">
  <c r="B28" i="2"/>
  <c r="B26"/>
  <c r="B27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<sst xmlns="http://schemas.openxmlformats.org/spreadsheetml/2006/main" count="10" uniqueCount="10">
  <si>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</si>
  <si>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</si>
  <si>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</si>
  <si>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</si>
  <si>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</si>
  <si>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</si>
  <si>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</si>
  <si>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</si>
  <si>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OREGON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</si>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</sst>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0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9" workbookViewId="0">
      <selection activeCell="B37" sqref="B37"/>
    </sheetView>
  </sheetViews>
  <sheetFormatPr baseColWidth="10" defaultRowHeight="15"/>
  <cols>
    <col min="2" max="2" width="39.2851562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"11SIN ESTUDIOS"</f>
        <v>11SIN ESTUDIOS</v>
      </c>
      <c r="C8" s="2">
        <v>338</v>
      </c>
      <c r="D8" s="3">
        <v>3.04E-2</v>
      </c>
    </row>
    <row r="9" spans="1:5">
      <c r="B9" s="1" t="str">
        <f>"1o. PRIMARIA"</f>
        <v>1o. PRIMARIA</v>
      </c>
      <c r="C9" s="2">
        <v>101</v>
      </c>
      <c r="D9" s="3">
        <v>9.1000000000000004E-3</v>
      </c>
    </row>
    <row r="10" spans="1:5">
      <c r="B10" s="1" t="str">
        <f>"2o. PRIMARIA"</f>
        <v>2o. PRIMARIA</v>
      </c>
      <c r="C10" s="2">
        <v>109</v>
      </c>
      <c r="D10" s="3">
        <v>9.7999999999999997E-3</v>
      </c>
    </row>
    <row r="11" spans="1:5">
      <c r="B11" s="1" t="str">
        <f>"3o. PRIMARIA"</f>
        <v>3o. PRIMARIA</v>
      </c>
      <c r="C11" s="2">
        <v>205</v>
      </c>
      <c r="D11" s="3">
        <v>1.84E-2</v>
      </c>
    </row>
    <row r="12" spans="1:5">
      <c r="B12" s="1" t="str">
        <f>"4o. PRIMARIA"</f>
        <v>4o. PRIMARIA</v>
      </c>
      <c r="C12" s="2">
        <v>158</v>
      </c>
      <c r="D12" s="3">
        <v>1.4200000000000001E-2</v>
      </c>
    </row>
    <row r="13" spans="1:5">
      <c r="B13" s="1" t="str">
        <f>"5o. PRIMARIA"</f>
        <v>5o. PRIMARIA</v>
      </c>
      <c r="C13" s="2">
        <v>216</v>
      </c>
      <c r="D13" s="3">
        <v>1.9400000000000001E-2</v>
      </c>
    </row>
    <row r="14" spans="1:5">
      <c r="B14" s="1" t="str">
        <f>"6o. PRIMARIA"</f>
        <v>6o. PRIMARIA</v>
      </c>
      <c r="C14" s="4">
        <v>1590</v>
      </c>
      <c r="D14" s="3">
        <v>0.14299999999999999</v>
      </c>
    </row>
    <row r="15" spans="1:5">
      <c r="B15" s="1" t="str">
        <f>"PRIMARIA CON CERTIFICADO"</f>
        <v>PRIMARIA CON CERTIFICADO</v>
      </c>
      <c r="C15" s="4">
        <v>1640</v>
      </c>
      <c r="D15" s="3">
        <v>0.14749999999999999</v>
      </c>
    </row>
    <row r="16" spans="1:5">
      <c r="B16" s="1" t="str">
        <f>"1o. SECUNDARIA"</f>
        <v>1o. SECUNDARIA</v>
      </c>
      <c r="C16" s="2">
        <v>125</v>
      </c>
      <c r="D16" s="3">
        <v>1.12E-2</v>
      </c>
    </row>
    <row r="17" spans="2:4">
      <c r="B17" s="1" t="str">
        <f>"2o. SECUNDARIA"</f>
        <v>2o. SECUNDARIA</v>
      </c>
      <c r="C17" s="2">
        <v>234</v>
      </c>
      <c r="D17" s="3">
        <v>2.1100000000000001E-2</v>
      </c>
    </row>
    <row r="18" spans="2:4">
      <c r="B18" s="1" t="str">
        <f>"3o. SECUNDARIA"</f>
        <v>3o. SECUNDARIA</v>
      </c>
      <c r="C18" s="2">
        <v>243</v>
      </c>
      <c r="D18" s="3">
        <v>2.1899999999999999E-2</v>
      </c>
    </row>
    <row r="19" spans="2:4">
      <c r="B19" s="1" t="str">
        <f>"SECUNDARIA CON CERTIFICADO"</f>
        <v>SECUNDARIA CON CERTIFICADO</v>
      </c>
      <c r="C19" s="4">
        <v>3239</v>
      </c>
      <c r="D19" s="3">
        <v>0.29139999999999999</v>
      </c>
    </row>
    <row r="20" spans="2:4">
      <c r="B20" s="1" t="str">
        <f>"CAPACITACION TECNICA"</f>
        <v>CAPACITACION TECNICA</v>
      </c>
      <c r="C20" s="2">
        <v>132</v>
      </c>
      <c r="D20" s="3">
        <v>1.1900000000000001E-2</v>
      </c>
    </row>
    <row r="21" spans="2:4">
      <c r="B21" s="1" t="str">
        <f>"PREPARATORIA SIN CERTIFICADO"</f>
        <v>PREPARATORIA SIN CERTIFICADO</v>
      </c>
      <c r="C21" s="2">
        <v>526</v>
      </c>
      <c r="D21" s="3">
        <v>4.7300000000000002E-2</v>
      </c>
    </row>
    <row r="22" spans="2:4">
      <c r="B22" s="1" t="str">
        <f>"PREPARATORIA CON CERTIFICADO"</f>
        <v>PREPARATORIA CON CERTIFICADO</v>
      </c>
      <c r="C22" s="4">
        <v>1948</v>
      </c>
      <c r="D22" s="3">
        <v>0.17519999999999999</v>
      </c>
    </row>
    <row r="23" spans="2:4">
      <c r="B23" s="1" t="str">
        <f>"1o. ANO DE PROFESIONAL"</f>
        <v>1o. ANO DE PROFESIONAL</v>
      </c>
      <c r="C23" s="2">
        <v>30</v>
      </c>
      <c r="D23" s="3">
        <v>2.7000000000000001E-3</v>
      </c>
    </row>
    <row r="24" spans="2:4">
      <c r="B24" s="1" t="str">
        <f>"20. ANO DE PROFESIONAL"</f>
        <v>20. ANO DE PROFESIONAL</v>
      </c>
      <c r="C24" s="2">
        <v>21</v>
      </c>
      <c r="D24" s="3">
        <v>1.9E-3</v>
      </c>
    </row>
    <row r="25" spans="2:4">
      <c r="B25" s="1" t="str">
        <f>"3er. ANO DE PROFESIONAL"</f>
        <v>3er. ANO DE PROFESIONAL</v>
      </c>
      <c r="C25" s="2">
        <v>9</v>
      </c>
      <c r="D25" s="3">
        <v>8.0000000000000004E-4</v>
      </c>
    </row>
    <row r="26" spans="2:4">
      <c r="B26" s="1" t="str">
        <f>"4o. ANO DE PROFESIONAL"</f>
        <v>4o. ANO DE PROFESIONAL</v>
      </c>
      <c r="C26" s="2">
        <v>11</v>
      </c>
      <c r="D26" s="3">
        <v>1E-3</v>
      </c>
    </row>
    <row r="27" spans="2:4">
      <c r="B27" s="1" t="str">
        <f>"PROFESIONAL PASANTE"</f>
        <v>PROFESIONAL PASANTE</v>
      </c>
      <c r="C27" s="2">
        <v>89</v>
      </c>
      <c r="D27" s="3">
        <v>8.0000000000000002E-3</v>
      </c>
    </row>
    <row r="28" spans="2:4">
      <c r="B28" s="1" t="str">
        <f>"PROFESIONAL TITULADO"</f>
        <v>PROFESIONAL TITULADO</v>
      </c>
      <c r="C28" s="2">
        <v>152</v>
      </c>
      <c r="D28" s="3">
        <v>1.37E-2</v>
      </c>
    </row>
    <row r="29" spans="2:4">
      <c r="B29" s="7" t="s">
        <v>0</v>
      </c>
      <c r="C29" s="8">
        <v>11116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easCA0GOB20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2012-03-12T22:44:16Z</dcterms:created>
  <dcterms:modified xsi:type="dcterms:W3CDTF">2012-03-13T22:07:03Z</dcterms:modified>
</cp:coreProperties>
</file>