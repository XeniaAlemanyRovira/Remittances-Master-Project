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PLQ85L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<sst xmlns="http://schemas.openxmlformats.org/spreadsheetml/2006/main" count="12" uniqueCount="12">
  <si>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</si>
  <si>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</si>
  <si>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</si>
  <si>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</si>
  <si>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</si>
  <si>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NEW MEXICO POR ESTADO DE LA REPÚBLICA MEXICANA, 2010</t>
  </si>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</sst>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Calibri"/>
      <family val="2"/>
      <scheme val="minor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17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2" fillId="33" borderId="10" xfId="42" applyFont="1" applyFill="1" applyBorder="1" applyAlignment="1">
      <alignment horizontal="center" vertical="center" wrapText="1"/>
    </xf>
    <xf numFmtId="10" fontId="20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23" fillId="0" borderId="10" xfId="0" applyFont="1" applyBorder="1" applyAlignment="1">
      <alignment wrapText="1"/>
    </xf>
    <xf numFmtId="3" fontId="23" fillId="0" borderId="10" xfId="0" applyNumberFormat="1" applyFont="1" applyBorder="1" applyAlignment="1">
      <alignment horizontal="right" wrapText="1"/>
    </xf>
    <xf numFmtId="10" fontId="23" fillId="0" borderId="10" xfId="0" applyNumberFormat="1" applyFont="1" applyBorder="1" applyAlignment="1">
      <alignment horizontal="right" wrapText="1"/>
    </xf>
    <xf numFmtId="0" fontId="23" fillId="0" borderId="10" xfId="0" applyFont="1" applyBorder="1" applyAlignment="1">
      <alignment horizontal="right" wrapText="1"/>
    </xf>
    <xf numFmtId="0" fontId="24" fillId="0" borderId="0" xfId="0" applyFont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G49"/>
  <sheetViews>
    <sheetView showGridLines="0" tabSelected="1" workbookViewId="0">
      <selection activeCell="A10" sqref="A10"/>
    </sheetView>
  </sheetViews>
  <sheetFormatPr baseColWidth="10" defaultRowHeight="15"/>
  <cols>
    <col min="2" max="2" width="47.140625" customWidth="1"/>
    <col min="3" max="4" width="16.140625" bestFit="1" customWidth="1"/>
  </cols>
  <sheetData>
    <row r="6" spans="1:7" ht="16.5">
      <c r="A6" s="1" t="s">
        <v>0</v>
      </c>
      <c r="B6" s="1"/>
      <c r="C6" s="1"/>
      <c r="D6" s="1"/>
      <c r="E6" s="1"/>
    </row>
    <row r="7" spans="1:7" ht="16.5">
      <c r="A7" s="1" t="s">
        <v>5</v>
      </c>
      <c r="B7" s="1"/>
      <c r="C7" s="1"/>
      <c r="D7" s="1"/>
      <c r="E7" s="1"/>
    </row>
    <row r="9" spans="1:7" ht="16.5">
      <c r="B9" s="2" t="s">
        <v>1</v>
      </c>
      <c r="C9" s="3"/>
      <c r="D9" s="3"/>
      <c r="E9" s="4"/>
    </row>
    <row r="10" spans="1:7" ht="33">
      <c r="A10" s="5"/>
      <c r="B10" s="6" t="s">
        <v>2</v>
      </c>
      <c r="C10" s="6" t="s">
        <v>3</v>
      </c>
      <c r="D10" s="6" t="s">
        <v>4</v>
      </c>
      <c r="E10" s="7"/>
      <c r="F10" s="8"/>
      <c r="G10" s="8"/>
    </row>
    <row r="11" spans="1:7">
      <c r="B11" s="9" t="str">
        <f>"CHIHUAHUA"</f>
        <v>CHIHUAHUA</v>
      </c>
      <c r="C11" s="10">
        <v>5899</v>
      </c>
      <c r="D11" s="11">
        <v>0.48609999999999998</v>
      </c>
    </row>
    <row r="12" spans="1:7">
      <c r="B12" s="9" t="str">
        <f>"DURANGO"</f>
        <v>DURANGO</v>
      </c>
      <c r="C12" s="10">
        <v>1126</v>
      </c>
      <c r="D12" s="11">
        <v>9.2799999999999994E-2</v>
      </c>
    </row>
    <row r="13" spans="1:7">
      <c r="B13" s="9" t="str">
        <f>"ZACATECAS"</f>
        <v>ZACATECAS</v>
      </c>
      <c r="C13" s="12">
        <v>490</v>
      </c>
      <c r="D13" s="11">
        <v>4.0399999999999998E-2</v>
      </c>
    </row>
    <row r="14" spans="1:7">
      <c r="B14" s="9" t="str">
        <f>"JALISCO"</f>
        <v>JALISCO</v>
      </c>
      <c r="C14" s="12">
        <v>456</v>
      </c>
      <c r="D14" s="11">
        <v>3.7600000000000001E-2</v>
      </c>
    </row>
    <row r="15" spans="1:7">
      <c r="B15" s="9" t="str">
        <f>"GUANAJUATO"</f>
        <v>GUANAJUATO</v>
      </c>
      <c r="C15" s="12">
        <v>388</v>
      </c>
      <c r="D15" s="11">
        <v>3.2000000000000001E-2</v>
      </c>
    </row>
    <row r="16" spans="1:7">
      <c r="B16" s="9" t="str">
        <f>"DISTRITO FEDERAL"</f>
        <v>DISTRITO FEDERAL</v>
      </c>
      <c r="C16" s="12">
        <v>354</v>
      </c>
      <c r="D16" s="11">
        <v>2.92E-2</v>
      </c>
    </row>
    <row r="17" spans="2:4">
      <c r="B17" s="9" t="str">
        <f>"MICHOACAN DE OCAMPO"</f>
        <v>MICHOACAN DE OCAMPO</v>
      </c>
      <c r="C17" s="12">
        <v>329</v>
      </c>
      <c r="D17" s="11">
        <v>2.7099999999999999E-2</v>
      </c>
    </row>
    <row r="18" spans="2:4">
      <c r="B18" s="9" t="str">
        <f>"SONORA"</f>
        <v>SONORA</v>
      </c>
      <c r="C18" s="12">
        <v>312</v>
      </c>
      <c r="D18" s="11">
        <v>2.5700000000000001E-2</v>
      </c>
    </row>
    <row r="19" spans="2:4">
      <c r="B19" s="9" t="str">
        <f>"COAHUILA DE ZARAGOZA"</f>
        <v>COAHUILA DE ZARAGOZA</v>
      </c>
      <c r="C19" s="12">
        <v>291</v>
      </c>
      <c r="D19" s="11">
        <v>2.4E-2</v>
      </c>
    </row>
    <row r="20" spans="2:4">
      <c r="B20" s="9" t="str">
        <f>"SINALOA"</f>
        <v>SINALOA</v>
      </c>
      <c r="C20" s="12">
        <v>255</v>
      </c>
      <c r="D20" s="11">
        <v>2.1000000000000001E-2</v>
      </c>
    </row>
    <row r="21" spans="2:4">
      <c r="B21" s="9" t="str">
        <f>"MEXICO"</f>
        <v>MEXICO</v>
      </c>
      <c r="C21" s="12">
        <v>242</v>
      </c>
      <c r="D21" s="11">
        <v>1.9900000000000001E-2</v>
      </c>
    </row>
    <row r="22" spans="2:4">
      <c r="B22" s="9" t="str">
        <f>"GUERRERO"</f>
        <v>GUERRERO</v>
      </c>
      <c r="C22" s="12">
        <v>236</v>
      </c>
      <c r="D22" s="11">
        <v>1.9400000000000001E-2</v>
      </c>
    </row>
    <row r="23" spans="2:4">
      <c r="B23" s="9" t="str">
        <f>"VERACRUZ DE IGNACIO DE LA LLAVE"</f>
        <v>VERACRUZ DE IGNACIO DE LA LLAVE</v>
      </c>
      <c r="C23" s="12">
        <v>227</v>
      </c>
      <c r="D23" s="11">
        <v>1.8700000000000001E-2</v>
      </c>
    </row>
    <row r="24" spans="2:4">
      <c r="B24" s="9" t="str">
        <f>"PUEBLA"</f>
        <v>PUEBLA</v>
      </c>
      <c r="C24" s="12">
        <v>212</v>
      </c>
      <c r="D24" s="11">
        <v>1.7500000000000002E-2</v>
      </c>
    </row>
    <row r="25" spans="2:4">
      <c r="B25" s="9" t="str">
        <f>"SAN LUIS POTOSI"</f>
        <v>SAN LUIS POTOSI</v>
      </c>
      <c r="C25" s="12">
        <v>186</v>
      </c>
      <c r="D25" s="11">
        <v>1.5299999999999999E-2</v>
      </c>
    </row>
    <row r="26" spans="2:4">
      <c r="B26" s="9" t="str">
        <f>"OAXACA"</f>
        <v>OAXACA</v>
      </c>
      <c r="C26" s="12">
        <v>152</v>
      </c>
      <c r="D26" s="11">
        <v>1.2500000000000001E-2</v>
      </c>
    </row>
    <row r="27" spans="2:4">
      <c r="B27" s="9" t="str">
        <f>"AGUASCALIENTES"</f>
        <v>AGUASCALIENTES</v>
      </c>
      <c r="C27" s="12">
        <v>141</v>
      </c>
      <c r="D27" s="11">
        <v>1.1599999999999999E-2</v>
      </c>
    </row>
    <row r="28" spans="2:4">
      <c r="B28" s="9" t="str">
        <f>"HIDALGO"</f>
        <v>HIDALGO</v>
      </c>
      <c r="C28" s="12">
        <v>121</v>
      </c>
      <c r="D28" s="11">
        <v>0.01</v>
      </c>
    </row>
    <row r="29" spans="2:4">
      <c r="B29" s="9" t="str">
        <f>"CHIAPAS"</f>
        <v>CHIAPAS</v>
      </c>
      <c r="C29" s="12">
        <v>114</v>
      </c>
      <c r="D29" s="11">
        <v>9.4000000000000004E-3</v>
      </c>
    </row>
    <row r="30" spans="2:4">
      <c r="B30" s="9" t="str">
        <f>"MORELOS"</f>
        <v>MORELOS</v>
      </c>
      <c r="C30" s="12">
        <v>108</v>
      </c>
      <c r="D30" s="11">
        <v>8.8999999999999999E-3</v>
      </c>
    </row>
    <row r="31" spans="2:4">
      <c r="B31" s="9" t="str">
        <f>"NAYARIT"</f>
        <v>NAYARIT</v>
      </c>
      <c r="C31" s="12">
        <v>89</v>
      </c>
      <c r="D31" s="11">
        <v>7.3000000000000001E-3</v>
      </c>
    </row>
    <row r="32" spans="2:4">
      <c r="B32" s="9" t="str">
        <f>"NUEVO LEON"</f>
        <v>NUEVO LEON</v>
      </c>
      <c r="C32" s="12">
        <v>71</v>
      </c>
      <c r="D32" s="11">
        <v>5.8999999999999999E-3</v>
      </c>
    </row>
    <row r="33" spans="2:4">
      <c r="B33" s="9" t="str">
        <f>"QUERETARO DE ARTEAGA"</f>
        <v>QUERETARO DE ARTEAGA</v>
      </c>
      <c r="C33" s="12">
        <v>64</v>
      </c>
      <c r="D33" s="11">
        <v>5.3E-3</v>
      </c>
    </row>
    <row r="34" spans="2:4">
      <c r="B34" s="9" t="str">
        <f>"TAMAULIPAS"</f>
        <v>TAMAULIPAS</v>
      </c>
      <c r="C34" s="12">
        <v>61</v>
      </c>
      <c r="D34" s="11">
        <v>5.0000000000000001E-3</v>
      </c>
    </row>
    <row r="35" spans="2:4">
      <c r="B35" s="9" t="str">
        <f>"BAJA CALIFORNIA"</f>
        <v>BAJA CALIFORNIA</v>
      </c>
      <c r="C35" s="12">
        <v>56</v>
      </c>
      <c r="D35" s="11">
        <v>4.5999999999999999E-3</v>
      </c>
    </row>
    <row r="36" spans="2:4">
      <c r="B36" s="9" t="str">
        <f>"TLAXCALA"</f>
        <v>TLAXCALA</v>
      </c>
      <c r="C36" s="12">
        <v>56</v>
      </c>
      <c r="D36" s="11">
        <v>4.5999999999999999E-3</v>
      </c>
    </row>
    <row r="37" spans="2:4">
      <c r="B37" s="9" t="str">
        <f>"COLIMA"</f>
        <v>COLIMA</v>
      </c>
      <c r="C37" s="12">
        <v>31</v>
      </c>
      <c r="D37" s="11">
        <v>2.5999999999999999E-3</v>
      </c>
    </row>
    <row r="38" spans="2:4">
      <c r="B38" s="9" t="str">
        <f>"TABASCO"</f>
        <v>TABASCO</v>
      </c>
      <c r="C38" s="12">
        <v>28</v>
      </c>
      <c r="D38" s="11">
        <v>2.3E-3</v>
      </c>
    </row>
    <row r="39" spans="2:4">
      <c r="B39" s="9" t="str">
        <f>"CAMPECHE"</f>
        <v>CAMPECHE</v>
      </c>
      <c r="C39" s="12">
        <v>17</v>
      </c>
      <c r="D39" s="11">
        <v>1.4E-3</v>
      </c>
    </row>
    <row r="40" spans="2:4">
      <c r="B40" s="9" t="str">
        <f>"QUINTANA ROO"</f>
        <v>QUINTANA ROO</v>
      </c>
      <c r="C40" s="12">
        <v>11</v>
      </c>
      <c r="D40" s="11">
        <v>8.9999999999999998E-4</v>
      </c>
    </row>
    <row r="41" spans="2:4">
      <c r="B41" s="9" t="str">
        <f>"YUCATAN"</f>
        <v>YUCATAN</v>
      </c>
      <c r="C41" s="12">
        <v>7</v>
      </c>
      <c r="D41" s="11">
        <v>5.9999999999999995E-4</v>
      </c>
    </row>
    <row r="42" spans="2:4">
      <c r="B42" s="9" t="str">
        <f>"BAJA CALIFORNIA SUR"</f>
        <v>BAJA CALIFORNIA SUR</v>
      </c>
      <c r="C42" s="12">
        <v>5</v>
      </c>
      <c r="D42" s="11">
        <v>4.0000000000000002E-4</v>
      </c>
    </row>
    <row r="43" spans="2:4">
      <c r="B43" s="14" t="s">
        <v>6</v>
      </c>
      <c r="C43" s="15">
        <v>12135</v>
      </c>
      <c r="D43" s="16">
        <v>1</v>
      </c>
    </row>
    <row r="45" spans="2:4">
      <c r="B45" s="13" t="s">
        <v>7</v>
      </c>
    </row>
    <row r="46" spans="2:4">
      <c r="B46" s="13" t="s">
        <v>8</v>
      </c>
    </row>
    <row r="47" spans="2:4">
      <c r="B47" s="13" t="s">
        <v>9</v>
      </c>
    </row>
    <row r="48" spans="2:4">
      <c r="B48" s="13" t="s">
        <v>10</v>
      </c>
    </row>
    <row r="49" spans="2:2">
      <c r="B49" s="13" t="s">
        <v>11</v>
      </c>
    </row>
  </sheetData>
  <mergeCells count="3">
    <mergeCell ref="A6:E6"/>
    <mergeCell ref="A7:E7"/>
    <mergeCell ref="B9:D9"/>
  </mergeCells>
  <pageMargins left="0.75" right="0.75" top="1" bottom="1" header="0.5" footer="0.5"/>
  <pageSetup orientation="portrait" r:id="rId1"/>
  <drawing r:id="rId2"/>
  <legacyDrawing r:id="rId3"/>
  <oleObjects>
    <oleObject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easCAPLQ85L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2012-03-29T21:29:54Z</dcterms:created>
  <dcterms:modified xsi:type="dcterms:W3CDTF">2012-03-29T21:36:08Z</dcterms:modified>
</cp:coreProperties>
</file>