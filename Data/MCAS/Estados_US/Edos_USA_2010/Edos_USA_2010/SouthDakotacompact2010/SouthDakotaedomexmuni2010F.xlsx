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C139" i="2"/>
  <c r="C138"/>
  <c r="C137"/>
  <c r="C136"/>
  <c r="C135"/>
  <c r="C134"/>
  <c r="B134"/>
  <c r="C133"/>
  <c r="C132"/>
  <c r="C131"/>
  <c r="C130"/>
  <c r="C129"/>
  <c r="C128"/>
  <c r="C127"/>
  <c r="C126"/>
  <c r="B126"/>
  <c r="C125"/>
  <c r="C124"/>
  <c r="C123"/>
  <c r="B123"/>
  <c r="C122"/>
  <c r="C121"/>
  <c r="C120"/>
  <c r="C119"/>
  <c r="C118"/>
  <c r="C117"/>
  <c r="B117"/>
  <c r="C116"/>
  <c r="C115"/>
  <c r="B115"/>
  <c r="C114"/>
  <c r="C113"/>
  <c r="C112"/>
  <c r="B112"/>
  <c r="C111"/>
  <c r="C110"/>
  <c r="B110"/>
  <c r="C109"/>
  <c r="C108"/>
  <c r="C107"/>
  <c r="C106"/>
  <c r="C105"/>
  <c r="B105"/>
  <c r="C104"/>
  <c r="C103"/>
  <c r="C102"/>
  <c r="C101"/>
  <c r="C100"/>
  <c r="C99"/>
  <c r="C98"/>
  <c r="C97"/>
  <c r="B97"/>
  <c r="C96"/>
  <c r="C95"/>
  <c r="C94"/>
  <c r="B94"/>
  <c r="C93"/>
  <c r="C92"/>
  <c r="B92"/>
  <c r="C91"/>
  <c r="C90"/>
  <c r="C89"/>
  <c r="C88"/>
  <c r="B88"/>
  <c r="C87"/>
  <c r="C86"/>
  <c r="C85"/>
  <c r="C84"/>
  <c r="C83"/>
  <c r="B83"/>
  <c r="C82"/>
  <c r="C81"/>
  <c r="C80"/>
  <c r="C79"/>
  <c r="C78"/>
  <c r="C77"/>
  <c r="C76"/>
  <c r="C75"/>
  <c r="C74"/>
  <c r="C73"/>
  <c r="C72"/>
  <c r="C71"/>
  <c r="C70"/>
  <c r="C69"/>
  <c r="B69"/>
  <c r="C68"/>
  <c r="C67"/>
  <c r="C66"/>
  <c r="B66"/>
  <c r="C65"/>
  <c r="C64"/>
  <c r="C63"/>
  <c r="C62"/>
  <c r="C61"/>
  <c r="C60"/>
  <c r="C59"/>
  <c r="C58"/>
  <c r="C57"/>
  <c r="C56"/>
  <c r="C55"/>
  <c r="C54"/>
  <c r="C53"/>
  <c r="C52"/>
  <c r="C51"/>
  <c r="B51"/>
  <c r="C50"/>
  <c r="C49"/>
  <c r="B49"/>
  <c r="C48"/>
  <c r="C47"/>
  <c r="C46"/>
  <c r="C45"/>
  <c r="C44"/>
  <c r="C43"/>
  <c r="C42"/>
  <c r="C41"/>
  <c r="C40"/>
  <c r="C39"/>
  <c r="B39"/>
  <c r="C38"/>
  <c r="C37"/>
  <c r="C36"/>
  <c r="C35"/>
  <c r="C34"/>
  <c r="C33"/>
  <c r="C32"/>
  <c r="C31"/>
  <c r="B31"/>
  <c r="C30"/>
  <c r="C29"/>
  <c r="C28"/>
  <c r="C27"/>
  <c r="B27"/>
  <c r="C26"/>
  <c r="C25"/>
  <c r="C24"/>
  <c r="B24"/>
  <c r="C23"/>
  <c r="C22"/>
  <c r="C21"/>
  <c r="B21"/>
  <c r="C20"/>
  <c r="C19"/>
  <c r="C18"/>
  <c r="C17"/>
  <c r="B17"/>
  <c r="C16"/>
  <c r="C15"/>
  <c r="C14"/>
  <c r="B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<sst xmlns="http://schemas.openxmlformats.org/spreadsheetml/2006/main" count="11" uniqueCount="11">
  <si>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</si>
  <si>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</si>
  <si>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</si>
  <si>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</si>
  <si>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</si>
  <si>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</si>
  <si>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</si>
  <si>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</si>
  <si>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 xml:space="preserve"> Municipio de Origen</t>
  </si>
  <si>
    <t>Porcentaje de Matrículas</t>
  </si>
  <si>
    <t>MATRÍCULAS CONSULARES DE ALTA SEGURIDAD EXPEDIDAS EN EL ESTADO DE SOUTH DAKOTA POR ESTADO Y MUNICIPIO DE LA REPÚBLICA MEXICANA, 2010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</si>
</sst>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1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0" fontId="17" fillId="33" borderId="10" xfId="0" applyFont="1" applyFill="1" applyBorder="1" applyAlignment="1">
      <alignment horizontal="right" wrapText="1"/>
    </xf>
    <xf numFmtId="0" fontId="13" fillId="33" borderId="10" xfId="0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4" borderId="10" xfId="42" applyFont="1" applyFill="1" applyBorder="1" applyAlignment="1">
      <alignment horizontal="center" vertical="center" wrapText="1"/>
    </xf>
    <xf numFmtId="0" fontId="27" fillId="34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8" fillId="0" borderId="10" xfId="42" applyFont="1" applyBorder="1" applyAlignment="1"/>
    <xf numFmtId="0" fontId="22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45"/>
  <sheetViews>
    <sheetView showGridLines="0" tabSelected="1" workbookViewId="0">
      <selection activeCell="A8" sqref="A8"/>
    </sheetView>
  </sheetViews>
  <sheetFormatPr baseColWidth="10" defaultRowHeight="15"/>
  <cols>
    <col min="2" max="2" width="47.28515625" customWidth="1"/>
    <col min="3" max="3" width="17.85546875" customWidth="1"/>
    <col min="4" max="5" width="16.140625" bestFit="1" customWidth="1"/>
  </cols>
  <sheetData>
    <row r="1" spans="1:7">
      <c r="A1" s="10"/>
      <c r="B1" s="11"/>
      <c r="C1" s="10"/>
      <c r="D1" s="12"/>
      <c r="E1" s="12"/>
      <c r="F1" s="10"/>
    </row>
    <row r="2" spans="1:7">
      <c r="A2" s="10"/>
      <c r="B2" s="11"/>
      <c r="C2" s="10"/>
      <c r="D2" s="12"/>
      <c r="E2" s="12"/>
      <c r="F2" s="10"/>
    </row>
    <row r="3" spans="1:7">
      <c r="A3" s="10"/>
      <c r="B3" s="11"/>
      <c r="C3" s="10"/>
      <c r="D3" s="12"/>
      <c r="E3" s="12"/>
      <c r="F3" s="10"/>
    </row>
    <row r="4" spans="1:7">
      <c r="A4" s="10"/>
      <c r="B4" s="11"/>
      <c r="C4" s="10"/>
      <c r="D4" s="12"/>
      <c r="E4" s="12"/>
      <c r="F4" s="10"/>
    </row>
    <row r="5" spans="1:7" ht="16.5">
      <c r="B5" s="13"/>
      <c r="C5" s="14"/>
      <c r="D5" s="15"/>
      <c r="E5" s="15"/>
      <c r="F5" s="14"/>
    </row>
    <row r="6" spans="1:7">
      <c r="B6" s="16" t="s">
        <v>10</v>
      </c>
      <c r="C6" s="16"/>
      <c r="D6" s="16"/>
      <c r="E6" s="16"/>
      <c r="F6" s="14"/>
    </row>
    <row r="7" spans="1:7">
      <c r="A7" s="10"/>
      <c r="B7" s="17"/>
      <c r="C7" s="17"/>
      <c r="D7" s="17"/>
      <c r="E7" s="17"/>
      <c r="F7" s="10"/>
    </row>
    <row r="8" spans="1:7">
      <c r="A8" s="10"/>
      <c r="B8" s="18" t="s">
        <v>7</v>
      </c>
      <c r="C8" s="18" t="s">
        <v>8</v>
      </c>
      <c r="D8" s="19" t="s">
        <v>0</v>
      </c>
      <c r="E8" s="19" t="s">
        <v>9</v>
      </c>
      <c r="F8" s="10"/>
    </row>
    <row r="9" spans="1:7" ht="18" customHeight="1">
      <c r="A9" s="10"/>
      <c r="B9" s="20"/>
      <c r="C9" s="21"/>
      <c r="D9" s="22"/>
      <c r="E9" s="22"/>
      <c r="F9" s="23"/>
      <c r="G9" s="24"/>
    </row>
    <row r="10" spans="1:7">
      <c r="B10" s="25" t="str">
        <f>"AGUASCALIENTES"</f>
        <v>AGUASCALIENTES</v>
      </c>
      <c r="C10" s="1" t="str">
        <f>"AGUASCALIENTES"</f>
        <v>AGUASCALIENTES</v>
      </c>
      <c r="D10" s="2">
        <v>2</v>
      </c>
      <c r="E10" s="3">
        <v>1.0800000000000001E-2</v>
      </c>
    </row>
    <row r="11" spans="1:7">
      <c r="B11" s="26"/>
      <c r="C11" s="1" t="str">
        <f>"CALVILLO"</f>
        <v>CALVILLO</v>
      </c>
      <c r="D11" s="2">
        <v>2</v>
      </c>
      <c r="E11" s="3">
        <v>1.0800000000000001E-2</v>
      </c>
    </row>
    <row r="12" spans="1:7" ht="30">
      <c r="B12" s="26"/>
      <c r="C12" s="1" t="str">
        <f>"RINCON DE ROMOS"</f>
        <v>RINCON DE ROMOS</v>
      </c>
      <c r="D12" s="2">
        <v>1</v>
      </c>
      <c r="E12" s="3">
        <v>5.4000000000000003E-3</v>
      </c>
    </row>
    <row r="13" spans="1:7">
      <c r="B13" s="27"/>
      <c r="C13" s="28" t="str">
        <f>"Total"</f>
        <v>Total</v>
      </c>
      <c r="D13" s="29">
        <v>5</v>
      </c>
      <c r="E13" s="30">
        <v>2.69E-2</v>
      </c>
    </row>
    <row r="14" spans="1:7">
      <c r="B14" s="25" t="str">
        <f>"CHIAPAS"</f>
        <v>CHIAPAS</v>
      </c>
      <c r="C14" s="1" t="str">
        <f>"HUEHUETAN"</f>
        <v>HUEHUETAN</v>
      </c>
      <c r="D14" s="2">
        <v>1</v>
      </c>
      <c r="E14" s="3">
        <v>5.4000000000000003E-3</v>
      </c>
    </row>
    <row r="15" spans="1:7">
      <c r="B15" s="26"/>
      <c r="C15" s="1" t="str">
        <f>"TAPACHULA"</f>
        <v>TAPACHULA</v>
      </c>
      <c r="D15" s="2">
        <v>1</v>
      </c>
      <c r="E15" s="3">
        <v>5.4000000000000003E-3</v>
      </c>
    </row>
    <row r="16" spans="1:7">
      <c r="B16" s="27"/>
      <c r="C16" s="28" t="str">
        <f>"Total"</f>
        <v>Total</v>
      </c>
      <c r="D16" s="29">
        <v>2</v>
      </c>
      <c r="E16" s="30">
        <v>1.0800000000000001E-2</v>
      </c>
    </row>
    <row r="17" spans="2:5">
      <c r="B17" s="25" t="str">
        <f>"CHIHUAHUA"</f>
        <v>CHIHUAHUA</v>
      </c>
      <c r="C17" s="1" t="str">
        <f>"BACHINIVA"</f>
        <v>BACHINIVA</v>
      </c>
      <c r="D17" s="2">
        <v>1</v>
      </c>
      <c r="E17" s="3">
        <v>5.4000000000000003E-3</v>
      </c>
    </row>
    <row r="18" spans="2:5">
      <c r="B18" s="26"/>
      <c r="C18" s="1" t="str">
        <f>"CUAUHTEMOC"</f>
        <v>CUAUHTEMOC</v>
      </c>
      <c r="D18" s="2">
        <v>3</v>
      </c>
      <c r="E18" s="3">
        <v>1.61E-2</v>
      </c>
    </row>
    <row r="19" spans="2:5">
      <c r="B19" s="26"/>
      <c r="C19" s="1" t="str">
        <f>"NAMIQUIPA"</f>
        <v>NAMIQUIPA</v>
      </c>
      <c r="D19" s="2">
        <v>1</v>
      </c>
      <c r="E19" s="3">
        <v>5.4000000000000003E-3</v>
      </c>
    </row>
    <row r="20" spans="2:5">
      <c r="B20" s="27"/>
      <c r="C20" s="28" t="str">
        <f>"Total"</f>
        <v>Total</v>
      </c>
      <c r="D20" s="29">
        <v>5</v>
      </c>
      <c r="E20" s="30">
        <v>2.69E-2</v>
      </c>
    </row>
    <row r="21" spans="2:5">
      <c r="B21" s="25" t="str">
        <f>"COAHUILA DE ZARAGOZA"</f>
        <v>COAHUILA DE ZARAGOZA</v>
      </c>
      <c r="C21" s="1" t="str">
        <f>"MONCLOVA"</f>
        <v>MONCLOVA</v>
      </c>
      <c r="D21" s="2">
        <v>3</v>
      </c>
      <c r="E21" s="3">
        <v>1.61E-2</v>
      </c>
    </row>
    <row r="22" spans="2:5">
      <c r="B22" s="26"/>
      <c r="C22" s="1" t="str">
        <f>"TORREON"</f>
        <v>TORREON</v>
      </c>
      <c r="D22" s="2">
        <v>1</v>
      </c>
      <c r="E22" s="3">
        <v>5.4000000000000003E-3</v>
      </c>
    </row>
    <row r="23" spans="2:5">
      <c r="B23" s="27"/>
      <c r="C23" s="28" t="str">
        <f>"Total"</f>
        <v>Total</v>
      </c>
      <c r="D23" s="29">
        <v>4</v>
      </c>
      <c r="E23" s="30">
        <v>2.1499999999999998E-2</v>
      </c>
    </row>
    <row r="24" spans="2:5">
      <c r="B24" s="25" t="str">
        <f>"COLIMA"</f>
        <v>COLIMA</v>
      </c>
      <c r="C24" s="1" t="str">
        <f>"COLIMA"</f>
        <v>COLIMA</v>
      </c>
      <c r="D24" s="2">
        <v>1</v>
      </c>
      <c r="E24" s="3">
        <v>5.4000000000000003E-3</v>
      </c>
    </row>
    <row r="25" spans="2:5">
      <c r="B25" s="26"/>
      <c r="C25" s="1" t="str">
        <f>"TECOMAN"</f>
        <v>TECOMAN</v>
      </c>
      <c r="D25" s="2">
        <v>1</v>
      </c>
      <c r="E25" s="3">
        <v>5.4000000000000003E-3</v>
      </c>
    </row>
    <row r="26" spans="2:5">
      <c r="B26" s="27"/>
      <c r="C26" s="28" t="str">
        <f>"Total"</f>
        <v>Total</v>
      </c>
      <c r="D26" s="29">
        <v>2</v>
      </c>
      <c r="E26" s="30">
        <v>1.0800000000000001E-2</v>
      </c>
    </row>
    <row r="27" spans="2:5">
      <c r="B27" s="25" t="str">
        <f>"DISTRITO FEDERAL"</f>
        <v>DISTRITO FEDERAL</v>
      </c>
      <c r="C27" s="1" t="str">
        <f>"AZCAPOTZALCO"</f>
        <v>AZCAPOTZALCO</v>
      </c>
      <c r="D27" s="2">
        <v>1</v>
      </c>
      <c r="E27" s="3">
        <v>5.4000000000000003E-3</v>
      </c>
    </row>
    <row r="28" spans="2:5" ht="30">
      <c r="B28" s="26"/>
      <c r="C28" s="1" t="str">
        <f>"GUSTAVO A. MADERO"</f>
        <v>GUSTAVO A. MADERO</v>
      </c>
      <c r="D28" s="2">
        <v>6</v>
      </c>
      <c r="E28" s="3">
        <v>3.2300000000000002E-2</v>
      </c>
    </row>
    <row r="29" spans="2:5" ht="30">
      <c r="B29" s="26"/>
      <c r="C29" s="1" t="str">
        <f>"VENUSTIANO CARRANZA"</f>
        <v>VENUSTIANO CARRANZA</v>
      </c>
      <c r="D29" s="2">
        <v>1</v>
      </c>
      <c r="E29" s="3">
        <v>5.4000000000000003E-3</v>
      </c>
    </row>
    <row r="30" spans="2:5">
      <c r="B30" s="27"/>
      <c r="C30" s="28" t="str">
        <f>"Total"</f>
        <v>Total</v>
      </c>
      <c r="D30" s="29">
        <v>8</v>
      </c>
      <c r="E30" s="30">
        <v>4.2999999999999997E-2</v>
      </c>
    </row>
    <row r="31" spans="2:5">
      <c r="B31" s="25" t="str">
        <f t="shared" ref="B31:B38" si="0">"GUANAJUATO"</f>
        <v>GUANAJUATO</v>
      </c>
      <c r="C31" s="1" t="str">
        <f>"CELAYA"</f>
        <v>CELAYA</v>
      </c>
      <c r="D31" s="2">
        <v>1</v>
      </c>
      <c r="E31" s="3">
        <v>5.4000000000000003E-3</v>
      </c>
    </row>
    <row r="32" spans="2:5">
      <c r="B32" s="26"/>
      <c r="C32" s="1" t="str">
        <f>"GUANAJUATO"</f>
        <v>GUANAJUATO</v>
      </c>
      <c r="D32" s="2">
        <v>2</v>
      </c>
      <c r="E32" s="3">
        <v>1.0800000000000001E-2</v>
      </c>
    </row>
    <row r="33" spans="2:5">
      <c r="B33" s="26"/>
      <c r="C33" s="1" t="str">
        <f>"LEON"</f>
        <v>LEON</v>
      </c>
      <c r="D33" s="2">
        <v>9</v>
      </c>
      <c r="E33" s="3">
        <v>4.8399999999999999E-2</v>
      </c>
    </row>
    <row r="34" spans="2:5">
      <c r="B34" s="26"/>
      <c r="C34" s="1" t="str">
        <f>"PENJAMO"</f>
        <v>PENJAMO</v>
      </c>
      <c r="D34" s="2">
        <v>2</v>
      </c>
      <c r="E34" s="3">
        <v>1.0800000000000001E-2</v>
      </c>
    </row>
    <row r="35" spans="2:5" ht="30">
      <c r="B35" s="26"/>
      <c r="C35" s="1" t="str">
        <f>"SAN LUIS DE LA PAZ"</f>
        <v>SAN LUIS DE LA PAZ</v>
      </c>
      <c r="D35" s="2">
        <v>1</v>
      </c>
      <c r="E35" s="3">
        <v>5.4000000000000003E-3</v>
      </c>
    </row>
    <row r="36" spans="2:5" ht="30">
      <c r="B36" s="26"/>
      <c r="C36" s="1" t="str">
        <f>"VALLE DE SANTIAGO"</f>
        <v>VALLE DE SANTIAGO</v>
      </c>
      <c r="D36" s="2">
        <v>1</v>
      </c>
      <c r="E36" s="3">
        <v>5.4000000000000003E-3</v>
      </c>
    </row>
    <row r="37" spans="2:5">
      <c r="B37" s="26"/>
      <c r="C37" s="1" t="str">
        <f>"VILLAGRAN"</f>
        <v>VILLAGRAN</v>
      </c>
      <c r="D37" s="2">
        <v>1</v>
      </c>
      <c r="E37" s="3">
        <v>5.4000000000000003E-3</v>
      </c>
    </row>
    <row r="38" spans="2:5">
      <c r="B38" s="27"/>
      <c r="C38" s="28" t="str">
        <f>"Total"</f>
        <v>Total</v>
      </c>
      <c r="D38" s="29">
        <v>17</v>
      </c>
      <c r="E38" s="30">
        <v>9.1399999999999995E-2</v>
      </c>
    </row>
    <row r="39" spans="2:5" ht="30">
      <c r="B39" s="25" t="str">
        <f t="shared" ref="B39:B48" si="1">"GUERRERO"</f>
        <v>GUERRERO</v>
      </c>
      <c r="C39" s="1" t="str">
        <f>"ACAPULCO DE JUAREZ"</f>
        <v>ACAPULCO DE JUAREZ</v>
      </c>
      <c r="D39" s="2">
        <v>9</v>
      </c>
      <c r="E39" s="3">
        <v>4.8399999999999999E-2</v>
      </c>
    </row>
    <row r="40" spans="2:5">
      <c r="B40" s="26"/>
      <c r="C40" s="1" t="str">
        <f>"COPALILLO"</f>
        <v>COPALILLO</v>
      </c>
      <c r="D40" s="2">
        <v>3</v>
      </c>
      <c r="E40" s="3">
        <v>1.61E-2</v>
      </c>
    </row>
    <row r="41" spans="2:5" ht="30">
      <c r="B41" s="26"/>
      <c r="C41" s="1" t="str">
        <f>"GENERAL CANUTO A. NERI"</f>
        <v>GENERAL CANUTO A. NERI</v>
      </c>
      <c r="D41" s="2">
        <v>1</v>
      </c>
      <c r="E41" s="3">
        <v>5.4000000000000003E-3</v>
      </c>
    </row>
    <row r="42" spans="2:5" ht="30">
      <c r="B42" s="26"/>
      <c r="C42" s="1" t="str">
        <f>"HUITZUCO DE LOS FIGUEROA"</f>
        <v>HUITZUCO DE LOS FIGUEROA</v>
      </c>
      <c r="D42" s="2">
        <v>1</v>
      </c>
      <c r="E42" s="3">
        <v>5.4000000000000003E-3</v>
      </c>
    </row>
    <row r="43" spans="2:5">
      <c r="B43" s="26"/>
      <c r="C43" s="1" t="str">
        <f>"JOSE AZUETA"</f>
        <v>JOSE AZUETA</v>
      </c>
      <c r="D43" s="2">
        <v>1</v>
      </c>
      <c r="E43" s="3">
        <v>5.4000000000000003E-3</v>
      </c>
    </row>
    <row r="44" spans="2:5">
      <c r="B44" s="26"/>
      <c r="C44" s="1" t="str">
        <f>"JUAN R. ESCUDERO"</f>
        <v>JUAN R. ESCUDERO</v>
      </c>
      <c r="D44" s="2">
        <v>1</v>
      </c>
      <c r="E44" s="3">
        <v>5.4000000000000003E-3</v>
      </c>
    </row>
    <row r="45" spans="2:5">
      <c r="B45" s="26"/>
      <c r="C45" s="1" t="str">
        <f>"LEONARDO BRAVO"</f>
        <v>LEONARDO BRAVO</v>
      </c>
      <c r="D45" s="2">
        <v>1</v>
      </c>
      <c r="E45" s="3">
        <v>5.4000000000000003E-3</v>
      </c>
    </row>
    <row r="46" spans="2:5">
      <c r="B46" s="26"/>
      <c r="C46" s="1" t="str">
        <f>"PETATLAN"</f>
        <v>PETATLAN</v>
      </c>
      <c r="D46" s="2">
        <v>1</v>
      </c>
      <c r="E46" s="3">
        <v>5.4000000000000003E-3</v>
      </c>
    </row>
    <row r="47" spans="2:5" ht="30">
      <c r="B47" s="26"/>
      <c r="C47" s="1" t="str">
        <f>"TECPAN DE GALEANA"</f>
        <v>TECPAN DE GALEANA</v>
      </c>
      <c r="D47" s="2">
        <v>4</v>
      </c>
      <c r="E47" s="3">
        <v>2.1499999999999998E-2</v>
      </c>
    </row>
    <row r="48" spans="2:5">
      <c r="B48" s="27"/>
      <c r="C48" s="28" t="str">
        <f>"Total"</f>
        <v>Total</v>
      </c>
      <c r="D48" s="29">
        <v>22</v>
      </c>
      <c r="E48" s="30">
        <v>0.1183</v>
      </c>
    </row>
    <row r="49" spans="2:5" ht="30">
      <c r="B49" s="25" t="str">
        <f>"HIDALGO"</f>
        <v>HIDALGO</v>
      </c>
      <c r="C49" s="1" t="str">
        <f>"CUAUTEPEC DE HINOJOSA"</f>
        <v>CUAUTEPEC DE HINOJOSA</v>
      </c>
      <c r="D49" s="2">
        <v>1</v>
      </c>
      <c r="E49" s="3">
        <v>5.4000000000000003E-3</v>
      </c>
    </row>
    <row r="50" spans="2:5">
      <c r="B50" s="27"/>
      <c r="C50" s="28" t="str">
        <f>"Total"</f>
        <v>Total</v>
      </c>
      <c r="D50" s="29">
        <v>1</v>
      </c>
      <c r="E50" s="30">
        <v>5.4000000000000003E-3</v>
      </c>
    </row>
    <row r="51" spans="2:5" ht="30">
      <c r="B51" s="25" t="str">
        <f t="shared" ref="B51:B65" si="2">"JALISCO"</f>
        <v>JALISCO</v>
      </c>
      <c r="C51" s="1" t="str">
        <f>"AUTLAN DE NAVARRO"</f>
        <v>AUTLAN DE NAVARRO</v>
      </c>
      <c r="D51" s="2">
        <v>2</v>
      </c>
      <c r="E51" s="3">
        <v>1.0800000000000001E-2</v>
      </c>
    </row>
    <row r="52" spans="2:5">
      <c r="B52" s="26"/>
      <c r="C52" s="1" t="str">
        <f>"AYOTLAN"</f>
        <v>AYOTLAN</v>
      </c>
      <c r="D52" s="2">
        <v>2</v>
      </c>
      <c r="E52" s="3">
        <v>1.0800000000000001E-2</v>
      </c>
    </row>
    <row r="53" spans="2:5">
      <c r="B53" s="26"/>
      <c r="C53" s="1" t="str">
        <f>"CUAUTLA"</f>
        <v>CUAUTLA</v>
      </c>
      <c r="D53" s="2">
        <v>3</v>
      </c>
      <c r="E53" s="3">
        <v>1.61E-2</v>
      </c>
    </row>
    <row r="54" spans="2:5">
      <c r="B54" s="26"/>
      <c r="C54" s="1" t="str">
        <f>"GUADALAJARA"</f>
        <v>GUADALAJARA</v>
      </c>
      <c r="D54" s="2">
        <v>8</v>
      </c>
      <c r="E54" s="3">
        <v>4.2999999999999997E-2</v>
      </c>
    </row>
    <row r="55" spans="2:5">
      <c r="B55" s="26"/>
      <c r="C55" s="1" t="str">
        <f>"JESUS MARIA"</f>
        <v>JESUS MARIA</v>
      </c>
      <c r="D55" s="2">
        <v>4</v>
      </c>
      <c r="E55" s="3">
        <v>2.1499999999999998E-2</v>
      </c>
    </row>
    <row r="56" spans="2:5" ht="30">
      <c r="B56" s="26"/>
      <c r="C56" s="1" t="str">
        <f>"LAGOS DE MORENO"</f>
        <v>LAGOS DE MORENO</v>
      </c>
      <c r="D56" s="2">
        <v>1</v>
      </c>
      <c r="E56" s="3">
        <v>5.4000000000000003E-3</v>
      </c>
    </row>
    <row r="57" spans="2:5">
      <c r="B57" s="26"/>
      <c r="C57" s="1" t="str">
        <f>"PUERTO VALLARTA"</f>
        <v>PUERTO VALLARTA</v>
      </c>
      <c r="D57" s="2">
        <v>1</v>
      </c>
      <c r="E57" s="3">
        <v>5.4000000000000003E-3</v>
      </c>
    </row>
    <row r="58" spans="2:5">
      <c r="B58" s="26"/>
      <c r="C58" s="1" t="str">
        <f>"TALA"</f>
        <v>TALA</v>
      </c>
      <c r="D58" s="2">
        <v>4</v>
      </c>
      <c r="E58" s="3">
        <v>2.1499999999999998E-2</v>
      </c>
    </row>
    <row r="59" spans="2:5" ht="30">
      <c r="B59" s="26"/>
      <c r="C59" s="1" t="str">
        <f>"TEPATITLAN DE MORELOS"</f>
        <v>TEPATITLAN DE MORELOS</v>
      </c>
      <c r="D59" s="2">
        <v>1</v>
      </c>
      <c r="E59" s="3">
        <v>5.4000000000000003E-3</v>
      </c>
    </row>
    <row r="60" spans="2:5" ht="30">
      <c r="B60" s="26"/>
      <c r="C60" s="1" t="str">
        <f>"TLAJOMULCO DE ZUÑIGA"</f>
        <v>TLAJOMULCO DE ZUÑIGA</v>
      </c>
      <c r="D60" s="2">
        <v>1</v>
      </c>
      <c r="E60" s="3">
        <v>5.4000000000000003E-3</v>
      </c>
    </row>
    <row r="61" spans="2:5">
      <c r="B61" s="26"/>
      <c r="C61" s="1" t="str">
        <f>"TONALA"</f>
        <v>TONALA</v>
      </c>
      <c r="D61" s="2">
        <v>1</v>
      </c>
      <c r="E61" s="3">
        <v>5.4000000000000003E-3</v>
      </c>
    </row>
    <row r="62" spans="2:5" ht="30">
      <c r="B62" s="26"/>
      <c r="C62" s="1" t="str">
        <f>"UNION DE SAN ANTONIO"</f>
        <v>UNION DE SAN ANTONIO</v>
      </c>
      <c r="D62" s="2">
        <v>1</v>
      </c>
      <c r="E62" s="3">
        <v>5.4000000000000003E-3</v>
      </c>
    </row>
    <row r="63" spans="2:5">
      <c r="B63" s="26"/>
      <c r="C63" s="1" t="str">
        <f>"UNION DE TULA"</f>
        <v>UNION DE TULA</v>
      </c>
      <c r="D63" s="2">
        <v>1</v>
      </c>
      <c r="E63" s="3">
        <v>5.4000000000000003E-3</v>
      </c>
    </row>
    <row r="64" spans="2:5">
      <c r="B64" s="26"/>
      <c r="C64" s="1" t="str">
        <f>"ZAPOPAN"</f>
        <v>ZAPOPAN</v>
      </c>
      <c r="D64" s="2">
        <v>1</v>
      </c>
      <c r="E64" s="3">
        <v>5.4000000000000003E-3</v>
      </c>
    </row>
    <row r="65" spans="2:5">
      <c r="B65" s="27"/>
      <c r="C65" s="28" t="str">
        <f>"Total"</f>
        <v>Total</v>
      </c>
      <c r="D65" s="29">
        <v>31</v>
      </c>
      <c r="E65" s="30">
        <v>0.16669999999999999</v>
      </c>
    </row>
    <row r="66" spans="2:5">
      <c r="B66" s="25" t="str">
        <f>"MEXICO"</f>
        <v>MEXICO</v>
      </c>
      <c r="C66" s="1" t="str">
        <f>"TEMASCALTEPEC"</f>
        <v>TEMASCALTEPEC</v>
      </c>
      <c r="D66" s="2">
        <v>1</v>
      </c>
      <c r="E66" s="3">
        <v>5.4000000000000003E-3</v>
      </c>
    </row>
    <row r="67" spans="2:5">
      <c r="B67" s="26"/>
      <c r="C67" s="1" t="str">
        <f>"VILLA GUERRERO"</f>
        <v>VILLA GUERRERO</v>
      </c>
      <c r="D67" s="2">
        <v>3</v>
      </c>
      <c r="E67" s="3">
        <v>1.61E-2</v>
      </c>
    </row>
    <row r="68" spans="2:5">
      <c r="B68" s="27"/>
      <c r="C68" s="28" t="str">
        <f>"Total"</f>
        <v>Total</v>
      </c>
      <c r="D68" s="29">
        <v>4</v>
      </c>
      <c r="E68" s="30">
        <v>2.1499999999999998E-2</v>
      </c>
    </row>
    <row r="69" spans="2:5">
      <c r="B69" s="25" t="str">
        <f t="shared" ref="B69:B82" si="3">"MICHOACAN DE OCAMPO"</f>
        <v>MICHOACAN DE OCAMPO</v>
      </c>
      <c r="C69" s="1" t="str">
        <f>"APATZINGAN"</f>
        <v>APATZINGAN</v>
      </c>
      <c r="D69" s="2">
        <v>2</v>
      </c>
      <c r="E69" s="3">
        <v>1.0800000000000001E-2</v>
      </c>
    </row>
    <row r="70" spans="2:5">
      <c r="B70" s="26"/>
      <c r="C70" s="1" t="str">
        <f>"AQUILA"</f>
        <v>AQUILA</v>
      </c>
      <c r="D70" s="2">
        <v>4</v>
      </c>
      <c r="E70" s="3">
        <v>2.1499999999999998E-2</v>
      </c>
    </row>
    <row r="71" spans="2:5">
      <c r="B71" s="26"/>
      <c r="C71" s="1" t="str">
        <f>"COENEO"</f>
        <v>COENEO</v>
      </c>
      <c r="D71" s="2">
        <v>1</v>
      </c>
      <c r="E71" s="3">
        <v>5.4000000000000003E-3</v>
      </c>
    </row>
    <row r="72" spans="2:5">
      <c r="B72" s="26"/>
      <c r="C72" s="1" t="str">
        <f>"LA PIEDAD"</f>
        <v>LA PIEDAD</v>
      </c>
      <c r="D72" s="2">
        <v>2</v>
      </c>
      <c r="E72" s="3">
        <v>1.0800000000000001E-2</v>
      </c>
    </row>
    <row r="73" spans="2:5">
      <c r="B73" s="26"/>
      <c r="C73" s="1" t="str">
        <f>"MORELIA"</f>
        <v>MORELIA</v>
      </c>
      <c r="D73" s="2">
        <v>2</v>
      </c>
      <c r="E73" s="3">
        <v>1.0800000000000001E-2</v>
      </c>
    </row>
    <row r="74" spans="2:5">
      <c r="B74" s="26"/>
      <c r="C74" s="1" t="str">
        <f>"MUGICA"</f>
        <v>MUGICA</v>
      </c>
      <c r="D74" s="2">
        <v>1</v>
      </c>
      <c r="E74" s="3">
        <v>5.4000000000000003E-3</v>
      </c>
    </row>
    <row r="75" spans="2:5">
      <c r="B75" s="26"/>
      <c r="C75" s="1" t="str">
        <f>"PURUANDIRO"</f>
        <v>PURUANDIRO</v>
      </c>
      <c r="D75" s="2">
        <v>1</v>
      </c>
      <c r="E75" s="3">
        <v>5.4000000000000003E-3</v>
      </c>
    </row>
    <row r="76" spans="2:5">
      <c r="B76" s="26"/>
      <c r="C76" s="1" t="str">
        <f>"QUERENDARO"</f>
        <v>QUERENDARO</v>
      </c>
      <c r="D76" s="2">
        <v>1</v>
      </c>
      <c r="E76" s="3">
        <v>5.4000000000000003E-3</v>
      </c>
    </row>
    <row r="77" spans="2:5">
      <c r="B77" s="26"/>
      <c r="C77" s="1" t="str">
        <f>"TUXPAN"</f>
        <v>TUXPAN</v>
      </c>
      <c r="D77" s="2">
        <v>1</v>
      </c>
      <c r="E77" s="3">
        <v>5.4000000000000003E-3</v>
      </c>
    </row>
    <row r="78" spans="2:5">
      <c r="B78" s="26"/>
      <c r="C78" s="1" t="str">
        <f>"URUAPAN"</f>
        <v>URUAPAN</v>
      </c>
      <c r="D78" s="2">
        <v>1</v>
      </c>
      <c r="E78" s="3">
        <v>5.4000000000000003E-3</v>
      </c>
    </row>
    <row r="79" spans="2:5">
      <c r="B79" s="26"/>
      <c r="C79" s="1" t="str">
        <f>"ZINAPECUARO"</f>
        <v>ZINAPECUARO</v>
      </c>
      <c r="D79" s="2">
        <v>4</v>
      </c>
      <c r="E79" s="3">
        <v>2.1499999999999998E-2</v>
      </c>
    </row>
    <row r="80" spans="2:5">
      <c r="B80" s="26"/>
      <c r="C80" s="1" t="str">
        <f>"ZIRACUARETIRO"</f>
        <v>ZIRACUARETIRO</v>
      </c>
      <c r="D80" s="2">
        <v>1</v>
      </c>
      <c r="E80" s="3">
        <v>5.4000000000000003E-3</v>
      </c>
    </row>
    <row r="81" spans="2:5">
      <c r="B81" s="26"/>
      <c r="C81" s="1" t="str">
        <f>"ZITACUARO"</f>
        <v>ZITACUARO</v>
      </c>
      <c r="D81" s="2">
        <v>3</v>
      </c>
      <c r="E81" s="3">
        <v>1.61E-2</v>
      </c>
    </row>
    <row r="82" spans="2:5">
      <c r="B82" s="27"/>
      <c r="C82" s="28" t="str">
        <f>"Total"</f>
        <v>Total</v>
      </c>
      <c r="D82" s="29">
        <v>24</v>
      </c>
      <c r="E82" s="30">
        <v>0.129</v>
      </c>
    </row>
    <row r="83" spans="2:5">
      <c r="B83" s="25" t="str">
        <f>"MORELOS"</f>
        <v>MORELOS</v>
      </c>
      <c r="C83" s="1" t="str">
        <f>"CUAUTLA"</f>
        <v>CUAUTLA</v>
      </c>
      <c r="D83" s="2">
        <v>1</v>
      </c>
      <c r="E83" s="3">
        <v>5.4000000000000003E-3</v>
      </c>
    </row>
    <row r="84" spans="2:5">
      <c r="B84" s="26"/>
      <c r="C84" s="1" t="str">
        <f>"CUERNAVACA"</f>
        <v>CUERNAVACA</v>
      </c>
      <c r="D84" s="2">
        <v>1</v>
      </c>
      <c r="E84" s="3">
        <v>5.4000000000000003E-3</v>
      </c>
    </row>
    <row r="85" spans="2:5">
      <c r="B85" s="26"/>
      <c r="C85" s="1" t="str">
        <f>"JOJUTLA"</f>
        <v>JOJUTLA</v>
      </c>
      <c r="D85" s="2">
        <v>1</v>
      </c>
      <c r="E85" s="3">
        <v>5.4000000000000003E-3</v>
      </c>
    </row>
    <row r="86" spans="2:5">
      <c r="B86" s="26"/>
      <c r="C86" s="1" t="str">
        <f>"YAUTEPEC"</f>
        <v>YAUTEPEC</v>
      </c>
      <c r="D86" s="2">
        <v>1</v>
      </c>
      <c r="E86" s="3">
        <v>5.4000000000000003E-3</v>
      </c>
    </row>
    <row r="87" spans="2:5">
      <c r="B87" s="27"/>
      <c r="C87" s="28" t="str">
        <f>"Total"</f>
        <v>Total</v>
      </c>
      <c r="D87" s="29">
        <v>4</v>
      </c>
      <c r="E87" s="30">
        <v>2.1499999999999998E-2</v>
      </c>
    </row>
    <row r="88" spans="2:5">
      <c r="B88" s="25" t="str">
        <f>"NAYARIT"</f>
        <v>NAYARIT</v>
      </c>
      <c r="C88" s="1" t="str">
        <f>"COMPOSTELA"</f>
        <v>COMPOSTELA</v>
      </c>
      <c r="D88" s="2">
        <v>2</v>
      </c>
      <c r="E88" s="3">
        <v>1.0800000000000001E-2</v>
      </c>
    </row>
    <row r="89" spans="2:5">
      <c r="B89" s="26"/>
      <c r="C89" s="1" t="str">
        <f>"SAN BLAS"</f>
        <v>SAN BLAS</v>
      </c>
      <c r="D89" s="2">
        <v>1</v>
      </c>
      <c r="E89" s="3">
        <v>5.4000000000000003E-3</v>
      </c>
    </row>
    <row r="90" spans="2:5">
      <c r="B90" s="26"/>
      <c r="C90" s="1" t="str">
        <f>"TEPIC"</f>
        <v>TEPIC</v>
      </c>
      <c r="D90" s="2">
        <v>1</v>
      </c>
      <c r="E90" s="3">
        <v>5.4000000000000003E-3</v>
      </c>
    </row>
    <row r="91" spans="2:5">
      <c r="B91" s="27"/>
      <c r="C91" s="28" t="str">
        <f>"Total"</f>
        <v>Total</v>
      </c>
      <c r="D91" s="29">
        <v>4</v>
      </c>
      <c r="E91" s="30">
        <v>2.1499999999999998E-2</v>
      </c>
    </row>
    <row r="92" spans="2:5">
      <c r="B92" s="25" t="str">
        <f>"NUEVO LEON"</f>
        <v>NUEVO LEON</v>
      </c>
      <c r="C92" s="1" t="str">
        <f>"MONTERREY"</f>
        <v>MONTERREY</v>
      </c>
      <c r="D92" s="2">
        <v>1</v>
      </c>
      <c r="E92" s="3">
        <v>5.4000000000000003E-3</v>
      </c>
    </row>
    <row r="93" spans="2:5">
      <c r="B93" s="27"/>
      <c r="C93" s="28" t="str">
        <f>"Total"</f>
        <v>Total</v>
      </c>
      <c r="D93" s="29">
        <v>1</v>
      </c>
      <c r="E93" s="30">
        <v>5.4000000000000003E-3</v>
      </c>
    </row>
    <row r="94" spans="2:5" ht="30">
      <c r="B94" s="25" t="str">
        <f>"OAXACA"</f>
        <v>OAXACA</v>
      </c>
      <c r="C94" s="1" t="str">
        <f>"OAXACA DE JUAREZ"</f>
        <v>OAXACA DE JUAREZ</v>
      </c>
      <c r="D94" s="2">
        <v>2</v>
      </c>
      <c r="E94" s="3">
        <v>1.0800000000000001E-2</v>
      </c>
    </row>
    <row r="95" spans="2:5" ht="30">
      <c r="B95" s="26"/>
      <c r="C95" s="1" t="str">
        <f>"SANTO DOMINGO TONALA"</f>
        <v>SANTO DOMINGO TONALA</v>
      </c>
      <c r="D95" s="2">
        <v>2</v>
      </c>
      <c r="E95" s="3">
        <v>1.0800000000000001E-2</v>
      </c>
    </row>
    <row r="96" spans="2:5">
      <c r="B96" s="27"/>
      <c r="C96" s="28" t="str">
        <f>"Total"</f>
        <v>Total</v>
      </c>
      <c r="D96" s="29">
        <v>4</v>
      </c>
      <c r="E96" s="30">
        <v>2.1499999999999998E-2</v>
      </c>
    </row>
    <row r="97" spans="2:5">
      <c r="B97" s="25" t="str">
        <f t="shared" ref="B97:B104" si="4">"PUEBLA"</f>
        <v>PUEBLA</v>
      </c>
      <c r="C97" s="1" t="str">
        <f>"AJALPAN"</f>
        <v>AJALPAN</v>
      </c>
      <c r="D97" s="2">
        <v>2</v>
      </c>
      <c r="E97" s="3">
        <v>1.0800000000000001E-2</v>
      </c>
    </row>
    <row r="98" spans="2:5" ht="30">
      <c r="B98" s="26"/>
      <c r="C98" s="1" t="str">
        <f>"IZUCAR DE MATAMOROS"</f>
        <v>IZUCAR DE MATAMOROS</v>
      </c>
      <c r="D98" s="2">
        <v>3</v>
      </c>
      <c r="E98" s="3">
        <v>1.61E-2</v>
      </c>
    </row>
    <row r="99" spans="2:5">
      <c r="B99" s="26"/>
      <c r="C99" s="1" t="str">
        <f>"PUEBLA"</f>
        <v>PUEBLA</v>
      </c>
      <c r="D99" s="2">
        <v>1</v>
      </c>
      <c r="E99" s="3">
        <v>5.4000000000000003E-3</v>
      </c>
    </row>
    <row r="100" spans="2:5" ht="30">
      <c r="B100" s="26"/>
      <c r="C100" s="1" t="str">
        <f>"TEPANGO DE RODRIGUEZ"</f>
        <v>TEPANGO DE RODRIGUEZ</v>
      </c>
      <c r="D100" s="2">
        <v>1</v>
      </c>
      <c r="E100" s="3">
        <v>5.4000000000000003E-3</v>
      </c>
    </row>
    <row r="101" spans="2:5">
      <c r="B101" s="26"/>
      <c r="C101" s="1" t="str">
        <f>"ZACATLAN"</f>
        <v>ZACATLAN</v>
      </c>
      <c r="D101" s="2">
        <v>1</v>
      </c>
      <c r="E101" s="3">
        <v>5.4000000000000003E-3</v>
      </c>
    </row>
    <row r="102" spans="2:5">
      <c r="B102" s="26"/>
      <c r="C102" s="1" t="str">
        <f>"ZARAGOZA"</f>
        <v>ZARAGOZA</v>
      </c>
      <c r="D102" s="2">
        <v>2</v>
      </c>
      <c r="E102" s="3">
        <v>1.0800000000000001E-2</v>
      </c>
    </row>
    <row r="103" spans="2:5">
      <c r="B103" s="26"/>
      <c r="C103" s="1" t="str">
        <f>"ZOQUIAPAN"</f>
        <v>ZOQUIAPAN</v>
      </c>
      <c r="D103" s="2">
        <v>2</v>
      </c>
      <c r="E103" s="3">
        <v>1.0800000000000001E-2</v>
      </c>
    </row>
    <row r="104" spans="2:5">
      <c r="B104" s="27"/>
      <c r="C104" s="28" t="str">
        <f>"Total"</f>
        <v>Total</v>
      </c>
      <c r="D104" s="29">
        <v>12</v>
      </c>
      <c r="E104" s="30">
        <v>6.4500000000000002E-2</v>
      </c>
    </row>
    <row r="105" spans="2:5">
      <c r="B105" s="25" t="str">
        <f>"SAN LUIS POTOSI"</f>
        <v>SAN LUIS POTOSI</v>
      </c>
      <c r="C105" s="1" t="str">
        <f>"CERRITOS"</f>
        <v>CERRITOS</v>
      </c>
      <c r="D105" s="2">
        <v>2</v>
      </c>
      <c r="E105" s="3">
        <v>1.0800000000000001E-2</v>
      </c>
    </row>
    <row r="106" spans="2:5">
      <c r="B106" s="26"/>
      <c r="C106" s="1" t="str">
        <f>"CIUDAD DEL MAIZ"</f>
        <v>CIUDAD DEL MAIZ</v>
      </c>
      <c r="D106" s="2">
        <v>1</v>
      </c>
      <c r="E106" s="3">
        <v>5.4000000000000003E-3</v>
      </c>
    </row>
    <row r="107" spans="2:5" ht="30">
      <c r="B107" s="26"/>
      <c r="C107" s="1" t="str">
        <f>"CIUDAD FERNANDEZ"</f>
        <v>CIUDAD FERNANDEZ</v>
      </c>
      <c r="D107" s="2">
        <v>1</v>
      </c>
      <c r="E107" s="3">
        <v>5.4000000000000003E-3</v>
      </c>
    </row>
    <row r="108" spans="2:5">
      <c r="B108" s="26"/>
      <c r="C108" s="1" t="str">
        <f>"RIOVERDE"</f>
        <v>RIOVERDE</v>
      </c>
      <c r="D108" s="2">
        <v>2</v>
      </c>
      <c r="E108" s="3">
        <v>1.0800000000000001E-2</v>
      </c>
    </row>
    <row r="109" spans="2:5">
      <c r="B109" s="27"/>
      <c r="C109" s="28" t="str">
        <f>"Total"</f>
        <v>Total</v>
      </c>
      <c r="D109" s="29">
        <v>6</v>
      </c>
      <c r="E109" s="30">
        <v>3.2300000000000002E-2</v>
      </c>
    </row>
    <row r="110" spans="2:5">
      <c r="B110" s="25" t="str">
        <f>"SINALOA"</f>
        <v>SINALOA</v>
      </c>
      <c r="C110" s="1" t="str">
        <f>"MAZATLAN"</f>
        <v>MAZATLAN</v>
      </c>
      <c r="D110" s="2">
        <v>1</v>
      </c>
      <c r="E110" s="3">
        <v>5.4000000000000003E-3</v>
      </c>
    </row>
    <row r="111" spans="2:5">
      <c r="B111" s="27"/>
      <c r="C111" s="28" t="str">
        <f>"Total"</f>
        <v>Total</v>
      </c>
      <c r="D111" s="29">
        <v>1</v>
      </c>
      <c r="E111" s="30">
        <v>5.4000000000000003E-3</v>
      </c>
    </row>
    <row r="112" spans="2:5">
      <c r="B112" s="25" t="str">
        <f>"SONORA"</f>
        <v>SONORA</v>
      </c>
      <c r="C112" s="1" t="str">
        <f>"CAJEME"</f>
        <v>CAJEME</v>
      </c>
      <c r="D112" s="2">
        <v>1</v>
      </c>
      <c r="E112" s="3">
        <v>5.4000000000000003E-3</v>
      </c>
    </row>
    <row r="113" spans="2:5">
      <c r="B113" s="26"/>
      <c r="C113" s="1" t="str">
        <f>"HERMOSILLO"</f>
        <v>HERMOSILLO</v>
      </c>
      <c r="D113" s="2">
        <v>1</v>
      </c>
      <c r="E113" s="3">
        <v>5.4000000000000003E-3</v>
      </c>
    </row>
    <row r="114" spans="2:5">
      <c r="B114" s="27"/>
      <c r="C114" s="28" t="str">
        <f>"Total"</f>
        <v>Total</v>
      </c>
      <c r="D114" s="29">
        <v>2</v>
      </c>
      <c r="E114" s="30">
        <v>1.0800000000000001E-2</v>
      </c>
    </row>
    <row r="115" spans="2:5">
      <c r="B115" s="25" t="str">
        <f>"TABASCO"</f>
        <v>TABASCO</v>
      </c>
      <c r="C115" s="1" t="str">
        <f>"CARDENAS"</f>
        <v>CARDENAS</v>
      </c>
      <c r="D115" s="2">
        <v>1</v>
      </c>
      <c r="E115" s="3">
        <v>5.4000000000000003E-3</v>
      </c>
    </row>
    <row r="116" spans="2:5">
      <c r="B116" s="27"/>
      <c r="C116" s="28" t="str">
        <f>"Total"</f>
        <v>Total</v>
      </c>
      <c r="D116" s="29">
        <v>1</v>
      </c>
      <c r="E116" s="30">
        <v>5.4000000000000003E-3</v>
      </c>
    </row>
    <row r="117" spans="2:5">
      <c r="B117" s="25" t="str">
        <f t="shared" ref="B117:B122" si="5">"TAMAULIPAS"</f>
        <v>TAMAULIPAS</v>
      </c>
      <c r="C117" s="1" t="str">
        <f>"ALTAMIRA"</f>
        <v>ALTAMIRA</v>
      </c>
      <c r="D117" s="2">
        <v>1</v>
      </c>
      <c r="E117" s="3">
        <v>5.4000000000000003E-3</v>
      </c>
    </row>
    <row r="118" spans="2:5">
      <c r="B118" s="26"/>
      <c r="C118" s="1" t="str">
        <f>"EL MANTE"</f>
        <v>EL MANTE</v>
      </c>
      <c r="D118" s="2">
        <v>1</v>
      </c>
      <c r="E118" s="3">
        <v>5.4000000000000003E-3</v>
      </c>
    </row>
    <row r="119" spans="2:5">
      <c r="B119" s="26"/>
      <c r="C119" s="1" t="str">
        <f>"NUEVO LAREDO"</f>
        <v>NUEVO LAREDO</v>
      </c>
      <c r="D119" s="2">
        <v>3</v>
      </c>
      <c r="E119" s="3">
        <v>1.61E-2</v>
      </c>
    </row>
    <row r="120" spans="2:5">
      <c r="B120" s="26"/>
      <c r="C120" s="1" t="str">
        <f>"SAN CARLOS"</f>
        <v>SAN CARLOS</v>
      </c>
      <c r="D120" s="2">
        <v>1</v>
      </c>
      <c r="E120" s="3">
        <v>5.4000000000000003E-3</v>
      </c>
    </row>
    <row r="121" spans="2:5">
      <c r="B121" s="26"/>
      <c r="C121" s="1" t="str">
        <f>"TAMPICO"</f>
        <v>TAMPICO</v>
      </c>
      <c r="D121" s="2">
        <v>1</v>
      </c>
      <c r="E121" s="3">
        <v>5.4000000000000003E-3</v>
      </c>
    </row>
    <row r="122" spans="2:5">
      <c r="B122" s="27"/>
      <c r="C122" s="28" t="str">
        <f>"Total"</f>
        <v>Total</v>
      </c>
      <c r="D122" s="29">
        <v>7</v>
      </c>
      <c r="E122" s="30">
        <v>3.7600000000000001E-2</v>
      </c>
    </row>
    <row r="123" spans="2:5">
      <c r="B123" s="25" t="str">
        <f>"TLAXCALA"</f>
        <v>TLAXCALA</v>
      </c>
      <c r="C123" s="1" t="str">
        <f>"CALPULALPAN"</f>
        <v>CALPULALPAN</v>
      </c>
      <c r="D123" s="2">
        <v>1</v>
      </c>
      <c r="E123" s="3">
        <v>5.4000000000000003E-3</v>
      </c>
    </row>
    <row r="124" spans="2:5">
      <c r="B124" s="26"/>
      <c r="C124" s="1" t="str">
        <f>"NATIVITAS"</f>
        <v>NATIVITAS</v>
      </c>
      <c r="D124" s="2">
        <v>1</v>
      </c>
      <c r="E124" s="3">
        <v>5.4000000000000003E-3</v>
      </c>
    </row>
    <row r="125" spans="2:5">
      <c r="B125" s="27"/>
      <c r="C125" s="28" t="str">
        <f>"Total"</f>
        <v>Total</v>
      </c>
      <c r="D125" s="29">
        <v>2</v>
      </c>
      <c r="E125" s="30">
        <v>1.0800000000000001E-2</v>
      </c>
    </row>
    <row r="126" spans="2:5">
      <c r="B126" s="25" t="str">
        <f t="shared" ref="B126:B133" si="6">"VERACRUZ DE IGNACIO DE LA LLAVE"</f>
        <v>VERACRUZ DE IGNACIO DE LA LLAVE</v>
      </c>
      <c r="C126" s="1" t="str">
        <f>"ATZALAN"</f>
        <v>ATZALAN</v>
      </c>
      <c r="D126" s="2">
        <v>2</v>
      </c>
      <c r="E126" s="3">
        <v>1.0800000000000001E-2</v>
      </c>
    </row>
    <row r="127" spans="2:5" ht="30">
      <c r="B127" s="26"/>
      <c r="C127" s="1" t="str">
        <f>"CASTILLO DE TEAYO"</f>
        <v>CASTILLO DE TEAYO</v>
      </c>
      <c r="D127" s="2">
        <v>1</v>
      </c>
      <c r="E127" s="3">
        <v>5.4000000000000003E-3</v>
      </c>
    </row>
    <row r="128" spans="2:5">
      <c r="B128" s="26"/>
      <c r="C128" s="1" t="str">
        <f>"COATZACOALCOS"</f>
        <v>COATZACOALCOS</v>
      </c>
      <c r="D128" s="2">
        <v>1</v>
      </c>
      <c r="E128" s="3">
        <v>5.4000000000000003E-3</v>
      </c>
    </row>
    <row r="129" spans="2:5">
      <c r="B129" s="26"/>
      <c r="C129" s="1" t="str">
        <f>"CORDOBA"</f>
        <v>CORDOBA</v>
      </c>
      <c r="D129" s="2">
        <v>2</v>
      </c>
      <c r="E129" s="3">
        <v>1.0800000000000001E-2</v>
      </c>
    </row>
    <row r="130" spans="2:5" ht="30">
      <c r="B130" s="26"/>
      <c r="C130" s="1" t="str">
        <f>"IGNACIO DE LA LLAVE"</f>
        <v>IGNACIO DE LA LLAVE</v>
      </c>
      <c r="D130" s="2">
        <v>1</v>
      </c>
      <c r="E130" s="3">
        <v>5.4000000000000003E-3</v>
      </c>
    </row>
    <row r="131" spans="2:5" ht="30">
      <c r="B131" s="26"/>
      <c r="C131" s="1" t="str">
        <f>"MARTINEZ DE LA TORRE"</f>
        <v>MARTINEZ DE LA TORRE</v>
      </c>
      <c r="D131" s="2">
        <v>3</v>
      </c>
      <c r="E131" s="3">
        <v>1.61E-2</v>
      </c>
    </row>
    <row r="132" spans="2:5" ht="30">
      <c r="B132" s="26"/>
      <c r="C132" s="1" t="str">
        <f>"SOLEDAD DE DOBLADO"</f>
        <v>SOLEDAD DE DOBLADO</v>
      </c>
      <c r="D132" s="2">
        <v>2</v>
      </c>
      <c r="E132" s="3">
        <v>1.0800000000000001E-2</v>
      </c>
    </row>
    <row r="133" spans="2:5">
      <c r="B133" s="27"/>
      <c r="C133" s="28" t="str">
        <f>"Total"</f>
        <v>Total</v>
      </c>
      <c r="D133" s="29">
        <v>12</v>
      </c>
      <c r="E133" s="30">
        <v>6.4500000000000002E-2</v>
      </c>
    </row>
    <row r="134" spans="2:5">
      <c r="B134" s="25" t="str">
        <f>"ZACATECAS"</f>
        <v>ZACATECAS</v>
      </c>
      <c r="C134" s="1" t="str">
        <f>"FRESNILLO"</f>
        <v>FRESNILLO</v>
      </c>
      <c r="D134" s="2">
        <v>1</v>
      </c>
      <c r="E134" s="3">
        <v>5.4000000000000003E-3</v>
      </c>
    </row>
    <row r="135" spans="2:5">
      <c r="B135" s="26"/>
      <c r="C135" s="1" t="str">
        <f>"SAIN ALTO"</f>
        <v>SAIN ALTO</v>
      </c>
      <c r="D135" s="2">
        <v>1</v>
      </c>
      <c r="E135" s="3">
        <v>5.4000000000000003E-3</v>
      </c>
    </row>
    <row r="136" spans="2:5">
      <c r="B136" s="26"/>
      <c r="C136" s="1" t="str">
        <f>"VALPARAISO"</f>
        <v>VALPARAISO</v>
      </c>
      <c r="D136" s="2">
        <v>2</v>
      </c>
      <c r="E136" s="3">
        <v>1.0800000000000001E-2</v>
      </c>
    </row>
    <row r="137" spans="2:5">
      <c r="B137" s="26"/>
      <c r="C137" s="1" t="str">
        <f>"ZACATECAS"</f>
        <v>ZACATECAS</v>
      </c>
      <c r="D137" s="2">
        <v>1</v>
      </c>
      <c r="E137" s="3">
        <v>5.4000000000000003E-3</v>
      </c>
    </row>
    <row r="138" spans="2:5">
      <c r="B138" s="27"/>
      <c r="C138" s="28" t="str">
        <f>"Total"</f>
        <v>Total</v>
      </c>
      <c r="D138" s="29">
        <v>5</v>
      </c>
      <c r="E138" s="30">
        <v>2.69E-2</v>
      </c>
    </row>
    <row r="139" spans="2:5">
      <c r="B139" s="4" t="s">
        <v>1</v>
      </c>
      <c r="C139" s="5" t="str">
        <f>" "</f>
        <v> </v>
      </c>
      <c r="D139" s="6">
        <v>186</v>
      </c>
      <c r="E139" s="7">
        <v>1</v>
      </c>
    </row>
    <row r="141" spans="2:5" ht="16.5">
      <c r="B141" s="8" t="s">
        <v>2</v>
      </c>
      <c r="C141" s="9"/>
    </row>
    <row r="142" spans="2:5" ht="16.5">
      <c r="B142" s="8" t="s">
        <v>3</v>
      </c>
      <c r="C142" s="9"/>
    </row>
    <row r="143" spans="2:5" ht="16.5">
      <c r="B143" s="8" t="s">
        <v>4</v>
      </c>
      <c r="C143" s="9"/>
    </row>
    <row r="144" spans="2:5" ht="16.5">
      <c r="B144" s="8" t="s">
        <v>5</v>
      </c>
      <c r="C144" s="9"/>
    </row>
    <row r="145" spans="2:2">
      <c r="B145" s="8" t="s">
        <v>6</v>
      </c>
    </row>
  </sheetData>
  <mergeCells count="30">
    <mergeCell ref="B117:B122"/>
    <mergeCell ref="B123:B125"/>
    <mergeCell ref="B126:B133"/>
    <mergeCell ref="B134:B138"/>
    <mergeCell ref="B97:B104"/>
    <mergeCell ref="B105:B109"/>
    <mergeCell ref="B110:B111"/>
    <mergeCell ref="B112:B114"/>
    <mergeCell ref="B115:B116"/>
    <mergeCell ref="B69:B82"/>
    <mergeCell ref="B83:B87"/>
    <mergeCell ref="B88:B91"/>
    <mergeCell ref="B92:B93"/>
    <mergeCell ref="B94:B96"/>
    <mergeCell ref="B31:B38"/>
    <mergeCell ref="B39:B48"/>
    <mergeCell ref="B49:B50"/>
    <mergeCell ref="B51:B65"/>
    <mergeCell ref="B66:B68"/>
    <mergeCell ref="B14:B16"/>
    <mergeCell ref="B17:B20"/>
    <mergeCell ref="B21:B23"/>
    <mergeCell ref="B24:B26"/>
    <mergeCell ref="B27:B30"/>
    <mergeCell ref="B6:E7"/>
    <mergeCell ref="B8:B9"/>
    <mergeCell ref="C8:C9"/>
    <mergeCell ref="D8:D9"/>
    <mergeCell ref="E8:E9"/>
    <mergeCell ref="B10:B1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2012-03-13T21:27:03Z</dcterms:created>
  <dcterms:modified xsi:type="dcterms:W3CDTF">2012-03-15T22:06:11Z</dcterms:modified>
</cp:coreProperties>
</file>