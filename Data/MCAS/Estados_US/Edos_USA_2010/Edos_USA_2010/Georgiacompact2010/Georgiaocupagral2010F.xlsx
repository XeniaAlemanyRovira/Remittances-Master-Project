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5YV6W9" sheetId="2" r:id="rId1"/>
  </sheets>
  <calcPr calcId="125725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<sst xmlns="http://schemas.openxmlformats.org/spreadsheetml/2006/main" count="11" uniqueCount="11">
  <si>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</si>
  <si>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</si>
  <si>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</si>
  <si>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</si>
  <si>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</si>
  <si>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</si>
  <si>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</si>
  <si>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</si>
  <si>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</si>
  <si>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</si>
  <si>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GEORGIA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</si>
</sst>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40"/>
  <sheetViews>
    <sheetView showGridLines="0" tabSelected="1" workbookViewId="0">
      <selection activeCell="B7" sqref="B7:D7"/>
    </sheetView>
  </sheetViews>
  <sheetFormatPr baseColWidth="10" defaultRowHeight="15"/>
  <cols>
    <col min="2" max="2" width="39.28515625" customWidth="1"/>
    <col min="3" max="4" width="16.140625" bestFit="1" customWidth="1"/>
  </cols>
  <sheetData>
    <row r="5" spans="2:5">
      <c r="B5" s="5" t="s">
        <v>10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14861</v>
      </c>
      <c r="D10" s="3">
        <v>0.56820000000000004</v>
      </c>
    </row>
    <row r="11" spans="2:5">
      <c r="B11" s="1" t="str">
        <f>"CAJERO(A)"</f>
        <v>CAJERO(A)</v>
      </c>
      <c r="C11" s="2">
        <v>4266</v>
      </c>
      <c r="D11" s="3">
        <v>0.16309999999999999</v>
      </c>
    </row>
    <row r="12" spans="2:5">
      <c r="B12" s="1" t="str">
        <f>"HOGAR"</f>
        <v>HOGAR</v>
      </c>
      <c r="C12" s="2">
        <v>3650</v>
      </c>
      <c r="D12" s="3">
        <v>0.1396</v>
      </c>
    </row>
    <row r="13" spans="2:5">
      <c r="B13" s="1" t="str">
        <f>"OBRERO(A)"</f>
        <v>OBRERO(A)</v>
      </c>
      <c r="C13" s="4">
        <v>906</v>
      </c>
      <c r="D13" s="3">
        <v>3.4599999999999999E-2</v>
      </c>
    </row>
    <row r="14" spans="2:5">
      <c r="B14" s="1" t="str">
        <f>"ESTUDIANTE"</f>
        <v>ESTUDIANTE</v>
      </c>
      <c r="C14" s="4">
        <v>819</v>
      </c>
      <c r="D14" s="3">
        <v>3.1300000000000001E-2</v>
      </c>
    </row>
    <row r="15" spans="2:5">
      <c r="B15" s="1" t="str">
        <f>"OTRO"</f>
        <v>OTRO</v>
      </c>
      <c r="C15" s="4">
        <v>303</v>
      </c>
      <c r="D15" s="3">
        <v>1.1599999999999999E-2</v>
      </c>
    </row>
    <row r="16" spans="2:5">
      <c r="B16" s="1" t="str">
        <f>"ALBANIL"</f>
        <v>ALBANIL</v>
      </c>
      <c r="C16" s="4">
        <v>301</v>
      </c>
      <c r="D16" s="3">
        <v>1.15E-2</v>
      </c>
    </row>
    <row r="17" spans="2:4">
      <c r="B17" s="1" t="str">
        <f>"COCINERO(A)"</f>
        <v>COCINERO(A)</v>
      </c>
      <c r="C17" s="4">
        <v>210</v>
      </c>
      <c r="D17" s="3">
        <v>8.0000000000000002E-3</v>
      </c>
    </row>
    <row r="18" spans="2:4">
      <c r="B18" s="1" t="str">
        <f>"JARDINERO(A)"</f>
        <v>JARDINERO(A)</v>
      </c>
      <c r="C18" s="4">
        <v>200</v>
      </c>
      <c r="D18" s="3">
        <v>7.6E-3</v>
      </c>
    </row>
    <row r="19" spans="2:4">
      <c r="B19" s="1" t="str">
        <f>"PINTOR(A)"</f>
        <v>PINTOR(A)</v>
      </c>
      <c r="C19" s="4">
        <v>199</v>
      </c>
      <c r="D19" s="3">
        <v>7.6E-3</v>
      </c>
    </row>
    <row r="20" spans="2:4">
      <c r="B20" s="1" t="str">
        <f>"CAMPESINO(A)"</f>
        <v>CAMPESINO(A)</v>
      </c>
      <c r="C20" s="4">
        <v>189</v>
      </c>
      <c r="D20" s="3">
        <v>7.1999999999999998E-3</v>
      </c>
    </row>
    <row r="21" spans="2:4">
      <c r="B21" s="1" t="str">
        <f>"MESERO(A)"</f>
        <v>MESERO(A)</v>
      </c>
      <c r="C21" s="4">
        <v>118</v>
      </c>
      <c r="D21" s="3">
        <v>4.4999999999999997E-3</v>
      </c>
    </row>
    <row r="22" spans="2:4">
      <c r="B22" s="1" t="str">
        <f>"OPERARIO(A)"</f>
        <v>OPERARIO(A)</v>
      </c>
      <c r="C22" s="4">
        <v>30</v>
      </c>
      <c r="D22" s="3">
        <v>1.1000000000000001E-3</v>
      </c>
    </row>
    <row r="23" spans="2:4">
      <c r="B23" s="1" t="str">
        <f>"CHOFER"</f>
        <v>CHOFER</v>
      </c>
      <c r="C23" s="4">
        <v>27</v>
      </c>
      <c r="D23" s="3">
        <v>1E-3</v>
      </c>
    </row>
    <row r="24" spans="2:4">
      <c r="B24" s="1" t="str">
        <f>"COMERCIANTE"</f>
        <v>COMERCIANTE</v>
      </c>
      <c r="C24" s="4">
        <v>20</v>
      </c>
      <c r="D24" s="3">
        <v>8.0000000000000004E-4</v>
      </c>
    </row>
    <row r="25" spans="2:4">
      <c r="B25" s="1" t="str">
        <f>"PANADERO(A)"</f>
        <v>PANADERO(A)</v>
      </c>
      <c r="C25" s="4">
        <v>16</v>
      </c>
      <c r="D25" s="3">
        <v>5.9999999999999995E-4</v>
      </c>
    </row>
    <row r="26" spans="2:4">
      <c r="B26" s="1" t="str">
        <f>"PROFESIONISTA"</f>
        <v>PROFESIONISTA</v>
      </c>
      <c r="C26" s="4">
        <v>13</v>
      </c>
      <c r="D26" s="3">
        <v>5.0000000000000001E-4</v>
      </c>
    </row>
    <row r="27" spans="2:4">
      <c r="B27" s="1" t="str">
        <f>"JUBILADO(A)"</f>
        <v>JUBILADO(A)</v>
      </c>
      <c r="C27" s="4">
        <v>7</v>
      </c>
      <c r="D27" s="3">
        <v>2.9999999999999997E-4</v>
      </c>
    </row>
    <row r="28" spans="2:4">
      <c r="B28" s="1" t="str">
        <f>"SACERDOTE"</f>
        <v>SACERDOTE</v>
      </c>
      <c r="C28" s="4">
        <v>6</v>
      </c>
      <c r="D28" s="3">
        <v>2.0000000000000001E-4</v>
      </c>
    </row>
    <row r="29" spans="2:4">
      <c r="B29" s="1" t="str">
        <f>"TAXISTA"</f>
        <v>TAXISTA</v>
      </c>
      <c r="C29" s="4">
        <v>5</v>
      </c>
      <c r="D29" s="3">
        <v>2.0000000000000001E-4</v>
      </c>
    </row>
    <row r="30" spans="2:4">
      <c r="B30" s="1" t="str">
        <f>"CARNICERO"</f>
        <v>CARNICERO</v>
      </c>
      <c r="C30" s="4">
        <v>3</v>
      </c>
      <c r="D30" s="3">
        <v>1E-4</v>
      </c>
    </row>
    <row r="31" spans="2:4">
      <c r="B31" s="1" t="str">
        <f>"PLANCHADOR(A)"</f>
        <v>PLANCHADOR(A)</v>
      </c>
      <c r="C31" s="4">
        <v>2</v>
      </c>
      <c r="D31" s="3">
        <v>1E-4</v>
      </c>
    </row>
    <row r="32" spans="2:4">
      <c r="B32" s="1" t="str">
        <f>"MINISTRO(A)"</f>
        <v>MINISTRO(A)</v>
      </c>
      <c r="C32" s="4">
        <v>2</v>
      </c>
      <c r="D32" s="3">
        <v>1E-4</v>
      </c>
    </row>
    <row r="33" spans="2:4">
      <c r="B33" s="10" t="s">
        <v>1</v>
      </c>
      <c r="C33" s="11">
        <v>26153</v>
      </c>
      <c r="D33" s="12">
        <v>1</v>
      </c>
    </row>
    <row r="36" spans="2:4">
      <c r="B36" s="13" t="s">
        <v>5</v>
      </c>
    </row>
    <row r="37" spans="2:4">
      <c r="B37" s="13" t="s">
        <v>6</v>
      </c>
    </row>
    <row r="38" spans="2:4">
      <c r="B38" s="13" t="s">
        <v>7</v>
      </c>
    </row>
    <row r="39" spans="2:4">
      <c r="B39" s="13" t="s">
        <v>8</v>
      </c>
    </row>
    <row r="40" spans="2:4">
      <c r="B40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easCA5YV6W9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2012-03-02T21:22:16Z</dcterms:created>
  <dcterms:modified xsi:type="dcterms:W3CDTF">2012-03-05T20:40:50Z</dcterms:modified>
</cp:coreProperties>
</file>