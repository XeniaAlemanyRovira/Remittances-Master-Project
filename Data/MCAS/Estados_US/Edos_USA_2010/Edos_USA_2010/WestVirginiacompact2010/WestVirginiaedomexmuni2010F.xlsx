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9PWTKZ" sheetId="2" r:id="rId1"/>
  </sheets>
  <calcPr calcId="125725"/>
</workbook>
</file>

<file path=xl/calcChain.xml><?xml version="1.0" encoding="utf-8"?>
<calcChain xmlns="http://schemas.openxmlformats.org/spreadsheetml/2006/main">
  <c r="C110" i="2"/>
  <c r="C109"/>
  <c r="C108"/>
  <c r="B108"/>
  <c r="C107"/>
  <c r="C106"/>
  <c r="C105"/>
  <c r="C104"/>
  <c r="C103"/>
  <c r="C102"/>
  <c r="C101"/>
  <c r="C100"/>
  <c r="C99"/>
  <c r="C98"/>
  <c r="C97"/>
  <c r="C96"/>
  <c r="C95"/>
  <c r="C94"/>
  <c r="C93"/>
  <c r="B93"/>
  <c r="C92"/>
  <c r="C91"/>
  <c r="B91"/>
  <c r="C90"/>
  <c r="C89"/>
  <c r="B89"/>
  <c r="C88"/>
  <c r="C87"/>
  <c r="C86"/>
  <c r="C85"/>
  <c r="B85"/>
  <c r="C84"/>
  <c r="C83"/>
  <c r="C82"/>
  <c r="C81"/>
  <c r="C80"/>
  <c r="B80"/>
  <c r="C79"/>
  <c r="C78"/>
  <c r="C77"/>
  <c r="C76"/>
  <c r="C75"/>
  <c r="C74"/>
  <c r="C73"/>
  <c r="B73"/>
  <c r="C72"/>
  <c r="C71"/>
  <c r="C70"/>
  <c r="C69"/>
  <c r="C68"/>
  <c r="C67"/>
  <c r="B67"/>
  <c r="C66"/>
  <c r="C65"/>
  <c r="B65"/>
  <c r="C64"/>
  <c r="C63"/>
  <c r="C62"/>
  <c r="B62"/>
  <c r="C61"/>
  <c r="C60"/>
  <c r="C59"/>
  <c r="C58"/>
  <c r="C57"/>
  <c r="C56"/>
  <c r="C55"/>
  <c r="C54"/>
  <c r="B54"/>
  <c r="C53"/>
  <c r="C52"/>
  <c r="C51"/>
  <c r="C50"/>
  <c r="C49"/>
  <c r="C48"/>
  <c r="C47"/>
  <c r="C46"/>
  <c r="C45"/>
  <c r="C44"/>
  <c r="C43"/>
  <c r="B43"/>
  <c r="C42"/>
  <c r="C41"/>
  <c r="C40"/>
  <c r="B40"/>
  <c r="C39"/>
  <c r="C38"/>
  <c r="C37"/>
  <c r="C36"/>
  <c r="C35"/>
  <c r="B35"/>
  <c r="C34"/>
  <c r="C33"/>
  <c r="C32"/>
  <c r="C31"/>
  <c r="C30"/>
  <c r="C29"/>
  <c r="B29"/>
  <c r="C28"/>
  <c r="C27"/>
  <c r="C26"/>
  <c r="C25"/>
  <c r="C24"/>
  <c r="C23"/>
  <c r="C22"/>
  <c r="C21"/>
  <c r="B21"/>
  <c r="C20"/>
  <c r="C19"/>
  <c r="B19"/>
  <c r="C18"/>
  <c r="C17"/>
  <c r="C16"/>
  <c r="B16"/>
  <c r="C15"/>
  <c r="C14"/>
  <c r="B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<sst xmlns="http://schemas.openxmlformats.org/spreadsheetml/2006/main" count="11" uniqueCount="11">
  <si>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</si>
  <si>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</si>
  <si>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</si>
  <si>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</si>
  <si>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</si>
  <si>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</si>
  <si>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</si>
  <si>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Estado de Origen</t>
  </si>
  <si>
    <t xml:space="preserve"> Municipio de Origen</t>
  </si>
  <si>
    <t>Porcentaje de Matrículas</t>
  </si>
  <si>
    <t>MATRÍCULAS CONSULARES DE ALTA SEGURIDAD EXPEDIDAS EN EL ESTADO DE WEST VIRGINIA POR ESTADO Y MUNICIPIO DE LA REPÚBLICA MEXICANA, 2010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</si>
</sst>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7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8" fillId="0" borderId="10" xfId="42" applyFont="1" applyBorder="1" applyAlignment="1"/>
    <xf numFmtId="0" fontId="22" fillId="0" borderId="0" xfId="42" applyFill="1"/>
    <xf numFmtId="0" fontId="0" fillId="0" borderId="0" xfId="0" applyFill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showGridLines="0" tabSelected="1" workbookViewId="0">
      <selection activeCell="A8" sqref="A8"/>
    </sheetView>
  </sheetViews>
  <sheetFormatPr baseColWidth="10" defaultRowHeight="15"/>
  <cols>
    <col min="2" max="2" width="41.28515625" customWidth="1"/>
    <col min="3" max="3" width="17.8554687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12" t="s">
        <v>10</v>
      </c>
      <c r="C6" s="12"/>
      <c r="D6" s="12"/>
      <c r="E6" s="12"/>
      <c r="F6" s="10"/>
    </row>
    <row r="7" spans="1:7">
      <c r="A7" s="6"/>
      <c r="B7" s="13"/>
      <c r="C7" s="13"/>
      <c r="D7" s="13"/>
      <c r="E7" s="13"/>
      <c r="F7" s="6"/>
    </row>
    <row r="8" spans="1:7">
      <c r="A8" s="6"/>
      <c r="B8" s="14" t="s">
        <v>7</v>
      </c>
      <c r="C8" s="14" t="s">
        <v>8</v>
      </c>
      <c r="D8" s="15" t="s">
        <v>0</v>
      </c>
      <c r="E8" s="15" t="s">
        <v>9</v>
      </c>
      <c r="F8" s="6"/>
    </row>
    <row r="9" spans="1:7" ht="18" customHeight="1">
      <c r="A9" s="6"/>
      <c r="B9" s="16"/>
      <c r="C9" s="17"/>
      <c r="D9" s="18"/>
      <c r="E9" s="18"/>
      <c r="F9" s="19"/>
      <c r="G9" s="20"/>
    </row>
    <row r="10" spans="1:7">
      <c r="B10" s="21" t="str">
        <f>"CHIHUAHUA"</f>
        <v>CHIHUAHUA</v>
      </c>
      <c r="C10" s="1" t="str">
        <f>"CHIHUAHUA"</f>
        <v>CHIHUAHUA</v>
      </c>
      <c r="D10" s="2">
        <v>1</v>
      </c>
      <c r="E10" s="3">
        <v>7.0000000000000001E-3</v>
      </c>
    </row>
    <row r="11" spans="1:7">
      <c r="B11" s="22"/>
      <c r="C11" s="1" t="str">
        <f>"EL TULE"</f>
        <v>EL TULE</v>
      </c>
      <c r="D11" s="2">
        <v>1</v>
      </c>
      <c r="E11" s="3">
        <v>7.0000000000000001E-3</v>
      </c>
    </row>
    <row r="12" spans="1:7">
      <c r="B12" s="22"/>
      <c r="C12" s="1" t="str">
        <f>"JUAREZ"</f>
        <v>JUAREZ</v>
      </c>
      <c r="D12" s="2">
        <v>1</v>
      </c>
      <c r="E12" s="3">
        <v>7.0000000000000001E-3</v>
      </c>
    </row>
    <row r="13" spans="1:7">
      <c r="B13" s="23"/>
      <c r="C13" s="28" t="str">
        <f>"Total"</f>
        <v>Total</v>
      </c>
      <c r="D13" s="29">
        <v>3</v>
      </c>
      <c r="E13" s="30">
        <v>2.1100000000000001E-2</v>
      </c>
    </row>
    <row r="14" spans="1:7">
      <c r="B14" s="21" t="str">
        <f>"COAHUILA DE ZARAGOZA"</f>
        <v>COAHUILA DE ZARAGOZA</v>
      </c>
      <c r="C14" s="1" t="str">
        <f>"ARTEAGA"</f>
        <v>ARTEAGA</v>
      </c>
      <c r="D14" s="2">
        <v>1</v>
      </c>
      <c r="E14" s="3">
        <v>7.0000000000000001E-3</v>
      </c>
    </row>
    <row r="15" spans="1:7">
      <c r="B15" s="23"/>
      <c r="C15" s="28" t="str">
        <f>"Total"</f>
        <v>Total</v>
      </c>
      <c r="D15" s="29">
        <v>1</v>
      </c>
      <c r="E15" s="30">
        <v>7.0000000000000001E-3</v>
      </c>
    </row>
    <row r="16" spans="1:7">
      <c r="B16" s="21" t="str">
        <f>"DISTRITO FEDERAL"</f>
        <v>DISTRITO FEDERAL</v>
      </c>
      <c r="C16" s="1" t="str">
        <f>"ALVARO OBREGON"</f>
        <v>ALVARO OBREGON</v>
      </c>
      <c r="D16" s="2">
        <v>1</v>
      </c>
      <c r="E16" s="3">
        <v>7.0000000000000001E-3</v>
      </c>
    </row>
    <row r="17" spans="2:5" ht="30">
      <c r="B17" s="22"/>
      <c r="C17" s="1" t="str">
        <f>"GUSTAVO A. MADERO"</f>
        <v>GUSTAVO A. MADERO</v>
      </c>
      <c r="D17" s="2">
        <v>6</v>
      </c>
      <c r="E17" s="3">
        <v>4.2299999999999997E-2</v>
      </c>
    </row>
    <row r="18" spans="2:5">
      <c r="B18" s="23"/>
      <c r="C18" s="28" t="str">
        <f>"Total"</f>
        <v>Total</v>
      </c>
      <c r="D18" s="29">
        <v>7</v>
      </c>
      <c r="E18" s="30">
        <v>4.9299999999999997E-2</v>
      </c>
    </row>
    <row r="19" spans="2:5">
      <c r="B19" s="21" t="str">
        <f>"DURANGO"</f>
        <v>DURANGO</v>
      </c>
      <c r="C19" s="1" t="str">
        <f>"DURANGO"</f>
        <v>DURANGO</v>
      </c>
      <c r="D19" s="2">
        <v>2</v>
      </c>
      <c r="E19" s="3">
        <v>1.41E-2</v>
      </c>
    </row>
    <row r="20" spans="2:5">
      <c r="B20" s="23"/>
      <c r="C20" s="28" t="str">
        <f>"Total"</f>
        <v>Total</v>
      </c>
      <c r="D20" s="29">
        <v>2</v>
      </c>
      <c r="E20" s="30">
        <v>1.41E-2</v>
      </c>
    </row>
    <row r="21" spans="2:5">
      <c r="B21" s="21" t="str">
        <f t="shared" ref="B21:B28" si="0">"GUANAJUATO"</f>
        <v>GUANAJUATO</v>
      </c>
      <c r="C21" s="1" t="str">
        <f>"DOLORES HIDALGO"</f>
        <v>DOLORES HIDALGO</v>
      </c>
      <c r="D21" s="2">
        <v>3</v>
      </c>
      <c r="E21" s="3">
        <v>2.1100000000000001E-2</v>
      </c>
    </row>
    <row r="22" spans="2:5">
      <c r="B22" s="22"/>
      <c r="C22" s="1" t="str">
        <f>"HUANIMARO"</f>
        <v>HUANIMARO</v>
      </c>
      <c r="D22" s="2">
        <v>3</v>
      </c>
      <c r="E22" s="3">
        <v>2.1100000000000001E-2</v>
      </c>
    </row>
    <row r="23" spans="2:5">
      <c r="B23" s="22"/>
      <c r="C23" s="1" t="str">
        <f>"JERECUARO"</f>
        <v>JERECUARO</v>
      </c>
      <c r="D23" s="2">
        <v>4</v>
      </c>
      <c r="E23" s="3">
        <v>2.8199999999999999E-2</v>
      </c>
    </row>
    <row r="24" spans="2:5">
      <c r="B24" s="22"/>
      <c r="C24" s="1" t="str">
        <f>"LEON"</f>
        <v>LEON</v>
      </c>
      <c r="D24" s="2">
        <v>2</v>
      </c>
      <c r="E24" s="3">
        <v>1.41E-2</v>
      </c>
    </row>
    <row r="25" spans="2:5">
      <c r="B25" s="22"/>
      <c r="C25" s="1" t="str">
        <f>"PENJAMO"</f>
        <v>PENJAMO</v>
      </c>
      <c r="D25" s="2">
        <v>1</v>
      </c>
      <c r="E25" s="3">
        <v>7.0000000000000001E-3</v>
      </c>
    </row>
    <row r="26" spans="2:5" ht="30">
      <c r="B26" s="22"/>
      <c r="C26" s="1" t="str">
        <f>"PURISIMA DEL RINCON"</f>
        <v>PURISIMA DEL RINCON</v>
      </c>
      <c r="D26" s="2">
        <v>1</v>
      </c>
      <c r="E26" s="3">
        <v>7.0000000000000001E-3</v>
      </c>
    </row>
    <row r="27" spans="2:5">
      <c r="B27" s="22"/>
      <c r="C27" s="1" t="str">
        <f>"SALVATIERRA"</f>
        <v>SALVATIERRA</v>
      </c>
      <c r="D27" s="2">
        <v>5</v>
      </c>
      <c r="E27" s="3">
        <v>3.5200000000000002E-2</v>
      </c>
    </row>
    <row r="28" spans="2:5">
      <c r="B28" s="23"/>
      <c r="C28" s="28" t="str">
        <f>"Total"</f>
        <v>Total</v>
      </c>
      <c r="D28" s="29">
        <v>19</v>
      </c>
      <c r="E28" s="30">
        <v>0.1338</v>
      </c>
    </row>
    <row r="29" spans="2:5" ht="30">
      <c r="B29" s="21" t="str">
        <f t="shared" ref="B29:B34" si="1">"GUERRERO"</f>
        <v>GUERRERO</v>
      </c>
      <c r="C29" s="1" t="str">
        <f>"AJUCHITLAN DEL PROGRESO"</f>
        <v>AJUCHITLAN DEL PROGRESO</v>
      </c>
      <c r="D29" s="2">
        <v>1</v>
      </c>
      <c r="E29" s="3">
        <v>7.0000000000000001E-3</v>
      </c>
    </row>
    <row r="30" spans="2:5" ht="30">
      <c r="B30" s="22"/>
      <c r="C30" s="1" t="str">
        <f>"AYUTLA DE LOS LIBRES"</f>
        <v>AYUTLA DE LOS LIBRES</v>
      </c>
      <c r="D30" s="2">
        <v>1</v>
      </c>
      <c r="E30" s="3">
        <v>7.0000000000000001E-3</v>
      </c>
    </row>
    <row r="31" spans="2:5" ht="30">
      <c r="B31" s="22"/>
      <c r="C31" s="1" t="str">
        <f>"CUTZAMALA DE PINZON"</f>
        <v>CUTZAMALA DE PINZON</v>
      </c>
      <c r="D31" s="2">
        <v>4</v>
      </c>
      <c r="E31" s="3">
        <v>2.8199999999999999E-2</v>
      </c>
    </row>
    <row r="32" spans="2:5">
      <c r="B32" s="22"/>
      <c r="C32" s="1" t="str">
        <f>"PETATLAN"</f>
        <v>PETATLAN</v>
      </c>
      <c r="D32" s="2">
        <v>1</v>
      </c>
      <c r="E32" s="3">
        <v>7.0000000000000001E-3</v>
      </c>
    </row>
    <row r="33" spans="2:5">
      <c r="B33" s="22"/>
      <c r="C33" s="1" t="str">
        <f>"ZIRANDARO"</f>
        <v>ZIRANDARO</v>
      </c>
      <c r="D33" s="2">
        <v>1</v>
      </c>
      <c r="E33" s="3">
        <v>7.0000000000000001E-3</v>
      </c>
    </row>
    <row r="34" spans="2:5">
      <c r="B34" s="23"/>
      <c r="C34" s="28" t="str">
        <f>"Total"</f>
        <v>Total</v>
      </c>
      <c r="D34" s="29">
        <v>8</v>
      </c>
      <c r="E34" s="30">
        <v>5.6300000000000003E-2</v>
      </c>
    </row>
    <row r="35" spans="2:5">
      <c r="B35" s="21" t="str">
        <f>"HIDALGO"</f>
        <v>HIDALGO</v>
      </c>
      <c r="C35" s="1" t="str">
        <f>"ELOXOCHITLAN"</f>
        <v>ELOXOCHITLAN</v>
      </c>
      <c r="D35" s="2">
        <v>1</v>
      </c>
      <c r="E35" s="3">
        <v>7.0000000000000001E-3</v>
      </c>
    </row>
    <row r="36" spans="2:5">
      <c r="B36" s="22"/>
      <c r="C36" s="1" t="str">
        <f>"HUICHAPAN"</f>
        <v>HUICHAPAN</v>
      </c>
      <c r="D36" s="2">
        <v>3</v>
      </c>
      <c r="E36" s="3">
        <v>2.1100000000000001E-2</v>
      </c>
    </row>
    <row r="37" spans="2:5">
      <c r="B37" s="22"/>
      <c r="C37" s="1" t="str">
        <f>"METZTITLAN"</f>
        <v>METZTITLAN</v>
      </c>
      <c r="D37" s="2">
        <v>1</v>
      </c>
      <c r="E37" s="3">
        <v>7.0000000000000001E-3</v>
      </c>
    </row>
    <row r="38" spans="2:5" ht="30">
      <c r="B38" s="22"/>
      <c r="C38" s="1" t="str">
        <f>"ZACUALTIPAN DE ANGELES"</f>
        <v>ZACUALTIPAN DE ANGELES</v>
      </c>
      <c r="D38" s="2">
        <v>3</v>
      </c>
      <c r="E38" s="3">
        <v>2.1100000000000001E-2</v>
      </c>
    </row>
    <row r="39" spans="2:5">
      <c r="B39" s="23"/>
      <c r="C39" s="28" t="str">
        <f>"Total"</f>
        <v>Total</v>
      </c>
      <c r="D39" s="29">
        <v>8</v>
      </c>
      <c r="E39" s="30">
        <v>5.6300000000000003E-2</v>
      </c>
    </row>
    <row r="40" spans="2:5">
      <c r="B40" s="21" t="str">
        <f>"JALISCO"</f>
        <v>JALISCO</v>
      </c>
      <c r="C40" s="1" t="str">
        <f>"GUADALAJARA"</f>
        <v>GUADALAJARA</v>
      </c>
      <c r="D40" s="2">
        <v>2</v>
      </c>
      <c r="E40" s="3">
        <v>1.41E-2</v>
      </c>
    </row>
    <row r="41" spans="2:5">
      <c r="B41" s="22"/>
      <c r="C41" s="1" t="str">
        <f>"JESUS MARIA"</f>
        <v>JESUS MARIA</v>
      </c>
      <c r="D41" s="2">
        <v>3</v>
      </c>
      <c r="E41" s="3">
        <v>2.1100000000000001E-2</v>
      </c>
    </row>
    <row r="42" spans="2:5">
      <c r="B42" s="23"/>
      <c r="C42" s="28" t="str">
        <f>"Total"</f>
        <v>Total</v>
      </c>
      <c r="D42" s="29">
        <v>5</v>
      </c>
      <c r="E42" s="30">
        <v>3.5200000000000002E-2</v>
      </c>
    </row>
    <row r="43" spans="2:5" ht="30">
      <c r="B43" s="21" t="str">
        <f t="shared" ref="B43:B53" si="2">"MEXICO"</f>
        <v>MEXICO</v>
      </c>
      <c r="C43" s="1" t="str">
        <f>"ALMOLOYA DE ALQUISIRAS"</f>
        <v>ALMOLOYA DE ALQUISIRAS</v>
      </c>
      <c r="D43" s="2">
        <v>1</v>
      </c>
      <c r="E43" s="3">
        <v>7.0000000000000001E-3</v>
      </c>
    </row>
    <row r="44" spans="2:5">
      <c r="B44" s="22"/>
      <c r="C44" s="1" t="str">
        <f>"AMATEPEC"</f>
        <v>AMATEPEC</v>
      </c>
      <c r="D44" s="2">
        <v>1</v>
      </c>
      <c r="E44" s="3">
        <v>7.0000000000000001E-3</v>
      </c>
    </row>
    <row r="45" spans="2:5" ht="30">
      <c r="B45" s="22"/>
      <c r="C45" s="1" t="str">
        <f>"COACALCO DE BERRIOZABAL"</f>
        <v>COACALCO DE BERRIOZABAL</v>
      </c>
      <c r="D45" s="2">
        <v>1</v>
      </c>
      <c r="E45" s="3">
        <v>7.0000000000000001E-3</v>
      </c>
    </row>
    <row r="46" spans="2:5" ht="30">
      <c r="B46" s="22"/>
      <c r="C46" s="1" t="str">
        <f>"ECATEPEC DE MORELOS"</f>
        <v>ECATEPEC DE MORELOS</v>
      </c>
      <c r="D46" s="2">
        <v>1</v>
      </c>
      <c r="E46" s="3">
        <v>7.0000000000000001E-3</v>
      </c>
    </row>
    <row r="47" spans="2:5">
      <c r="B47" s="22"/>
      <c r="C47" s="1" t="str">
        <f>"NEZAHUALCOYOTL"</f>
        <v>NEZAHUALCOYOTL</v>
      </c>
      <c r="D47" s="2">
        <v>2</v>
      </c>
      <c r="E47" s="3">
        <v>1.41E-2</v>
      </c>
    </row>
    <row r="48" spans="2:5">
      <c r="B48" s="22"/>
      <c r="C48" s="1" t="str">
        <f>"SULTEPEC"</f>
        <v>SULTEPEC</v>
      </c>
      <c r="D48" s="2">
        <v>3</v>
      </c>
      <c r="E48" s="3">
        <v>2.1100000000000001E-2</v>
      </c>
    </row>
    <row r="49" spans="2:5">
      <c r="B49" s="22"/>
      <c r="C49" s="1" t="str">
        <f>"TEMASCALCINGO"</f>
        <v>TEMASCALCINGO</v>
      </c>
      <c r="D49" s="2">
        <v>1</v>
      </c>
      <c r="E49" s="3">
        <v>7.0000000000000001E-3</v>
      </c>
    </row>
    <row r="50" spans="2:5">
      <c r="B50" s="22"/>
      <c r="C50" s="1" t="str">
        <f>"TENANCINGO"</f>
        <v>TENANCINGO</v>
      </c>
      <c r="D50" s="2">
        <v>1</v>
      </c>
      <c r="E50" s="3">
        <v>7.0000000000000001E-3</v>
      </c>
    </row>
    <row r="51" spans="2:5">
      <c r="B51" s="22"/>
      <c r="C51" s="1" t="str">
        <f>"TEXCALTITLAN"</f>
        <v>TEXCALTITLAN</v>
      </c>
      <c r="D51" s="2">
        <v>1</v>
      </c>
      <c r="E51" s="3">
        <v>7.0000000000000001E-3</v>
      </c>
    </row>
    <row r="52" spans="2:5">
      <c r="B52" s="22"/>
      <c r="C52" s="1" t="str">
        <f>"TLATLAYA"</f>
        <v>TLATLAYA</v>
      </c>
      <c r="D52" s="2">
        <v>1</v>
      </c>
      <c r="E52" s="3">
        <v>7.0000000000000001E-3</v>
      </c>
    </row>
    <row r="53" spans="2:5">
      <c r="B53" s="23"/>
      <c r="C53" s="28" t="str">
        <f>"Total"</f>
        <v>Total</v>
      </c>
      <c r="D53" s="29">
        <v>13</v>
      </c>
      <c r="E53" s="30">
        <v>9.1499999999999998E-2</v>
      </c>
    </row>
    <row r="54" spans="2:5">
      <c r="B54" s="21" t="str">
        <f t="shared" ref="B54:B61" si="3">"MICHOACAN DE OCAMPO"</f>
        <v>MICHOACAN DE OCAMPO</v>
      </c>
      <c r="C54" s="1" t="str">
        <f>"LA PIEDAD"</f>
        <v>LA PIEDAD</v>
      </c>
      <c r="D54" s="2">
        <v>3</v>
      </c>
      <c r="E54" s="3">
        <v>2.1100000000000001E-2</v>
      </c>
    </row>
    <row r="55" spans="2:5">
      <c r="B55" s="22"/>
      <c r="C55" s="1" t="str">
        <f>"MORELIA"</f>
        <v>MORELIA</v>
      </c>
      <c r="D55" s="2">
        <v>1</v>
      </c>
      <c r="E55" s="3">
        <v>7.0000000000000001E-3</v>
      </c>
    </row>
    <row r="56" spans="2:5">
      <c r="B56" s="22"/>
      <c r="C56" s="1" t="str">
        <f>"PUREPERO"</f>
        <v>PUREPERO</v>
      </c>
      <c r="D56" s="2">
        <v>1</v>
      </c>
      <c r="E56" s="3">
        <v>7.0000000000000001E-3</v>
      </c>
    </row>
    <row r="57" spans="2:5">
      <c r="B57" s="22"/>
      <c r="C57" s="1" t="str">
        <f>"SAN LUCAS"</f>
        <v>SAN LUCAS</v>
      </c>
      <c r="D57" s="2">
        <v>4</v>
      </c>
      <c r="E57" s="3">
        <v>2.8199999999999999E-2</v>
      </c>
    </row>
    <row r="58" spans="2:5">
      <c r="B58" s="22"/>
      <c r="C58" s="1" t="str">
        <f>"SANTA ANA MAYA"</f>
        <v>SANTA ANA MAYA</v>
      </c>
      <c r="D58" s="2">
        <v>1</v>
      </c>
      <c r="E58" s="3">
        <v>7.0000000000000001E-3</v>
      </c>
    </row>
    <row r="59" spans="2:5">
      <c r="B59" s="22"/>
      <c r="C59" s="1" t="str">
        <f>"TUZANTLA"</f>
        <v>TUZANTLA</v>
      </c>
      <c r="D59" s="2">
        <v>1</v>
      </c>
      <c r="E59" s="3">
        <v>7.0000000000000001E-3</v>
      </c>
    </row>
    <row r="60" spans="2:5">
      <c r="B60" s="22"/>
      <c r="C60" s="1" t="str">
        <f>"ZAMORA"</f>
        <v>ZAMORA</v>
      </c>
      <c r="D60" s="2">
        <v>1</v>
      </c>
      <c r="E60" s="3">
        <v>7.0000000000000001E-3</v>
      </c>
    </row>
    <row r="61" spans="2:5">
      <c r="B61" s="23"/>
      <c r="C61" s="28" t="str">
        <f>"Total"</f>
        <v>Total</v>
      </c>
      <c r="D61" s="29">
        <v>12</v>
      </c>
      <c r="E61" s="30">
        <v>8.4500000000000006E-2</v>
      </c>
    </row>
    <row r="62" spans="2:5">
      <c r="B62" s="21" t="str">
        <f>"MORELOS"</f>
        <v>MORELOS</v>
      </c>
      <c r="C62" s="1" t="str">
        <f>"TLAQUILTENANGO"</f>
        <v>TLAQUILTENANGO</v>
      </c>
      <c r="D62" s="2">
        <v>1</v>
      </c>
      <c r="E62" s="3">
        <v>7.0000000000000001E-3</v>
      </c>
    </row>
    <row r="63" spans="2:5" ht="30">
      <c r="B63" s="22"/>
      <c r="C63" s="1" t="str">
        <f>"ZACATEPEC DE HIDALGO"</f>
        <v>ZACATEPEC DE HIDALGO</v>
      </c>
      <c r="D63" s="2">
        <v>1</v>
      </c>
      <c r="E63" s="3">
        <v>7.0000000000000001E-3</v>
      </c>
    </row>
    <row r="64" spans="2:5">
      <c r="B64" s="23"/>
      <c r="C64" s="28" t="str">
        <f>"Total"</f>
        <v>Total</v>
      </c>
      <c r="D64" s="29">
        <v>2</v>
      </c>
      <c r="E64" s="30">
        <v>1.41E-2</v>
      </c>
    </row>
    <row r="65" spans="2:5">
      <c r="B65" s="21" t="str">
        <f>"NUEVO LEON"</f>
        <v>NUEVO LEON</v>
      </c>
      <c r="C65" s="1" t="str">
        <f>"MONTERREY"</f>
        <v>MONTERREY</v>
      </c>
      <c r="D65" s="2">
        <v>1</v>
      </c>
      <c r="E65" s="3">
        <v>7.0000000000000001E-3</v>
      </c>
    </row>
    <row r="66" spans="2:5">
      <c r="B66" s="23"/>
      <c r="C66" s="28" t="str">
        <f>"Total"</f>
        <v>Total</v>
      </c>
      <c r="D66" s="29">
        <v>1</v>
      </c>
      <c r="E66" s="30">
        <v>7.0000000000000001E-3</v>
      </c>
    </row>
    <row r="67" spans="2:5" ht="30">
      <c r="B67" s="21" t="str">
        <f t="shared" ref="B67:B72" si="4">"OAXACA"</f>
        <v>OAXACA</v>
      </c>
      <c r="C67" s="1" t="str">
        <f>"OAXACA DE JUAREZ"</f>
        <v>OAXACA DE JUAREZ</v>
      </c>
      <c r="D67" s="2">
        <v>5</v>
      </c>
      <c r="E67" s="3">
        <v>3.5200000000000002E-2</v>
      </c>
    </row>
    <row r="68" spans="2:5" ht="30">
      <c r="B68" s="22"/>
      <c r="C68" s="1" t="str">
        <f>"PUTLA VILLA DE GUERRERO"</f>
        <v>PUTLA VILLA DE GUERRERO</v>
      </c>
      <c r="D68" s="2">
        <v>2</v>
      </c>
      <c r="E68" s="3">
        <v>1.41E-2</v>
      </c>
    </row>
    <row r="69" spans="2:5" ht="30">
      <c r="B69" s="22"/>
      <c r="C69" s="1" t="str">
        <f>"SAN PEDRO POCHUTLA"</f>
        <v>SAN PEDRO POCHUTLA</v>
      </c>
      <c r="D69" s="2">
        <v>1</v>
      </c>
      <c r="E69" s="3">
        <v>7.0000000000000001E-3</v>
      </c>
    </row>
    <row r="70" spans="2:5" ht="30">
      <c r="B70" s="22"/>
      <c r="C70" s="1" t="str">
        <f>"SANTA MARIA ZACATEPEC"</f>
        <v>SANTA MARIA ZACATEPEC</v>
      </c>
      <c r="D70" s="2">
        <v>2</v>
      </c>
      <c r="E70" s="3">
        <v>1.41E-2</v>
      </c>
    </row>
    <row r="71" spans="2:5" ht="30">
      <c r="B71" s="22"/>
      <c r="C71" s="1" t="str">
        <f>"SANTIAGO CHOAPAM"</f>
        <v>SANTIAGO CHOAPAM</v>
      </c>
      <c r="D71" s="2">
        <v>1</v>
      </c>
      <c r="E71" s="3">
        <v>7.0000000000000001E-3</v>
      </c>
    </row>
    <row r="72" spans="2:5">
      <c r="B72" s="23"/>
      <c r="C72" s="28" t="str">
        <f>"Total"</f>
        <v>Total</v>
      </c>
      <c r="D72" s="29">
        <v>11</v>
      </c>
      <c r="E72" s="30">
        <v>7.7499999999999999E-2</v>
      </c>
    </row>
    <row r="73" spans="2:5">
      <c r="B73" s="21" t="str">
        <f t="shared" ref="B73:B79" si="5">"PUEBLA"</f>
        <v>PUEBLA</v>
      </c>
      <c r="C73" s="1" t="str">
        <f>"ATLIXCO"</f>
        <v>ATLIXCO</v>
      </c>
      <c r="D73" s="2">
        <v>3</v>
      </c>
      <c r="E73" s="3">
        <v>2.1100000000000001E-2</v>
      </c>
    </row>
    <row r="74" spans="2:5">
      <c r="B74" s="22"/>
      <c r="C74" s="1" t="str">
        <f>"CHIAUTZINGO"</f>
        <v>CHIAUTZINGO</v>
      </c>
      <c r="D74" s="2">
        <v>1</v>
      </c>
      <c r="E74" s="3">
        <v>7.0000000000000001E-3</v>
      </c>
    </row>
    <row r="75" spans="2:5">
      <c r="B75" s="22"/>
      <c r="C75" s="1" t="str">
        <f>"HUEJOTZINGO"</f>
        <v>HUEJOTZINGO</v>
      </c>
      <c r="D75" s="2">
        <v>2</v>
      </c>
      <c r="E75" s="3">
        <v>1.41E-2</v>
      </c>
    </row>
    <row r="76" spans="2:5">
      <c r="B76" s="22"/>
      <c r="C76" s="1" t="str">
        <f>"IXTACAMAXTITLAN"</f>
        <v>IXTACAMAXTITLAN</v>
      </c>
      <c r="D76" s="2">
        <v>2</v>
      </c>
      <c r="E76" s="3">
        <v>1.41E-2</v>
      </c>
    </row>
    <row r="77" spans="2:5" ht="30">
      <c r="B77" s="22"/>
      <c r="C77" s="1" t="str">
        <f>"IZUCAR DE MATAMOROS"</f>
        <v>IZUCAR DE MATAMOROS</v>
      </c>
      <c r="D77" s="2">
        <v>1</v>
      </c>
      <c r="E77" s="3">
        <v>7.0000000000000001E-3</v>
      </c>
    </row>
    <row r="78" spans="2:5">
      <c r="B78" s="22"/>
      <c r="C78" s="1" t="str">
        <f>"TILAPA"</f>
        <v>TILAPA</v>
      </c>
      <c r="D78" s="2">
        <v>1</v>
      </c>
      <c r="E78" s="3">
        <v>7.0000000000000001E-3</v>
      </c>
    </row>
    <row r="79" spans="2:5">
      <c r="B79" s="23"/>
      <c r="C79" s="28" t="str">
        <f>"Total"</f>
        <v>Total</v>
      </c>
      <c r="D79" s="29">
        <v>10</v>
      </c>
      <c r="E79" s="30">
        <v>7.0400000000000004E-2</v>
      </c>
    </row>
    <row r="80" spans="2:5">
      <c r="B80" s="21" t="str">
        <f>"QUERETARO DE ARTEAGA"</f>
        <v>QUERETARO DE ARTEAGA</v>
      </c>
      <c r="C80" s="1" t="str">
        <f>"PINAL DE AMOLES"</f>
        <v>PINAL DE AMOLES</v>
      </c>
      <c r="D80" s="2">
        <v>1</v>
      </c>
      <c r="E80" s="3">
        <v>7.0000000000000001E-3</v>
      </c>
    </row>
    <row r="81" spans="2:5">
      <c r="B81" s="22"/>
      <c r="C81" s="1" t="str">
        <f>"QUERETARO"</f>
        <v>QUERETARO</v>
      </c>
      <c r="D81" s="2">
        <v>3</v>
      </c>
      <c r="E81" s="3">
        <v>2.1100000000000001E-2</v>
      </c>
    </row>
    <row r="82" spans="2:5">
      <c r="B82" s="22"/>
      <c r="C82" s="1" t="str">
        <f>"SAN JUAN DEL RIO"</f>
        <v>SAN JUAN DEL RIO</v>
      </c>
      <c r="D82" s="2">
        <v>1</v>
      </c>
      <c r="E82" s="3">
        <v>7.0000000000000001E-3</v>
      </c>
    </row>
    <row r="83" spans="2:5">
      <c r="B83" s="22"/>
      <c r="C83" s="1" t="str">
        <f>"TOLIMAN"</f>
        <v>TOLIMAN</v>
      </c>
      <c r="D83" s="2">
        <v>1</v>
      </c>
      <c r="E83" s="3">
        <v>7.0000000000000001E-3</v>
      </c>
    </row>
    <row r="84" spans="2:5">
      <c r="B84" s="23"/>
      <c r="C84" s="28" t="str">
        <f>"Total"</f>
        <v>Total</v>
      </c>
      <c r="D84" s="29">
        <v>6</v>
      </c>
      <c r="E84" s="30">
        <v>4.2299999999999997E-2</v>
      </c>
    </row>
    <row r="85" spans="2:5">
      <c r="B85" s="21" t="str">
        <f>"SAN LUIS POTOSI"</f>
        <v>SAN LUIS POTOSI</v>
      </c>
      <c r="C85" s="1" t="str">
        <f>"AQUISMON"</f>
        <v>AQUISMON</v>
      </c>
      <c r="D85" s="2">
        <v>13</v>
      </c>
      <c r="E85" s="3">
        <v>9.1499999999999998E-2</v>
      </c>
    </row>
    <row r="86" spans="2:5">
      <c r="B86" s="22"/>
      <c r="C86" s="1" t="str">
        <f>"MATLAPA"</f>
        <v>MATLAPA</v>
      </c>
      <c r="D86" s="2">
        <v>1</v>
      </c>
      <c r="E86" s="3">
        <v>7.0000000000000001E-3</v>
      </c>
    </row>
    <row r="87" spans="2:5">
      <c r="B87" s="22"/>
      <c r="C87" s="1" t="str">
        <f>"SALINAS"</f>
        <v>SALINAS</v>
      </c>
      <c r="D87" s="2">
        <v>1</v>
      </c>
      <c r="E87" s="3">
        <v>7.0000000000000001E-3</v>
      </c>
    </row>
    <row r="88" spans="2:5">
      <c r="B88" s="23"/>
      <c r="C88" s="28" t="str">
        <f>"Total"</f>
        <v>Total</v>
      </c>
      <c r="D88" s="29">
        <v>15</v>
      </c>
      <c r="E88" s="30">
        <v>0.1056</v>
      </c>
    </row>
    <row r="89" spans="2:5">
      <c r="B89" s="21" t="str">
        <f>"TABASCO"</f>
        <v>TABASCO</v>
      </c>
      <c r="C89" s="1" t="str">
        <f>"PARAISO"</f>
        <v>PARAISO</v>
      </c>
      <c r="D89" s="2">
        <v>1</v>
      </c>
      <c r="E89" s="3">
        <v>7.0000000000000001E-3</v>
      </c>
    </row>
    <row r="90" spans="2:5">
      <c r="B90" s="23"/>
      <c r="C90" s="28" t="str">
        <f>"Total"</f>
        <v>Total</v>
      </c>
      <c r="D90" s="29">
        <v>1</v>
      </c>
      <c r="E90" s="30">
        <v>7.0000000000000001E-3</v>
      </c>
    </row>
    <row r="91" spans="2:5">
      <c r="B91" s="21" t="str">
        <f>"TLAXCALA"</f>
        <v>TLAXCALA</v>
      </c>
      <c r="C91" s="1" t="str">
        <f>"TENANCINGO"</f>
        <v>TENANCINGO</v>
      </c>
      <c r="D91" s="2">
        <v>1</v>
      </c>
      <c r="E91" s="3">
        <v>7.0000000000000001E-3</v>
      </c>
    </row>
    <row r="92" spans="2:5">
      <c r="B92" s="23"/>
      <c r="C92" s="28" t="str">
        <f>"Total"</f>
        <v>Total</v>
      </c>
      <c r="D92" s="29">
        <v>1</v>
      </c>
      <c r="E92" s="30">
        <v>7.0000000000000001E-3</v>
      </c>
    </row>
    <row r="93" spans="2:5">
      <c r="B93" s="21" t="str">
        <f t="shared" ref="B93:B107" si="6">"VERACRUZ DE IGNACIO DE LA LLAVE"</f>
        <v>VERACRUZ DE IGNACIO DE LA LLAVE</v>
      </c>
      <c r="C93" s="1" t="str">
        <f>"ATZALAN"</f>
        <v>ATZALAN</v>
      </c>
      <c r="D93" s="2">
        <v>2</v>
      </c>
      <c r="E93" s="3">
        <v>1.41E-2</v>
      </c>
    </row>
    <row r="94" spans="2:5">
      <c r="B94" s="22"/>
      <c r="C94" s="1" t="str">
        <f>"CARRILLO PUERTO"</f>
        <v>CARRILLO PUERTO</v>
      </c>
      <c r="D94" s="2">
        <v>1</v>
      </c>
      <c r="E94" s="3">
        <v>7.0000000000000001E-3</v>
      </c>
    </row>
    <row r="95" spans="2:5">
      <c r="B95" s="22"/>
      <c r="C95" s="1" t="str">
        <f>"CORDOBA"</f>
        <v>CORDOBA</v>
      </c>
      <c r="D95" s="2">
        <v>1</v>
      </c>
      <c r="E95" s="3">
        <v>7.0000000000000001E-3</v>
      </c>
    </row>
    <row r="96" spans="2:5" ht="30">
      <c r="B96" s="22"/>
      <c r="C96" s="1" t="str">
        <f>"COSAMALOAPAN DE CARPIO"</f>
        <v>COSAMALOAPAN DE CARPIO</v>
      </c>
      <c r="D96" s="2">
        <v>1</v>
      </c>
      <c r="E96" s="3">
        <v>7.0000000000000001E-3</v>
      </c>
    </row>
    <row r="97" spans="2:5">
      <c r="B97" s="22"/>
      <c r="C97" s="1" t="str">
        <f>"HUAYACOCOTLA"</f>
        <v>HUAYACOCOTLA</v>
      </c>
      <c r="D97" s="2">
        <v>1</v>
      </c>
      <c r="E97" s="3">
        <v>7.0000000000000001E-3</v>
      </c>
    </row>
    <row r="98" spans="2:5">
      <c r="B98" s="22"/>
      <c r="C98" s="1" t="str">
        <f>"JOSE AZUETA"</f>
        <v>JOSE AZUETA</v>
      </c>
      <c r="D98" s="2">
        <v>1</v>
      </c>
      <c r="E98" s="3">
        <v>7.0000000000000001E-3</v>
      </c>
    </row>
    <row r="99" spans="2:5" ht="30">
      <c r="B99" s="22"/>
      <c r="C99" s="1" t="str">
        <f>"MANLIO FABIO ALTAMIRANO"</f>
        <v>MANLIO FABIO ALTAMIRANO</v>
      </c>
      <c r="D99" s="2">
        <v>1</v>
      </c>
      <c r="E99" s="3">
        <v>7.0000000000000001E-3</v>
      </c>
    </row>
    <row r="100" spans="2:5">
      <c r="B100" s="22"/>
      <c r="C100" s="1" t="str">
        <f>"MISANTLA"</f>
        <v>MISANTLA</v>
      </c>
      <c r="D100" s="2">
        <v>1</v>
      </c>
      <c r="E100" s="3">
        <v>7.0000000000000001E-3</v>
      </c>
    </row>
    <row r="101" spans="2:5">
      <c r="B101" s="22"/>
      <c r="C101" s="1" t="str">
        <f>"PLAYA VICENTE"</f>
        <v>PLAYA VICENTE</v>
      </c>
      <c r="D101" s="2">
        <v>1</v>
      </c>
      <c r="E101" s="3">
        <v>7.0000000000000001E-3</v>
      </c>
    </row>
    <row r="102" spans="2:5" ht="30">
      <c r="B102" s="22"/>
      <c r="C102" s="1" t="str">
        <f>"SAN JUAN EVANGELISTA"</f>
        <v>SAN JUAN EVANGELISTA</v>
      </c>
      <c r="D102" s="2">
        <v>1</v>
      </c>
      <c r="E102" s="3">
        <v>7.0000000000000001E-3</v>
      </c>
    </row>
    <row r="103" spans="2:5">
      <c r="B103" s="22"/>
      <c r="C103" s="1" t="str">
        <f>"TIERRA BLANCA"</f>
        <v>TIERRA BLANCA</v>
      </c>
      <c r="D103" s="2">
        <v>1</v>
      </c>
      <c r="E103" s="3">
        <v>7.0000000000000001E-3</v>
      </c>
    </row>
    <row r="104" spans="2:5">
      <c r="B104" s="22"/>
      <c r="C104" s="1" t="str">
        <f>"TLAPACOYAN"</f>
        <v>TLAPACOYAN</v>
      </c>
      <c r="D104" s="2">
        <v>1</v>
      </c>
      <c r="E104" s="3">
        <v>7.0000000000000001E-3</v>
      </c>
    </row>
    <row r="105" spans="2:5">
      <c r="B105" s="22"/>
      <c r="C105" s="1" t="str">
        <f>"VERACRUZ"</f>
        <v>VERACRUZ</v>
      </c>
      <c r="D105" s="2">
        <v>2</v>
      </c>
      <c r="E105" s="3">
        <v>1.41E-2</v>
      </c>
    </row>
    <row r="106" spans="2:5">
      <c r="B106" s="22"/>
      <c r="C106" s="1" t="str">
        <f>"XALAPA"</f>
        <v>XALAPA</v>
      </c>
      <c r="D106" s="2">
        <v>1</v>
      </c>
      <c r="E106" s="3">
        <v>7.0000000000000001E-3</v>
      </c>
    </row>
    <row r="107" spans="2:5">
      <c r="B107" s="23"/>
      <c r="C107" s="28" t="str">
        <f>"Total"</f>
        <v>Total</v>
      </c>
      <c r="D107" s="29">
        <v>16</v>
      </c>
      <c r="E107" s="30">
        <v>0.11269999999999999</v>
      </c>
    </row>
    <row r="108" spans="2:5">
      <c r="B108" s="21" t="str">
        <f>"ZACATECAS"</f>
        <v>ZACATECAS</v>
      </c>
      <c r="C108" s="1" t="str">
        <f>"MIGUEL AUZA"</f>
        <v>MIGUEL AUZA</v>
      </c>
      <c r="D108" s="2">
        <v>1</v>
      </c>
      <c r="E108" s="3">
        <v>7.0000000000000001E-3</v>
      </c>
    </row>
    <row r="109" spans="2:5">
      <c r="B109" s="23"/>
      <c r="C109" s="28" t="str">
        <f>"Total"</f>
        <v>Total</v>
      </c>
      <c r="D109" s="29">
        <v>1</v>
      </c>
      <c r="E109" s="30">
        <v>7.0000000000000001E-3</v>
      </c>
    </row>
    <row r="110" spans="2:5">
      <c r="B110" s="24" t="s">
        <v>1</v>
      </c>
      <c r="C110" s="25" t="str">
        <f>" "</f>
        <v> </v>
      </c>
      <c r="D110" s="26">
        <v>142</v>
      </c>
      <c r="E110" s="27">
        <v>1</v>
      </c>
    </row>
    <row r="112" spans="2:5" ht="16.5">
      <c r="B112" s="4" t="s">
        <v>2</v>
      </c>
      <c r="C112" s="5"/>
    </row>
    <row r="113" spans="2:3" ht="16.5">
      <c r="B113" s="4" t="s">
        <v>3</v>
      </c>
      <c r="C113" s="5"/>
    </row>
    <row r="114" spans="2:3" ht="16.5">
      <c r="B114" s="4" t="s">
        <v>4</v>
      </c>
      <c r="C114" s="5"/>
    </row>
    <row r="115" spans="2:3" ht="16.5">
      <c r="B115" s="4" t="s">
        <v>5</v>
      </c>
      <c r="C115" s="5"/>
    </row>
    <row r="116" spans="2:3">
      <c r="B116" s="4" t="s">
        <v>6</v>
      </c>
    </row>
  </sheetData>
  <mergeCells count="25">
    <mergeCell ref="B89:B90"/>
    <mergeCell ref="B91:B92"/>
    <mergeCell ref="B93:B107"/>
    <mergeCell ref="B108:B109"/>
    <mergeCell ref="B65:B66"/>
    <mergeCell ref="B67:B72"/>
    <mergeCell ref="B73:B79"/>
    <mergeCell ref="B80:B84"/>
    <mergeCell ref="B85:B88"/>
    <mergeCell ref="B35:B39"/>
    <mergeCell ref="B40:B42"/>
    <mergeCell ref="B43:B53"/>
    <mergeCell ref="B54:B61"/>
    <mergeCell ref="B62:B64"/>
    <mergeCell ref="B14:B15"/>
    <mergeCell ref="B16:B18"/>
    <mergeCell ref="B19:B20"/>
    <mergeCell ref="B21:B28"/>
    <mergeCell ref="B29:B34"/>
    <mergeCell ref="B6:E7"/>
    <mergeCell ref="B8:B9"/>
    <mergeCell ref="C8:C9"/>
    <mergeCell ref="D8:D9"/>
    <mergeCell ref="E8:E9"/>
    <mergeCell ref="B10:B13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easCA9PWTKZ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2012-03-13T21:48:29Z</dcterms:created>
  <dcterms:modified xsi:type="dcterms:W3CDTF">2012-03-16T18:58:14Z</dcterms:modified>
</cp:coreProperties>
</file>