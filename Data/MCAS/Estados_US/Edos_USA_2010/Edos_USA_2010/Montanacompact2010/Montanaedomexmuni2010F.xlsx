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L86WZ5" sheetId="2" r:id="rId1"/>
  </sheets>
  <calcPr calcId="125725"/>
</workbook>
</file>

<file path=xl/calcChain.xml><?xml version="1.0" encoding="utf-8"?>
<calcChain xmlns="http://schemas.openxmlformats.org/spreadsheetml/2006/main">
  <c r="C47" i="2"/>
  <c r="C46"/>
  <c r="C45"/>
  <c r="B45"/>
  <c r="C44"/>
  <c r="C43"/>
  <c r="C42"/>
  <c r="C41"/>
  <c r="C40"/>
  <c r="C39"/>
  <c r="B39"/>
  <c r="C38"/>
  <c r="C37"/>
  <c r="B37"/>
  <c r="C36"/>
  <c r="C35"/>
  <c r="B35"/>
  <c r="C34"/>
  <c r="C33"/>
  <c r="B33"/>
  <c r="C32"/>
  <c r="C31"/>
  <c r="B31"/>
  <c r="C30"/>
  <c r="C29"/>
  <c r="C28"/>
  <c r="C27"/>
  <c r="B27"/>
  <c r="C26"/>
  <c r="C25"/>
  <c r="C24"/>
  <c r="C23"/>
  <c r="B23"/>
  <c r="C22"/>
  <c r="C21"/>
  <c r="C20"/>
  <c r="B20"/>
  <c r="C19"/>
  <c r="C18"/>
  <c r="C17"/>
  <c r="B17"/>
  <c r="C16"/>
  <c r="C15"/>
  <c r="B15"/>
  <c r="C14"/>
  <c r="C13"/>
  <c r="C12"/>
  <c r="B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<sst xmlns="http://schemas.openxmlformats.org/spreadsheetml/2006/main" count="11" uniqueCount="11">
  <si>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</si>
  <si>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</si>
  <si>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</si>
  <si>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</si>
  <si>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</si>
  <si>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de Origen</t>
  </si>
  <si>
    <t xml:space="preserve"> Municipio de Origen</t>
  </si>
  <si>
    <t>Porcentaje de Matrículas</t>
  </si>
  <si>
    <t>MATRÍCULAS CONSULARES DE ALTA SEGURIDAD EXPEDIDAS EN EL ESTADO DE MONTANA POR ESTADO Y MUNICIPIO DE LA REPÚBLICA MEXICANA, 2010</t>
  </si>
  <si>
    <t>TOTAL</t>
  </si>
  <si>
    <t>Marzo del 2012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</si>
</sst>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1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10" xfId="0" applyFont="1" applyBorder="1" applyAlignment="1">
      <alignment wrapText="1"/>
    </xf>
    <xf numFmtId="0" fontId="20" fillId="0" borderId="10" xfId="0" applyFont="1" applyBorder="1" applyAlignment="1">
      <alignment horizontal="right" wrapText="1"/>
    </xf>
    <xf numFmtId="10" fontId="20" fillId="0" borderId="10" xfId="0" applyNumberFormat="1" applyFont="1" applyBorder="1" applyAlignment="1">
      <alignment horizontal="right" wrapText="1"/>
    </xf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20" fillId="0" borderId="0" xfId="0" applyFont="1" applyAlignment="1"/>
    <xf numFmtId="0" fontId="22" fillId="0" borderId="0" xfId="42" applyFill="1"/>
    <xf numFmtId="0" fontId="0" fillId="0" borderId="0" xfId="0" applyFill="1"/>
    <xf numFmtId="0" fontId="21" fillId="34" borderId="10" xfId="0" applyFont="1" applyFill="1" applyBorder="1" applyAlignment="1">
      <alignment wrapText="1"/>
    </xf>
    <xf numFmtId="0" fontId="21" fillId="34" borderId="10" xfId="0" applyFont="1" applyFill="1" applyBorder="1" applyAlignment="1">
      <alignment horizontal="right" wrapText="1"/>
    </xf>
    <xf numFmtId="10" fontId="21" fillId="34" borderId="10" xfId="0" applyNumberFormat="1" applyFont="1" applyFill="1" applyBorder="1" applyAlignment="1">
      <alignment horizontal="right" wrapText="1"/>
    </xf>
    <xf numFmtId="0" fontId="20" fillId="0" borderId="12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7" fillId="33" borderId="10" xfId="42" applyFont="1" applyFill="1" applyBorder="1" applyAlignment="1">
      <alignment horizontal="center" vertical="center" wrapText="1"/>
    </xf>
    <xf numFmtId="0" fontId="28" fillId="0" borderId="10" xfId="42" applyFont="1" applyBorder="1" applyAlignment="1"/>
    <xf numFmtId="0" fontId="13" fillId="35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right" wrapText="1"/>
    </xf>
    <xf numFmtId="0" fontId="13" fillId="35" borderId="10" xfId="0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53"/>
  <sheetViews>
    <sheetView showGridLines="0" tabSelected="1" workbookViewId="0">
      <selection activeCell="A8" sqref="A8"/>
    </sheetView>
  </sheetViews>
  <sheetFormatPr baseColWidth="10" defaultRowHeight="15"/>
  <cols>
    <col min="2" max="2" width="52.85546875" customWidth="1"/>
    <col min="3" max="3" width="26.85546875" customWidth="1"/>
    <col min="4" max="5" width="16.140625" bestFit="1" customWidth="1"/>
  </cols>
  <sheetData>
    <row r="1" spans="1:7">
      <c r="A1" s="6"/>
      <c r="B1" s="7"/>
      <c r="C1" s="6"/>
      <c r="D1" s="8"/>
      <c r="E1" s="8"/>
      <c r="F1" s="6"/>
    </row>
    <row r="2" spans="1:7">
      <c r="A2" s="6"/>
      <c r="B2" s="7"/>
      <c r="C2" s="6"/>
      <c r="D2" s="8"/>
      <c r="E2" s="8"/>
      <c r="F2" s="6"/>
    </row>
    <row r="3" spans="1:7">
      <c r="A3" s="6"/>
      <c r="B3" s="7"/>
      <c r="C3" s="6"/>
      <c r="D3" s="8"/>
      <c r="E3" s="8"/>
      <c r="F3" s="6"/>
    </row>
    <row r="4" spans="1:7">
      <c r="A4" s="6"/>
      <c r="B4" s="7"/>
      <c r="C4" s="6"/>
      <c r="D4" s="8"/>
      <c r="E4" s="8"/>
      <c r="F4" s="6"/>
    </row>
    <row r="5" spans="1:7" ht="16.5">
      <c r="B5" s="9"/>
      <c r="C5" s="10"/>
      <c r="D5" s="11"/>
      <c r="E5" s="11"/>
      <c r="F5" s="10"/>
    </row>
    <row r="6" spans="1:7">
      <c r="B6" s="20" t="s">
        <v>8</v>
      </c>
      <c r="C6" s="20"/>
      <c r="D6" s="20"/>
      <c r="E6" s="20"/>
      <c r="F6" s="10"/>
    </row>
    <row r="7" spans="1:7">
      <c r="A7" s="6"/>
      <c r="B7" s="21"/>
      <c r="C7" s="21"/>
      <c r="D7" s="21"/>
      <c r="E7" s="21"/>
      <c r="F7" s="6"/>
    </row>
    <row r="8" spans="1:7">
      <c r="A8" s="6"/>
      <c r="B8" s="22" t="s">
        <v>5</v>
      </c>
      <c r="C8" s="22" t="s">
        <v>6</v>
      </c>
      <c r="D8" s="25" t="s">
        <v>0</v>
      </c>
      <c r="E8" s="25" t="s">
        <v>7</v>
      </c>
      <c r="F8" s="6"/>
    </row>
    <row r="9" spans="1:7" ht="18" customHeight="1">
      <c r="A9" s="6"/>
      <c r="B9" s="23"/>
      <c r="C9" s="24"/>
      <c r="D9" s="26"/>
      <c r="E9" s="26"/>
      <c r="F9" s="12"/>
      <c r="G9" s="13"/>
    </row>
    <row r="10" spans="1:7">
      <c r="B10" s="17" t="str">
        <f>"BAJA CALIFORNIA"</f>
        <v>BAJA CALIFORNIA</v>
      </c>
      <c r="C10" s="3" t="str">
        <f>"MEXICALI"</f>
        <v>MEXICALI</v>
      </c>
      <c r="D10" s="4">
        <v>1</v>
      </c>
      <c r="E10" s="5">
        <v>2.7E-2</v>
      </c>
    </row>
    <row r="11" spans="1:7">
      <c r="B11" s="18"/>
      <c r="C11" s="14" t="str">
        <f>"Total"</f>
        <v>Total</v>
      </c>
      <c r="D11" s="15">
        <v>1</v>
      </c>
      <c r="E11" s="16">
        <v>2.7E-2</v>
      </c>
    </row>
    <row r="12" spans="1:7">
      <c r="B12" s="17" t="str">
        <f>"CHIHUAHUA"</f>
        <v>CHIHUAHUA</v>
      </c>
      <c r="C12" s="3" t="str">
        <f>"CAMARGO"</f>
        <v>CAMARGO</v>
      </c>
      <c r="D12" s="4">
        <v>1</v>
      </c>
      <c r="E12" s="5">
        <v>2.7E-2</v>
      </c>
    </row>
    <row r="13" spans="1:7">
      <c r="B13" s="19"/>
      <c r="C13" s="3" t="str">
        <f>"DELICIAS"</f>
        <v>DELICIAS</v>
      </c>
      <c r="D13" s="4">
        <v>4</v>
      </c>
      <c r="E13" s="5">
        <v>0.1081</v>
      </c>
    </row>
    <row r="14" spans="1:7">
      <c r="B14" s="18"/>
      <c r="C14" s="14" t="str">
        <f>"Total"</f>
        <v>Total</v>
      </c>
      <c r="D14" s="15">
        <v>5</v>
      </c>
      <c r="E14" s="16">
        <v>0.1351</v>
      </c>
    </row>
    <row r="15" spans="1:7">
      <c r="B15" s="17" t="str">
        <f>"DISTRITO FEDERAL"</f>
        <v>DISTRITO FEDERAL</v>
      </c>
      <c r="C15" s="3" t="str">
        <f>"VENUSTIANO CARRANZA"</f>
        <v>VENUSTIANO CARRANZA</v>
      </c>
      <c r="D15" s="4">
        <v>1</v>
      </c>
      <c r="E15" s="5">
        <v>2.7E-2</v>
      </c>
    </row>
    <row r="16" spans="1:7">
      <c r="B16" s="18"/>
      <c r="C16" s="14" t="str">
        <f>"Total"</f>
        <v>Total</v>
      </c>
      <c r="D16" s="15">
        <v>1</v>
      </c>
      <c r="E16" s="16">
        <v>2.7E-2</v>
      </c>
    </row>
    <row r="17" spans="2:5">
      <c r="B17" s="17" t="str">
        <f>"GUANAJUATO"</f>
        <v>GUANAJUATO</v>
      </c>
      <c r="C17" s="3" t="str">
        <f>"DOCTOR MORA"</f>
        <v>DOCTOR MORA</v>
      </c>
      <c r="D17" s="4">
        <v>3</v>
      </c>
      <c r="E17" s="5">
        <v>8.1100000000000005E-2</v>
      </c>
    </row>
    <row r="18" spans="2:5">
      <c r="B18" s="19"/>
      <c r="C18" s="3" t="str">
        <f>"SALAMANCA"</f>
        <v>SALAMANCA</v>
      </c>
      <c r="D18" s="4">
        <v>2</v>
      </c>
      <c r="E18" s="5">
        <v>5.4100000000000002E-2</v>
      </c>
    </row>
    <row r="19" spans="2:5">
      <c r="B19" s="18"/>
      <c r="C19" s="14" t="str">
        <f>"Total"</f>
        <v>Total</v>
      </c>
      <c r="D19" s="15">
        <v>5</v>
      </c>
      <c r="E19" s="16">
        <v>0.1351</v>
      </c>
    </row>
    <row r="20" spans="2:5">
      <c r="B20" s="17" t="str">
        <f>"GUERRERO"</f>
        <v>GUERRERO</v>
      </c>
      <c r="C20" s="3" t="str">
        <f>"AJUCHITLAN DEL PROGRESO"</f>
        <v>AJUCHITLAN DEL PROGRESO</v>
      </c>
      <c r="D20" s="4">
        <v>1</v>
      </c>
      <c r="E20" s="5">
        <v>2.7E-2</v>
      </c>
    </row>
    <row r="21" spans="2:5">
      <c r="B21" s="19"/>
      <c r="C21" s="3" t="str">
        <f>"JOSE AZUETA"</f>
        <v>JOSE AZUETA</v>
      </c>
      <c r="D21" s="4">
        <v>1</v>
      </c>
      <c r="E21" s="5">
        <v>2.7E-2</v>
      </c>
    </row>
    <row r="22" spans="2:5">
      <c r="B22" s="18"/>
      <c r="C22" s="14" t="str">
        <f>"Total"</f>
        <v>Total</v>
      </c>
      <c r="D22" s="15">
        <v>2</v>
      </c>
      <c r="E22" s="16">
        <v>5.4100000000000002E-2</v>
      </c>
    </row>
    <row r="23" spans="2:5">
      <c r="B23" s="17" t="str">
        <f>"JALISCO"</f>
        <v>JALISCO</v>
      </c>
      <c r="C23" s="3" t="str">
        <f>"AYUTLA"</f>
        <v>AYUTLA</v>
      </c>
      <c r="D23" s="4">
        <v>2</v>
      </c>
      <c r="E23" s="5">
        <v>5.4100000000000002E-2</v>
      </c>
    </row>
    <row r="24" spans="2:5">
      <c r="B24" s="19"/>
      <c r="C24" s="3" t="str">
        <f>"GUADALAJARA"</f>
        <v>GUADALAJARA</v>
      </c>
      <c r="D24" s="4">
        <v>1</v>
      </c>
      <c r="E24" s="5">
        <v>2.7E-2</v>
      </c>
    </row>
    <row r="25" spans="2:5">
      <c r="B25" s="19"/>
      <c r="C25" s="3" t="str">
        <f>"TIZAPAN EL ALTO"</f>
        <v>TIZAPAN EL ALTO</v>
      </c>
      <c r="D25" s="4">
        <v>1</v>
      </c>
      <c r="E25" s="5">
        <v>2.7E-2</v>
      </c>
    </row>
    <row r="26" spans="2:5">
      <c r="B26" s="18"/>
      <c r="C26" s="14" t="str">
        <f>"Total"</f>
        <v>Total</v>
      </c>
      <c r="D26" s="15">
        <v>4</v>
      </c>
      <c r="E26" s="16">
        <v>0.1081</v>
      </c>
    </row>
    <row r="27" spans="2:5">
      <c r="B27" s="17" t="str">
        <f>"MEXICO"</f>
        <v>MEXICO</v>
      </c>
      <c r="C27" s="3" t="str">
        <f>"TLALNEPANTLA DE BAZ"</f>
        <v>TLALNEPANTLA DE BAZ</v>
      </c>
      <c r="D27" s="4">
        <v>1</v>
      </c>
      <c r="E27" s="5">
        <v>2.7E-2</v>
      </c>
    </row>
    <row r="28" spans="2:5">
      <c r="B28" s="19"/>
      <c r="C28" s="3" t="str">
        <f>"TULTITLAN"</f>
        <v>TULTITLAN</v>
      </c>
      <c r="D28" s="4">
        <v>1</v>
      </c>
      <c r="E28" s="5">
        <v>2.7E-2</v>
      </c>
    </row>
    <row r="29" spans="2:5">
      <c r="B29" s="19"/>
      <c r="C29" s="3" t="str">
        <f>"VILLA GUERRERO"</f>
        <v>VILLA GUERRERO</v>
      </c>
      <c r="D29" s="4">
        <v>2</v>
      </c>
      <c r="E29" s="5">
        <v>5.4100000000000002E-2</v>
      </c>
    </row>
    <row r="30" spans="2:5">
      <c r="B30" s="18"/>
      <c r="C30" s="14" t="str">
        <f>"Total"</f>
        <v>Total</v>
      </c>
      <c r="D30" s="15">
        <v>4</v>
      </c>
      <c r="E30" s="16">
        <v>0.1081</v>
      </c>
    </row>
    <row r="31" spans="2:5">
      <c r="B31" s="17" t="str">
        <f>"MICHOACAN DE OCAMPO"</f>
        <v>MICHOACAN DE OCAMPO</v>
      </c>
      <c r="C31" s="3" t="str">
        <f>"HIDALGO"</f>
        <v>HIDALGO</v>
      </c>
      <c r="D31" s="4">
        <v>1</v>
      </c>
      <c r="E31" s="5">
        <v>2.7E-2</v>
      </c>
    </row>
    <row r="32" spans="2:5">
      <c r="B32" s="18"/>
      <c r="C32" s="14" t="str">
        <f>"Total"</f>
        <v>Total</v>
      </c>
      <c r="D32" s="15">
        <v>1</v>
      </c>
      <c r="E32" s="16">
        <v>2.7E-2</v>
      </c>
    </row>
    <row r="33" spans="2:5">
      <c r="B33" s="17" t="str">
        <f>"OAXACA"</f>
        <v>OAXACA</v>
      </c>
      <c r="C33" s="3" t="str">
        <f>"OCOTLAN DE MORELOS"</f>
        <v>OCOTLAN DE MORELOS</v>
      </c>
      <c r="D33" s="4">
        <v>1</v>
      </c>
      <c r="E33" s="5">
        <v>2.7E-2</v>
      </c>
    </row>
    <row r="34" spans="2:5">
      <c r="B34" s="18"/>
      <c r="C34" s="14" t="str">
        <f>"Total"</f>
        <v>Total</v>
      </c>
      <c r="D34" s="15">
        <v>1</v>
      </c>
      <c r="E34" s="16">
        <v>2.7E-2</v>
      </c>
    </row>
    <row r="35" spans="2:5">
      <c r="B35" s="17" t="str">
        <f>"PUEBLA"</f>
        <v>PUEBLA</v>
      </c>
      <c r="C35" s="3" t="str">
        <f>"PUEBLA"</f>
        <v>PUEBLA</v>
      </c>
      <c r="D35" s="4">
        <v>1</v>
      </c>
      <c r="E35" s="5">
        <v>2.7E-2</v>
      </c>
    </row>
    <row r="36" spans="2:5">
      <c r="B36" s="18"/>
      <c r="C36" s="14" t="str">
        <f>"Total"</f>
        <v>Total</v>
      </c>
      <c r="D36" s="15">
        <v>1</v>
      </c>
      <c r="E36" s="16">
        <v>2.7E-2</v>
      </c>
    </row>
    <row r="37" spans="2:5">
      <c r="B37" s="17" t="str">
        <f>"SONORA"</f>
        <v>SONORA</v>
      </c>
      <c r="C37" s="3" t="str">
        <f>"CABORCA"</f>
        <v>CABORCA</v>
      </c>
      <c r="D37" s="4">
        <v>3</v>
      </c>
      <c r="E37" s="5">
        <v>8.1100000000000005E-2</v>
      </c>
    </row>
    <row r="38" spans="2:5">
      <c r="B38" s="18"/>
      <c r="C38" s="14" t="str">
        <f>"Total"</f>
        <v>Total</v>
      </c>
      <c r="D38" s="15">
        <v>3</v>
      </c>
      <c r="E38" s="16">
        <v>8.1100000000000005E-2</v>
      </c>
    </row>
    <row r="39" spans="2:5">
      <c r="B39" s="17" t="str">
        <f t="shared" ref="B39" si="0">"VERACRUZ DE IGNACIO DE LA LLAVE"</f>
        <v>VERACRUZ DE IGNACIO DE LA LLAVE</v>
      </c>
      <c r="C39" s="3" t="str">
        <f>"ATZALAN"</f>
        <v>ATZALAN</v>
      </c>
      <c r="D39" s="4">
        <v>2</v>
      </c>
      <c r="E39" s="5">
        <v>5.4100000000000002E-2</v>
      </c>
    </row>
    <row r="40" spans="2:5">
      <c r="B40" s="19"/>
      <c r="C40" s="3" t="str">
        <f>"CORDOBA"</f>
        <v>CORDOBA</v>
      </c>
      <c r="D40" s="4">
        <v>1</v>
      </c>
      <c r="E40" s="5">
        <v>2.7E-2</v>
      </c>
    </row>
    <row r="41" spans="2:5">
      <c r="B41" s="19"/>
      <c r="C41" s="3" t="str">
        <f>"COSCOMATEPEC"</f>
        <v>COSCOMATEPEC</v>
      </c>
      <c r="D41" s="4">
        <v>2</v>
      </c>
      <c r="E41" s="5">
        <v>5.4100000000000002E-2</v>
      </c>
    </row>
    <row r="42" spans="2:5">
      <c r="B42" s="19"/>
      <c r="C42" s="3" t="str">
        <f>"HUATUSCO"</f>
        <v>HUATUSCO</v>
      </c>
      <c r="D42" s="4">
        <v>2</v>
      </c>
      <c r="E42" s="5">
        <v>5.4100000000000002E-2</v>
      </c>
    </row>
    <row r="43" spans="2:5">
      <c r="B43" s="19"/>
      <c r="C43" s="3" t="str">
        <f>"IXHUATLAN DE MADERO"</f>
        <v>IXHUATLAN DE MADERO</v>
      </c>
      <c r="D43" s="4">
        <v>1</v>
      </c>
      <c r="E43" s="5">
        <v>2.7E-2</v>
      </c>
    </row>
    <row r="44" spans="2:5">
      <c r="B44" s="18"/>
      <c r="C44" s="14" t="str">
        <f>"Total"</f>
        <v>Total</v>
      </c>
      <c r="D44" s="15">
        <v>8</v>
      </c>
      <c r="E44" s="16">
        <v>0.2162</v>
      </c>
    </row>
    <row r="45" spans="2:5">
      <c r="B45" s="17" t="str">
        <f>"ZACATECAS"</f>
        <v>ZACATECAS</v>
      </c>
      <c r="C45" s="3" t="str">
        <f>"MIGUEL AUZA"</f>
        <v>MIGUEL AUZA</v>
      </c>
      <c r="D45" s="4">
        <v>1</v>
      </c>
      <c r="E45" s="5">
        <v>2.7E-2</v>
      </c>
    </row>
    <row r="46" spans="2:5">
      <c r="B46" s="18"/>
      <c r="C46" s="14" t="str">
        <f>"Total"</f>
        <v>Total</v>
      </c>
      <c r="D46" s="15">
        <v>1</v>
      </c>
      <c r="E46" s="16">
        <v>2.7E-2</v>
      </c>
    </row>
    <row r="47" spans="2:5">
      <c r="B47" s="27" t="s">
        <v>9</v>
      </c>
      <c r="C47" s="28" t="str">
        <f>" "</f>
        <v> </v>
      </c>
      <c r="D47" s="29">
        <v>37</v>
      </c>
      <c r="E47" s="30">
        <v>1</v>
      </c>
    </row>
    <row r="49" spans="2:3" ht="16.5">
      <c r="B49" s="1" t="s">
        <v>1</v>
      </c>
      <c r="C49" s="2"/>
    </row>
    <row r="50" spans="2:3" ht="16.5">
      <c r="B50" s="1" t="s">
        <v>2</v>
      </c>
      <c r="C50" s="2"/>
    </row>
    <row r="51" spans="2:3" ht="16.5">
      <c r="B51" s="1" t="s">
        <v>3</v>
      </c>
      <c r="C51" s="2"/>
    </row>
    <row r="52" spans="2:3" ht="16.5">
      <c r="B52" s="1" t="s">
        <v>4</v>
      </c>
      <c r="C52" s="2"/>
    </row>
    <row r="53" spans="2:3">
      <c r="B53" s="1" t="s">
        <v>10</v>
      </c>
    </row>
  </sheetData>
  <mergeCells count="18">
    <mergeCell ref="B6:E7"/>
    <mergeCell ref="B8:B9"/>
    <mergeCell ref="C8:C9"/>
    <mergeCell ref="D8:D9"/>
    <mergeCell ref="E8:E9"/>
    <mergeCell ref="B10:B11"/>
    <mergeCell ref="B12:B14"/>
    <mergeCell ref="B15:B16"/>
    <mergeCell ref="B17:B19"/>
    <mergeCell ref="B20:B22"/>
    <mergeCell ref="B37:B38"/>
    <mergeCell ref="B39:B44"/>
    <mergeCell ref="B45:B46"/>
    <mergeCell ref="B23:B26"/>
    <mergeCell ref="B27:B30"/>
    <mergeCell ref="B31:B32"/>
    <mergeCell ref="B33:B34"/>
    <mergeCell ref="B35:B36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easCAL86WZ5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2012-03-09T18:37:36Z</dcterms:created>
  <dcterms:modified xsi:type="dcterms:W3CDTF">2012-03-15T20:24:40Z</dcterms:modified>
</cp:coreProperties>
</file>