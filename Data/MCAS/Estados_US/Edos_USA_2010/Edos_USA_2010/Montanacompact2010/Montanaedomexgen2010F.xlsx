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23R3MD" sheetId="2" r:id="rId1"/>
  </sheets>
  <calcPr calcId="125725"/>
</workbook>
</file>

<file path=xl/calcChain.xml><?xml version="1.0" encoding="utf-8"?>
<calcChain xmlns="http://schemas.openxmlformats.org/spreadsheetml/2006/main">
  <c r="C41" i="2"/>
  <c r="C40"/>
  <c r="C39"/>
  <c r="B39"/>
  <c r="C38"/>
  <c r="C37"/>
  <c r="C36"/>
  <c r="B36"/>
  <c r="C35"/>
  <c r="C34"/>
  <c r="C33"/>
  <c r="B33"/>
  <c r="C32"/>
  <c r="C31"/>
  <c r="B31"/>
  <c r="C30"/>
  <c r="C29"/>
  <c r="B29"/>
  <c r="C28"/>
  <c r="C27"/>
  <c r="B27"/>
  <c r="C26"/>
  <c r="C25"/>
  <c r="C24"/>
  <c r="B24"/>
  <c r="C23"/>
  <c r="C22"/>
  <c r="C21"/>
  <c r="B21"/>
  <c r="C20"/>
  <c r="C19"/>
  <c r="C18"/>
  <c r="B18"/>
  <c r="C17"/>
  <c r="C16"/>
  <c r="C15"/>
  <c r="B15"/>
  <c r="C14"/>
  <c r="C13"/>
  <c r="B13"/>
  <c r="C12"/>
  <c r="C11"/>
  <c r="C10"/>
  <c r="B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<sst xmlns="http://schemas.openxmlformats.org/spreadsheetml/2006/main" count="11" uniqueCount="11">
  <si>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</si>
  <si>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</si>
  <si>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</si>
  <si>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</si>
  <si>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</si>
  <si>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</si>
  <si>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</si>
  <si>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</si>
  <si>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</si>
  <si>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MONTANA,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</si>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</sst>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0" fontId="13" fillId="35" borderId="10" xfId="0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7"/>
  <sheetViews>
    <sheetView showGridLines="0" tabSelected="1" workbookViewId="0">
      <selection activeCell="A7" sqref="A7"/>
    </sheetView>
  </sheetViews>
  <sheetFormatPr baseColWidth="10" defaultRowHeight="15"/>
  <cols>
    <col min="2" max="2" width="39.28515625" customWidth="1"/>
    <col min="3" max="3" width="24.8554687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3" t="s">
        <v>9</v>
      </c>
      <c r="C4" s="23"/>
      <c r="D4" s="23"/>
      <c r="E4" s="23"/>
      <c r="F4" s="8"/>
      <c r="G4" s="7"/>
    </row>
    <row r="5" spans="2:7" ht="24" customHeight="1">
      <c r="B5" s="24"/>
      <c r="C5" s="24"/>
      <c r="D5" s="24"/>
      <c r="E5" s="24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0" t="str">
        <f>"BAJA CALIFORNIA"</f>
        <v>BAJA CALIFORNIA</v>
      </c>
      <c r="C8" s="1" t="str">
        <f>"MUJER"</f>
        <v>MUJER</v>
      </c>
      <c r="D8" s="2">
        <v>1</v>
      </c>
      <c r="E8" s="3">
        <v>2.7E-2</v>
      </c>
    </row>
    <row r="9" spans="2:7">
      <c r="B9" s="21"/>
      <c r="C9" s="17" t="str">
        <f>"Total"</f>
        <v>Total</v>
      </c>
      <c r="D9" s="18">
        <v>1</v>
      </c>
      <c r="E9" s="19">
        <v>2.7E-2</v>
      </c>
    </row>
    <row r="10" spans="2:7">
      <c r="B10" s="20" t="str">
        <f>"CHIHUAHUA"</f>
        <v>CHIHUAHUA</v>
      </c>
      <c r="C10" s="1" t="str">
        <f>"HOMBRE"</f>
        <v>HOMBRE</v>
      </c>
      <c r="D10" s="2">
        <v>2</v>
      </c>
      <c r="E10" s="3">
        <v>5.4100000000000002E-2</v>
      </c>
    </row>
    <row r="11" spans="2:7">
      <c r="B11" s="22"/>
      <c r="C11" s="1" t="str">
        <f>"MUJER"</f>
        <v>MUJER</v>
      </c>
      <c r="D11" s="2">
        <v>3</v>
      </c>
      <c r="E11" s="3">
        <v>8.1100000000000005E-2</v>
      </c>
    </row>
    <row r="12" spans="2:7">
      <c r="B12" s="21"/>
      <c r="C12" s="17" t="str">
        <f>"Total"</f>
        <v>Total</v>
      </c>
      <c r="D12" s="18">
        <v>5</v>
      </c>
      <c r="E12" s="19">
        <v>0.1351</v>
      </c>
    </row>
    <row r="13" spans="2:7">
      <c r="B13" s="20" t="str">
        <f>"DISTRITO FEDERAL"</f>
        <v>DISTRITO FEDERAL</v>
      </c>
      <c r="C13" s="1" t="str">
        <f>"HOMBRE"</f>
        <v>HOMBRE</v>
      </c>
      <c r="D13" s="2">
        <v>1</v>
      </c>
      <c r="E13" s="3">
        <v>2.7E-2</v>
      </c>
    </row>
    <row r="14" spans="2:7">
      <c r="B14" s="21"/>
      <c r="C14" s="17" t="str">
        <f>"Total"</f>
        <v>Total</v>
      </c>
      <c r="D14" s="18">
        <v>1</v>
      </c>
      <c r="E14" s="19">
        <v>2.7E-2</v>
      </c>
    </row>
    <row r="15" spans="2:7">
      <c r="B15" s="20" t="str">
        <f>"GUANAJUATO"</f>
        <v>GUANAJUATO</v>
      </c>
      <c r="C15" s="1" t="str">
        <f>"HOMBRE"</f>
        <v>HOMBRE</v>
      </c>
      <c r="D15" s="2">
        <v>3</v>
      </c>
      <c r="E15" s="3">
        <v>8.1100000000000005E-2</v>
      </c>
    </row>
    <row r="16" spans="2:7">
      <c r="B16" s="22"/>
      <c r="C16" s="1" t="str">
        <f>"MUJER"</f>
        <v>MUJER</v>
      </c>
      <c r="D16" s="2">
        <v>2</v>
      </c>
      <c r="E16" s="3">
        <v>5.4100000000000002E-2</v>
      </c>
    </row>
    <row r="17" spans="2:5">
      <c r="B17" s="21"/>
      <c r="C17" s="17" t="str">
        <f>"Total"</f>
        <v>Total</v>
      </c>
      <c r="D17" s="18">
        <v>5</v>
      </c>
      <c r="E17" s="19">
        <v>0.1351</v>
      </c>
    </row>
    <row r="18" spans="2:5">
      <c r="B18" s="20" t="str">
        <f>"GUERRERO"</f>
        <v>GUERRERO</v>
      </c>
      <c r="C18" s="1" t="str">
        <f>"HOMBRE"</f>
        <v>HOMBRE</v>
      </c>
      <c r="D18" s="2">
        <v>1</v>
      </c>
      <c r="E18" s="3">
        <v>2.7E-2</v>
      </c>
    </row>
    <row r="19" spans="2:5">
      <c r="B19" s="22"/>
      <c r="C19" s="1" t="str">
        <f>"MUJER"</f>
        <v>MUJER</v>
      </c>
      <c r="D19" s="2">
        <v>1</v>
      </c>
      <c r="E19" s="3">
        <v>2.7E-2</v>
      </c>
    </row>
    <row r="20" spans="2:5">
      <c r="B20" s="21"/>
      <c r="C20" s="17" t="str">
        <f>"Total"</f>
        <v>Total</v>
      </c>
      <c r="D20" s="18">
        <v>2</v>
      </c>
      <c r="E20" s="19">
        <v>5.4100000000000002E-2</v>
      </c>
    </row>
    <row r="21" spans="2:5">
      <c r="B21" s="20" t="str">
        <f>"JALISCO"</f>
        <v>JALISCO</v>
      </c>
      <c r="C21" s="1" t="str">
        <f>"HOMBRE"</f>
        <v>HOMBRE</v>
      </c>
      <c r="D21" s="2">
        <v>2</v>
      </c>
      <c r="E21" s="3">
        <v>5.4100000000000002E-2</v>
      </c>
    </row>
    <row r="22" spans="2:5">
      <c r="B22" s="22"/>
      <c r="C22" s="1" t="str">
        <f>"MUJER"</f>
        <v>MUJER</v>
      </c>
      <c r="D22" s="2">
        <v>2</v>
      </c>
      <c r="E22" s="3">
        <v>5.4100000000000002E-2</v>
      </c>
    </row>
    <row r="23" spans="2:5">
      <c r="B23" s="21"/>
      <c r="C23" s="17" t="str">
        <f>"Total"</f>
        <v>Total</v>
      </c>
      <c r="D23" s="18">
        <v>4</v>
      </c>
      <c r="E23" s="19">
        <v>0.1081</v>
      </c>
    </row>
    <row r="24" spans="2:5">
      <c r="B24" s="20" t="str">
        <f>"MEXICO"</f>
        <v>MEXICO</v>
      </c>
      <c r="C24" s="1" t="str">
        <f>"HOMBRE"</f>
        <v>HOMBRE</v>
      </c>
      <c r="D24" s="2">
        <v>3</v>
      </c>
      <c r="E24" s="3">
        <v>8.1100000000000005E-2</v>
      </c>
    </row>
    <row r="25" spans="2:5">
      <c r="B25" s="22"/>
      <c r="C25" s="1" t="str">
        <f>"MUJER"</f>
        <v>MUJER</v>
      </c>
      <c r="D25" s="2">
        <v>1</v>
      </c>
      <c r="E25" s="3">
        <v>2.7E-2</v>
      </c>
    </row>
    <row r="26" spans="2:5">
      <c r="B26" s="21"/>
      <c r="C26" s="17" t="str">
        <f>"Total"</f>
        <v>Total</v>
      </c>
      <c r="D26" s="18">
        <v>4</v>
      </c>
      <c r="E26" s="19">
        <v>0.1081</v>
      </c>
    </row>
    <row r="27" spans="2:5">
      <c r="B27" s="20" t="str">
        <f>"MICHOACAN DE OCAMPO"</f>
        <v>MICHOACAN DE OCAMPO</v>
      </c>
      <c r="C27" s="1" t="str">
        <f>"HOMBRE"</f>
        <v>HOMBRE</v>
      </c>
      <c r="D27" s="2">
        <v>1</v>
      </c>
      <c r="E27" s="3">
        <v>2.7E-2</v>
      </c>
    </row>
    <row r="28" spans="2:5">
      <c r="B28" s="21"/>
      <c r="C28" s="17" t="str">
        <f>"Total"</f>
        <v>Total</v>
      </c>
      <c r="D28" s="18">
        <v>1</v>
      </c>
      <c r="E28" s="19">
        <v>2.7E-2</v>
      </c>
    </row>
    <row r="29" spans="2:5">
      <c r="B29" s="20" t="str">
        <f>"OAXACA"</f>
        <v>OAXACA</v>
      </c>
      <c r="C29" s="1" t="str">
        <f>"MUJER"</f>
        <v>MUJER</v>
      </c>
      <c r="D29" s="2">
        <v>1</v>
      </c>
      <c r="E29" s="3">
        <v>2.7E-2</v>
      </c>
    </row>
    <row r="30" spans="2:5">
      <c r="B30" s="21"/>
      <c r="C30" s="17" t="str">
        <f>"Total"</f>
        <v>Total</v>
      </c>
      <c r="D30" s="18">
        <v>1</v>
      </c>
      <c r="E30" s="19">
        <v>2.7E-2</v>
      </c>
    </row>
    <row r="31" spans="2:5">
      <c r="B31" s="20" t="str">
        <f>"PUEBLA"</f>
        <v>PUEBLA</v>
      </c>
      <c r="C31" s="1" t="str">
        <f>"HOMBRE"</f>
        <v>HOMBRE</v>
      </c>
      <c r="D31" s="2">
        <v>1</v>
      </c>
      <c r="E31" s="3">
        <v>2.7E-2</v>
      </c>
    </row>
    <row r="32" spans="2:5">
      <c r="B32" s="21"/>
      <c r="C32" s="17" t="str">
        <f>"Total"</f>
        <v>Total</v>
      </c>
      <c r="D32" s="18">
        <v>1</v>
      </c>
      <c r="E32" s="19">
        <v>2.7E-2</v>
      </c>
    </row>
    <row r="33" spans="2:5">
      <c r="B33" s="20" t="str">
        <f>"SONORA"</f>
        <v>SONORA</v>
      </c>
      <c r="C33" s="1" t="str">
        <f>"HOMBRE"</f>
        <v>HOMBRE</v>
      </c>
      <c r="D33" s="2">
        <v>1</v>
      </c>
      <c r="E33" s="3">
        <v>2.7E-2</v>
      </c>
    </row>
    <row r="34" spans="2:5">
      <c r="B34" s="22"/>
      <c r="C34" s="1" t="str">
        <f>"MUJER"</f>
        <v>MUJER</v>
      </c>
      <c r="D34" s="2">
        <v>2</v>
      </c>
      <c r="E34" s="3">
        <v>5.4100000000000002E-2</v>
      </c>
    </row>
    <row r="35" spans="2:5">
      <c r="B35" s="21"/>
      <c r="C35" s="17" t="str">
        <f>"Total"</f>
        <v>Total</v>
      </c>
      <c r="D35" s="18">
        <v>3</v>
      </c>
      <c r="E35" s="19">
        <v>8.1100000000000005E-2</v>
      </c>
    </row>
    <row r="36" spans="2:5">
      <c r="B36" s="20" t="str">
        <f>"VERACRUZ DE IGNACIO DE LA LLAVE"</f>
        <v>VERACRUZ DE IGNACIO DE LA LLAVE</v>
      </c>
      <c r="C36" s="1" t="str">
        <f>"HOMBRE"</f>
        <v>HOMBRE</v>
      </c>
      <c r="D36" s="2">
        <v>6</v>
      </c>
      <c r="E36" s="3">
        <v>0.16220000000000001</v>
      </c>
    </row>
    <row r="37" spans="2:5">
      <c r="B37" s="22"/>
      <c r="C37" s="1" t="str">
        <f>"MUJER"</f>
        <v>MUJER</v>
      </c>
      <c r="D37" s="2">
        <v>2</v>
      </c>
      <c r="E37" s="3">
        <v>5.4100000000000002E-2</v>
      </c>
    </row>
    <row r="38" spans="2:5">
      <c r="B38" s="21"/>
      <c r="C38" s="17" t="str">
        <f>"Total"</f>
        <v>Total</v>
      </c>
      <c r="D38" s="18">
        <v>8</v>
      </c>
      <c r="E38" s="19">
        <v>0.2162</v>
      </c>
    </row>
    <row r="39" spans="2:5">
      <c r="B39" s="20" t="str">
        <f>"ZACATECAS"</f>
        <v>ZACATECAS</v>
      </c>
      <c r="C39" s="1" t="str">
        <f>"HOMBRE"</f>
        <v>HOMBRE</v>
      </c>
      <c r="D39" s="2">
        <v>1</v>
      </c>
      <c r="E39" s="3">
        <v>2.7E-2</v>
      </c>
    </row>
    <row r="40" spans="2:5">
      <c r="B40" s="21"/>
      <c r="C40" s="17" t="str">
        <f>"Total"</f>
        <v>Total</v>
      </c>
      <c r="D40" s="18">
        <v>1</v>
      </c>
      <c r="E40" s="19">
        <v>2.7E-2</v>
      </c>
    </row>
    <row r="41" spans="2:5">
      <c r="B41" s="13" t="s">
        <v>2</v>
      </c>
      <c r="C41" s="14" t="str">
        <f>" "</f>
        <v> </v>
      </c>
      <c r="D41" s="15">
        <v>37</v>
      </c>
      <c r="E41" s="16">
        <v>1</v>
      </c>
    </row>
    <row r="43" spans="2:5" ht="16.5">
      <c r="B43" s="4" t="s">
        <v>3</v>
      </c>
      <c r="C43" s="5"/>
      <c r="D43" s="6"/>
    </row>
    <row r="44" spans="2:5" ht="16.5">
      <c r="B44" s="4" t="s">
        <v>4</v>
      </c>
      <c r="C44" s="5"/>
      <c r="D44" s="6"/>
    </row>
    <row r="45" spans="2:5" ht="16.5">
      <c r="B45" s="4" t="s">
        <v>5</v>
      </c>
      <c r="C45" s="5"/>
      <c r="D45" s="6"/>
    </row>
    <row r="46" spans="2:5" ht="16.5">
      <c r="B46" s="4" t="s">
        <v>6</v>
      </c>
      <c r="C46" s="5"/>
      <c r="D46" s="6"/>
    </row>
    <row r="47" spans="2:5">
      <c r="B47" s="4" t="s">
        <v>10</v>
      </c>
    </row>
  </sheetData>
  <mergeCells count="14">
    <mergeCell ref="B4:E5"/>
    <mergeCell ref="B8:B9"/>
    <mergeCell ref="B10:B12"/>
    <mergeCell ref="B13:B14"/>
    <mergeCell ref="B15:B17"/>
    <mergeCell ref="B18:B20"/>
    <mergeCell ref="B21:B23"/>
    <mergeCell ref="B24:B26"/>
    <mergeCell ref="B39:B40"/>
    <mergeCell ref="B27:B28"/>
    <mergeCell ref="B29:B30"/>
    <mergeCell ref="B31:B32"/>
    <mergeCell ref="B33:B35"/>
    <mergeCell ref="B36:B38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easCA23R3MD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2012-02-28T19:48:52Z</dcterms:created>
  <dcterms:modified xsi:type="dcterms:W3CDTF">2012-03-15T19:30:02Z</dcterms:modified>
</cp:coreProperties>
</file>