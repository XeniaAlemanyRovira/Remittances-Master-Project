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X8ZY89" sheetId="2" r:id="rId1"/>
  </sheets>
  <calcPr calcId="125725"/>
</workbook>
</file>

<file path=xl/calcChain.xml><?xml version="1.0" encoding="utf-8"?>
<calcChain xmlns="http://schemas.openxmlformats.org/spreadsheetml/2006/main">
  <c r="B23" i="2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<sst xmlns="http://schemas.openxmlformats.org/spreadsheetml/2006/main" count="12" uniqueCount="12">
  <si>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</si>
  <si>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</si>
  <si>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</si>
  <si>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</si>
  <si>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</si>
  <si>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</si>
  <si>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</si>
  <si>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</si>
  <si>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</si>
  <si>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</si>
  <si>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</si>
  <si>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MONTANA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</si>
</sst>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showGridLines="0" tabSelected="1" workbookViewId="0">
      <selection activeCell="A10" sqref="A10"/>
    </sheetView>
  </sheetViews>
  <sheetFormatPr baseColWidth="10" defaultRowHeight="15"/>
  <cols>
    <col min="2" max="2" width="39.855468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2" t="s">
        <v>6</v>
      </c>
      <c r="B6" s="2"/>
      <c r="C6" s="2"/>
      <c r="D6" s="2"/>
      <c r="E6" s="2"/>
    </row>
    <row r="7" spans="1:7" ht="16.5">
      <c r="A7" s="2" t="s">
        <v>11</v>
      </c>
      <c r="B7" s="2"/>
      <c r="C7" s="2"/>
      <c r="D7" s="2"/>
      <c r="E7" s="2"/>
    </row>
    <row r="8" spans="1:7" ht="12.75"/>
    <row r="9" spans="1:7" ht="16.5">
      <c r="B9" s="3" t="s">
        <v>7</v>
      </c>
      <c r="C9" s="4"/>
      <c r="D9" s="4"/>
      <c r="E9" s="5"/>
    </row>
    <row r="10" spans="1:7" ht="33">
      <c r="A10" s="6"/>
      <c r="B10" s="7" t="s">
        <v>8</v>
      </c>
      <c r="C10" s="7" t="s">
        <v>9</v>
      </c>
      <c r="D10" s="7" t="s">
        <v>10</v>
      </c>
      <c r="E10" s="8"/>
      <c r="F10" s="9"/>
      <c r="G10" s="9"/>
    </row>
    <row r="11" spans="1:7">
      <c r="B11" s="10" t="str">
        <f>"VERACRUZ DE IGNACIO DE LA LLAVE"</f>
        <v>VERACRUZ DE IGNACIO DE LA LLAVE</v>
      </c>
      <c r="C11" s="11">
        <v>8</v>
      </c>
      <c r="D11" s="12">
        <v>0.2162</v>
      </c>
    </row>
    <row r="12" spans="1:7">
      <c r="B12" s="10" t="str">
        <f>"GUANAJUATO"</f>
        <v>GUANAJUATO</v>
      </c>
      <c r="C12" s="11">
        <v>5</v>
      </c>
      <c r="D12" s="12">
        <v>0.1351</v>
      </c>
    </row>
    <row r="13" spans="1:7">
      <c r="B13" s="10" t="str">
        <f>"CHIHUAHUA"</f>
        <v>CHIHUAHUA</v>
      </c>
      <c r="C13" s="11">
        <v>5</v>
      </c>
      <c r="D13" s="12">
        <v>0.1351</v>
      </c>
    </row>
    <row r="14" spans="1:7">
      <c r="B14" s="10" t="str">
        <f>"MEXICO"</f>
        <v>MEXICO</v>
      </c>
      <c r="C14" s="11">
        <v>4</v>
      </c>
      <c r="D14" s="12">
        <v>0.1081</v>
      </c>
    </row>
    <row r="15" spans="1:7">
      <c r="B15" s="10" t="str">
        <f>"JALISCO"</f>
        <v>JALISCO</v>
      </c>
      <c r="C15" s="11">
        <v>4</v>
      </c>
      <c r="D15" s="12">
        <v>0.1081</v>
      </c>
    </row>
    <row r="16" spans="1:7">
      <c r="B16" s="10" t="str">
        <f>"SONORA"</f>
        <v>SONORA</v>
      </c>
      <c r="C16" s="11">
        <v>3</v>
      </c>
      <c r="D16" s="12">
        <v>8.1100000000000005E-2</v>
      </c>
    </row>
    <row r="17" spans="2:4">
      <c r="B17" s="10" t="str">
        <f>"GUERRERO"</f>
        <v>GUERRERO</v>
      </c>
      <c r="C17" s="11">
        <v>2</v>
      </c>
      <c r="D17" s="12">
        <v>5.4100000000000002E-2</v>
      </c>
    </row>
    <row r="18" spans="2:4">
      <c r="B18" s="10" t="str">
        <f>"MICHOACAN DE OCAMPO"</f>
        <v>MICHOACAN DE OCAMPO</v>
      </c>
      <c r="C18" s="11">
        <v>1</v>
      </c>
      <c r="D18" s="12">
        <v>2.7E-2</v>
      </c>
    </row>
    <row r="19" spans="2:4">
      <c r="B19" s="10" t="str">
        <f>"OAXACA"</f>
        <v>OAXACA</v>
      </c>
      <c r="C19" s="11">
        <v>1</v>
      </c>
      <c r="D19" s="12">
        <v>2.7E-2</v>
      </c>
    </row>
    <row r="20" spans="2:4">
      <c r="B20" s="10" t="str">
        <f>"PUEBLA"</f>
        <v>PUEBLA</v>
      </c>
      <c r="C20" s="11">
        <v>1</v>
      </c>
      <c r="D20" s="12">
        <v>2.7E-2</v>
      </c>
    </row>
    <row r="21" spans="2:4">
      <c r="B21" s="10" t="str">
        <f>"BAJA CALIFORNIA"</f>
        <v>BAJA CALIFORNIA</v>
      </c>
      <c r="C21" s="11">
        <v>1</v>
      </c>
      <c r="D21" s="12">
        <v>2.7E-2</v>
      </c>
    </row>
    <row r="22" spans="2:4">
      <c r="B22" s="10" t="str">
        <f>"DISTRITO FEDERAL"</f>
        <v>DISTRITO FEDERAL</v>
      </c>
      <c r="C22" s="11">
        <v>1</v>
      </c>
      <c r="D22" s="12">
        <v>2.7E-2</v>
      </c>
    </row>
    <row r="23" spans="2:4">
      <c r="B23" s="10" t="str">
        <f>"ZACATECAS"</f>
        <v>ZACATECAS</v>
      </c>
      <c r="C23" s="11">
        <v>1</v>
      </c>
      <c r="D23" s="12">
        <v>2.7E-2</v>
      </c>
    </row>
    <row r="24" spans="2:4">
      <c r="B24" s="13" t="s">
        <v>0</v>
      </c>
      <c r="C24" s="14">
        <v>37</v>
      </c>
      <c r="D24" s="15">
        <v>1</v>
      </c>
    </row>
    <row r="26" spans="2:4">
      <c r="B26" s="1" t="s">
        <v>1</v>
      </c>
    </row>
    <row r="27" spans="2:4">
      <c r="B27" s="1" t="s">
        <v>2</v>
      </c>
    </row>
    <row r="28" spans="2:4">
      <c r="B28" s="1" t="s">
        <v>3</v>
      </c>
    </row>
    <row r="29" spans="2:4">
      <c r="B29" s="1" t="s">
        <v>4</v>
      </c>
    </row>
    <row r="30" spans="2:4">
      <c r="B30" s="1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easCAX8ZY89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2012-02-28T21:24:14Z</dcterms:created>
  <dcterms:modified xsi:type="dcterms:W3CDTF">2012-03-28T20:36:08Z</dcterms:modified>
</cp:coreProperties>
</file>