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 6 " sheetId="2" r:id="rId1"/>
  </sheets>
  <calcPr calcId="125725"/>
</workbook>
</file>

<file path=xl/calcChain.xml><?xml version="1.0" encoding="utf-8"?>
<calcChain xmlns="http://schemas.openxmlformats.org/spreadsheetml/2006/main">
  <c r="B73" i="2"/>
  <c r="B69"/>
  <c r="B58"/>
  <c r="B40"/>
  <c r="B38"/>
  <c r="B36"/>
  <c r="B23"/>
  <c r="B14"/>
  <c r="B12"/>
  <c r="B10"/>
  <c r="C75"/>
  <c r="C74"/>
  <c r="B74"/>
  <c r="C73"/>
  <c r="C72"/>
  <c r="B72"/>
  <c r="C71"/>
  <c r="B71"/>
  <c r="C70"/>
  <c r="B70"/>
  <c r="C69"/>
  <c r="C68"/>
  <c r="B68"/>
  <c r="C67"/>
  <c r="B67"/>
  <c r="C66"/>
  <c r="B66"/>
  <c r="C65"/>
  <c r="B65"/>
  <c r="C64"/>
  <c r="B64"/>
  <c r="C63"/>
  <c r="B63"/>
  <c r="C62"/>
  <c r="B62"/>
  <c r="C61"/>
  <c r="B61"/>
  <c r="C60"/>
  <c r="B60"/>
  <c r="C59"/>
  <c r="B59"/>
  <c r="C58"/>
  <c r="C57"/>
  <c r="B57"/>
  <c r="C56"/>
  <c r="B56"/>
  <c r="C55"/>
  <c r="B55"/>
  <c r="C54"/>
  <c r="B54"/>
  <c r="C53"/>
  <c r="B53"/>
  <c r="C52"/>
  <c r="B52"/>
  <c r="C51"/>
  <c r="B51"/>
  <c r="C50"/>
  <c r="B50"/>
  <c r="C49"/>
  <c r="B49"/>
  <c r="C48"/>
  <c r="B48"/>
  <c r="C47"/>
  <c r="B47"/>
  <c r="C46"/>
  <c r="B46"/>
  <c r="C45"/>
  <c r="B45"/>
  <c r="C44"/>
  <c r="B44"/>
  <c r="C43"/>
  <c r="B43"/>
  <c r="C42"/>
  <c r="B42"/>
  <c r="C41"/>
  <c r="B41"/>
  <c r="C40"/>
  <c r="C39"/>
  <c r="B39"/>
  <c r="C38"/>
  <c r="C37"/>
  <c r="B37"/>
  <c r="C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C22"/>
  <c r="B22"/>
  <c r="C21"/>
  <c r="B21"/>
  <c r="C20"/>
  <c r="B20"/>
  <c r="C19"/>
  <c r="B19"/>
  <c r="C18"/>
  <c r="B18"/>
  <c r="C17"/>
  <c r="B17"/>
  <c r="C16"/>
  <c r="B16"/>
  <c r="C15"/>
  <c r="B15"/>
  <c r="C14"/>
  <c r="C13"/>
  <c r="B13"/>
  <c r="C12"/>
  <c r="C11"/>
  <c r="B11"/>
  <c r="C10"/>
</calcChain>
</file>

<file path=xl/sharedStrings.xml><?xml version="1.0" encoding="utf-8"?>
<sst xmlns="http://schemas.openxmlformats.org/spreadsheetml/2006/main" count="11" uniqueCount="11">
  <si>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</si>
  <si>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</si>
  <si>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</si>
  <si>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</si>
  <si>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</si>
  <si>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</si>
  <si>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</si>
  <si>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</si>
  <si>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</si>
  <si>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RHODE ISLAND EE.UU. POR ESTADOS DE LA REPUBLICA MEXICANA Y NIVEL DE EDUCACIÓN, DURANTE EL 2010</t>
  </si>
  <si>
    <t>TOTAL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</si>
</sst>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 tint="-4.9989318521683403E-2"/>
      <name val="Arial Narrow"/>
      <family val="2"/>
    </font>
    <font>
      <sz val="10"/>
      <name val="Arial Narrow"/>
      <family val="2"/>
    </font>
    <font>
      <b/>
      <sz val="11"/>
      <color theme="1"/>
      <name val="Arial Narrow"/>
      <family val="2"/>
    </font>
    <font>
      <sz val="11"/>
      <color theme="1" tint="4.9989318521683403E-2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18" fillId="33" borderId="13" xfId="0" applyFont="1" applyFill="1" applyBorder="1" applyAlignment="1">
      <alignment wrapText="1"/>
    </xf>
    <xf numFmtId="0" fontId="18" fillId="33" borderId="13" xfId="0" applyFont="1" applyFill="1" applyBorder="1" applyAlignment="1">
      <alignment horizontal="right" wrapText="1"/>
    </xf>
    <xf numFmtId="3" fontId="18" fillId="33" borderId="14" xfId="0" applyNumberFormat="1" applyFont="1" applyFill="1" applyBorder="1" applyAlignment="1">
      <alignment horizontal="right" wrapText="1"/>
    </xf>
    <xf numFmtId="10" fontId="18" fillId="33" borderId="14" xfId="0" applyNumberFormat="1" applyFont="1" applyFill="1" applyBorder="1" applyAlignment="1">
      <alignment horizontal="right" wrapText="1"/>
    </xf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21" fillId="34" borderId="10" xfId="0" applyFont="1" applyFill="1" applyBorder="1" applyAlignment="1">
      <alignment horizontal="right" wrapText="1"/>
    </xf>
    <xf numFmtId="10" fontId="21" fillId="34" borderId="10" xfId="0" applyNumberFormat="1" applyFont="1" applyFill="1" applyBorder="1" applyAlignment="1">
      <alignment horizontal="right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wrapText="1"/>
    </xf>
    <xf numFmtId="0" fontId="23" fillId="33" borderId="10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34050" y="28575"/>
          <a:ext cx="1533525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E82"/>
  <sheetViews>
    <sheetView showGridLines="0" tabSelected="1" topLeftCell="A49" workbookViewId="0">
      <selection activeCell="B76" sqref="B76"/>
    </sheetView>
  </sheetViews>
  <sheetFormatPr baseColWidth="10" defaultRowHeight="15"/>
  <cols>
    <col min="2" max="2" width="39.42578125" customWidth="1"/>
    <col min="3" max="3" width="37.5703125" customWidth="1"/>
    <col min="4" max="4" width="10.7109375" customWidth="1"/>
    <col min="5" max="5" width="16.140625" bestFit="1" customWidth="1"/>
  </cols>
  <sheetData>
    <row r="6" spans="1:5">
      <c r="B6" s="14" t="s">
        <v>9</v>
      </c>
      <c r="C6" s="14"/>
      <c r="D6" s="14"/>
      <c r="E6" s="14"/>
    </row>
    <row r="7" spans="1:5" ht="16.5">
      <c r="A7" s="15"/>
      <c r="B7" s="14"/>
      <c r="C7" s="14"/>
      <c r="D7" s="14"/>
      <c r="E7" s="14"/>
    </row>
    <row r="9" spans="1:5" ht="33">
      <c r="B9" s="16" t="s">
        <v>5</v>
      </c>
      <c r="C9" s="16" t="s">
        <v>6</v>
      </c>
      <c r="D9" s="16" t="s">
        <v>7</v>
      </c>
      <c r="E9" s="16" t="s">
        <v>8</v>
      </c>
    </row>
    <row r="10" spans="1:5">
      <c r="B10" s="4" t="str">
        <f>"SIN ESTUDIOS"</f>
        <v>SIN ESTUDIOS</v>
      </c>
      <c r="C10" s="1" t="str">
        <f>"HIDALGO"</f>
        <v>HIDALGO</v>
      </c>
      <c r="D10" s="2">
        <v>1</v>
      </c>
      <c r="E10" s="3">
        <v>5.3E-3</v>
      </c>
    </row>
    <row r="11" spans="1:5" ht="16.5">
      <c r="B11" s="5" t="str">
        <f>"11SIN ESTUDIOS"</f>
        <v>11SIN ESTUDIOS</v>
      </c>
      <c r="C11" s="11" t="str">
        <f>"Total"</f>
        <v>Total</v>
      </c>
      <c r="D11" s="12">
        <v>1</v>
      </c>
      <c r="E11" s="13">
        <v>5.3E-3</v>
      </c>
    </row>
    <row r="12" spans="1:5">
      <c r="B12" s="4" t="str">
        <f>"4o. PRIMARIA"</f>
        <v>4o. PRIMARIA</v>
      </c>
      <c r="C12" s="1" t="str">
        <f>"VERACRUZ DE IGNACIO DE LA LLAVE"</f>
        <v>VERACRUZ DE IGNACIO DE LA LLAVE</v>
      </c>
      <c r="D12" s="2">
        <v>1</v>
      </c>
      <c r="E12" s="3">
        <v>5.3E-3</v>
      </c>
    </row>
    <row r="13" spans="1:5" ht="16.5">
      <c r="B13" s="5" t="str">
        <f>"244o. PRIMARIA"</f>
        <v>244o. PRIMARIA</v>
      </c>
      <c r="C13" s="11" t="str">
        <f>"Total"</f>
        <v>Total</v>
      </c>
      <c r="D13" s="12">
        <v>1</v>
      </c>
      <c r="E13" s="13">
        <v>5.3E-3</v>
      </c>
    </row>
    <row r="14" spans="1:5">
      <c r="B14" s="4" t="str">
        <f>"6o. PRIMARIA"</f>
        <v>6o. PRIMARIA</v>
      </c>
      <c r="C14" s="1" t="str">
        <f>"CHIAPAS"</f>
        <v>CHIAPAS</v>
      </c>
      <c r="D14" s="2">
        <v>2</v>
      </c>
      <c r="E14" s="3">
        <v>1.06E-2</v>
      </c>
    </row>
    <row r="15" spans="1:5">
      <c r="B15" s="5" t="str">
        <f t="shared" ref="B14:B22" si="0">"266o. PRIMARIA"</f>
        <v>266o. PRIMARIA</v>
      </c>
      <c r="C15" s="1" t="str">
        <f>"DISTRITO FEDERAL"</f>
        <v>DISTRITO FEDERAL</v>
      </c>
      <c r="D15" s="2">
        <v>1</v>
      </c>
      <c r="E15" s="3">
        <v>5.3E-3</v>
      </c>
    </row>
    <row r="16" spans="1:5">
      <c r="B16" s="5" t="str">
        <f t="shared" si="0"/>
        <v>266o. PRIMARIA</v>
      </c>
      <c r="C16" s="1" t="str">
        <f>"GUERRERO"</f>
        <v>GUERRERO</v>
      </c>
      <c r="D16" s="2">
        <v>1</v>
      </c>
      <c r="E16" s="3">
        <v>5.3E-3</v>
      </c>
    </row>
    <row r="17" spans="2:5">
      <c r="B17" s="5" t="str">
        <f t="shared" si="0"/>
        <v>266o. PRIMARIA</v>
      </c>
      <c r="C17" s="1" t="str">
        <f>"HIDALGO"</f>
        <v>HIDALGO</v>
      </c>
      <c r="D17" s="2">
        <v>12</v>
      </c>
      <c r="E17" s="3">
        <v>6.3500000000000001E-2</v>
      </c>
    </row>
    <row r="18" spans="2:5">
      <c r="B18" s="5" t="str">
        <f t="shared" si="0"/>
        <v>266o. PRIMARIA</v>
      </c>
      <c r="C18" s="1" t="str">
        <f>"MICHOACAN DE OCAMPO"</f>
        <v>MICHOACAN DE OCAMPO</v>
      </c>
      <c r="D18" s="2">
        <v>2</v>
      </c>
      <c r="E18" s="3">
        <v>1.06E-2</v>
      </c>
    </row>
    <row r="19" spans="2:5">
      <c r="B19" s="5" t="str">
        <f t="shared" si="0"/>
        <v>266o. PRIMARIA</v>
      </c>
      <c r="C19" s="1" t="str">
        <f>"OAXACA"</f>
        <v>OAXACA</v>
      </c>
      <c r="D19" s="2">
        <v>1</v>
      </c>
      <c r="E19" s="3">
        <v>5.3E-3</v>
      </c>
    </row>
    <row r="20" spans="2:5">
      <c r="B20" s="5" t="str">
        <f t="shared" si="0"/>
        <v>266o. PRIMARIA</v>
      </c>
      <c r="C20" s="1" t="str">
        <f>"TABASCO"</f>
        <v>TABASCO</v>
      </c>
      <c r="D20" s="2">
        <v>1</v>
      </c>
      <c r="E20" s="3">
        <v>5.3E-3</v>
      </c>
    </row>
    <row r="21" spans="2:5">
      <c r="B21" s="5" t="str">
        <f t="shared" si="0"/>
        <v>266o. PRIMARIA</v>
      </c>
      <c r="C21" s="1" t="str">
        <f>"VERACRUZ DE IGNACIO DE LA LLAVE"</f>
        <v>VERACRUZ DE IGNACIO DE LA LLAVE</v>
      </c>
      <c r="D21" s="2">
        <v>1</v>
      </c>
      <c r="E21" s="3">
        <v>5.3E-3</v>
      </c>
    </row>
    <row r="22" spans="2:5" ht="16.5">
      <c r="B22" s="5" t="str">
        <f t="shared" si="0"/>
        <v>266o. PRIMARIA</v>
      </c>
      <c r="C22" s="11" t="str">
        <f>"Total"</f>
        <v>Total</v>
      </c>
      <c r="D22" s="12">
        <v>21</v>
      </c>
      <c r="E22" s="13">
        <v>0.1111</v>
      </c>
    </row>
    <row r="23" spans="2:5">
      <c r="B23" s="4" t="str">
        <f>"PRIMARIA CON CERTIFICADO"</f>
        <v>PRIMARIA CON CERTIFICADO</v>
      </c>
      <c r="C23" s="1" t="str">
        <f>"CHIAPAS"</f>
        <v>CHIAPAS</v>
      </c>
      <c r="D23" s="2">
        <v>1</v>
      </c>
      <c r="E23" s="3">
        <v>5.3E-3</v>
      </c>
    </row>
    <row r="24" spans="2:5">
      <c r="B24" s="5" t="str">
        <f t="shared" ref="B23:B35" si="1">"27PRIMARIA CON CERTIFICADO"</f>
        <v>27PRIMARIA CON CERTIFICADO</v>
      </c>
      <c r="C24" s="1" t="str">
        <f>"DISTRITO FEDERAL"</f>
        <v>DISTRITO FEDERAL</v>
      </c>
      <c r="D24" s="2">
        <v>1</v>
      </c>
      <c r="E24" s="3">
        <v>5.3E-3</v>
      </c>
    </row>
    <row r="25" spans="2:5">
      <c r="B25" s="5" t="str">
        <f t="shared" si="1"/>
        <v>27PRIMARIA CON CERTIFICADO</v>
      </c>
      <c r="C25" s="1" t="str">
        <f>"GUERRERO"</f>
        <v>GUERRERO</v>
      </c>
      <c r="D25" s="2">
        <v>1</v>
      </c>
      <c r="E25" s="3">
        <v>5.3E-3</v>
      </c>
    </row>
    <row r="26" spans="2:5">
      <c r="B26" s="5" t="str">
        <f t="shared" si="1"/>
        <v>27PRIMARIA CON CERTIFICADO</v>
      </c>
      <c r="C26" s="1" t="str">
        <f>"HIDALGO"</f>
        <v>HIDALGO</v>
      </c>
      <c r="D26" s="2">
        <v>3</v>
      </c>
      <c r="E26" s="3">
        <v>1.5900000000000001E-2</v>
      </c>
    </row>
    <row r="27" spans="2:5">
      <c r="B27" s="5" t="str">
        <f t="shared" si="1"/>
        <v>27PRIMARIA CON CERTIFICADO</v>
      </c>
      <c r="C27" s="1" t="str">
        <f>"JALISCO"</f>
        <v>JALISCO</v>
      </c>
      <c r="D27" s="2">
        <v>1</v>
      </c>
      <c r="E27" s="3">
        <v>5.3E-3</v>
      </c>
    </row>
    <row r="28" spans="2:5">
      <c r="B28" s="5" t="str">
        <f t="shared" si="1"/>
        <v>27PRIMARIA CON CERTIFICADO</v>
      </c>
      <c r="C28" s="1" t="str">
        <f>"MEXICO"</f>
        <v>MEXICO</v>
      </c>
      <c r="D28" s="2">
        <v>1</v>
      </c>
      <c r="E28" s="3">
        <v>5.3E-3</v>
      </c>
    </row>
    <row r="29" spans="2:5">
      <c r="B29" s="5" t="str">
        <f t="shared" si="1"/>
        <v>27PRIMARIA CON CERTIFICADO</v>
      </c>
      <c r="C29" s="1" t="str">
        <f>"MICHOACAN DE OCAMPO"</f>
        <v>MICHOACAN DE OCAMPO</v>
      </c>
      <c r="D29" s="2">
        <v>1</v>
      </c>
      <c r="E29" s="3">
        <v>5.3E-3</v>
      </c>
    </row>
    <row r="30" spans="2:5">
      <c r="B30" s="5" t="str">
        <f t="shared" si="1"/>
        <v>27PRIMARIA CON CERTIFICADO</v>
      </c>
      <c r="C30" s="1" t="str">
        <f>"PUEBLA"</f>
        <v>PUEBLA</v>
      </c>
      <c r="D30" s="2">
        <v>2</v>
      </c>
      <c r="E30" s="3">
        <v>1.06E-2</v>
      </c>
    </row>
    <row r="31" spans="2:5">
      <c r="B31" s="5" t="str">
        <f t="shared" si="1"/>
        <v>27PRIMARIA CON CERTIFICADO</v>
      </c>
      <c r="C31" s="1" t="str">
        <f>"SONORA"</f>
        <v>SONORA</v>
      </c>
      <c r="D31" s="2">
        <v>1</v>
      </c>
      <c r="E31" s="3">
        <v>5.3E-3</v>
      </c>
    </row>
    <row r="32" spans="2:5">
      <c r="B32" s="5" t="str">
        <f t="shared" si="1"/>
        <v>27PRIMARIA CON CERTIFICADO</v>
      </c>
      <c r="C32" s="1" t="str">
        <f>"TABASCO"</f>
        <v>TABASCO</v>
      </c>
      <c r="D32" s="2">
        <v>1</v>
      </c>
      <c r="E32" s="3">
        <v>5.3E-3</v>
      </c>
    </row>
    <row r="33" spans="2:5">
      <c r="B33" s="5" t="str">
        <f t="shared" si="1"/>
        <v>27PRIMARIA CON CERTIFICADO</v>
      </c>
      <c r="C33" s="1" t="str">
        <f>"VERACRUZ DE IGNACIO DE LA LLAVE"</f>
        <v>VERACRUZ DE IGNACIO DE LA LLAVE</v>
      </c>
      <c r="D33" s="2">
        <v>1</v>
      </c>
      <c r="E33" s="3">
        <v>5.3E-3</v>
      </c>
    </row>
    <row r="34" spans="2:5">
      <c r="B34" s="5" t="str">
        <f t="shared" si="1"/>
        <v>27PRIMARIA CON CERTIFICADO</v>
      </c>
      <c r="C34" s="1" t="str">
        <f>"ZACATECAS"</f>
        <v>ZACATECAS</v>
      </c>
      <c r="D34" s="2">
        <v>1</v>
      </c>
      <c r="E34" s="3">
        <v>5.3E-3</v>
      </c>
    </row>
    <row r="35" spans="2:5" ht="16.5">
      <c r="B35" s="5" t="str">
        <f t="shared" si="1"/>
        <v>27PRIMARIA CON CERTIFICADO</v>
      </c>
      <c r="C35" s="11" t="str">
        <f>"Total"</f>
        <v>Total</v>
      </c>
      <c r="D35" s="12">
        <v>15</v>
      </c>
      <c r="E35" s="13">
        <v>7.9399999999999998E-2</v>
      </c>
    </row>
    <row r="36" spans="2:5">
      <c r="B36" s="4" t="str">
        <f>"2o. SECUNDARIA"</f>
        <v>2o. SECUNDARIA</v>
      </c>
      <c r="C36" s="1" t="str">
        <f>"MICHOACAN DE OCAMPO"</f>
        <v>MICHOACAN DE OCAMPO</v>
      </c>
      <c r="D36" s="2">
        <v>1</v>
      </c>
      <c r="E36" s="3">
        <v>5.3E-3</v>
      </c>
    </row>
    <row r="37" spans="2:5" ht="16.5">
      <c r="B37" s="5" t="str">
        <f>"322o. SECUNDARIA"</f>
        <v>322o. SECUNDARIA</v>
      </c>
      <c r="C37" s="11" t="str">
        <f>"Total"</f>
        <v>Total</v>
      </c>
      <c r="D37" s="12">
        <v>1</v>
      </c>
      <c r="E37" s="13">
        <v>5.3E-3</v>
      </c>
    </row>
    <row r="38" spans="2:5">
      <c r="B38" s="4" t="str">
        <f>"3o. SECUNDARIA"</f>
        <v>3o. SECUNDARIA</v>
      </c>
      <c r="C38" s="1" t="str">
        <f>"HIDALGO"</f>
        <v>HIDALGO</v>
      </c>
      <c r="D38" s="2">
        <v>1</v>
      </c>
      <c r="E38" s="3">
        <v>5.3E-3</v>
      </c>
    </row>
    <row r="39" spans="2:5" ht="16.5">
      <c r="B39" s="5" t="str">
        <f>"333o. SECUNDARIA"</f>
        <v>333o. SECUNDARIA</v>
      </c>
      <c r="C39" s="11" t="str">
        <f>"Total"</f>
        <v>Total</v>
      </c>
      <c r="D39" s="12">
        <v>1</v>
      </c>
      <c r="E39" s="13">
        <v>5.3E-3</v>
      </c>
    </row>
    <row r="40" spans="2:5">
      <c r="B40" s="4" t="str">
        <f>"SECUNDARIA CON CERTIFICADO"</f>
        <v>SECUNDARIA CON CERTIFICADO</v>
      </c>
      <c r="C40" s="1" t="str">
        <f>"CHIAPAS"</f>
        <v>CHIAPAS</v>
      </c>
      <c r="D40" s="2">
        <v>1</v>
      </c>
      <c r="E40" s="3">
        <v>5.3E-3</v>
      </c>
    </row>
    <row r="41" spans="2:5">
      <c r="B41" s="5" t="str">
        <f t="shared" ref="B40:B57" si="2">"34SECUNDARIA CON CERTIFICADO"</f>
        <v>34SECUNDARIA CON CERTIFICADO</v>
      </c>
      <c r="C41" s="1" t="str">
        <f>"COLIMA"</f>
        <v>COLIMA</v>
      </c>
      <c r="D41" s="2">
        <v>1</v>
      </c>
      <c r="E41" s="3">
        <v>5.3E-3</v>
      </c>
    </row>
    <row r="42" spans="2:5">
      <c r="B42" s="5" t="str">
        <f t="shared" si="2"/>
        <v>34SECUNDARIA CON CERTIFICADO</v>
      </c>
      <c r="C42" s="1" t="str">
        <f>"DISTRITO FEDERAL"</f>
        <v>DISTRITO FEDERAL</v>
      </c>
      <c r="D42" s="2">
        <v>4</v>
      </c>
      <c r="E42" s="3">
        <v>2.12E-2</v>
      </c>
    </row>
    <row r="43" spans="2:5">
      <c r="B43" s="5" t="str">
        <f t="shared" si="2"/>
        <v>34SECUNDARIA CON CERTIFICADO</v>
      </c>
      <c r="C43" s="1" t="str">
        <f>"GUANAJUATO"</f>
        <v>GUANAJUATO</v>
      </c>
      <c r="D43" s="2">
        <v>1</v>
      </c>
      <c r="E43" s="3">
        <v>5.3E-3</v>
      </c>
    </row>
    <row r="44" spans="2:5">
      <c r="B44" s="5" t="str">
        <f t="shared" si="2"/>
        <v>34SECUNDARIA CON CERTIFICADO</v>
      </c>
      <c r="C44" s="1" t="str">
        <f>"GUERRERO"</f>
        <v>GUERRERO</v>
      </c>
      <c r="D44" s="2">
        <v>16</v>
      </c>
      <c r="E44" s="3">
        <v>8.4699999999999998E-2</v>
      </c>
    </row>
    <row r="45" spans="2:5">
      <c r="B45" s="5" t="str">
        <f t="shared" si="2"/>
        <v>34SECUNDARIA CON CERTIFICADO</v>
      </c>
      <c r="C45" s="1" t="str">
        <f>"HIDALGO"</f>
        <v>HIDALGO</v>
      </c>
      <c r="D45" s="2">
        <v>43</v>
      </c>
      <c r="E45" s="3">
        <v>0.22750000000000001</v>
      </c>
    </row>
    <row r="46" spans="2:5">
      <c r="B46" s="5" t="str">
        <f t="shared" si="2"/>
        <v>34SECUNDARIA CON CERTIFICADO</v>
      </c>
      <c r="C46" s="1" t="str">
        <f>"JALISCO"</f>
        <v>JALISCO</v>
      </c>
      <c r="D46" s="2">
        <v>2</v>
      </c>
      <c r="E46" s="3">
        <v>1.06E-2</v>
      </c>
    </row>
    <row r="47" spans="2:5">
      <c r="B47" s="5" t="str">
        <f t="shared" si="2"/>
        <v>34SECUNDARIA CON CERTIFICADO</v>
      </c>
      <c r="C47" s="1" t="str">
        <f>"MEXICO"</f>
        <v>MEXICO</v>
      </c>
      <c r="D47" s="2">
        <v>6</v>
      </c>
      <c r="E47" s="3">
        <v>3.1699999999999999E-2</v>
      </c>
    </row>
    <row r="48" spans="2:5">
      <c r="B48" s="5" t="str">
        <f t="shared" si="2"/>
        <v>34SECUNDARIA CON CERTIFICADO</v>
      </c>
      <c r="C48" s="1" t="str">
        <f>"MICHOACAN DE OCAMPO"</f>
        <v>MICHOACAN DE OCAMPO</v>
      </c>
      <c r="D48" s="2">
        <v>9</v>
      </c>
      <c r="E48" s="3">
        <v>4.7600000000000003E-2</v>
      </c>
    </row>
    <row r="49" spans="2:5">
      <c r="B49" s="5" t="str">
        <f t="shared" si="2"/>
        <v>34SECUNDARIA CON CERTIFICADO</v>
      </c>
      <c r="C49" s="1" t="str">
        <f>"MORELOS"</f>
        <v>MORELOS</v>
      </c>
      <c r="D49" s="2">
        <v>1</v>
      </c>
      <c r="E49" s="3">
        <v>5.3E-3</v>
      </c>
    </row>
    <row r="50" spans="2:5">
      <c r="B50" s="5" t="str">
        <f t="shared" si="2"/>
        <v>34SECUNDARIA CON CERTIFICADO</v>
      </c>
      <c r="C50" s="1" t="str">
        <f>"PUEBLA"</f>
        <v>PUEBLA</v>
      </c>
      <c r="D50" s="2">
        <v>8</v>
      </c>
      <c r="E50" s="3">
        <v>4.2299999999999997E-2</v>
      </c>
    </row>
    <row r="51" spans="2:5">
      <c r="B51" s="5" t="str">
        <f t="shared" si="2"/>
        <v>34SECUNDARIA CON CERTIFICADO</v>
      </c>
      <c r="C51" s="1" t="str">
        <f>"QUERETARO DE ARTEAGA"</f>
        <v>QUERETARO DE ARTEAGA</v>
      </c>
      <c r="D51" s="2">
        <v>2</v>
      </c>
      <c r="E51" s="3">
        <v>1.06E-2</v>
      </c>
    </row>
    <row r="52" spans="2:5">
      <c r="B52" s="5" t="str">
        <f t="shared" si="2"/>
        <v>34SECUNDARIA CON CERTIFICADO</v>
      </c>
      <c r="C52" s="1" t="str">
        <f>"SAN LUIS POTOSI"</f>
        <v>SAN LUIS POTOSI</v>
      </c>
      <c r="D52" s="2">
        <v>3</v>
      </c>
      <c r="E52" s="3">
        <v>1.5900000000000001E-2</v>
      </c>
    </row>
    <row r="53" spans="2:5">
      <c r="B53" s="5" t="str">
        <f t="shared" si="2"/>
        <v>34SECUNDARIA CON CERTIFICADO</v>
      </c>
      <c r="C53" s="1" t="str">
        <f>"TABASCO"</f>
        <v>TABASCO</v>
      </c>
      <c r="D53" s="2">
        <v>3</v>
      </c>
      <c r="E53" s="3">
        <v>1.5900000000000001E-2</v>
      </c>
    </row>
    <row r="54" spans="2:5">
      <c r="B54" s="5" t="str">
        <f t="shared" si="2"/>
        <v>34SECUNDARIA CON CERTIFICADO</v>
      </c>
      <c r="C54" s="1" t="str">
        <f>"TLAXCALA"</f>
        <v>TLAXCALA</v>
      </c>
      <c r="D54" s="2">
        <v>1</v>
      </c>
      <c r="E54" s="3">
        <v>5.3E-3</v>
      </c>
    </row>
    <row r="55" spans="2:5">
      <c r="B55" s="5" t="str">
        <f t="shared" si="2"/>
        <v>34SECUNDARIA CON CERTIFICADO</v>
      </c>
      <c r="C55" s="1" t="str">
        <f>"VERACRUZ DE IGNACIO DE LA LLAVE"</f>
        <v>VERACRUZ DE IGNACIO DE LA LLAVE</v>
      </c>
      <c r="D55" s="2">
        <v>4</v>
      </c>
      <c r="E55" s="3">
        <v>2.12E-2</v>
      </c>
    </row>
    <row r="56" spans="2:5">
      <c r="B56" s="5" t="str">
        <f t="shared" si="2"/>
        <v>34SECUNDARIA CON CERTIFICADO</v>
      </c>
      <c r="C56" s="1" t="str">
        <f>"ZACATECAS"</f>
        <v>ZACATECAS</v>
      </c>
      <c r="D56" s="2">
        <v>1</v>
      </c>
      <c r="E56" s="3">
        <v>5.3E-3</v>
      </c>
    </row>
    <row r="57" spans="2:5" ht="16.5">
      <c r="B57" s="5" t="str">
        <f t="shared" si="2"/>
        <v>34SECUNDARIA CON CERTIFICADO</v>
      </c>
      <c r="C57" s="11" t="str">
        <f>"Total"</f>
        <v>Total</v>
      </c>
      <c r="D57" s="12">
        <v>106</v>
      </c>
      <c r="E57" s="13">
        <v>0.56079999999999997</v>
      </c>
    </row>
    <row r="58" spans="2:5">
      <c r="B58" s="4" t="str">
        <f>"PREPARATORIA CON CERTIFICADO"</f>
        <v>PREPARATORIA CON CERTIFICADO</v>
      </c>
      <c r="C58" s="1" t="str">
        <f>"CHIAPAS"</f>
        <v>CHIAPAS</v>
      </c>
      <c r="D58" s="2">
        <v>2</v>
      </c>
      <c r="E58" s="3">
        <v>1.06E-2</v>
      </c>
    </row>
    <row r="59" spans="2:5">
      <c r="B59" s="5" t="str">
        <f t="shared" ref="B58:B68" si="3">"52PREPARATORIA CON CERTIFICADO"</f>
        <v>52PREPARATORIA CON CERTIFICADO</v>
      </c>
      <c r="C59" s="1" t="str">
        <f>"COLIMA"</f>
        <v>COLIMA</v>
      </c>
      <c r="D59" s="2">
        <v>2</v>
      </c>
      <c r="E59" s="3">
        <v>1.06E-2</v>
      </c>
    </row>
    <row r="60" spans="2:5">
      <c r="B60" s="5" t="str">
        <f t="shared" si="3"/>
        <v>52PREPARATORIA CON CERTIFICADO</v>
      </c>
      <c r="C60" s="1" t="str">
        <f>"DISTRITO FEDERAL"</f>
        <v>DISTRITO FEDERAL</v>
      </c>
      <c r="D60" s="2">
        <v>11</v>
      </c>
      <c r="E60" s="3">
        <v>5.8200000000000002E-2</v>
      </c>
    </row>
    <row r="61" spans="2:5">
      <c r="B61" s="5" t="str">
        <f t="shared" si="3"/>
        <v>52PREPARATORIA CON CERTIFICADO</v>
      </c>
      <c r="C61" s="1" t="str">
        <f>"GUANAJUATO"</f>
        <v>GUANAJUATO</v>
      </c>
      <c r="D61" s="2">
        <v>1</v>
      </c>
      <c r="E61" s="3">
        <v>5.3E-3</v>
      </c>
    </row>
    <row r="62" spans="2:5">
      <c r="B62" s="5" t="str">
        <f t="shared" si="3"/>
        <v>52PREPARATORIA CON CERTIFICADO</v>
      </c>
      <c r="C62" s="1" t="str">
        <f>"GUERRERO"</f>
        <v>GUERRERO</v>
      </c>
      <c r="D62" s="2">
        <v>3</v>
      </c>
      <c r="E62" s="3">
        <v>1.5900000000000001E-2</v>
      </c>
    </row>
    <row r="63" spans="2:5">
      <c r="B63" s="5" t="str">
        <f t="shared" si="3"/>
        <v>52PREPARATORIA CON CERTIFICADO</v>
      </c>
      <c r="C63" s="1" t="str">
        <f>"HIDALGO"</f>
        <v>HIDALGO</v>
      </c>
      <c r="D63" s="2">
        <v>13</v>
      </c>
      <c r="E63" s="3">
        <v>6.88E-2</v>
      </c>
    </row>
    <row r="64" spans="2:5">
      <c r="B64" s="5" t="str">
        <f t="shared" si="3"/>
        <v>52PREPARATORIA CON CERTIFICADO</v>
      </c>
      <c r="C64" s="1" t="str">
        <f>"JALISCO"</f>
        <v>JALISCO</v>
      </c>
      <c r="D64" s="2">
        <v>1</v>
      </c>
      <c r="E64" s="3">
        <v>5.3E-3</v>
      </c>
    </row>
    <row r="65" spans="2:5">
      <c r="B65" s="5" t="str">
        <f t="shared" si="3"/>
        <v>52PREPARATORIA CON CERTIFICADO</v>
      </c>
      <c r="C65" s="1" t="str">
        <f>"MEXICO"</f>
        <v>MEXICO</v>
      </c>
      <c r="D65" s="2">
        <v>1</v>
      </c>
      <c r="E65" s="3">
        <v>5.3E-3</v>
      </c>
    </row>
    <row r="66" spans="2:5">
      <c r="B66" s="5" t="str">
        <f t="shared" si="3"/>
        <v>52PREPARATORIA CON CERTIFICADO</v>
      </c>
      <c r="C66" s="1" t="str">
        <f>"MICHOACAN DE OCAMPO"</f>
        <v>MICHOACAN DE OCAMPO</v>
      </c>
      <c r="D66" s="2">
        <v>2</v>
      </c>
      <c r="E66" s="3">
        <v>1.06E-2</v>
      </c>
    </row>
    <row r="67" spans="2:5">
      <c r="B67" s="5" t="str">
        <f t="shared" si="3"/>
        <v>52PREPARATORIA CON CERTIFICADO</v>
      </c>
      <c r="C67" s="1" t="str">
        <f>"PUEBLA"</f>
        <v>PUEBLA</v>
      </c>
      <c r="D67" s="2">
        <v>3</v>
      </c>
      <c r="E67" s="3">
        <v>1.5900000000000001E-2</v>
      </c>
    </row>
    <row r="68" spans="2:5" ht="16.5">
      <c r="B68" s="5" t="str">
        <f t="shared" si="3"/>
        <v>52PREPARATORIA CON CERTIFICADO</v>
      </c>
      <c r="C68" s="11" t="str">
        <f>"Total"</f>
        <v>Total</v>
      </c>
      <c r="D68" s="12">
        <v>39</v>
      </c>
      <c r="E68" s="13">
        <v>0.20630000000000001</v>
      </c>
    </row>
    <row r="69" spans="2:5">
      <c r="B69" s="4" t="str">
        <f>"PROFESIONAL PASANTE"</f>
        <v>PROFESIONAL PASANTE</v>
      </c>
      <c r="C69" s="1" t="str">
        <f>"CHIAPAS"</f>
        <v>CHIAPAS</v>
      </c>
      <c r="D69" s="2">
        <v>1</v>
      </c>
      <c r="E69" s="3">
        <v>5.3E-3</v>
      </c>
    </row>
    <row r="70" spans="2:5">
      <c r="B70" s="5" t="str">
        <f>"65PROFESIONAL PASANTE"</f>
        <v>65PROFESIONAL PASANTE</v>
      </c>
      <c r="C70" s="1" t="str">
        <f>"DISTRITO FEDERAL"</f>
        <v>DISTRITO FEDERAL</v>
      </c>
      <c r="D70" s="2">
        <v>1</v>
      </c>
      <c r="E70" s="3">
        <v>5.3E-3</v>
      </c>
    </row>
    <row r="71" spans="2:5">
      <c r="B71" s="5" t="str">
        <f>"65PROFESIONAL PASANTE"</f>
        <v>65PROFESIONAL PASANTE</v>
      </c>
      <c r="C71" s="1" t="str">
        <f>"MICHOACAN DE OCAMPO"</f>
        <v>MICHOACAN DE OCAMPO</v>
      </c>
      <c r="D71" s="2">
        <v>1</v>
      </c>
      <c r="E71" s="3">
        <v>5.3E-3</v>
      </c>
    </row>
    <row r="72" spans="2:5" ht="16.5">
      <c r="B72" s="5" t="str">
        <f>"65PROFESIONAL PASANTE"</f>
        <v>65PROFESIONAL PASANTE</v>
      </c>
      <c r="C72" s="11" t="str">
        <f>"Total"</f>
        <v>Total</v>
      </c>
      <c r="D72" s="12">
        <v>3</v>
      </c>
      <c r="E72" s="13">
        <v>1.5900000000000001E-2</v>
      </c>
    </row>
    <row r="73" spans="2:5">
      <c r="B73" s="4" t="str">
        <f>"PROFESIONAL TITULADO"</f>
        <v>PROFESIONAL TITULADO</v>
      </c>
      <c r="C73" s="1" t="str">
        <f>"PUEBLA"</f>
        <v>PUEBLA</v>
      </c>
      <c r="D73" s="2">
        <v>1</v>
      </c>
      <c r="E73" s="3">
        <v>5.3E-3</v>
      </c>
    </row>
    <row r="74" spans="2:5" ht="16.5">
      <c r="B74" s="5" t="str">
        <f>"66PROFESIONAL TITULADO"</f>
        <v>66PROFESIONAL TITULADO</v>
      </c>
      <c r="C74" s="11" t="str">
        <f>"Total"</f>
        <v>Total</v>
      </c>
      <c r="D74" s="12">
        <v>1</v>
      </c>
      <c r="E74" s="13">
        <v>5.3E-3</v>
      </c>
    </row>
    <row r="75" spans="2:5" ht="16.5">
      <c r="B75" s="6" t="s">
        <v>10</v>
      </c>
      <c r="C75" s="7" t="str">
        <f>" "</f>
        <v> </v>
      </c>
      <c r="D75" s="8">
        <v>189</v>
      </c>
      <c r="E75" s="9">
        <v>1</v>
      </c>
    </row>
    <row r="78" spans="2:5">
      <c r="B78" s="10" t="s">
        <v>0</v>
      </c>
    </row>
    <row r="79" spans="2:5">
      <c r="B79" s="10" t="s">
        <v>1</v>
      </c>
    </row>
    <row r="80" spans="2:5">
      <c r="B80" s="10" t="s">
        <v>2</v>
      </c>
    </row>
    <row r="81" spans="2:2">
      <c r="B81" s="10" t="s">
        <v>3</v>
      </c>
    </row>
    <row r="82" spans="2:2">
      <c r="B82" s="10" t="s">
        <v>4</v>
      </c>
    </row>
  </sheetData>
  <mergeCells count="11">
    <mergeCell ref="B69:B72"/>
    <mergeCell ref="B73:B74"/>
    <mergeCell ref="B6:E7"/>
    <mergeCell ref="B23:B35"/>
    <mergeCell ref="B36:B37"/>
    <mergeCell ref="B38:B39"/>
    <mergeCell ref="B40:B57"/>
    <mergeCell ref="B58:B68"/>
    <mergeCell ref="B10:B11"/>
    <mergeCell ref="B12:B13"/>
    <mergeCell ref="B14:B22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6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2012-03-23T17:57:27Z</dcterms:created>
  <dcterms:modified xsi:type="dcterms:W3CDTF">2012-03-23T21:29:17Z</dcterms:modified>
</cp:coreProperties>
</file>