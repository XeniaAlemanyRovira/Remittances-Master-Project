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 11 " sheetId="2" r:id="rId1"/>
  </sheets>
  <calcPr calcId="125725"/>
</workbook>
</file>

<file path=xl/calcChain.xml><?xml version="1.0" encoding="utf-8"?>
<calcChain xmlns="http://schemas.openxmlformats.org/spreadsheetml/2006/main">
  <c r="B23" i="2"/>
  <c r="B22"/>
  <c r="B21"/>
  <c r="B20"/>
  <c r="B19"/>
  <c r="B18"/>
  <c r="B17"/>
  <c r="B16"/>
  <c r="B15"/>
  <c r="B14"/>
  <c r="B13"/>
  <c r="B12"/>
  <c r="B11"/>
  <c r="B10"/>
</calcChain>
</file>

<file path=xl/sharedStrings.xml><?xml version="1.0" encoding="utf-8"?>
<sst xmlns="http://schemas.openxmlformats.org/spreadsheetml/2006/main" count="11" uniqueCount="11">
  <si>
    <t>Número de Matrículas</t>
  </si>
  <si>
    <t>TOTAL</t>
  </si>
  <si>
    <t xml:space="preserve">                                          (Tabla en orden descendente) </t>
  </si>
  <si>
    <t>Ocupación</t>
  </si>
  <si>
    <t>Porcentaje de Matrículas</t>
  </si>
  <si>
    <t>Tamaño de la muestra: 924,400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</si>
  <si>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</si>
  <si>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</si>
  <si>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</si>
  <si>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Febrero del 2012</t>
  </si>
  <si>
    <t>MATRÍCULAS CONSULARES EXPEDIDAS EN EE.UU. A MEXICANOS EN DISTRICT OF COLUMBIA POR PERFIL OCUPACIONAL, 2010</t>
  </si>
</sst>
</file>

<file path=xl/styles.xml><?xml version="1.0" encoding="utf-8"?>
<styleSheet xmlns="http://schemas.openxmlformats.org/spreadsheetml/2006/main">
  <fonts count="2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indexed="8"/>
      <name val="Arial Narrow"/>
      <family val="2"/>
    </font>
    <font>
      <i/>
      <sz val="11"/>
      <color indexed="8"/>
      <name val="Arial Narrow"/>
      <family val="2"/>
    </font>
    <font>
      <b/>
      <sz val="11"/>
      <color indexed="9"/>
      <name val="Arial Narrow"/>
      <family val="2"/>
    </font>
    <font>
      <sz val="11"/>
      <color indexed="8"/>
      <name val="Arial Narrow"/>
      <family val="2"/>
    </font>
    <font>
      <sz val="10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1"/>
        <bgColor indexed="64"/>
      </patternFill>
    </fill>
    <fill>
      <patternFill patternType="solid">
        <fgColor theme="0" tint="-0.49998474074526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3">
    <xf numFmtId="0" fontId="0" fillId="0" borderId="0" xfId="0"/>
    <xf numFmtId="0" fontId="18" fillId="0" borderId="0" xfId="0" applyFont="1" applyAlignment="1">
      <alignment horizontal="center" vertical="center" wrapText="1"/>
    </xf>
    <xf numFmtId="0" fontId="0" fillId="0" borderId="0" xfId="0" applyAlignment="1"/>
    <xf numFmtId="0" fontId="19" fillId="0" borderId="10" xfId="0" applyFont="1" applyBorder="1" applyAlignment="1">
      <alignment horizontal="center" vertical="center" wrapText="1"/>
    </xf>
    <xf numFmtId="0" fontId="20" fillId="33" borderId="11" xfId="0" applyFont="1" applyFill="1" applyBorder="1" applyAlignment="1">
      <alignment horizontal="center" vertical="center" wrapText="1"/>
    </xf>
    <xf numFmtId="0" fontId="21" fillId="33" borderId="11" xfId="0" applyFont="1" applyFill="1" applyBorder="1"/>
    <xf numFmtId="0" fontId="13" fillId="34" borderId="11" xfId="0" applyFont="1" applyFill="1" applyBorder="1" applyAlignment="1">
      <alignment wrapText="1"/>
    </xf>
    <xf numFmtId="3" fontId="13" fillId="34" borderId="11" xfId="0" applyNumberFormat="1" applyFont="1" applyFill="1" applyBorder="1" applyAlignment="1">
      <alignment horizontal="right" wrapText="1"/>
    </xf>
    <xf numFmtId="10" fontId="13" fillId="34" borderId="11" xfId="0" applyNumberFormat="1" applyFont="1" applyFill="1" applyBorder="1" applyAlignment="1">
      <alignment horizontal="right" wrapText="1"/>
    </xf>
    <xf numFmtId="0" fontId="22" fillId="0" borderId="0" xfId="0" applyFont="1"/>
    <xf numFmtId="0" fontId="0" fillId="0" borderId="11" xfId="0" applyFont="1" applyBorder="1" applyAlignment="1">
      <alignment wrapText="1"/>
    </xf>
    <xf numFmtId="0" fontId="0" fillId="0" borderId="11" xfId="0" applyFont="1" applyBorder="1" applyAlignment="1">
      <alignment horizontal="right" wrapText="1"/>
    </xf>
    <xf numFmtId="10" fontId="0" fillId="0" borderId="11" xfId="0" applyNumberFormat="1" applyFont="1" applyBorder="1" applyAlignment="1">
      <alignment horizontal="right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0</xdr:row>
      <xdr:rowOff>47625</xdr:rowOff>
    </xdr:from>
    <xdr:to>
      <xdr:col>4</xdr:col>
      <xdr:colOff>209550</xdr:colOff>
      <xdr:row>3</xdr:row>
      <xdr:rowOff>95250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4391025" y="47625"/>
          <a:ext cx="1247775" cy="619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5:E31"/>
  <sheetViews>
    <sheetView showGridLines="0" tabSelected="1" workbookViewId="0">
      <selection activeCell="B5" sqref="B5:D6"/>
    </sheetView>
  </sheetViews>
  <sheetFormatPr baseColWidth="10" defaultRowHeight="15"/>
  <cols>
    <col min="2" max="2" width="49.28515625" customWidth="1"/>
    <col min="3" max="4" width="16.140625" bestFit="1" customWidth="1"/>
  </cols>
  <sheetData>
    <row r="5" spans="2:5">
      <c r="B5" s="1" t="s">
        <v>10</v>
      </c>
      <c r="C5" s="1"/>
      <c r="D5" s="1"/>
      <c r="E5" s="2"/>
    </row>
    <row r="6" spans="2:5">
      <c r="B6" s="1"/>
      <c r="C6" s="1"/>
      <c r="D6" s="1"/>
      <c r="E6" s="2"/>
    </row>
    <row r="7" spans="2:5" ht="16.5">
      <c r="B7" s="3" t="s">
        <v>2</v>
      </c>
      <c r="C7" s="3"/>
      <c r="D7" s="3"/>
    </row>
    <row r="8" spans="2:5">
      <c r="B8" s="4" t="s">
        <v>3</v>
      </c>
      <c r="C8" s="4" t="s">
        <v>0</v>
      </c>
      <c r="D8" s="4" t="s">
        <v>4</v>
      </c>
    </row>
    <row r="9" spans="2:5">
      <c r="B9" s="5"/>
      <c r="C9" s="5"/>
      <c r="D9" s="5"/>
    </row>
    <row r="10" spans="2:5">
      <c r="B10" s="10" t="str">
        <f>"EMPLEADO(A)"</f>
        <v>EMPLEADO(A)</v>
      </c>
      <c r="C10" s="11">
        <v>246</v>
      </c>
      <c r="D10" s="12">
        <v>0.79349999999999998</v>
      </c>
    </row>
    <row r="11" spans="2:5">
      <c r="B11" s="10" t="str">
        <f>"HOGAR"</f>
        <v>HOGAR</v>
      </c>
      <c r="C11" s="11">
        <v>32</v>
      </c>
      <c r="D11" s="12">
        <v>0.1032</v>
      </c>
    </row>
    <row r="12" spans="2:5">
      <c r="B12" s="10" t="str">
        <f>"ESTUDIANTE"</f>
        <v>ESTUDIANTE</v>
      </c>
      <c r="C12" s="11">
        <v>7</v>
      </c>
      <c r="D12" s="12">
        <v>2.2599999999999999E-2</v>
      </c>
    </row>
    <row r="13" spans="2:5">
      <c r="B13" s="10" t="str">
        <f>"OBRERO(A)"</f>
        <v>OBRERO(A)</v>
      </c>
      <c r="C13" s="11">
        <v>5</v>
      </c>
      <c r="D13" s="12">
        <v>1.61E-2</v>
      </c>
    </row>
    <row r="14" spans="2:5">
      <c r="B14" s="10" t="str">
        <f>"COCINERO(A)"</f>
        <v>COCINERO(A)</v>
      </c>
      <c r="C14" s="11">
        <v>4</v>
      </c>
      <c r="D14" s="12">
        <v>1.29E-2</v>
      </c>
    </row>
    <row r="15" spans="2:5">
      <c r="B15" s="10" t="str">
        <f>"CAMPESINO(A)"</f>
        <v>CAMPESINO(A)</v>
      </c>
      <c r="C15" s="11">
        <v>3</v>
      </c>
      <c r="D15" s="12">
        <v>9.7000000000000003E-3</v>
      </c>
    </row>
    <row r="16" spans="2:5">
      <c r="B16" s="10" t="str">
        <f>"OTRO"</f>
        <v>OTRO</v>
      </c>
      <c r="C16" s="11">
        <v>3</v>
      </c>
      <c r="D16" s="12">
        <v>9.7000000000000003E-3</v>
      </c>
    </row>
    <row r="17" spans="2:4">
      <c r="B17" s="10" t="str">
        <f>"PROFESIONISTA"</f>
        <v>PROFESIONISTA</v>
      </c>
      <c r="C17" s="11">
        <v>3</v>
      </c>
      <c r="D17" s="12">
        <v>9.7000000000000003E-3</v>
      </c>
    </row>
    <row r="18" spans="2:4">
      <c r="B18" s="10" t="str">
        <f>"ALBANIL"</f>
        <v>ALBANIL</v>
      </c>
      <c r="C18" s="11">
        <v>2</v>
      </c>
      <c r="D18" s="12">
        <v>6.4999999999999997E-3</v>
      </c>
    </row>
    <row r="19" spans="2:4">
      <c r="B19" s="10" t="str">
        <f>"MESERO(A)"</f>
        <v>MESERO(A)</v>
      </c>
      <c r="C19" s="11">
        <v>1</v>
      </c>
      <c r="D19" s="12">
        <v>3.2000000000000002E-3</v>
      </c>
    </row>
    <row r="20" spans="2:4">
      <c r="B20" s="10" t="str">
        <f>"CHOFER"</f>
        <v>CHOFER</v>
      </c>
      <c r="C20" s="11">
        <v>1</v>
      </c>
      <c r="D20" s="12">
        <v>3.2000000000000002E-3</v>
      </c>
    </row>
    <row r="21" spans="2:4">
      <c r="B21" s="10" t="str">
        <f>"CARNICERO"</f>
        <v>CARNICERO</v>
      </c>
      <c r="C21" s="11">
        <v>1</v>
      </c>
      <c r="D21" s="12">
        <v>3.2000000000000002E-3</v>
      </c>
    </row>
    <row r="22" spans="2:4">
      <c r="B22" s="10" t="str">
        <f>"PINTOR(A)"</f>
        <v>PINTOR(A)</v>
      </c>
      <c r="C22" s="11">
        <v>1</v>
      </c>
      <c r="D22" s="12">
        <v>3.2000000000000002E-3</v>
      </c>
    </row>
    <row r="23" spans="2:4">
      <c r="B23" s="10" t="str">
        <f>"COMERCIANTE"</f>
        <v>COMERCIANTE</v>
      </c>
      <c r="C23" s="11">
        <v>1</v>
      </c>
      <c r="D23" s="12">
        <v>3.2000000000000002E-3</v>
      </c>
    </row>
    <row r="24" spans="2:4">
      <c r="B24" s="6" t="s">
        <v>1</v>
      </c>
      <c r="C24" s="7">
        <v>310</v>
      </c>
      <c r="D24" s="8">
        <v>1</v>
      </c>
    </row>
    <row r="27" spans="2:4">
      <c r="B27" s="9" t="s">
        <v>5</v>
      </c>
    </row>
    <row r="28" spans="2:4">
      <c r="B28" s="9" t="s">
        <v>6</v>
      </c>
    </row>
    <row r="29" spans="2:4">
      <c r="B29" s="9" t="s">
        <v>7</v>
      </c>
    </row>
    <row r="30" spans="2:4">
      <c r="B30" s="9" t="s">
        <v>8</v>
      </c>
    </row>
    <row r="31" spans="2:4">
      <c r="B31" s="9" t="s">
        <v>9</v>
      </c>
    </row>
  </sheetData>
  <mergeCells count="5">
    <mergeCell ref="B5:D6"/>
    <mergeCell ref="B7:D7"/>
    <mergeCell ref="B8:B9"/>
    <mergeCell ref="C8:C9"/>
    <mergeCell ref="D8:D9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 11 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2012-03-02T21:04:31Z</dcterms:created>
  <dcterms:modified xsi:type="dcterms:W3CDTF">2012-03-02T21:29:13Z</dcterms:modified>
</cp:coreProperties>
</file>