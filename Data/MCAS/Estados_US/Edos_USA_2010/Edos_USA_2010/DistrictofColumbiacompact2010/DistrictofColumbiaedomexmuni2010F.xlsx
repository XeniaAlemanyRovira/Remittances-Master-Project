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1VJMO2" sheetId="2" r:id="rId1"/>
  </sheets>
  <calcPr calcId="125725"/>
</workbook>
</file>

<file path=xl/calcChain.xml><?xml version="1.0" encoding="utf-8"?>
<calcChain xmlns="http://schemas.openxmlformats.org/spreadsheetml/2006/main">
  <c r="C140" i="2"/>
  <c r="C139"/>
  <c r="C138"/>
  <c r="B138"/>
  <c r="C137"/>
  <c r="C136"/>
  <c r="C135"/>
  <c r="C134"/>
  <c r="C133"/>
  <c r="C132"/>
  <c r="C131"/>
  <c r="C130"/>
  <c r="C129"/>
  <c r="C128"/>
  <c r="C127"/>
  <c r="C126"/>
  <c r="C125"/>
  <c r="C124"/>
  <c r="C123"/>
  <c r="B123"/>
  <c r="C122"/>
  <c r="C121"/>
  <c r="C120"/>
  <c r="C119"/>
  <c r="C118"/>
  <c r="C117"/>
  <c r="C116"/>
  <c r="B116"/>
  <c r="C115"/>
  <c r="C114"/>
  <c r="B114"/>
  <c r="C113"/>
  <c r="C112"/>
  <c r="B112"/>
  <c r="C111"/>
  <c r="C110"/>
  <c r="B110"/>
  <c r="C109"/>
  <c r="C108"/>
  <c r="C107"/>
  <c r="B107"/>
  <c r="C106"/>
  <c r="C105"/>
  <c r="C104"/>
  <c r="B104"/>
  <c r="C103"/>
  <c r="C102"/>
  <c r="C101"/>
  <c r="C100"/>
  <c r="B100"/>
  <c r="C99"/>
  <c r="C98"/>
  <c r="C97"/>
  <c r="C96"/>
  <c r="C95"/>
  <c r="C94"/>
  <c r="C93"/>
  <c r="C92"/>
  <c r="C91"/>
  <c r="C90"/>
  <c r="C89"/>
  <c r="B89"/>
  <c r="C88"/>
  <c r="C87"/>
  <c r="C86"/>
  <c r="C85"/>
  <c r="C84"/>
  <c r="C83"/>
  <c r="C82"/>
  <c r="C81"/>
  <c r="C80"/>
  <c r="C79"/>
  <c r="C78"/>
  <c r="B78"/>
  <c r="C77"/>
  <c r="C76"/>
  <c r="C75"/>
  <c r="B75"/>
  <c r="C74"/>
  <c r="C73"/>
  <c r="C72"/>
  <c r="C71"/>
  <c r="C70"/>
  <c r="C69"/>
  <c r="C68"/>
  <c r="C67"/>
  <c r="B67"/>
  <c r="C66"/>
  <c r="C65"/>
  <c r="C64"/>
  <c r="B64"/>
  <c r="C63"/>
  <c r="C62"/>
  <c r="C61"/>
  <c r="C60"/>
  <c r="C59"/>
  <c r="C58"/>
  <c r="C57"/>
  <c r="C56"/>
  <c r="C55"/>
  <c r="C54"/>
  <c r="B54"/>
  <c r="C53"/>
  <c r="C52"/>
  <c r="C51"/>
  <c r="C50"/>
  <c r="C49"/>
  <c r="C48"/>
  <c r="C47"/>
  <c r="B47"/>
  <c r="C46"/>
  <c r="C45"/>
  <c r="C44"/>
  <c r="C43"/>
  <c r="C42"/>
  <c r="C41"/>
  <c r="C40"/>
  <c r="C39"/>
  <c r="C38"/>
  <c r="C37"/>
  <c r="C36"/>
  <c r="C35"/>
  <c r="C34"/>
  <c r="B34"/>
  <c r="C33"/>
  <c r="C32"/>
  <c r="B32"/>
  <c r="C31"/>
  <c r="C30"/>
  <c r="C29"/>
  <c r="B29"/>
  <c r="C28"/>
  <c r="C27"/>
  <c r="C26"/>
  <c r="C25"/>
  <c r="C24"/>
  <c r="C23"/>
  <c r="C22"/>
  <c r="C21"/>
  <c r="C20"/>
  <c r="B20"/>
  <c r="C19"/>
  <c r="C18"/>
  <c r="B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<sst xmlns="http://schemas.openxmlformats.org/spreadsheetml/2006/main" count="11" uniqueCount="11">
  <si>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</si>
  <si>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</si>
  <si>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</si>
  <si>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</si>
  <si>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</si>
  <si>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</si>
  <si>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</si>
  <si>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</si>
  <si>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</si>
  <si>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DISTRICT OF COLUMBIA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</si>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</sst>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/>
    <xf numFmtId="0" fontId="22" fillId="0" borderId="0" xfId="42" applyFont="1"/>
    <xf numFmtId="0" fontId="23" fillId="0" borderId="0" xfId="42" applyFont="1" applyAlignment="1"/>
    <xf numFmtId="0" fontId="0" fillId="0" borderId="0" xfId="0" applyAlignment="1"/>
    <xf numFmtId="0" fontId="24" fillId="0" borderId="0" xfId="0" applyFont="1" applyAlignment="1"/>
    <xf numFmtId="0" fontId="20" fillId="0" borderId="0" xfId="42" applyFill="1"/>
    <xf numFmtId="0" fontId="0" fillId="0" borderId="0" xfId="0" applyFill="1"/>
    <xf numFmtId="0" fontId="24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0" fontId="13" fillId="34" borderId="11" xfId="0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0" fontId="28" fillId="35" borderId="11" xfId="0" applyFont="1" applyFill="1" applyBorder="1" applyAlignment="1">
      <alignment wrapText="1"/>
    </xf>
    <xf numFmtId="0" fontId="24" fillId="35" borderId="11" xfId="0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0" fontId="28" fillId="0" borderId="1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0" fontId="23" fillId="0" borderId="0" xfId="42" applyFont="1" applyAlignment="1">
      <alignment horizontal="center" wrapText="1"/>
    </xf>
    <xf numFmtId="0" fontId="23" fillId="0" borderId="10" xfId="42" applyFont="1" applyBorder="1" applyAlignment="1">
      <alignment horizontal="center" wrapText="1"/>
    </xf>
    <xf numFmtId="0" fontId="25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/>
    <xf numFmtId="0" fontId="20" fillId="0" borderId="11" xfId="42" applyFont="1" applyBorder="1" applyAlignment="1"/>
    <xf numFmtId="0" fontId="26" fillId="33" borderId="11" xfId="42" applyFont="1" applyFill="1" applyBorder="1" applyAlignment="1">
      <alignment horizontal="center" vertical="center" wrapText="1"/>
    </xf>
    <xf numFmtId="0" fontId="27" fillId="0" borderId="11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46"/>
  <sheetViews>
    <sheetView showGridLines="0" tabSelected="1" workbookViewId="0">
      <selection activeCell="A8" sqref="A8"/>
    </sheetView>
  </sheetViews>
  <sheetFormatPr baseColWidth="10" defaultRowHeight="15"/>
  <cols>
    <col min="2" max="2" width="54.85546875" customWidth="1"/>
    <col min="3" max="3" width="24.140625" customWidth="1"/>
    <col min="4" max="5" width="16.140625" bestFit="1" customWidth="1"/>
  </cols>
  <sheetData>
    <row r="1" spans="1:7">
      <c r="A1" s="3"/>
      <c r="B1" s="4"/>
      <c r="C1" s="3"/>
      <c r="D1" s="5"/>
      <c r="E1" s="5"/>
      <c r="F1" s="3"/>
    </row>
    <row r="2" spans="1:7">
      <c r="A2" s="3"/>
      <c r="B2" s="4"/>
      <c r="C2" s="3"/>
      <c r="D2" s="5"/>
      <c r="E2" s="5"/>
      <c r="F2" s="3"/>
    </row>
    <row r="3" spans="1:7">
      <c r="A3" s="3"/>
      <c r="B3" s="4"/>
      <c r="C3" s="3"/>
      <c r="D3" s="5"/>
      <c r="E3" s="5"/>
      <c r="F3" s="3"/>
    </row>
    <row r="4" spans="1:7">
      <c r="A4" s="3"/>
      <c r="B4" s="4"/>
      <c r="C4" s="3"/>
      <c r="D4" s="5"/>
      <c r="E4" s="5"/>
      <c r="F4" s="3"/>
    </row>
    <row r="5" spans="1:7" ht="16.5">
      <c r="B5" s="6"/>
      <c r="C5" s="7"/>
      <c r="D5" s="8"/>
      <c r="E5" s="8"/>
      <c r="F5" s="7"/>
    </row>
    <row r="6" spans="1:7">
      <c r="B6" s="24" t="s">
        <v>9</v>
      </c>
      <c r="C6" s="24"/>
      <c r="D6" s="24"/>
      <c r="E6" s="24"/>
      <c r="F6" s="7"/>
    </row>
    <row r="7" spans="1:7">
      <c r="A7" s="3"/>
      <c r="B7" s="25"/>
      <c r="C7" s="25"/>
      <c r="D7" s="25"/>
      <c r="E7" s="25"/>
      <c r="F7" s="3"/>
    </row>
    <row r="8" spans="1:7">
      <c r="A8" s="3"/>
      <c r="B8" s="26" t="s">
        <v>6</v>
      </c>
      <c r="C8" s="26" t="s">
        <v>7</v>
      </c>
      <c r="D8" s="29" t="s">
        <v>0</v>
      </c>
      <c r="E8" s="29" t="s">
        <v>8</v>
      </c>
      <c r="F8" s="3"/>
    </row>
    <row r="9" spans="1:7" ht="18" customHeight="1">
      <c r="A9" s="3"/>
      <c r="B9" s="27"/>
      <c r="C9" s="28"/>
      <c r="D9" s="30"/>
      <c r="E9" s="30"/>
      <c r="F9" s="9"/>
      <c r="G9" s="10"/>
    </row>
    <row r="10" spans="1:7" ht="30">
      <c r="B10" s="21" t="str">
        <f t="shared" ref="B10" si="0">"CHIAPAS"</f>
        <v>CHIAPAS</v>
      </c>
      <c r="C10" s="11" t="str">
        <f>"AMATENANGO DE LA FRONTERA"</f>
        <v>AMATENANGO DE LA FRONTERA</v>
      </c>
      <c r="D10" s="12">
        <v>1</v>
      </c>
      <c r="E10" s="17">
        <v>3.2000000000000002E-3</v>
      </c>
    </row>
    <row r="11" spans="1:7">
      <c r="B11" s="22"/>
      <c r="C11" s="11" t="str">
        <f>"FRONTERA COMALAPA"</f>
        <v>FRONTERA COMALAPA</v>
      </c>
      <c r="D11" s="12">
        <v>10</v>
      </c>
      <c r="E11" s="17">
        <v>3.2300000000000002E-2</v>
      </c>
    </row>
    <row r="12" spans="1:7">
      <c r="B12" s="22"/>
      <c r="C12" s="11" t="str">
        <f>"PICHUCALCO"</f>
        <v>PICHUCALCO</v>
      </c>
      <c r="D12" s="12">
        <v>1</v>
      </c>
      <c r="E12" s="17">
        <v>3.2000000000000002E-3</v>
      </c>
    </row>
    <row r="13" spans="1:7">
      <c r="B13" s="22"/>
      <c r="C13" s="11" t="str">
        <f>"SALTO DE AGUA"</f>
        <v>SALTO DE AGUA</v>
      </c>
      <c r="D13" s="12">
        <v>1</v>
      </c>
      <c r="E13" s="17">
        <v>3.2000000000000002E-3</v>
      </c>
    </row>
    <row r="14" spans="1:7">
      <c r="B14" s="22"/>
      <c r="C14" s="11" t="str">
        <f>"TAPACHULA"</f>
        <v>TAPACHULA</v>
      </c>
      <c r="D14" s="12">
        <v>2</v>
      </c>
      <c r="E14" s="17">
        <v>6.4999999999999997E-3</v>
      </c>
    </row>
    <row r="15" spans="1:7">
      <c r="B15" s="23"/>
      <c r="C15" s="18" t="str">
        <f>"Total"</f>
        <v>Total</v>
      </c>
      <c r="D15" s="19">
        <v>15</v>
      </c>
      <c r="E15" s="20">
        <v>4.8399999999999999E-2</v>
      </c>
    </row>
    <row r="16" spans="1:7">
      <c r="B16" s="21" t="str">
        <f>"CHIHUAHUA"</f>
        <v>CHIHUAHUA</v>
      </c>
      <c r="C16" s="11" t="str">
        <f>"JUAREZ"</f>
        <v>JUAREZ</v>
      </c>
      <c r="D16" s="12">
        <v>1</v>
      </c>
      <c r="E16" s="17">
        <v>3.2000000000000002E-3</v>
      </c>
    </row>
    <row r="17" spans="2:5">
      <c r="B17" s="23"/>
      <c r="C17" s="18" t="str">
        <f>"Total"</f>
        <v>Total</v>
      </c>
      <c r="D17" s="19">
        <v>1</v>
      </c>
      <c r="E17" s="20">
        <v>3.2000000000000002E-3</v>
      </c>
    </row>
    <row r="18" spans="2:5">
      <c r="B18" s="21" t="str">
        <f>"COAHUILA DE ZARAGOZA"</f>
        <v>COAHUILA DE ZARAGOZA</v>
      </c>
      <c r="C18" s="11" t="str">
        <f>"TORREON"</f>
        <v>TORREON</v>
      </c>
      <c r="D18" s="12">
        <v>2</v>
      </c>
      <c r="E18" s="17">
        <v>6.4999999999999997E-3</v>
      </c>
    </row>
    <row r="19" spans="2:5">
      <c r="B19" s="23"/>
      <c r="C19" s="18" t="str">
        <f>"Total"</f>
        <v>Total</v>
      </c>
      <c r="D19" s="19">
        <v>2</v>
      </c>
      <c r="E19" s="20">
        <v>6.4999999999999997E-3</v>
      </c>
    </row>
    <row r="20" spans="2:5">
      <c r="B20" s="21" t="str">
        <f t="shared" ref="B20" si="1">"DISTRITO FEDERAL"</f>
        <v>DISTRITO FEDERAL</v>
      </c>
      <c r="C20" s="11" t="str">
        <f>"ALVARO OBREGON"</f>
        <v>ALVARO OBREGON</v>
      </c>
      <c r="D20" s="12">
        <v>1</v>
      </c>
      <c r="E20" s="17">
        <v>3.2000000000000002E-3</v>
      </c>
    </row>
    <row r="21" spans="2:5">
      <c r="B21" s="22"/>
      <c r="C21" s="11" t="str">
        <f>"BENITO JUAREZ"</f>
        <v>BENITO JUAREZ</v>
      </c>
      <c r="D21" s="12">
        <v>2</v>
      </c>
      <c r="E21" s="17">
        <v>6.4999999999999997E-3</v>
      </c>
    </row>
    <row r="22" spans="2:5">
      <c r="B22" s="22"/>
      <c r="C22" s="11" t="str">
        <f>"CUAUHTEMOC"</f>
        <v>CUAUHTEMOC</v>
      </c>
      <c r="D22" s="12">
        <v>2</v>
      </c>
      <c r="E22" s="17">
        <v>6.4999999999999997E-3</v>
      </c>
    </row>
    <row r="23" spans="2:5">
      <c r="B23" s="22"/>
      <c r="C23" s="11" t="str">
        <f>"GUSTAVO A. MADERO"</f>
        <v>GUSTAVO A. MADERO</v>
      </c>
      <c r="D23" s="12">
        <v>12</v>
      </c>
      <c r="E23" s="17">
        <v>3.8699999999999998E-2</v>
      </c>
    </row>
    <row r="24" spans="2:5">
      <c r="B24" s="22"/>
      <c r="C24" s="11" t="str">
        <f>"IZTACALCO"</f>
        <v>IZTACALCO</v>
      </c>
      <c r="D24" s="12">
        <v>1</v>
      </c>
      <c r="E24" s="17">
        <v>3.2000000000000002E-3</v>
      </c>
    </row>
    <row r="25" spans="2:5">
      <c r="B25" s="22"/>
      <c r="C25" s="11" t="str">
        <f>"IZTAPALAPA"</f>
        <v>IZTAPALAPA</v>
      </c>
      <c r="D25" s="12">
        <v>1</v>
      </c>
      <c r="E25" s="17">
        <v>3.2000000000000002E-3</v>
      </c>
    </row>
    <row r="26" spans="2:5">
      <c r="B26" s="22"/>
      <c r="C26" s="11" t="str">
        <f>"TLAHUAC"</f>
        <v>TLAHUAC</v>
      </c>
      <c r="D26" s="12">
        <v>1</v>
      </c>
      <c r="E26" s="17">
        <v>3.2000000000000002E-3</v>
      </c>
    </row>
    <row r="27" spans="2:5">
      <c r="B27" s="22"/>
      <c r="C27" s="11" t="str">
        <f>"VENUSTIANO CARRANZA"</f>
        <v>VENUSTIANO CARRANZA</v>
      </c>
      <c r="D27" s="12">
        <v>1</v>
      </c>
      <c r="E27" s="17">
        <v>3.2000000000000002E-3</v>
      </c>
    </row>
    <row r="28" spans="2:5">
      <c r="B28" s="23"/>
      <c r="C28" s="18" t="str">
        <f>"Total"</f>
        <v>Total</v>
      </c>
      <c r="D28" s="19">
        <v>21</v>
      </c>
      <c r="E28" s="20">
        <v>6.7699999999999996E-2</v>
      </c>
    </row>
    <row r="29" spans="2:5">
      <c r="B29" s="21" t="str">
        <f>"DURANGO"</f>
        <v>DURANGO</v>
      </c>
      <c r="C29" s="11" t="str">
        <f>"LERDO"</f>
        <v>LERDO</v>
      </c>
      <c r="D29" s="12">
        <v>1</v>
      </c>
      <c r="E29" s="17">
        <v>3.2000000000000002E-3</v>
      </c>
    </row>
    <row r="30" spans="2:5">
      <c r="B30" s="22"/>
      <c r="C30" s="11" t="str">
        <f>"OCAMPO"</f>
        <v>OCAMPO</v>
      </c>
      <c r="D30" s="12">
        <v>1</v>
      </c>
      <c r="E30" s="17">
        <v>3.2000000000000002E-3</v>
      </c>
    </row>
    <row r="31" spans="2:5">
      <c r="B31" s="23"/>
      <c r="C31" s="18" t="str">
        <f>"Total"</f>
        <v>Total</v>
      </c>
      <c r="D31" s="19">
        <v>2</v>
      </c>
      <c r="E31" s="20">
        <v>6.4999999999999997E-3</v>
      </c>
    </row>
    <row r="32" spans="2:5">
      <c r="B32" s="21" t="str">
        <f>"GUANAJUATO"</f>
        <v>GUANAJUATO</v>
      </c>
      <c r="C32" s="11" t="str">
        <f>"CELAYA"</f>
        <v>CELAYA</v>
      </c>
      <c r="D32" s="12">
        <v>1</v>
      </c>
      <c r="E32" s="17">
        <v>3.2000000000000002E-3</v>
      </c>
    </row>
    <row r="33" spans="2:5">
      <c r="B33" s="23"/>
      <c r="C33" s="18" t="str">
        <f>"Total"</f>
        <v>Total</v>
      </c>
      <c r="D33" s="19">
        <v>1</v>
      </c>
      <c r="E33" s="20">
        <v>3.2000000000000002E-3</v>
      </c>
    </row>
    <row r="34" spans="2:5">
      <c r="B34" s="21" t="str">
        <f t="shared" ref="B34" si="2">"GUERRERO"</f>
        <v>GUERRERO</v>
      </c>
      <c r="C34" s="11" t="str">
        <f>"ACAPULCO DE JUAREZ"</f>
        <v>ACAPULCO DE JUAREZ</v>
      </c>
      <c r="D34" s="12">
        <v>7</v>
      </c>
      <c r="E34" s="17">
        <v>2.2599999999999999E-2</v>
      </c>
    </row>
    <row r="35" spans="2:5">
      <c r="B35" s="22"/>
      <c r="C35" s="11" t="str">
        <f>"AHUACUOTZINGO"</f>
        <v>AHUACUOTZINGO</v>
      </c>
      <c r="D35" s="12">
        <v>52</v>
      </c>
      <c r="E35" s="17">
        <v>0.16769999999999999</v>
      </c>
    </row>
    <row r="36" spans="2:5" ht="15" customHeight="1">
      <c r="B36" s="22"/>
      <c r="C36" s="11" t="str">
        <f>"ALCOZAUCA DE GUERRERO"</f>
        <v>ALCOZAUCA DE GUERRERO</v>
      </c>
      <c r="D36" s="12">
        <v>2</v>
      </c>
      <c r="E36" s="17">
        <v>6.4999999999999997E-3</v>
      </c>
    </row>
    <row r="37" spans="2:5">
      <c r="B37" s="22"/>
      <c r="C37" s="11" t="str">
        <f>"ATENANGO DEL RIO"</f>
        <v>ATENANGO DEL RIO</v>
      </c>
      <c r="D37" s="12">
        <v>1</v>
      </c>
      <c r="E37" s="17">
        <v>3.2000000000000002E-3</v>
      </c>
    </row>
    <row r="38" spans="2:5">
      <c r="B38" s="22"/>
      <c r="C38" s="11" t="str">
        <f>"ATLIXTAC"</f>
        <v>ATLIXTAC</v>
      </c>
      <c r="D38" s="12">
        <v>1</v>
      </c>
      <c r="E38" s="17">
        <v>3.2000000000000002E-3</v>
      </c>
    </row>
    <row r="39" spans="2:5">
      <c r="B39" s="22"/>
      <c r="C39" s="11" t="str">
        <f>"CHILAPA DE ALVAREZ"</f>
        <v>CHILAPA DE ALVAREZ</v>
      </c>
      <c r="D39" s="12">
        <v>14</v>
      </c>
      <c r="E39" s="17">
        <v>4.5199999999999997E-2</v>
      </c>
    </row>
    <row r="40" spans="2:5" ht="30">
      <c r="B40" s="22"/>
      <c r="C40" s="11" t="str">
        <f>"CHILPANCINGO DE LOS BRAVO"</f>
        <v>CHILPANCINGO DE LOS BRAVO</v>
      </c>
      <c r="D40" s="12">
        <v>2</v>
      </c>
      <c r="E40" s="17">
        <v>6.4999999999999997E-3</v>
      </c>
    </row>
    <row r="41" spans="2:5">
      <c r="B41" s="22"/>
      <c r="C41" s="11" t="str">
        <f>"COPANATOYAC"</f>
        <v>COPANATOYAC</v>
      </c>
      <c r="D41" s="12">
        <v>1</v>
      </c>
      <c r="E41" s="17">
        <v>3.2000000000000002E-3</v>
      </c>
    </row>
    <row r="42" spans="2:5">
      <c r="B42" s="22"/>
      <c r="C42" s="11" t="str">
        <f>"JOSE AZUETA"</f>
        <v>JOSE AZUETA</v>
      </c>
      <c r="D42" s="12">
        <v>1</v>
      </c>
      <c r="E42" s="17">
        <v>3.2000000000000002E-3</v>
      </c>
    </row>
    <row r="43" spans="2:5">
      <c r="B43" s="22"/>
      <c r="C43" s="11" t="str">
        <f>"PETATLAN"</f>
        <v>PETATLAN</v>
      </c>
      <c r="D43" s="12">
        <v>1</v>
      </c>
      <c r="E43" s="17">
        <v>3.2000000000000002E-3</v>
      </c>
    </row>
    <row r="44" spans="2:5">
      <c r="B44" s="22"/>
      <c r="C44" s="11" t="str">
        <f>"TELOLOAPAN"</f>
        <v>TELOLOAPAN</v>
      </c>
      <c r="D44" s="12">
        <v>1</v>
      </c>
      <c r="E44" s="17">
        <v>3.2000000000000002E-3</v>
      </c>
    </row>
    <row r="45" spans="2:5">
      <c r="B45" s="22"/>
      <c r="C45" s="11" t="str">
        <f>"TLAPA DE COMONFORT"</f>
        <v>TLAPA DE COMONFORT</v>
      </c>
      <c r="D45" s="12">
        <v>3</v>
      </c>
      <c r="E45" s="17">
        <v>9.7000000000000003E-3</v>
      </c>
    </row>
    <row r="46" spans="2:5">
      <c r="B46" s="23"/>
      <c r="C46" s="18" t="str">
        <f>"Total"</f>
        <v>Total</v>
      </c>
      <c r="D46" s="19">
        <v>86</v>
      </c>
      <c r="E46" s="20">
        <v>0.27739999999999998</v>
      </c>
    </row>
    <row r="47" spans="2:5">
      <c r="B47" s="21" t="str">
        <f t="shared" ref="B47" si="3">"HIDALGO"</f>
        <v>HIDALGO</v>
      </c>
      <c r="C47" s="11" t="str">
        <f>"APAN"</f>
        <v>APAN</v>
      </c>
      <c r="D47" s="12">
        <v>1</v>
      </c>
      <c r="E47" s="17">
        <v>3.2000000000000002E-3</v>
      </c>
    </row>
    <row r="48" spans="2:5">
      <c r="B48" s="22"/>
      <c r="C48" s="11" t="str">
        <f>"HUEJUTLA DE REYES"</f>
        <v>HUEJUTLA DE REYES</v>
      </c>
      <c r="D48" s="12">
        <v>1</v>
      </c>
      <c r="E48" s="17">
        <v>3.2000000000000002E-3</v>
      </c>
    </row>
    <row r="49" spans="2:5">
      <c r="B49" s="22"/>
      <c r="C49" s="11" t="str">
        <f>"IXMIQUILPAN"</f>
        <v>IXMIQUILPAN</v>
      </c>
      <c r="D49" s="12">
        <v>1</v>
      </c>
      <c r="E49" s="17">
        <v>3.2000000000000002E-3</v>
      </c>
    </row>
    <row r="50" spans="2:5">
      <c r="B50" s="22"/>
      <c r="C50" s="11" t="str">
        <f>"PACHUCA DE SOTO"</f>
        <v>PACHUCA DE SOTO</v>
      </c>
      <c r="D50" s="12">
        <v>1</v>
      </c>
      <c r="E50" s="17">
        <v>3.2000000000000002E-3</v>
      </c>
    </row>
    <row r="51" spans="2:5">
      <c r="B51" s="22"/>
      <c r="C51" s="11" t="str">
        <f>"SAN AGUSTIN TLAXIACA"</f>
        <v>SAN AGUSTIN TLAXIACA</v>
      </c>
      <c r="D51" s="12">
        <v>1</v>
      </c>
      <c r="E51" s="17">
        <v>3.2000000000000002E-3</v>
      </c>
    </row>
    <row r="52" spans="2:5">
      <c r="B52" s="22"/>
      <c r="C52" s="11" t="str">
        <f>"TECOZAUTLA"</f>
        <v>TECOZAUTLA</v>
      </c>
      <c r="D52" s="12">
        <v>1</v>
      </c>
      <c r="E52" s="17">
        <v>3.2000000000000002E-3</v>
      </c>
    </row>
    <row r="53" spans="2:5">
      <c r="B53" s="23"/>
      <c r="C53" s="18" t="str">
        <f>"Total"</f>
        <v>Total</v>
      </c>
      <c r="D53" s="19">
        <v>6</v>
      </c>
      <c r="E53" s="20">
        <v>1.9400000000000001E-2</v>
      </c>
    </row>
    <row r="54" spans="2:5">
      <c r="B54" s="21" t="str">
        <f t="shared" ref="B54" si="4">"MEXICO"</f>
        <v>MEXICO</v>
      </c>
      <c r="C54" s="11" t="str">
        <f>"CHALCO"</f>
        <v>CHALCO</v>
      </c>
      <c r="D54" s="12">
        <v>1</v>
      </c>
      <c r="E54" s="17">
        <v>3.2000000000000002E-3</v>
      </c>
    </row>
    <row r="55" spans="2:5">
      <c r="B55" s="22"/>
      <c r="C55" s="11" t="str">
        <f>"IXTLAHUACA"</f>
        <v>IXTLAHUACA</v>
      </c>
      <c r="D55" s="12">
        <v>1</v>
      </c>
      <c r="E55" s="17">
        <v>3.2000000000000002E-3</v>
      </c>
    </row>
    <row r="56" spans="2:5">
      <c r="B56" s="22"/>
      <c r="C56" s="11" t="str">
        <f>"MORELOS"</f>
        <v>MORELOS</v>
      </c>
      <c r="D56" s="12">
        <v>2</v>
      </c>
      <c r="E56" s="17">
        <v>6.4999999999999997E-3</v>
      </c>
    </row>
    <row r="57" spans="2:5">
      <c r="B57" s="22"/>
      <c r="C57" s="11" t="str">
        <f>"NEZAHUALCOYOTL"</f>
        <v>NEZAHUALCOYOTL</v>
      </c>
      <c r="D57" s="12">
        <v>2</v>
      </c>
      <c r="E57" s="17">
        <v>6.4999999999999997E-3</v>
      </c>
    </row>
    <row r="58" spans="2:5" ht="30">
      <c r="B58" s="22"/>
      <c r="C58" s="11" t="str">
        <f>"SAN FELIPE DEL PROGRESO"</f>
        <v>SAN FELIPE DEL PROGRESO</v>
      </c>
      <c r="D58" s="12">
        <v>3</v>
      </c>
      <c r="E58" s="17">
        <v>9.7000000000000003E-3</v>
      </c>
    </row>
    <row r="59" spans="2:5">
      <c r="B59" s="22"/>
      <c r="C59" s="11" t="str">
        <f>"TENANCINGO"</f>
        <v>TENANCINGO</v>
      </c>
      <c r="D59" s="12">
        <v>1</v>
      </c>
      <c r="E59" s="17">
        <v>3.2000000000000002E-3</v>
      </c>
    </row>
    <row r="60" spans="2:5">
      <c r="B60" s="22"/>
      <c r="C60" s="11" t="str">
        <f>"TEOLOYUCAN"</f>
        <v>TEOLOYUCAN</v>
      </c>
      <c r="D60" s="12">
        <v>3</v>
      </c>
      <c r="E60" s="17">
        <v>9.7000000000000003E-3</v>
      </c>
    </row>
    <row r="61" spans="2:5">
      <c r="B61" s="22"/>
      <c r="C61" s="11" t="str">
        <f>"TEXCOCO"</f>
        <v>TEXCOCO</v>
      </c>
      <c r="D61" s="12">
        <v>1</v>
      </c>
      <c r="E61" s="17">
        <v>3.2000000000000002E-3</v>
      </c>
    </row>
    <row r="62" spans="2:5">
      <c r="B62" s="22"/>
      <c r="C62" s="11" t="str">
        <f>"TLATLAYA"</f>
        <v>TLATLAYA</v>
      </c>
      <c r="D62" s="12">
        <v>1</v>
      </c>
      <c r="E62" s="17">
        <v>3.2000000000000002E-3</v>
      </c>
    </row>
    <row r="63" spans="2:5">
      <c r="B63" s="23"/>
      <c r="C63" s="18" t="str">
        <f>"Total"</f>
        <v>Total</v>
      </c>
      <c r="D63" s="19">
        <v>15</v>
      </c>
      <c r="E63" s="20">
        <v>4.8399999999999999E-2</v>
      </c>
    </row>
    <row r="64" spans="2:5">
      <c r="B64" s="21" t="str">
        <f>"MICHOACAN DE OCAMPO"</f>
        <v>MICHOACAN DE OCAMPO</v>
      </c>
      <c r="C64" s="11" t="str">
        <f>"MARAVATIO"</f>
        <v>MARAVATIO</v>
      </c>
      <c r="D64" s="12">
        <v>2</v>
      </c>
      <c r="E64" s="17">
        <v>6.4999999999999997E-3</v>
      </c>
    </row>
    <row r="65" spans="2:5">
      <c r="B65" s="22"/>
      <c r="C65" s="11" t="str">
        <f>"ZACAPU"</f>
        <v>ZACAPU</v>
      </c>
      <c r="D65" s="12">
        <v>1</v>
      </c>
      <c r="E65" s="17">
        <v>3.2000000000000002E-3</v>
      </c>
    </row>
    <row r="66" spans="2:5">
      <c r="B66" s="23"/>
      <c r="C66" s="18" t="str">
        <f>"Total"</f>
        <v>Total</v>
      </c>
      <c r="D66" s="19">
        <v>3</v>
      </c>
      <c r="E66" s="20">
        <v>9.7000000000000003E-3</v>
      </c>
    </row>
    <row r="67" spans="2:5">
      <c r="B67" s="21" t="str">
        <f t="shared" ref="B67" si="5">"MORELOS"</f>
        <v>MORELOS</v>
      </c>
      <c r="C67" s="11" t="str">
        <f>"CUAUTLA"</f>
        <v>CUAUTLA</v>
      </c>
      <c r="D67" s="12">
        <v>2</v>
      </c>
      <c r="E67" s="17">
        <v>6.4999999999999997E-3</v>
      </c>
    </row>
    <row r="68" spans="2:5">
      <c r="B68" s="22"/>
      <c r="C68" s="11" t="str">
        <f>"CUERNAVACA"</f>
        <v>CUERNAVACA</v>
      </c>
      <c r="D68" s="12">
        <v>1</v>
      </c>
      <c r="E68" s="17">
        <v>3.2000000000000002E-3</v>
      </c>
    </row>
    <row r="69" spans="2:5">
      <c r="B69" s="22"/>
      <c r="C69" s="11" t="str">
        <f>"EMILIANO ZAPATA"</f>
        <v>EMILIANO ZAPATA</v>
      </c>
      <c r="D69" s="12">
        <v>1</v>
      </c>
      <c r="E69" s="17">
        <v>3.2000000000000002E-3</v>
      </c>
    </row>
    <row r="70" spans="2:5">
      <c r="B70" s="22"/>
      <c r="C70" s="11" t="str">
        <f>"JOJUTLA"</f>
        <v>JOJUTLA</v>
      </c>
      <c r="D70" s="12">
        <v>2</v>
      </c>
      <c r="E70" s="17">
        <v>6.4999999999999997E-3</v>
      </c>
    </row>
    <row r="71" spans="2:5">
      <c r="B71" s="22"/>
      <c r="C71" s="11" t="str">
        <f>"TLALTIZAPAN"</f>
        <v>TLALTIZAPAN</v>
      </c>
      <c r="D71" s="12">
        <v>2</v>
      </c>
      <c r="E71" s="17">
        <v>6.4999999999999997E-3</v>
      </c>
    </row>
    <row r="72" spans="2:5">
      <c r="B72" s="22"/>
      <c r="C72" s="11" t="str">
        <f>"TLAQUILTENANGO"</f>
        <v>TLAQUILTENANGO</v>
      </c>
      <c r="D72" s="12">
        <v>7</v>
      </c>
      <c r="E72" s="17">
        <v>2.2599999999999999E-2</v>
      </c>
    </row>
    <row r="73" spans="2:5">
      <c r="B73" s="22"/>
      <c r="C73" s="11" t="str">
        <f>"ZACATEPEC DE HIDALGO"</f>
        <v>ZACATEPEC DE HIDALGO</v>
      </c>
      <c r="D73" s="12">
        <v>1</v>
      </c>
      <c r="E73" s="17">
        <v>3.2000000000000002E-3</v>
      </c>
    </row>
    <row r="74" spans="2:5">
      <c r="B74" s="23"/>
      <c r="C74" s="18" t="str">
        <f>"Total"</f>
        <v>Total</v>
      </c>
      <c r="D74" s="19">
        <v>16</v>
      </c>
      <c r="E74" s="20">
        <v>5.16E-2</v>
      </c>
    </row>
    <row r="75" spans="2:5">
      <c r="B75" s="21" t="str">
        <f>"NUEVO LEON"</f>
        <v>NUEVO LEON</v>
      </c>
      <c r="C75" s="11" t="str">
        <f>"MONTERREY"</f>
        <v>MONTERREY</v>
      </c>
      <c r="D75" s="12">
        <v>1</v>
      </c>
      <c r="E75" s="17">
        <v>3.2000000000000002E-3</v>
      </c>
    </row>
    <row r="76" spans="2:5">
      <c r="B76" s="22"/>
      <c r="C76" s="11" t="str">
        <f>"VILLALDAMA"</f>
        <v>VILLALDAMA</v>
      </c>
      <c r="D76" s="12">
        <v>1</v>
      </c>
      <c r="E76" s="17">
        <v>3.2000000000000002E-3</v>
      </c>
    </row>
    <row r="77" spans="2:5">
      <c r="B77" s="23"/>
      <c r="C77" s="18" t="str">
        <f>"Total"</f>
        <v>Total</v>
      </c>
      <c r="D77" s="19">
        <v>2</v>
      </c>
      <c r="E77" s="20">
        <v>6.4999999999999997E-3</v>
      </c>
    </row>
    <row r="78" spans="2:5">
      <c r="B78" s="21" t="str">
        <f t="shared" ref="B78" si="6">"OAXACA"</f>
        <v>OAXACA</v>
      </c>
      <c r="C78" s="11" t="str">
        <f>"IXTLAN DE JUAREZ"</f>
        <v>IXTLAN DE JUAREZ</v>
      </c>
      <c r="D78" s="12">
        <v>1</v>
      </c>
      <c r="E78" s="17">
        <v>3.2000000000000002E-3</v>
      </c>
    </row>
    <row r="79" spans="2:5">
      <c r="B79" s="22"/>
      <c r="C79" s="11" t="str">
        <f>"JUCHITAN DE ZARAGOZA"</f>
        <v>JUCHITAN DE ZARAGOZA</v>
      </c>
      <c r="D79" s="12">
        <v>1</v>
      </c>
      <c r="E79" s="17">
        <v>3.2000000000000002E-3</v>
      </c>
    </row>
    <row r="80" spans="2:5">
      <c r="B80" s="22"/>
      <c r="C80" s="11" t="str">
        <f>"MAGDALENA APASCO"</f>
        <v>MAGDALENA APASCO</v>
      </c>
      <c r="D80" s="12">
        <v>1</v>
      </c>
      <c r="E80" s="17">
        <v>3.2000000000000002E-3</v>
      </c>
    </row>
    <row r="81" spans="2:5">
      <c r="B81" s="22"/>
      <c r="C81" s="11" t="str">
        <f>"OAXACA DE JUAREZ"</f>
        <v>OAXACA DE JUAREZ</v>
      </c>
      <c r="D81" s="12">
        <v>9</v>
      </c>
      <c r="E81" s="17">
        <v>2.9000000000000001E-2</v>
      </c>
    </row>
    <row r="82" spans="2:5">
      <c r="B82" s="22"/>
      <c r="C82" s="11" t="str">
        <f>"SAN CARLOS YAUTEPEC"</f>
        <v>SAN CARLOS YAUTEPEC</v>
      </c>
      <c r="D82" s="12">
        <v>1</v>
      </c>
      <c r="E82" s="17">
        <v>3.2000000000000002E-3</v>
      </c>
    </row>
    <row r="83" spans="2:5">
      <c r="B83" s="22"/>
      <c r="C83" s="11" t="str">
        <f>"SAN PABLO HUITZO"</f>
        <v>SAN PABLO HUITZO</v>
      </c>
      <c r="D83" s="12">
        <v>6</v>
      </c>
      <c r="E83" s="17">
        <v>1.9400000000000001E-2</v>
      </c>
    </row>
    <row r="84" spans="2:5">
      <c r="B84" s="22"/>
      <c r="C84" s="11" t="str">
        <f>"SAN PEDRO HUAMELULA"</f>
        <v>SAN PEDRO HUAMELULA</v>
      </c>
      <c r="D84" s="12">
        <v>1</v>
      </c>
      <c r="E84" s="17">
        <v>3.2000000000000002E-3</v>
      </c>
    </row>
    <row r="85" spans="2:5">
      <c r="B85" s="22"/>
      <c r="C85" s="11" t="str">
        <f>"SANTA MARIA IPALAPA"</f>
        <v>SANTA MARIA IPALAPA</v>
      </c>
      <c r="D85" s="12">
        <v>1</v>
      </c>
      <c r="E85" s="17">
        <v>3.2000000000000002E-3</v>
      </c>
    </row>
    <row r="86" spans="2:5">
      <c r="B86" s="22"/>
      <c r="C86" s="11" t="str">
        <f>"SANTIAGO TAPEXTLA"</f>
        <v>SANTIAGO TAPEXTLA</v>
      </c>
      <c r="D86" s="12">
        <v>1</v>
      </c>
      <c r="E86" s="17">
        <v>3.2000000000000002E-3</v>
      </c>
    </row>
    <row r="87" spans="2:5">
      <c r="B87" s="22"/>
      <c r="C87" s="11" t="str">
        <f>"VILLA DE ETLA"</f>
        <v>VILLA DE ETLA</v>
      </c>
      <c r="D87" s="12">
        <v>1</v>
      </c>
      <c r="E87" s="17">
        <v>3.2000000000000002E-3</v>
      </c>
    </row>
    <row r="88" spans="2:5">
      <c r="B88" s="23"/>
      <c r="C88" s="18" t="str">
        <f>"Total"</f>
        <v>Total</v>
      </c>
      <c r="D88" s="19">
        <v>23</v>
      </c>
      <c r="E88" s="20">
        <v>7.4200000000000002E-2</v>
      </c>
    </row>
    <row r="89" spans="2:5">
      <c r="B89" s="21" t="str">
        <f t="shared" ref="B89" si="7">"PUEBLA"</f>
        <v>PUEBLA</v>
      </c>
      <c r="C89" s="11" t="str">
        <f>"AMOZOC"</f>
        <v>AMOZOC</v>
      </c>
      <c r="D89" s="12">
        <v>1</v>
      </c>
      <c r="E89" s="17">
        <v>3.2000000000000002E-3</v>
      </c>
    </row>
    <row r="90" spans="2:5">
      <c r="B90" s="22"/>
      <c r="C90" s="11" t="str">
        <f>"ATLIXCO"</f>
        <v>ATLIXCO</v>
      </c>
      <c r="D90" s="12">
        <v>16</v>
      </c>
      <c r="E90" s="17">
        <v>5.16E-2</v>
      </c>
    </row>
    <row r="91" spans="2:5">
      <c r="B91" s="22"/>
      <c r="C91" s="11" t="str">
        <f>"IXCAQUIXTLA"</f>
        <v>IXCAQUIXTLA</v>
      </c>
      <c r="D91" s="12">
        <v>1</v>
      </c>
      <c r="E91" s="17">
        <v>3.2000000000000002E-3</v>
      </c>
    </row>
    <row r="92" spans="2:5">
      <c r="B92" s="22"/>
      <c r="C92" s="11" t="str">
        <f>"IZUCAR DE MATAMOROS"</f>
        <v>IZUCAR DE MATAMOROS</v>
      </c>
      <c r="D92" s="12">
        <v>1</v>
      </c>
      <c r="E92" s="17">
        <v>3.2000000000000002E-3</v>
      </c>
    </row>
    <row r="93" spans="2:5">
      <c r="B93" s="22"/>
      <c r="C93" s="11" t="str">
        <f>"TEHUACAN"</f>
        <v>TEHUACAN</v>
      </c>
      <c r="D93" s="12">
        <v>4</v>
      </c>
      <c r="E93" s="17">
        <v>1.29E-2</v>
      </c>
    </row>
    <row r="94" spans="2:5">
      <c r="B94" s="22"/>
      <c r="C94" s="11" t="str">
        <f>"TEHUITZINGO"</f>
        <v>TEHUITZINGO</v>
      </c>
      <c r="D94" s="12">
        <v>9</v>
      </c>
      <c r="E94" s="17">
        <v>2.9000000000000001E-2</v>
      </c>
    </row>
    <row r="95" spans="2:5">
      <c r="B95" s="22"/>
      <c r="C95" s="11" t="str">
        <f>"TEPANCO DE LOPEZ"</f>
        <v>TEPANCO DE LOPEZ</v>
      </c>
      <c r="D95" s="12">
        <v>39</v>
      </c>
      <c r="E95" s="17">
        <v>0.1258</v>
      </c>
    </row>
    <row r="96" spans="2:5">
      <c r="B96" s="22"/>
      <c r="C96" s="11" t="str">
        <f>"TEZIUTLAN"</f>
        <v>TEZIUTLAN</v>
      </c>
      <c r="D96" s="12">
        <v>1</v>
      </c>
      <c r="E96" s="17">
        <v>3.2000000000000002E-3</v>
      </c>
    </row>
    <row r="97" spans="2:5" ht="30">
      <c r="B97" s="22"/>
      <c r="C97" s="11" t="str">
        <f>"TLACOTEPEC DE BENITO JUAREZ"</f>
        <v>TLACOTEPEC DE BENITO JUAREZ</v>
      </c>
      <c r="D97" s="12">
        <v>3</v>
      </c>
      <c r="E97" s="17">
        <v>9.7000000000000003E-3</v>
      </c>
    </row>
    <row r="98" spans="2:5">
      <c r="B98" s="22"/>
      <c r="C98" s="11" t="str">
        <f>"YEHUALTEPEC"</f>
        <v>YEHUALTEPEC</v>
      </c>
      <c r="D98" s="12">
        <v>1</v>
      </c>
      <c r="E98" s="17">
        <v>3.2000000000000002E-3</v>
      </c>
    </row>
    <row r="99" spans="2:5">
      <c r="B99" s="23"/>
      <c r="C99" s="18" t="str">
        <f>"Total"</f>
        <v>Total</v>
      </c>
      <c r="D99" s="19">
        <v>76</v>
      </c>
      <c r="E99" s="20">
        <v>0.2452</v>
      </c>
    </row>
    <row r="100" spans="2:5">
      <c r="B100" s="21" t="str">
        <f>"QUERETARO DE ARTEAGA"</f>
        <v>QUERETARO DE ARTEAGA</v>
      </c>
      <c r="C100" s="11" t="str">
        <f>"JALPAN DE SERRA"</f>
        <v>JALPAN DE SERRA</v>
      </c>
      <c r="D100" s="12">
        <v>1</v>
      </c>
      <c r="E100" s="17">
        <v>3.2000000000000002E-3</v>
      </c>
    </row>
    <row r="101" spans="2:5">
      <c r="B101" s="22"/>
      <c r="C101" s="11" t="str">
        <f>"QUERETARO"</f>
        <v>QUERETARO</v>
      </c>
      <c r="D101" s="12">
        <v>1</v>
      </c>
      <c r="E101" s="17">
        <v>3.2000000000000002E-3</v>
      </c>
    </row>
    <row r="102" spans="2:5">
      <c r="B102" s="22"/>
      <c r="C102" s="11" t="str">
        <f>"TOLIMAN"</f>
        <v>TOLIMAN</v>
      </c>
      <c r="D102" s="12">
        <v>2</v>
      </c>
      <c r="E102" s="17">
        <v>6.4999999999999997E-3</v>
      </c>
    </row>
    <row r="103" spans="2:5">
      <c r="B103" s="23"/>
      <c r="C103" s="18" t="str">
        <f>"Total"</f>
        <v>Total</v>
      </c>
      <c r="D103" s="19">
        <v>4</v>
      </c>
      <c r="E103" s="20">
        <v>1.29E-2</v>
      </c>
    </row>
    <row r="104" spans="2:5">
      <c r="B104" s="21" t="str">
        <f>"QUINTANA ROO"</f>
        <v>QUINTANA ROO</v>
      </c>
      <c r="C104" s="11" t="str">
        <f>"BENITO JUAREZ"</f>
        <v>BENITO JUAREZ</v>
      </c>
      <c r="D104" s="12">
        <v>1</v>
      </c>
      <c r="E104" s="17">
        <v>3.2000000000000002E-3</v>
      </c>
    </row>
    <row r="105" spans="2:5">
      <c r="B105" s="22"/>
      <c r="C105" s="11" t="str">
        <f>"OTHON P. BLANCO"</f>
        <v>OTHON P. BLANCO</v>
      </c>
      <c r="D105" s="12">
        <v>1</v>
      </c>
      <c r="E105" s="17">
        <v>3.2000000000000002E-3</v>
      </c>
    </row>
    <row r="106" spans="2:5">
      <c r="B106" s="23"/>
      <c r="C106" s="18" t="str">
        <f>"Total"</f>
        <v>Total</v>
      </c>
      <c r="D106" s="19">
        <v>2</v>
      </c>
      <c r="E106" s="20">
        <v>6.4999999999999997E-3</v>
      </c>
    </row>
    <row r="107" spans="2:5">
      <c r="B107" s="21" t="str">
        <f>"SAN LUIS POTOSI"</f>
        <v>SAN LUIS POTOSI</v>
      </c>
      <c r="C107" s="11" t="str">
        <f>"SAN LUIS POTOSI"</f>
        <v>SAN LUIS POTOSI</v>
      </c>
      <c r="D107" s="12">
        <v>1</v>
      </c>
      <c r="E107" s="17">
        <v>3.2000000000000002E-3</v>
      </c>
    </row>
    <row r="108" spans="2:5">
      <c r="B108" s="22"/>
      <c r="C108" s="11" t="str">
        <f>"TAMPACAN"</f>
        <v>TAMPACAN</v>
      </c>
      <c r="D108" s="12">
        <v>1</v>
      </c>
      <c r="E108" s="17">
        <v>3.2000000000000002E-3</v>
      </c>
    </row>
    <row r="109" spans="2:5">
      <c r="B109" s="23"/>
      <c r="C109" s="18" t="str">
        <f>"Total"</f>
        <v>Total</v>
      </c>
      <c r="D109" s="19">
        <v>2</v>
      </c>
      <c r="E109" s="20">
        <v>6.4999999999999997E-3</v>
      </c>
    </row>
    <row r="110" spans="2:5">
      <c r="B110" s="21" t="str">
        <f>"SINALOA"</f>
        <v>SINALOA</v>
      </c>
      <c r="C110" s="11" t="str">
        <f>"CULIACAN"</f>
        <v>CULIACAN</v>
      </c>
      <c r="D110" s="12">
        <v>1</v>
      </c>
      <c r="E110" s="17">
        <v>3.2000000000000002E-3</v>
      </c>
    </row>
    <row r="111" spans="2:5">
      <c r="B111" s="23"/>
      <c r="C111" s="18" t="str">
        <f>"Total"</f>
        <v>Total</v>
      </c>
      <c r="D111" s="19">
        <v>1</v>
      </c>
      <c r="E111" s="20">
        <v>3.2000000000000002E-3</v>
      </c>
    </row>
    <row r="112" spans="2:5">
      <c r="B112" s="21" t="str">
        <f>"TABASCO"</f>
        <v>TABASCO</v>
      </c>
      <c r="C112" s="11" t="str">
        <f>"MACUSPANA"</f>
        <v>MACUSPANA</v>
      </c>
      <c r="D112" s="12">
        <v>2</v>
      </c>
      <c r="E112" s="17">
        <v>6.4999999999999997E-3</v>
      </c>
    </row>
    <row r="113" spans="2:5">
      <c r="B113" s="23"/>
      <c r="C113" s="18" t="str">
        <f>"Total"</f>
        <v>Total</v>
      </c>
      <c r="D113" s="19">
        <v>2</v>
      </c>
      <c r="E113" s="20">
        <v>6.4999999999999997E-3</v>
      </c>
    </row>
    <row r="114" spans="2:5">
      <c r="B114" s="21" t="str">
        <f>"TAMAULIPAS"</f>
        <v>TAMAULIPAS</v>
      </c>
      <c r="C114" s="11" t="str">
        <f>"EL MANTE"</f>
        <v>EL MANTE</v>
      </c>
      <c r="D114" s="12">
        <v>1</v>
      </c>
      <c r="E114" s="17">
        <v>3.2000000000000002E-3</v>
      </c>
    </row>
    <row r="115" spans="2:5">
      <c r="B115" s="23"/>
      <c r="C115" s="18" t="str">
        <f>"Total"</f>
        <v>Total</v>
      </c>
      <c r="D115" s="19">
        <v>1</v>
      </c>
      <c r="E115" s="20">
        <v>3.2000000000000002E-3</v>
      </c>
    </row>
    <row r="116" spans="2:5">
      <c r="B116" s="21" t="str">
        <f t="shared" ref="B116" si="8">"TLAXCALA"</f>
        <v>TLAXCALA</v>
      </c>
      <c r="C116" s="11" t="str">
        <f>"APIZACO"</f>
        <v>APIZACO</v>
      </c>
      <c r="D116" s="12">
        <v>1</v>
      </c>
      <c r="E116" s="17">
        <v>3.2000000000000002E-3</v>
      </c>
    </row>
    <row r="117" spans="2:5">
      <c r="B117" s="22"/>
      <c r="C117" s="11" t="str">
        <f>"CALPULALPAN"</f>
        <v>CALPULALPAN</v>
      </c>
      <c r="D117" s="12">
        <v>2</v>
      </c>
      <c r="E117" s="17">
        <v>6.4999999999999997E-3</v>
      </c>
    </row>
    <row r="118" spans="2:5">
      <c r="B118" s="22"/>
      <c r="C118" s="11" t="str">
        <f>"HUAMANTLA"</f>
        <v>HUAMANTLA</v>
      </c>
      <c r="D118" s="12">
        <v>1</v>
      </c>
      <c r="E118" s="17">
        <v>3.2000000000000002E-3</v>
      </c>
    </row>
    <row r="119" spans="2:5">
      <c r="B119" s="22"/>
      <c r="C119" s="11" t="str">
        <f>"TERRENATE"</f>
        <v>TERRENATE</v>
      </c>
      <c r="D119" s="12">
        <v>1</v>
      </c>
      <c r="E119" s="17">
        <v>3.2000000000000002E-3</v>
      </c>
    </row>
    <row r="120" spans="2:5">
      <c r="B120" s="22"/>
      <c r="C120" s="11" t="str">
        <f>"TLAXCALA"</f>
        <v>TLAXCALA</v>
      </c>
      <c r="D120" s="12">
        <v>1</v>
      </c>
      <c r="E120" s="17">
        <v>3.2000000000000002E-3</v>
      </c>
    </row>
    <row r="121" spans="2:5">
      <c r="B121" s="22"/>
      <c r="C121" s="11" t="str">
        <f>"TZOMPANTEPEC"</f>
        <v>TZOMPANTEPEC</v>
      </c>
      <c r="D121" s="12">
        <v>1</v>
      </c>
      <c r="E121" s="17">
        <v>3.2000000000000002E-3</v>
      </c>
    </row>
    <row r="122" spans="2:5">
      <c r="B122" s="23"/>
      <c r="C122" s="18" t="str">
        <f>"Total"</f>
        <v>Total</v>
      </c>
      <c r="D122" s="19">
        <v>7</v>
      </c>
      <c r="E122" s="20">
        <v>2.2599999999999999E-2</v>
      </c>
    </row>
    <row r="123" spans="2:5">
      <c r="B123" s="21" t="str">
        <f t="shared" ref="B123" si="9">"VERACRUZ DE IGNACIO DE LA LLAVE"</f>
        <v>VERACRUZ DE IGNACIO DE LA LLAVE</v>
      </c>
      <c r="C123" s="11" t="str">
        <f>"AGUA DULCE"</f>
        <v>AGUA DULCE</v>
      </c>
      <c r="D123" s="12">
        <v>1</v>
      </c>
      <c r="E123" s="17">
        <v>3.2000000000000002E-3</v>
      </c>
    </row>
    <row r="124" spans="2:5">
      <c r="B124" s="22"/>
      <c r="C124" s="11" t="str">
        <f>"AMATLAN DE LOS REYES"</f>
        <v>AMATLAN DE LOS REYES</v>
      </c>
      <c r="D124" s="12">
        <v>3</v>
      </c>
      <c r="E124" s="17">
        <v>9.7000000000000003E-3</v>
      </c>
    </row>
    <row r="125" spans="2:5">
      <c r="B125" s="22"/>
      <c r="C125" s="11" t="str">
        <f>"CASTILLO DE TEAYO"</f>
        <v>CASTILLO DE TEAYO</v>
      </c>
      <c r="D125" s="12">
        <v>1</v>
      </c>
      <c r="E125" s="17">
        <v>3.2000000000000002E-3</v>
      </c>
    </row>
    <row r="126" spans="2:5">
      <c r="B126" s="22"/>
      <c r="C126" s="11" t="str">
        <f>"CORDOBA"</f>
        <v>CORDOBA</v>
      </c>
      <c r="D126" s="12">
        <v>5</v>
      </c>
      <c r="E126" s="17">
        <v>1.61E-2</v>
      </c>
    </row>
    <row r="127" spans="2:5">
      <c r="B127" s="22"/>
      <c r="C127" s="11" t="str">
        <f>"LAS CHOAPAS"</f>
        <v>LAS CHOAPAS</v>
      </c>
      <c r="D127" s="12">
        <v>1</v>
      </c>
      <c r="E127" s="17">
        <v>3.2000000000000002E-3</v>
      </c>
    </row>
    <row r="128" spans="2:5">
      <c r="B128" s="22"/>
      <c r="C128" s="11" t="str">
        <f>"LAS VIGAS DE RAMIREZ"</f>
        <v>LAS VIGAS DE RAMIREZ</v>
      </c>
      <c r="D128" s="12">
        <v>1</v>
      </c>
      <c r="E128" s="17">
        <v>3.2000000000000002E-3</v>
      </c>
    </row>
    <row r="129" spans="2:5">
      <c r="B129" s="22"/>
      <c r="C129" s="11" t="str">
        <f>"SAN ANDRES TUXTLA"</f>
        <v>SAN ANDRES TUXTLA</v>
      </c>
      <c r="D129" s="12">
        <v>1</v>
      </c>
      <c r="E129" s="17">
        <v>3.2000000000000002E-3</v>
      </c>
    </row>
    <row r="130" spans="2:5">
      <c r="B130" s="22"/>
      <c r="C130" s="11" t="str">
        <f>"TEZONAPA"</f>
        <v>TEZONAPA</v>
      </c>
      <c r="D130" s="12">
        <v>1</v>
      </c>
      <c r="E130" s="17">
        <v>3.2000000000000002E-3</v>
      </c>
    </row>
    <row r="131" spans="2:5">
      <c r="B131" s="22"/>
      <c r="C131" s="11" t="str">
        <f>"TIERRA BLANCA"</f>
        <v>TIERRA BLANCA</v>
      </c>
      <c r="D131" s="12">
        <v>1</v>
      </c>
      <c r="E131" s="17">
        <v>3.2000000000000002E-3</v>
      </c>
    </row>
    <row r="132" spans="2:5">
      <c r="B132" s="22"/>
      <c r="C132" s="11" t="str">
        <f>"TIHUATLAN"</f>
        <v>TIHUATLAN</v>
      </c>
      <c r="D132" s="12">
        <v>1</v>
      </c>
      <c r="E132" s="17">
        <v>3.2000000000000002E-3</v>
      </c>
    </row>
    <row r="133" spans="2:5">
      <c r="B133" s="22"/>
      <c r="C133" s="11" t="str">
        <f>"TLALIXCOYAN"</f>
        <v>TLALIXCOYAN</v>
      </c>
      <c r="D133" s="12">
        <v>1</v>
      </c>
      <c r="E133" s="17">
        <v>3.2000000000000002E-3</v>
      </c>
    </row>
    <row r="134" spans="2:5">
      <c r="B134" s="22"/>
      <c r="C134" s="11" t="str">
        <f>"TLAPACOYAN"</f>
        <v>TLAPACOYAN</v>
      </c>
      <c r="D134" s="12">
        <v>1</v>
      </c>
      <c r="E134" s="17">
        <v>3.2000000000000002E-3</v>
      </c>
    </row>
    <row r="135" spans="2:5">
      <c r="B135" s="22"/>
      <c r="C135" s="11" t="str">
        <f>"VERACRUZ"</f>
        <v>VERACRUZ</v>
      </c>
      <c r="D135" s="12">
        <v>1</v>
      </c>
      <c r="E135" s="17">
        <v>3.2000000000000002E-3</v>
      </c>
    </row>
    <row r="136" spans="2:5">
      <c r="B136" s="22"/>
      <c r="C136" s="11" t="str">
        <f>"YANGA"</f>
        <v>YANGA</v>
      </c>
      <c r="D136" s="12">
        <v>2</v>
      </c>
      <c r="E136" s="17">
        <v>6.4999999999999997E-3</v>
      </c>
    </row>
    <row r="137" spans="2:5">
      <c r="B137" s="23"/>
      <c r="C137" s="18" t="str">
        <f>"Total"</f>
        <v>Total</v>
      </c>
      <c r="D137" s="19">
        <v>21</v>
      </c>
      <c r="E137" s="20">
        <v>6.7699999999999996E-2</v>
      </c>
    </row>
    <row r="138" spans="2:5">
      <c r="B138" s="21" t="str">
        <f>"YUCATAN"</f>
        <v>YUCATAN</v>
      </c>
      <c r="C138" s="11" t="str">
        <f>"TICUL"</f>
        <v>TICUL</v>
      </c>
      <c r="D138" s="12">
        <v>1</v>
      </c>
      <c r="E138" s="17">
        <v>3.2000000000000002E-3</v>
      </c>
    </row>
    <row r="139" spans="2:5">
      <c r="B139" s="23"/>
      <c r="C139" s="18" t="str">
        <f>"Total"</f>
        <v>Total</v>
      </c>
      <c r="D139" s="19">
        <v>1</v>
      </c>
      <c r="E139" s="20">
        <v>3.2000000000000002E-3</v>
      </c>
    </row>
    <row r="140" spans="2:5">
      <c r="B140" s="13" t="s">
        <v>1</v>
      </c>
      <c r="C140" s="14" t="str">
        <f>" "</f>
        <v> </v>
      </c>
      <c r="D140" s="15">
        <v>310</v>
      </c>
      <c r="E140" s="16">
        <v>1</v>
      </c>
    </row>
    <row r="142" spans="2:5" ht="16.5">
      <c r="B142" s="1" t="s">
        <v>2</v>
      </c>
      <c r="C142" s="2"/>
    </row>
    <row r="143" spans="2:5" ht="16.5">
      <c r="B143" s="1" t="s">
        <v>3</v>
      </c>
      <c r="C143" s="2"/>
    </row>
    <row r="144" spans="2:5" ht="16.5">
      <c r="B144" s="1" t="s">
        <v>4</v>
      </c>
      <c r="C144" s="2"/>
    </row>
    <row r="145" spans="2:3" ht="16.5">
      <c r="B145" s="1" t="s">
        <v>5</v>
      </c>
      <c r="C145" s="2"/>
    </row>
    <row r="146" spans="2:3">
      <c r="B146" s="1" t="s">
        <v>10</v>
      </c>
    </row>
  </sheetData>
  <mergeCells count="28">
    <mergeCell ref="B10:B15"/>
    <mergeCell ref="B6:E7"/>
    <mergeCell ref="B8:B9"/>
    <mergeCell ref="C8:C9"/>
    <mergeCell ref="D8:D9"/>
    <mergeCell ref="E8:E9"/>
    <mergeCell ref="B16:B17"/>
    <mergeCell ref="B18:B19"/>
    <mergeCell ref="B20:B28"/>
    <mergeCell ref="B29:B31"/>
    <mergeCell ref="B32:B33"/>
    <mergeCell ref="B34:B46"/>
    <mergeCell ref="B47:B53"/>
    <mergeCell ref="B54:B63"/>
    <mergeCell ref="B64:B66"/>
    <mergeCell ref="B67:B74"/>
    <mergeCell ref="B75:B77"/>
    <mergeCell ref="B78:B88"/>
    <mergeCell ref="B89:B99"/>
    <mergeCell ref="B100:B103"/>
    <mergeCell ref="B104:B106"/>
    <mergeCell ref="B123:B137"/>
    <mergeCell ref="B138:B139"/>
    <mergeCell ref="B107:B109"/>
    <mergeCell ref="B110:B111"/>
    <mergeCell ref="B112:B113"/>
    <mergeCell ref="B114:B115"/>
    <mergeCell ref="B116:B12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easCA1VJMO2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2012-03-01T20:00:46Z</dcterms:created>
  <dcterms:modified xsi:type="dcterms:W3CDTF">2012-03-15T20:19:18Z</dcterms:modified>
</cp:coreProperties>
</file>