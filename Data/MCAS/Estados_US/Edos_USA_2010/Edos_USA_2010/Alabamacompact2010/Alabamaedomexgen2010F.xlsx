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40" yWindow="330" windowWidth="10275" windowHeight="9495"/>
  </bookViews>
  <sheets>
    <sheet name="easCAC2V23G" sheetId="2" r:id="rId1"/>
  </sheets>
  <calcPr calcId="125725"/>
</workbook>
</file>

<file path=xl/calcChain.xml><?xml version="1.0" encoding="utf-8"?>
<calcChain xmlns="http://schemas.openxmlformats.org/spreadsheetml/2006/main">
  <c r="C104" i="2"/>
  <c r="C103"/>
  <c r="C102"/>
  <c r="C101"/>
  <c r="B101"/>
  <c r="C100"/>
  <c r="C99"/>
  <c r="C98"/>
  <c r="B98"/>
  <c r="C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<sst xmlns="http://schemas.openxmlformats.org/spreadsheetml/2006/main" count="11" uniqueCount="11">
  <si>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</si>
  <si>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</si>
  <si>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MATRÍCULAS CONSULARES DE ALTA SEGURIDAD EXPEDIDAS DURANTE EL 2010 POR ESTADO DE LA REPÚBLICA MEXICANA Y GÉNERO EN EL ESTADO DE ALABAMA, EE.UU.</t>
  </si>
  <si>
    <t>Estado Origen</t>
  </si>
  <si>
    <t>Porcentaje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</si>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</sst>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8">
    <xf numFmtId="0" fontId="0" fillId="0" borderId="0" xfId="0"/>
    <xf numFmtId="0" fontId="18" fillId="0" borderId="0" xfId="42" applyFont="1"/>
    <xf numFmtId="0" fontId="20" fillId="0" borderId="0" xfId="42" applyFont="1"/>
    <xf numFmtId="0" fontId="19" fillId="0" borderId="0" xfId="42" applyFont="1" applyBorder="1" applyAlignment="1">
      <alignment horizontal="center" vertical="center" wrapText="1"/>
    </xf>
    <xf numFmtId="0" fontId="21" fillId="33" borderId="10" xfId="42" applyFont="1" applyFill="1" applyBorder="1" applyAlignment="1">
      <alignment horizontal="center" vertical="center" wrapText="1"/>
    </xf>
    <xf numFmtId="0" fontId="22" fillId="34" borderId="11" xfId="42" applyFont="1" applyFill="1" applyBorder="1" applyAlignment="1">
      <alignment horizontal="center" vertical="center" wrapText="1"/>
    </xf>
    <xf numFmtId="0" fontId="22" fillId="34" borderId="12" xfId="42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wrapText="1"/>
    </xf>
    <xf numFmtId="0" fontId="23" fillId="0" borderId="13" xfId="0" applyFont="1" applyBorder="1" applyAlignment="1">
      <alignment horizontal="right" wrapText="1"/>
    </xf>
    <xf numFmtId="10" fontId="23" fillId="0" borderId="13" xfId="0" applyNumberFormat="1" applyFont="1" applyBorder="1" applyAlignment="1">
      <alignment horizontal="right" wrapText="1"/>
    </xf>
    <xf numFmtId="0" fontId="13" fillId="35" borderId="13" xfId="0" applyFont="1" applyFill="1" applyBorder="1" applyAlignment="1">
      <alignment wrapText="1"/>
    </xf>
    <xf numFmtId="0" fontId="17" fillId="35" borderId="13" xfId="0" applyFont="1" applyFill="1" applyBorder="1" applyAlignment="1">
      <alignment horizontal="right" wrapText="1"/>
    </xf>
    <xf numFmtId="3" fontId="13" fillId="35" borderId="13" xfId="0" applyNumberFormat="1" applyFont="1" applyFill="1" applyBorder="1" applyAlignment="1">
      <alignment horizontal="right" wrapText="1"/>
    </xf>
    <xf numFmtId="10" fontId="13" fillId="35" borderId="13" xfId="0" applyNumberFormat="1" applyFont="1" applyFill="1" applyBorder="1" applyAlignment="1">
      <alignment horizontal="right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4" fillId="36" borderId="13" xfId="0" applyFont="1" applyFill="1" applyBorder="1" applyAlignment="1">
      <alignment wrapText="1"/>
    </xf>
    <xf numFmtId="0" fontId="24" fillId="36" borderId="13" xfId="0" applyFont="1" applyFill="1" applyBorder="1" applyAlignment="1">
      <alignment horizontal="right" wrapText="1"/>
    </xf>
    <xf numFmtId="10" fontId="24" fillId="36" borderId="13" xfId="0" applyNumberFormat="1" applyFont="1" applyFill="1" applyBorder="1" applyAlignment="1">
      <alignment horizontal="right" wrapText="1"/>
    </xf>
    <xf numFmtId="0" fontId="23" fillId="36" borderId="13" xfId="0" applyFont="1" applyFill="1" applyBorder="1" applyAlignment="1">
      <alignment horizontal="right" wrapText="1"/>
    </xf>
    <xf numFmtId="10" fontId="23" fillId="36" borderId="13" xfId="0" applyNumberFormat="1" applyFont="1" applyFill="1" applyBorder="1" applyAlignment="1">
      <alignment horizontal="right" wrapText="1"/>
    </xf>
    <xf numFmtId="0" fontId="23" fillId="37" borderId="13" xfId="0" applyFont="1" applyFill="1" applyBorder="1" applyAlignment="1">
      <alignment wrapText="1"/>
    </xf>
    <xf numFmtId="0" fontId="24" fillId="0" borderId="1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19" fillId="0" borderId="0" xfId="42" applyFont="1" applyAlignment="1">
      <alignment horizontal="center" vertical="center" wrapText="1"/>
    </xf>
    <xf numFmtId="0" fontId="19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10"/>
  <sheetViews>
    <sheetView showGridLines="0" tabSelected="1" workbookViewId="0">
      <selection activeCell="A7" sqref="A7"/>
    </sheetView>
  </sheetViews>
  <sheetFormatPr baseColWidth="10" defaultRowHeight="15"/>
  <cols>
    <col min="2" max="2" width="44.140625" customWidth="1"/>
    <col min="3" max="3" width="15.7109375" customWidth="1"/>
    <col min="4" max="5" width="16.140625" bestFit="1" customWidth="1"/>
  </cols>
  <sheetData>
    <row r="1" spans="2:7">
      <c r="B1" s="1"/>
      <c r="C1" s="1"/>
      <c r="D1" s="1"/>
      <c r="E1" s="1"/>
      <c r="F1" s="1"/>
      <c r="G1" s="1"/>
    </row>
    <row r="4" spans="2:7" ht="24" customHeight="1">
      <c r="B4" s="26" t="s">
        <v>2</v>
      </c>
      <c r="C4" s="26"/>
      <c r="D4" s="26"/>
      <c r="E4" s="26"/>
      <c r="F4" s="2"/>
      <c r="G4" s="1"/>
    </row>
    <row r="5" spans="2:7" ht="24" customHeight="1">
      <c r="B5" s="27"/>
      <c r="C5" s="27"/>
      <c r="D5" s="27"/>
      <c r="E5" s="27"/>
      <c r="F5" s="1"/>
      <c r="G5" s="1"/>
    </row>
    <row r="6" spans="2:7" ht="16.5">
      <c r="B6" s="3"/>
      <c r="C6" s="3"/>
      <c r="D6" s="3"/>
      <c r="E6" s="3"/>
      <c r="F6" s="1"/>
      <c r="G6" s="1"/>
    </row>
    <row r="7" spans="2:7" ht="33">
      <c r="B7" s="4" t="s">
        <v>3</v>
      </c>
      <c r="C7" s="5" t="s">
        <v>0</v>
      </c>
      <c r="D7" s="5" t="s">
        <v>1</v>
      </c>
      <c r="E7" s="6" t="s">
        <v>4</v>
      </c>
      <c r="F7" s="1"/>
      <c r="G7" s="1"/>
    </row>
    <row r="8" spans="2:7">
      <c r="B8" s="23" t="str">
        <f>"AGUASCALIENTES"</f>
        <v>AGUASCALIENTES</v>
      </c>
      <c r="C8" s="7" t="str">
        <f>"HOMBRE"</f>
        <v>HOMBRE</v>
      </c>
      <c r="D8" s="8">
        <v>9</v>
      </c>
      <c r="E8" s="9">
        <v>1.5E-3</v>
      </c>
    </row>
    <row r="9" spans="2:7">
      <c r="B9" s="24"/>
      <c r="C9" s="7" t="str">
        <f>"MUJER"</f>
        <v>MUJER</v>
      </c>
      <c r="D9" s="8">
        <v>5</v>
      </c>
      <c r="E9" s="9">
        <v>8.0000000000000004E-4</v>
      </c>
    </row>
    <row r="10" spans="2:7">
      <c r="B10" s="25"/>
      <c r="C10" s="17" t="str">
        <f>"Total"</f>
        <v>Total</v>
      </c>
      <c r="D10" s="20">
        <v>14</v>
      </c>
      <c r="E10" s="21">
        <v>2.3E-3</v>
      </c>
    </row>
    <row r="11" spans="2:7">
      <c r="B11" s="23" t="str">
        <f>"BAJA CALIFORNIA"</f>
        <v>BAJA CALIFORNIA</v>
      </c>
      <c r="C11" s="7" t="str">
        <f>"HOMBRE"</f>
        <v>HOMBRE</v>
      </c>
      <c r="D11" s="8">
        <v>6</v>
      </c>
      <c r="E11" s="9">
        <v>1E-3</v>
      </c>
    </row>
    <row r="12" spans="2:7">
      <c r="B12" s="24"/>
      <c r="C12" s="7" t="str">
        <f>"MUJER"</f>
        <v>MUJER</v>
      </c>
      <c r="D12" s="8">
        <v>11</v>
      </c>
      <c r="E12" s="9">
        <v>1.8E-3</v>
      </c>
    </row>
    <row r="13" spans="2:7">
      <c r="B13" s="25"/>
      <c r="C13" s="17" t="str">
        <f>"Total"</f>
        <v>Total</v>
      </c>
      <c r="D13" s="20">
        <v>17</v>
      </c>
      <c r="E13" s="21">
        <v>2.8E-3</v>
      </c>
    </row>
    <row r="14" spans="2:7">
      <c r="B14" s="23" t="str">
        <f>"BAJA CALIFORNIA SUR"</f>
        <v>BAJA CALIFORNIA SUR</v>
      </c>
      <c r="C14" s="7" t="str">
        <f>"HOMBRE"</f>
        <v>HOMBRE</v>
      </c>
      <c r="D14" s="8">
        <v>1</v>
      </c>
      <c r="E14" s="9">
        <v>2.0000000000000001E-4</v>
      </c>
    </row>
    <row r="15" spans="2:7">
      <c r="B15" s="24"/>
      <c r="C15" s="7" t="str">
        <f>"MUJER"</f>
        <v>MUJER</v>
      </c>
      <c r="D15" s="8">
        <v>1</v>
      </c>
      <c r="E15" s="9">
        <v>2.0000000000000001E-4</v>
      </c>
    </row>
    <row r="16" spans="2:7">
      <c r="B16" s="25"/>
      <c r="C16" s="17" t="str">
        <f>"Total"</f>
        <v>Total</v>
      </c>
      <c r="D16" s="20">
        <v>2</v>
      </c>
      <c r="E16" s="21">
        <v>2.9999999999999997E-4</v>
      </c>
    </row>
    <row r="17" spans="2:5">
      <c r="B17" s="23" t="str">
        <f>"CAMPECHE"</f>
        <v>CAMPECHE</v>
      </c>
      <c r="C17" s="7" t="str">
        <f>"HOMBRE"</f>
        <v>HOMBRE</v>
      </c>
      <c r="D17" s="8">
        <v>24</v>
      </c>
      <c r="E17" s="9">
        <v>3.8999999999999998E-3</v>
      </c>
    </row>
    <row r="18" spans="2:5">
      <c r="B18" s="24"/>
      <c r="C18" s="7" t="str">
        <f>"MUJER"</f>
        <v>MUJER</v>
      </c>
      <c r="D18" s="8">
        <v>11</v>
      </c>
      <c r="E18" s="9">
        <v>1.8E-3</v>
      </c>
    </row>
    <row r="19" spans="2:5">
      <c r="B19" s="25"/>
      <c r="C19" s="17" t="str">
        <f>"Total"</f>
        <v>Total</v>
      </c>
      <c r="D19" s="20">
        <v>35</v>
      </c>
      <c r="E19" s="21">
        <v>5.7000000000000002E-3</v>
      </c>
    </row>
    <row r="20" spans="2:5">
      <c r="B20" s="23" t="str">
        <f>"CHIAPAS"</f>
        <v>CHIAPAS</v>
      </c>
      <c r="C20" s="7" t="str">
        <f>"HOMBRE"</f>
        <v>HOMBRE</v>
      </c>
      <c r="D20" s="8">
        <v>134</v>
      </c>
      <c r="E20" s="9">
        <v>2.1899999999999999E-2</v>
      </c>
    </row>
    <row r="21" spans="2:5">
      <c r="B21" s="24"/>
      <c r="C21" s="7" t="str">
        <f>"MUJER"</f>
        <v>MUJER</v>
      </c>
      <c r="D21" s="8">
        <v>86</v>
      </c>
      <c r="E21" s="9">
        <v>1.4E-2</v>
      </c>
    </row>
    <row r="22" spans="2:5">
      <c r="B22" s="25"/>
      <c r="C22" s="17" t="str">
        <f>"Total"</f>
        <v>Total</v>
      </c>
      <c r="D22" s="20">
        <v>220</v>
      </c>
      <c r="E22" s="21">
        <v>3.5900000000000001E-2</v>
      </c>
    </row>
    <row r="23" spans="2:5">
      <c r="B23" s="23" t="str">
        <f>"CHIHUAHUA"</f>
        <v>CHIHUAHUA</v>
      </c>
      <c r="C23" s="7" t="str">
        <f>"HOMBRE"</f>
        <v>HOMBRE</v>
      </c>
      <c r="D23" s="8">
        <v>23</v>
      </c>
      <c r="E23" s="9">
        <v>3.8E-3</v>
      </c>
    </row>
    <row r="24" spans="2:5">
      <c r="B24" s="24"/>
      <c r="C24" s="7" t="str">
        <f>"MUJER"</f>
        <v>MUJER</v>
      </c>
      <c r="D24" s="8">
        <v>45</v>
      </c>
      <c r="E24" s="9">
        <v>7.3000000000000001E-3</v>
      </c>
    </row>
    <row r="25" spans="2:5">
      <c r="B25" s="25"/>
      <c r="C25" s="17" t="str">
        <f>"Total"</f>
        <v>Total</v>
      </c>
      <c r="D25" s="20">
        <v>68</v>
      </c>
      <c r="E25" s="21">
        <v>1.11E-2</v>
      </c>
    </row>
    <row r="26" spans="2:5">
      <c r="B26" s="23" t="str">
        <f>"COAHUILA DE ZARAGOZA"</f>
        <v>COAHUILA DE ZARAGOZA</v>
      </c>
      <c r="C26" s="7" t="str">
        <f>"HOMBRE"</f>
        <v>HOMBRE</v>
      </c>
      <c r="D26" s="8">
        <v>42</v>
      </c>
      <c r="E26" s="9">
        <v>6.8999999999999999E-3</v>
      </c>
    </row>
    <row r="27" spans="2:5">
      <c r="B27" s="24"/>
      <c r="C27" s="7" t="str">
        <f>"MUJER"</f>
        <v>MUJER</v>
      </c>
      <c r="D27" s="8">
        <v>35</v>
      </c>
      <c r="E27" s="9">
        <v>5.7000000000000002E-3</v>
      </c>
    </row>
    <row r="28" spans="2:5">
      <c r="B28" s="25"/>
      <c r="C28" s="17" t="str">
        <f>"Total"</f>
        <v>Total</v>
      </c>
      <c r="D28" s="20">
        <v>77</v>
      </c>
      <c r="E28" s="21">
        <v>1.26E-2</v>
      </c>
    </row>
    <row r="29" spans="2:5">
      <c r="B29" s="23" t="str">
        <f>"COLIMA"</f>
        <v>COLIMA</v>
      </c>
      <c r="C29" s="7" t="str">
        <f>"HOMBRE"</f>
        <v>HOMBRE</v>
      </c>
      <c r="D29" s="8">
        <v>5</v>
      </c>
      <c r="E29" s="9">
        <v>8.0000000000000004E-4</v>
      </c>
    </row>
    <row r="30" spans="2:5">
      <c r="B30" s="24"/>
      <c r="C30" s="7" t="str">
        <f>"MUJER"</f>
        <v>MUJER</v>
      </c>
      <c r="D30" s="8">
        <v>5</v>
      </c>
      <c r="E30" s="9">
        <v>8.0000000000000004E-4</v>
      </c>
    </row>
    <row r="31" spans="2:5">
      <c r="B31" s="25"/>
      <c r="C31" s="17" t="str">
        <f>"Total"</f>
        <v>Total</v>
      </c>
      <c r="D31" s="20">
        <v>10</v>
      </c>
      <c r="E31" s="21">
        <v>1.6000000000000001E-3</v>
      </c>
    </row>
    <row r="32" spans="2:5">
      <c r="B32" s="23" t="str">
        <f>"DISTRITO FEDERAL"</f>
        <v>DISTRITO FEDERAL</v>
      </c>
      <c r="C32" s="7" t="str">
        <f>"HOMBRE"</f>
        <v>HOMBRE</v>
      </c>
      <c r="D32" s="8">
        <v>217</v>
      </c>
      <c r="E32" s="9">
        <v>3.5400000000000001E-2</v>
      </c>
    </row>
    <row r="33" spans="2:5">
      <c r="B33" s="24"/>
      <c r="C33" s="7" t="str">
        <f>"MUJER"</f>
        <v>MUJER</v>
      </c>
      <c r="D33" s="8">
        <v>138</v>
      </c>
      <c r="E33" s="9">
        <v>2.2499999999999999E-2</v>
      </c>
    </row>
    <row r="34" spans="2:5">
      <c r="B34" s="25"/>
      <c r="C34" s="17" t="str">
        <f>"Total"</f>
        <v>Total</v>
      </c>
      <c r="D34" s="20">
        <v>355</v>
      </c>
      <c r="E34" s="21">
        <v>5.79E-2</v>
      </c>
    </row>
    <row r="35" spans="2:5">
      <c r="B35" s="23" t="str">
        <f>"DURANGO"</f>
        <v>DURANGO</v>
      </c>
      <c r="C35" s="7" t="str">
        <f>"HOMBRE"</f>
        <v>HOMBRE</v>
      </c>
      <c r="D35" s="8">
        <v>50</v>
      </c>
      <c r="E35" s="9">
        <v>8.2000000000000007E-3</v>
      </c>
    </row>
    <row r="36" spans="2:5">
      <c r="B36" s="24"/>
      <c r="C36" s="7" t="str">
        <f>"MUJER"</f>
        <v>MUJER</v>
      </c>
      <c r="D36" s="8">
        <v>30</v>
      </c>
      <c r="E36" s="9">
        <v>4.8999999999999998E-3</v>
      </c>
    </row>
    <row r="37" spans="2:5">
      <c r="B37" s="25"/>
      <c r="C37" s="17" t="str">
        <f>"Total"</f>
        <v>Total</v>
      </c>
      <c r="D37" s="20">
        <v>80</v>
      </c>
      <c r="E37" s="21">
        <v>1.3100000000000001E-2</v>
      </c>
    </row>
    <row r="38" spans="2:5">
      <c r="B38" s="23" t="str">
        <f>"GUANAJUATO"</f>
        <v>GUANAJUATO</v>
      </c>
      <c r="C38" s="7" t="str">
        <f>"HOMBRE"</f>
        <v>HOMBRE</v>
      </c>
      <c r="D38" s="8">
        <v>280</v>
      </c>
      <c r="E38" s="9">
        <v>4.5699999999999998E-2</v>
      </c>
    </row>
    <row r="39" spans="2:5">
      <c r="B39" s="24"/>
      <c r="C39" s="7" t="str">
        <f>"MUJER"</f>
        <v>MUJER</v>
      </c>
      <c r="D39" s="8">
        <v>151</v>
      </c>
      <c r="E39" s="9">
        <v>2.46E-2</v>
      </c>
    </row>
    <row r="40" spans="2:5">
      <c r="B40" s="25"/>
      <c r="C40" s="17" t="str">
        <f>"Total"</f>
        <v>Total</v>
      </c>
      <c r="D40" s="20">
        <v>431</v>
      </c>
      <c r="E40" s="21">
        <v>7.0400000000000004E-2</v>
      </c>
    </row>
    <row r="41" spans="2:5">
      <c r="B41" s="23" t="str">
        <f>"GUERRERO"</f>
        <v>GUERRERO</v>
      </c>
      <c r="C41" s="7" t="str">
        <f>"HOMBRE"</f>
        <v>HOMBRE</v>
      </c>
      <c r="D41" s="8">
        <v>352</v>
      </c>
      <c r="E41" s="9">
        <v>5.7500000000000002E-2</v>
      </c>
    </row>
    <row r="42" spans="2:5">
      <c r="B42" s="24"/>
      <c r="C42" s="7" t="str">
        <f>"MUJER"</f>
        <v>MUJER</v>
      </c>
      <c r="D42" s="8">
        <v>283</v>
      </c>
      <c r="E42" s="9">
        <v>4.6199999999999998E-2</v>
      </c>
    </row>
    <row r="43" spans="2:5">
      <c r="B43" s="25"/>
      <c r="C43" s="17" t="str">
        <f>"Total"</f>
        <v>Total</v>
      </c>
      <c r="D43" s="20">
        <v>635</v>
      </c>
      <c r="E43" s="21">
        <v>0.1037</v>
      </c>
    </row>
    <row r="44" spans="2:5">
      <c r="B44" s="23" t="str">
        <f>"HIDALGO"</f>
        <v>HIDALGO</v>
      </c>
      <c r="C44" s="7" t="str">
        <f>"HOMBRE"</f>
        <v>HOMBRE</v>
      </c>
      <c r="D44" s="8">
        <v>233</v>
      </c>
      <c r="E44" s="9">
        <v>3.7999999999999999E-2</v>
      </c>
    </row>
    <row r="45" spans="2:5">
      <c r="B45" s="24"/>
      <c r="C45" s="7" t="str">
        <f>"MUJER"</f>
        <v>MUJER</v>
      </c>
      <c r="D45" s="8">
        <v>122</v>
      </c>
      <c r="E45" s="9">
        <v>1.9900000000000001E-2</v>
      </c>
    </row>
    <row r="46" spans="2:5">
      <c r="B46" s="25"/>
      <c r="C46" s="17" t="str">
        <f>"Total"</f>
        <v>Total</v>
      </c>
      <c r="D46" s="20">
        <v>355</v>
      </c>
      <c r="E46" s="21">
        <v>5.79E-2</v>
      </c>
    </row>
    <row r="47" spans="2:5">
      <c r="B47" s="23" t="str">
        <f>"JALISCO"</f>
        <v>JALISCO</v>
      </c>
      <c r="C47" s="7" t="str">
        <f>"HOMBRE"</f>
        <v>HOMBRE</v>
      </c>
      <c r="D47" s="8">
        <v>162</v>
      </c>
      <c r="E47" s="9">
        <v>2.64E-2</v>
      </c>
    </row>
    <row r="48" spans="2:5">
      <c r="B48" s="24"/>
      <c r="C48" s="7" t="str">
        <f>"MUJER"</f>
        <v>MUJER</v>
      </c>
      <c r="D48" s="8">
        <v>122</v>
      </c>
      <c r="E48" s="9">
        <v>1.9900000000000001E-2</v>
      </c>
    </row>
    <row r="49" spans="2:5">
      <c r="B49" s="25"/>
      <c r="C49" s="17" t="str">
        <f>"Total"</f>
        <v>Total</v>
      </c>
      <c r="D49" s="20">
        <v>284</v>
      </c>
      <c r="E49" s="21">
        <v>4.6399999999999997E-2</v>
      </c>
    </row>
    <row r="50" spans="2:5">
      <c r="B50" s="23" t="str">
        <f>"MEXICO"</f>
        <v>MEXICO</v>
      </c>
      <c r="C50" s="7" t="str">
        <f>"HOMBRE"</f>
        <v>HOMBRE</v>
      </c>
      <c r="D50" s="8">
        <v>442</v>
      </c>
      <c r="E50" s="9">
        <v>7.22E-2</v>
      </c>
    </row>
    <row r="51" spans="2:5">
      <c r="B51" s="24"/>
      <c r="C51" s="7" t="str">
        <f>"MUJER"</f>
        <v>MUJER</v>
      </c>
      <c r="D51" s="8">
        <v>188</v>
      </c>
      <c r="E51" s="9">
        <v>3.0700000000000002E-2</v>
      </c>
    </row>
    <row r="52" spans="2:5">
      <c r="B52" s="25"/>
      <c r="C52" s="17" t="str">
        <f>"Total"</f>
        <v>Total</v>
      </c>
      <c r="D52" s="20">
        <v>630</v>
      </c>
      <c r="E52" s="21">
        <v>0.1028</v>
      </c>
    </row>
    <row r="53" spans="2:5">
      <c r="B53" s="23" t="str">
        <f>"MICHOACAN DE OCAMPO"</f>
        <v>MICHOACAN DE OCAMPO</v>
      </c>
      <c r="C53" s="7" t="str">
        <f>"HOMBRE"</f>
        <v>HOMBRE</v>
      </c>
      <c r="D53" s="8">
        <v>369</v>
      </c>
      <c r="E53" s="9">
        <v>6.0199999999999997E-2</v>
      </c>
    </row>
    <row r="54" spans="2:5">
      <c r="B54" s="24"/>
      <c r="C54" s="7" t="str">
        <f>"MUJER"</f>
        <v>MUJER</v>
      </c>
      <c r="D54" s="8">
        <v>246</v>
      </c>
      <c r="E54" s="9">
        <v>4.02E-2</v>
      </c>
    </row>
    <row r="55" spans="2:5">
      <c r="B55" s="25"/>
      <c r="C55" s="17" t="str">
        <f>"Total"</f>
        <v>Total</v>
      </c>
      <c r="D55" s="20">
        <v>615</v>
      </c>
      <c r="E55" s="21">
        <v>0.1004</v>
      </c>
    </row>
    <row r="56" spans="2:5">
      <c r="B56" s="23" t="str">
        <f>"MORELOS"</f>
        <v>MORELOS</v>
      </c>
      <c r="C56" s="7" t="str">
        <f>"HOMBRE"</f>
        <v>HOMBRE</v>
      </c>
      <c r="D56" s="8">
        <v>58</v>
      </c>
      <c r="E56" s="9">
        <v>9.4999999999999998E-3</v>
      </c>
    </row>
    <row r="57" spans="2:5">
      <c r="B57" s="24"/>
      <c r="C57" s="7" t="str">
        <f>"MUJER"</f>
        <v>MUJER</v>
      </c>
      <c r="D57" s="8">
        <v>37</v>
      </c>
      <c r="E57" s="9">
        <v>6.0000000000000001E-3</v>
      </c>
    </row>
    <row r="58" spans="2:5">
      <c r="B58" s="25"/>
      <c r="C58" s="17" t="str">
        <f>"Total"</f>
        <v>Total</v>
      </c>
      <c r="D58" s="20">
        <v>95</v>
      </c>
      <c r="E58" s="21">
        <v>1.55E-2</v>
      </c>
    </row>
    <row r="59" spans="2:5">
      <c r="B59" s="23" t="str">
        <f>"NAYARIT"</f>
        <v>NAYARIT</v>
      </c>
      <c r="C59" s="7" t="str">
        <f>"HOMBRE"</f>
        <v>HOMBRE</v>
      </c>
      <c r="D59" s="8">
        <v>22</v>
      </c>
      <c r="E59" s="9">
        <v>3.5999999999999999E-3</v>
      </c>
    </row>
    <row r="60" spans="2:5">
      <c r="B60" s="24"/>
      <c r="C60" s="7" t="str">
        <f>"MUJER"</f>
        <v>MUJER</v>
      </c>
      <c r="D60" s="8">
        <v>17</v>
      </c>
      <c r="E60" s="9">
        <v>2.8E-3</v>
      </c>
    </row>
    <row r="61" spans="2:5">
      <c r="B61" s="25"/>
      <c r="C61" s="17" t="str">
        <f>"Total"</f>
        <v>Total</v>
      </c>
      <c r="D61" s="20">
        <v>39</v>
      </c>
      <c r="E61" s="21">
        <v>6.4000000000000003E-3</v>
      </c>
    </row>
    <row r="62" spans="2:5">
      <c r="B62" s="23" t="str">
        <f>"NUEVO LEON"</f>
        <v>NUEVO LEON</v>
      </c>
      <c r="C62" s="22" t="str">
        <f>"HOMBRE"</f>
        <v>HOMBRE</v>
      </c>
      <c r="D62" s="8">
        <v>36</v>
      </c>
      <c r="E62" s="9">
        <v>5.8999999999999999E-3</v>
      </c>
    </row>
    <row r="63" spans="2:5">
      <c r="B63" s="24"/>
      <c r="C63" s="7" t="str">
        <f>"MUJER"</f>
        <v>MUJER</v>
      </c>
      <c r="D63" s="8">
        <v>37</v>
      </c>
      <c r="E63" s="9">
        <v>6.0000000000000001E-3</v>
      </c>
    </row>
    <row r="64" spans="2:5">
      <c r="B64" s="25"/>
      <c r="C64" s="17" t="str">
        <f>"Total"</f>
        <v>Total</v>
      </c>
      <c r="D64" s="20">
        <v>73</v>
      </c>
      <c r="E64" s="21">
        <v>1.1900000000000001E-2</v>
      </c>
    </row>
    <row r="65" spans="2:5">
      <c r="B65" s="23" t="str">
        <f>"OAXACA"</f>
        <v>OAXACA</v>
      </c>
      <c r="C65" s="7" t="str">
        <f>"HOMBRE"</f>
        <v>HOMBRE</v>
      </c>
      <c r="D65" s="8">
        <v>261</v>
      </c>
      <c r="E65" s="9">
        <v>4.2599999999999999E-2</v>
      </c>
    </row>
    <row r="66" spans="2:5">
      <c r="B66" s="24"/>
      <c r="C66" s="7" t="str">
        <f>"MUJER"</f>
        <v>MUJER</v>
      </c>
      <c r="D66" s="8">
        <v>195</v>
      </c>
      <c r="E66" s="9">
        <v>3.1800000000000002E-2</v>
      </c>
    </row>
    <row r="67" spans="2:5">
      <c r="B67" s="25"/>
      <c r="C67" s="17" t="str">
        <f>"Total"</f>
        <v>Total</v>
      </c>
      <c r="D67" s="20">
        <v>456</v>
      </c>
      <c r="E67" s="21">
        <v>7.4399999999999994E-2</v>
      </c>
    </row>
    <row r="68" spans="2:5">
      <c r="B68" s="23" t="str">
        <f>"PUEBLA"</f>
        <v>PUEBLA</v>
      </c>
      <c r="C68" s="7" t="str">
        <f>"HOMBRE"</f>
        <v>HOMBRE</v>
      </c>
      <c r="D68" s="8">
        <v>89</v>
      </c>
      <c r="E68" s="9">
        <v>1.4500000000000001E-2</v>
      </c>
    </row>
    <row r="69" spans="2:5">
      <c r="B69" s="24"/>
      <c r="C69" s="7" t="str">
        <f>"MUJER"</f>
        <v>MUJER</v>
      </c>
      <c r="D69" s="8">
        <v>56</v>
      </c>
      <c r="E69" s="9">
        <v>9.1000000000000004E-3</v>
      </c>
    </row>
    <row r="70" spans="2:5">
      <c r="B70" s="25"/>
      <c r="C70" s="17" t="str">
        <f>"Total"</f>
        <v>Total</v>
      </c>
      <c r="D70" s="20">
        <v>145</v>
      </c>
      <c r="E70" s="21">
        <v>2.3699999999999999E-2</v>
      </c>
    </row>
    <row r="71" spans="2:5">
      <c r="B71" s="23" t="str">
        <f>"QUERETARO DE ARTEAGA"</f>
        <v>QUERETARO DE ARTEAGA</v>
      </c>
      <c r="C71" s="7" t="str">
        <f>"HOMBRE"</f>
        <v>HOMBRE</v>
      </c>
      <c r="D71" s="8">
        <v>62</v>
      </c>
      <c r="E71" s="9">
        <v>1.01E-2</v>
      </c>
    </row>
    <row r="72" spans="2:5">
      <c r="B72" s="24"/>
      <c r="C72" s="7" t="str">
        <f>"MUJER"</f>
        <v>MUJER</v>
      </c>
      <c r="D72" s="8">
        <v>28</v>
      </c>
      <c r="E72" s="9">
        <v>4.5999999999999999E-3</v>
      </c>
    </row>
    <row r="73" spans="2:5">
      <c r="B73" s="25"/>
      <c r="C73" s="17" t="str">
        <f>"Total"</f>
        <v>Total</v>
      </c>
      <c r="D73" s="20">
        <v>90</v>
      </c>
      <c r="E73" s="21">
        <v>1.47E-2</v>
      </c>
    </row>
    <row r="74" spans="2:5">
      <c r="B74" s="23" t="str">
        <f>"QUINTANA ROO"</f>
        <v>QUINTANA ROO</v>
      </c>
      <c r="C74" s="7" t="str">
        <f>"HOMBRE"</f>
        <v>HOMBRE</v>
      </c>
      <c r="D74" s="8">
        <v>21</v>
      </c>
      <c r="E74" s="9">
        <v>3.3999999999999998E-3</v>
      </c>
    </row>
    <row r="75" spans="2:5">
      <c r="B75" s="24"/>
      <c r="C75" s="7" t="str">
        <f>"MUJER"</f>
        <v>MUJER</v>
      </c>
      <c r="D75" s="8">
        <v>11</v>
      </c>
      <c r="E75" s="9">
        <v>1.8E-3</v>
      </c>
    </row>
    <row r="76" spans="2:5">
      <c r="B76" s="25"/>
      <c r="C76" s="17" t="str">
        <f>"Total"</f>
        <v>Total</v>
      </c>
      <c r="D76" s="20">
        <v>32</v>
      </c>
      <c r="E76" s="21">
        <v>5.1999999999999998E-3</v>
      </c>
    </row>
    <row r="77" spans="2:5">
      <c r="B77" s="23" t="str">
        <f>"SAN LUIS POTOSI"</f>
        <v>SAN LUIS POTOSI</v>
      </c>
      <c r="C77" s="7" t="str">
        <f>"HOMBRE"</f>
        <v>HOMBRE</v>
      </c>
      <c r="D77" s="8">
        <v>183</v>
      </c>
      <c r="E77" s="9">
        <v>2.9899999999999999E-2</v>
      </c>
    </row>
    <row r="78" spans="2:5">
      <c r="B78" s="24"/>
      <c r="C78" s="7" t="str">
        <f>"MUJER"</f>
        <v>MUJER</v>
      </c>
      <c r="D78" s="8">
        <v>91</v>
      </c>
      <c r="E78" s="9">
        <v>1.49E-2</v>
      </c>
    </row>
    <row r="79" spans="2:5">
      <c r="B79" s="25"/>
      <c r="C79" s="17" t="str">
        <f>"Total"</f>
        <v>Total</v>
      </c>
      <c r="D79" s="20">
        <v>274</v>
      </c>
      <c r="E79" s="21">
        <v>4.4699999999999997E-2</v>
      </c>
    </row>
    <row r="80" spans="2:5">
      <c r="B80" s="23" t="str">
        <f>"SINALOA"</f>
        <v>SINALOA</v>
      </c>
      <c r="C80" s="7" t="str">
        <f>"HOMBRE"</f>
        <v>HOMBRE</v>
      </c>
      <c r="D80" s="8">
        <v>16</v>
      </c>
      <c r="E80" s="9">
        <v>2.5999999999999999E-3</v>
      </c>
    </row>
    <row r="81" spans="2:5">
      <c r="B81" s="24"/>
      <c r="C81" s="7" t="str">
        <f>"MUJER"</f>
        <v>MUJER</v>
      </c>
      <c r="D81" s="8">
        <v>13</v>
      </c>
      <c r="E81" s="9">
        <v>2.0999999999999999E-3</v>
      </c>
    </row>
    <row r="82" spans="2:5">
      <c r="B82" s="25"/>
      <c r="C82" s="17" t="str">
        <f>"Total"</f>
        <v>Total</v>
      </c>
      <c r="D82" s="20">
        <v>29</v>
      </c>
      <c r="E82" s="21">
        <v>4.7000000000000002E-3</v>
      </c>
    </row>
    <row r="83" spans="2:5">
      <c r="B83" s="23" t="str">
        <f>"SONORA"</f>
        <v>SONORA</v>
      </c>
      <c r="C83" s="7" t="str">
        <f>"HOMBRE"</f>
        <v>HOMBRE</v>
      </c>
      <c r="D83" s="8">
        <v>17</v>
      </c>
      <c r="E83" s="9">
        <v>2.8E-3</v>
      </c>
    </row>
    <row r="84" spans="2:5">
      <c r="B84" s="24"/>
      <c r="C84" s="7" t="str">
        <f>"MUJER"</f>
        <v>MUJER</v>
      </c>
      <c r="D84" s="8">
        <v>20</v>
      </c>
      <c r="E84" s="9">
        <v>3.3E-3</v>
      </c>
    </row>
    <row r="85" spans="2:5">
      <c r="B85" s="25"/>
      <c r="C85" s="17" t="str">
        <f>"Total"</f>
        <v>Total</v>
      </c>
      <c r="D85" s="20">
        <v>37</v>
      </c>
      <c r="E85" s="21">
        <v>6.0000000000000001E-3</v>
      </c>
    </row>
    <row r="86" spans="2:5">
      <c r="B86" s="23" t="str">
        <f>"TABASCO"</f>
        <v>TABASCO</v>
      </c>
      <c r="C86" s="7" t="str">
        <f>"HOMBRE"</f>
        <v>HOMBRE</v>
      </c>
      <c r="D86" s="8">
        <v>51</v>
      </c>
      <c r="E86" s="9">
        <v>8.3000000000000001E-3</v>
      </c>
    </row>
    <row r="87" spans="2:5">
      <c r="B87" s="24"/>
      <c r="C87" s="7" t="str">
        <f>"MUJER"</f>
        <v>MUJER</v>
      </c>
      <c r="D87" s="8">
        <v>23</v>
      </c>
      <c r="E87" s="9">
        <v>3.8E-3</v>
      </c>
    </row>
    <row r="88" spans="2:5">
      <c r="B88" s="25"/>
      <c r="C88" s="17" t="str">
        <f>"Total"</f>
        <v>Total</v>
      </c>
      <c r="D88" s="20">
        <v>74</v>
      </c>
      <c r="E88" s="21">
        <v>1.21E-2</v>
      </c>
    </row>
    <row r="89" spans="2:5">
      <c r="B89" s="23" t="str">
        <f>"TAMAULIPAS"</f>
        <v>TAMAULIPAS</v>
      </c>
      <c r="C89" s="7" t="str">
        <f>"HOMBRE"</f>
        <v>HOMBRE</v>
      </c>
      <c r="D89" s="8">
        <v>106</v>
      </c>
      <c r="E89" s="9">
        <v>1.7299999999999999E-2</v>
      </c>
    </row>
    <row r="90" spans="2:5">
      <c r="B90" s="24"/>
      <c r="C90" s="7" t="str">
        <f>"MUJER"</f>
        <v>MUJER</v>
      </c>
      <c r="D90" s="8">
        <v>83</v>
      </c>
      <c r="E90" s="9">
        <v>1.35E-2</v>
      </c>
    </row>
    <row r="91" spans="2:5">
      <c r="B91" s="25"/>
      <c r="C91" s="17" t="str">
        <f>"Total"</f>
        <v>Total</v>
      </c>
      <c r="D91" s="20">
        <v>189</v>
      </c>
      <c r="E91" s="21">
        <v>3.09E-2</v>
      </c>
    </row>
    <row r="92" spans="2:5">
      <c r="B92" s="23" t="str">
        <f>"TLAXCALA"</f>
        <v>TLAXCALA</v>
      </c>
      <c r="C92" s="7" t="str">
        <f>"HOMBRE"</f>
        <v>HOMBRE</v>
      </c>
      <c r="D92" s="8">
        <v>15</v>
      </c>
      <c r="E92" s="9">
        <v>2.3999999999999998E-3</v>
      </c>
    </row>
    <row r="93" spans="2:5">
      <c r="B93" s="24"/>
      <c r="C93" s="7" t="str">
        <f>"MUJER"</f>
        <v>MUJER</v>
      </c>
      <c r="D93" s="8">
        <v>9</v>
      </c>
      <c r="E93" s="9">
        <v>1.5E-3</v>
      </c>
    </row>
    <row r="94" spans="2:5">
      <c r="B94" s="25"/>
      <c r="C94" s="17" t="str">
        <f>"Total"</f>
        <v>Total</v>
      </c>
      <c r="D94" s="20">
        <v>24</v>
      </c>
      <c r="E94" s="21">
        <v>3.8999999999999998E-3</v>
      </c>
    </row>
    <row r="95" spans="2:5">
      <c r="B95" s="23" t="str">
        <f>"VERACRUZ DE IGNACIO DE LA LLAVE"</f>
        <v>VERACRUZ DE IGNACIO DE LA LLAVE</v>
      </c>
      <c r="C95" s="7" t="str">
        <f>"HOMBRE"</f>
        <v>HOMBRE</v>
      </c>
      <c r="D95" s="8">
        <v>443</v>
      </c>
      <c r="E95" s="9">
        <v>7.2300000000000003E-2</v>
      </c>
    </row>
    <row r="96" spans="2:5">
      <c r="B96" s="24"/>
      <c r="C96" s="7" t="str">
        <f>"MUJER"</f>
        <v>MUJER</v>
      </c>
      <c r="D96" s="8">
        <v>240</v>
      </c>
      <c r="E96" s="9">
        <v>3.9199999999999999E-2</v>
      </c>
    </row>
    <row r="97" spans="2:5">
      <c r="B97" s="25"/>
      <c r="C97" s="17" t="str">
        <f>"Total"</f>
        <v>Total</v>
      </c>
      <c r="D97" s="20">
        <v>683</v>
      </c>
      <c r="E97" s="21">
        <v>0.1115</v>
      </c>
    </row>
    <row r="98" spans="2:5">
      <c r="B98" s="23" t="str">
        <f>"YUCATAN"</f>
        <v>YUCATAN</v>
      </c>
      <c r="C98" s="7" t="str">
        <f>"HOMBRE"</f>
        <v>HOMBRE</v>
      </c>
      <c r="D98" s="8">
        <v>4</v>
      </c>
      <c r="E98" s="9">
        <v>6.9999999999999999E-4</v>
      </c>
    </row>
    <row r="99" spans="2:5">
      <c r="B99" s="24"/>
      <c r="C99" s="7" t="str">
        <f>"MUJER"</f>
        <v>MUJER</v>
      </c>
      <c r="D99" s="8">
        <v>3</v>
      </c>
      <c r="E99" s="9">
        <v>5.0000000000000001E-4</v>
      </c>
    </row>
    <row r="100" spans="2:5">
      <c r="B100" s="25"/>
      <c r="C100" s="17" t="str">
        <f>"Total"</f>
        <v>Total</v>
      </c>
      <c r="D100" s="20">
        <v>7</v>
      </c>
      <c r="E100" s="21">
        <v>1.1000000000000001E-3</v>
      </c>
    </row>
    <row r="101" spans="2:5">
      <c r="B101" s="23" t="str">
        <f>"ZACATECAS"</f>
        <v>ZACATECAS</v>
      </c>
      <c r="C101" s="7" t="str">
        <f>"HOMBRE"</f>
        <v>HOMBRE</v>
      </c>
      <c r="D101" s="8">
        <v>32</v>
      </c>
      <c r="E101" s="9">
        <v>5.1999999999999998E-3</v>
      </c>
    </row>
    <row r="102" spans="2:5">
      <c r="B102" s="24"/>
      <c r="C102" s="7" t="str">
        <f>"MUJER"</f>
        <v>MUJER</v>
      </c>
      <c r="D102" s="8">
        <v>19</v>
      </c>
      <c r="E102" s="9">
        <v>3.0999999999999999E-3</v>
      </c>
    </row>
    <row r="103" spans="2:5">
      <c r="B103" s="25"/>
      <c r="C103" s="17" t="str">
        <f>"Total"</f>
        <v>Total</v>
      </c>
      <c r="D103" s="18">
        <v>51</v>
      </c>
      <c r="E103" s="19">
        <v>8.3000000000000001E-3</v>
      </c>
    </row>
    <row r="104" spans="2:5">
      <c r="B104" s="10" t="s">
        <v>5</v>
      </c>
      <c r="C104" s="11" t="str">
        <f>" "</f>
        <v> </v>
      </c>
      <c r="D104" s="12">
        <v>6126</v>
      </c>
      <c r="E104" s="13">
        <v>1</v>
      </c>
    </row>
    <row r="106" spans="2:5" ht="16.5">
      <c r="B106" s="14" t="s">
        <v>6</v>
      </c>
      <c r="C106" s="15"/>
      <c r="D106" s="16"/>
      <c r="E106" s="16"/>
    </row>
    <row r="107" spans="2:5" ht="16.5">
      <c r="B107" s="14" t="s">
        <v>7</v>
      </c>
      <c r="C107" s="15"/>
      <c r="D107" s="16"/>
      <c r="E107" s="16"/>
    </row>
    <row r="108" spans="2:5" ht="16.5">
      <c r="B108" s="14" t="s">
        <v>8</v>
      </c>
      <c r="C108" s="15"/>
      <c r="D108" s="16"/>
      <c r="E108" s="16"/>
    </row>
    <row r="109" spans="2:5" ht="16.5">
      <c r="B109" s="14" t="s">
        <v>9</v>
      </c>
      <c r="C109" s="15"/>
      <c r="D109" s="16"/>
      <c r="E109" s="16"/>
    </row>
    <row r="110" spans="2:5">
      <c r="B110" s="14" t="s">
        <v>10</v>
      </c>
    </row>
  </sheetData>
  <mergeCells count="33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</mergeCells>
  <pageMargins left="0.75" right="0.75" top="1" bottom="1" header="0.5" footer="0.5"/>
  <pageSetup orientation="portrait" r:id="rId1"/>
  <drawing r:id="rId2"/>
  <legacyDrawing r:id="rId3"/>
  <oleObjects>
    <oleObject progId="MSPhotoEd.3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easCAC2V23G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2012-02-27T18:15:17Z</dcterms:created>
  <dcterms:modified xsi:type="dcterms:W3CDTF">2012-03-15T19:21:55Z</dcterms:modified>
</cp:coreProperties>
</file>