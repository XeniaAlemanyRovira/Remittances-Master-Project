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QEYDFJ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<sst xmlns="http://schemas.openxmlformats.org/spreadsheetml/2006/main" count="10" uniqueCount="10">
  <si>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</si>
  <si>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</si>
  <si>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</si>
  <si>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</si>
  <si>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</si>
  <si>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</si>
  <si>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</si>
  <si>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Tamaño de la muestra: 842, 321</t>
  </si>
  <si>
    <t>MATRÍCULAS CONSULARES EXPEDIDAS EN EL ESTADO DE ALABAMA POR NIVEL DE EDUCACIÓN, 2010</t>
  </si>
  <si>
    <t>Marzo del 2012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</si>
</sst>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rgb="FF2A2A2A"/>
      <name val="Segoe UI"/>
      <family val="2"/>
    </font>
    <font>
      <sz val="10"/>
      <color rgb="FF000000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2" fillId="0" borderId="0" xfId="0" applyFont="1" applyAlignment="1">
      <alignment horizontal="left" indent="1"/>
    </xf>
    <xf numFmtId="0" fontId="21" fillId="0" borderId="0" xfId="0" applyFont="1"/>
    <xf numFmtId="0" fontId="23" fillId="0" borderId="0" xfId="0" applyFont="1"/>
    <xf numFmtId="0" fontId="22" fillId="0" borderId="0" xfId="0" applyFont="1" applyAlignment="1">
      <alignment horizontal="left" indent="1"/>
    </xf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6291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M36"/>
  <sheetViews>
    <sheetView showGridLines="0" tabSelected="1" topLeftCell="A19" workbookViewId="0">
      <selection activeCell="B37" sqref="B37"/>
    </sheetView>
  </sheetViews>
  <sheetFormatPr baseColWidth="10" defaultRowHeight="15"/>
  <cols>
    <col min="2" max="2" width="35" customWidth="1"/>
    <col min="3" max="3" width="18.85546875" customWidth="1"/>
    <col min="4" max="4" width="16.140625" bestFit="1" customWidth="1"/>
  </cols>
  <sheetData>
    <row r="2" spans="1:6">
      <c r="A2" s="5"/>
      <c r="B2" s="5"/>
      <c r="C2" s="5"/>
      <c r="D2" s="5"/>
      <c r="E2" s="5"/>
      <c r="F2" s="5"/>
    </row>
    <row r="3" spans="1:6">
      <c r="A3" s="5"/>
      <c r="B3" s="5"/>
      <c r="C3" s="5"/>
      <c r="D3" s="5"/>
      <c r="E3" s="5"/>
      <c r="F3" s="5"/>
    </row>
    <row r="4" spans="1:6">
      <c r="A4" s="5"/>
      <c r="B4" s="5"/>
      <c r="C4" s="5"/>
      <c r="D4" s="5"/>
      <c r="E4" s="5"/>
      <c r="F4" s="5"/>
    </row>
    <row r="5" spans="1:6">
      <c r="A5" s="5"/>
      <c r="B5" s="14" t="s">
        <v>8</v>
      </c>
      <c r="C5" s="14"/>
      <c r="D5" s="14"/>
      <c r="E5" s="5"/>
      <c r="F5" s="5"/>
    </row>
    <row r="6" spans="1:6">
      <c r="A6" s="5"/>
      <c r="B6" s="15"/>
      <c r="C6" s="15"/>
      <c r="D6" s="15"/>
      <c r="E6" s="5"/>
      <c r="F6" s="5"/>
    </row>
    <row r="7" spans="1:6" ht="33">
      <c r="A7" s="5"/>
      <c r="B7" s="6" t="s">
        <v>1</v>
      </c>
      <c r="C7" s="6" t="s">
        <v>2</v>
      </c>
      <c r="D7" s="6" t="s">
        <v>3</v>
      </c>
      <c r="E7" s="5"/>
      <c r="F7" s="5"/>
    </row>
    <row r="8" spans="1:6">
      <c r="B8" s="1" t="str">
        <f>"SIN ESTUDIOS"</f>
        <v>SIN ESTUDIOS</v>
      </c>
      <c r="C8" s="2">
        <v>65</v>
      </c>
      <c r="D8" s="3">
        <v>1.06E-2</v>
      </c>
    </row>
    <row r="9" spans="1:6">
      <c r="B9" s="1" t="str">
        <f>"1o. PRIMARIA"</f>
        <v>1o. PRIMARIA</v>
      </c>
      <c r="C9" s="2">
        <v>31</v>
      </c>
      <c r="D9" s="3">
        <v>5.1000000000000004E-3</v>
      </c>
    </row>
    <row r="10" spans="1:6">
      <c r="B10" s="1" t="str">
        <f>"2o. PRIMARIA"</f>
        <v>2o. PRIMARIA</v>
      </c>
      <c r="C10" s="2">
        <v>32</v>
      </c>
      <c r="D10" s="3">
        <v>5.1999999999999998E-3</v>
      </c>
    </row>
    <row r="11" spans="1:6">
      <c r="B11" s="1" t="str">
        <f>"3o. PRIMARIA"</f>
        <v>3o. PRIMARIA</v>
      </c>
      <c r="C11" s="2">
        <v>80</v>
      </c>
      <c r="D11" s="3">
        <v>1.3100000000000001E-2</v>
      </c>
    </row>
    <row r="12" spans="1:6">
      <c r="B12" s="1" t="str">
        <f>"4o. PRIMARIA"</f>
        <v>4o. PRIMARIA</v>
      </c>
      <c r="C12" s="2">
        <v>55</v>
      </c>
      <c r="D12" s="3">
        <v>8.9999999999999993E-3</v>
      </c>
    </row>
    <row r="13" spans="1:6">
      <c r="B13" s="1" t="str">
        <f>"5o. PRIMARIA"</f>
        <v>5o. PRIMARIA</v>
      </c>
      <c r="C13" s="2">
        <v>82</v>
      </c>
      <c r="D13" s="3">
        <v>1.34E-2</v>
      </c>
    </row>
    <row r="14" spans="1:6">
      <c r="B14" s="1" t="str">
        <f>"6o. PRIMARIA"</f>
        <v>6o. PRIMARIA</v>
      </c>
      <c r="C14" s="2">
        <v>342</v>
      </c>
      <c r="D14" s="3">
        <v>5.5800000000000002E-2</v>
      </c>
    </row>
    <row r="15" spans="1:6">
      <c r="B15" s="1" t="str">
        <f>"PRIMARIA CON CERTIFICADO"</f>
        <v>PRIMARIA CON CERTIFICADO</v>
      </c>
      <c r="C15" s="2">
        <v>971</v>
      </c>
      <c r="D15" s="3">
        <v>0.1585</v>
      </c>
    </row>
    <row r="16" spans="1:6">
      <c r="B16" s="1" t="str">
        <f>"1o. SECUNDARIA"</f>
        <v>1o. SECUNDARIA</v>
      </c>
      <c r="C16" s="2">
        <v>50</v>
      </c>
      <c r="D16" s="3">
        <v>8.2000000000000007E-3</v>
      </c>
    </row>
    <row r="17" spans="2:13">
      <c r="B17" s="1" t="str">
        <f>"2o. SECUNDARIA"</f>
        <v>2o. SECUNDARIA</v>
      </c>
      <c r="C17" s="2">
        <v>87</v>
      </c>
      <c r="D17" s="3">
        <v>1.4200000000000001E-2</v>
      </c>
    </row>
    <row r="18" spans="2:13">
      <c r="B18" s="1" t="str">
        <f>"3o. SECUNDARIA"</f>
        <v>3o. SECUNDARIA</v>
      </c>
      <c r="C18" s="2">
        <v>64</v>
      </c>
      <c r="D18" s="3">
        <v>1.04E-2</v>
      </c>
    </row>
    <row r="19" spans="2:13">
      <c r="B19" s="1" t="str">
        <f>"SECUNDARIA CON CERTIFICADO"</f>
        <v>SECUNDARIA CON CERTIFICADO</v>
      </c>
      <c r="C19" s="4">
        <v>2611</v>
      </c>
      <c r="D19" s="3">
        <v>0.42620000000000002</v>
      </c>
    </row>
    <row r="20" spans="2:13">
      <c r="B20" s="1" t="str">
        <f>"CAPACITACION TECNICA"</f>
        <v>CAPACITACION TECNICA</v>
      </c>
      <c r="C20" s="2">
        <v>474</v>
      </c>
      <c r="D20" s="3">
        <v>7.7399999999999997E-2</v>
      </c>
    </row>
    <row r="21" spans="2:13">
      <c r="B21" s="1" t="str">
        <f>"PREPARATORIA SIN CERTIFICADO"</f>
        <v>PREPARATORIA SIN CERTIFICADO</v>
      </c>
      <c r="C21" s="2">
        <v>266</v>
      </c>
      <c r="D21" s="3">
        <v>4.3400000000000001E-2</v>
      </c>
    </row>
    <row r="22" spans="2:13">
      <c r="B22" s="1" t="str">
        <f>"PREPARATORIA CON CERTIFICADO"</f>
        <v>PREPARATORIA CON CERTIFICADO</v>
      </c>
      <c r="C22" s="2">
        <v>780</v>
      </c>
      <c r="D22" s="3">
        <v>0.1273</v>
      </c>
    </row>
    <row r="23" spans="2:13">
      <c r="B23" s="1" t="str">
        <f>"1o. ANO DE PROFESIONAL"</f>
        <v>1o. ANO DE PROFESIONAL</v>
      </c>
      <c r="C23" s="2">
        <v>4</v>
      </c>
      <c r="D23" s="3">
        <v>6.9999999999999999E-4</v>
      </c>
    </row>
    <row r="24" spans="2:13">
      <c r="B24" s="1" t="str">
        <f>"20. ANO DE PROFESIONAL"</f>
        <v>20. ANO DE PROFESIONAL</v>
      </c>
      <c r="C24" s="2">
        <v>5</v>
      </c>
      <c r="D24" s="3">
        <v>8.0000000000000004E-4</v>
      </c>
    </row>
    <row r="25" spans="2:13">
      <c r="B25" s="1" t="str">
        <f>"3er. ANO DE PROFESIONAL"</f>
        <v>3er. ANO DE PROFESIONAL</v>
      </c>
      <c r="C25" s="2">
        <v>8</v>
      </c>
      <c r="D25" s="3">
        <v>1.2999999999999999E-3</v>
      </c>
    </row>
    <row r="26" spans="2:13">
      <c r="B26" s="1" t="str">
        <f>"4o. ANO DE PROFESIONAL"</f>
        <v>4o. ANO DE PROFESIONAL</v>
      </c>
      <c r="C26" s="2">
        <v>6</v>
      </c>
      <c r="D26" s="3">
        <v>1E-3</v>
      </c>
    </row>
    <row r="27" spans="2:13">
      <c r="B27" s="1" t="str">
        <f>"PROFESIONAL PASANTE"</f>
        <v>PROFESIONAL PASANTE</v>
      </c>
      <c r="C27" s="2">
        <v>56</v>
      </c>
      <c r="D27" s="3">
        <v>9.1000000000000004E-3</v>
      </c>
    </row>
    <row r="28" spans="2:13">
      <c r="B28" s="1" t="str">
        <f>"PROFESIONAL TITULADO"</f>
        <v>PROFESIONAL TITULADO</v>
      </c>
      <c r="C28" s="2">
        <v>57</v>
      </c>
      <c r="D28" s="3">
        <v>9.2999999999999992E-3</v>
      </c>
    </row>
    <row r="29" spans="2:13" ht="16.5">
      <c r="B29" s="7" t="s">
        <v>0</v>
      </c>
      <c r="C29" s="8">
        <v>6126</v>
      </c>
      <c r="D29" s="9">
        <v>1</v>
      </c>
      <c r="I29" s="10"/>
      <c r="J29" s="11"/>
      <c r="K29" s="11"/>
      <c r="L29" s="11"/>
    </row>
    <row r="30" spans="2:13" ht="16.5">
      <c r="I30" s="11"/>
      <c r="J30" s="13"/>
      <c r="K30" s="13"/>
      <c r="L30" s="13"/>
      <c r="M30" s="13"/>
    </row>
    <row r="31" spans="2:13" ht="16.5">
      <c r="I31" s="11"/>
      <c r="J31" s="13"/>
      <c r="K31" s="13"/>
      <c r="L31" s="13"/>
      <c r="M31" s="13"/>
    </row>
    <row r="32" spans="2:13" ht="16.5">
      <c r="B32" s="12" t="s">
        <v>7</v>
      </c>
      <c r="I32" s="11"/>
      <c r="J32" s="10"/>
      <c r="K32" s="11"/>
      <c r="L32" s="11"/>
      <c r="M32" s="11"/>
    </row>
    <row r="33" spans="2:12" ht="16.5">
      <c r="B33" s="12" t="s">
        <v>4</v>
      </c>
      <c r="I33" s="11"/>
      <c r="J33" s="10"/>
      <c r="K33" s="11"/>
      <c r="L33" s="11"/>
    </row>
    <row r="34" spans="2:12">
      <c r="B34" s="12" t="s">
        <v>5</v>
      </c>
    </row>
    <row r="35" spans="2:12">
      <c r="B35" s="12" t="s">
        <v>6</v>
      </c>
    </row>
    <row r="36" spans="2:12">
      <c r="B36" s="12" t="s">
        <v>9</v>
      </c>
    </row>
  </sheetData>
  <mergeCells count="3">
    <mergeCell ref="J30:M30"/>
    <mergeCell ref="J31:M31"/>
    <mergeCell ref="B5:D6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easCAQEYDFJ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2012-03-08T22:19:41Z</dcterms:created>
  <dcterms:modified xsi:type="dcterms:W3CDTF">2012-03-13T21:58:31Z</dcterms:modified>
</cp:coreProperties>
</file>