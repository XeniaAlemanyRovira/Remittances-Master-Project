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CDLE5P" sheetId="2" r:id="rId1"/>
  </sheets>
  <calcPr calcId="125725"/>
</workbook>
</file>

<file path=xl/calcChain.xml><?xml version="1.0" encoding="utf-8"?>
<calcChain xmlns="http://schemas.openxmlformats.org/spreadsheetml/2006/main">
  <c r="C454" i="2"/>
  <c r="C429"/>
  <c r="C407"/>
  <c r="C390"/>
  <c r="C379"/>
  <c r="C359"/>
  <c r="C329"/>
  <c r="C300"/>
  <c r="C269"/>
  <c r="C241"/>
  <c r="C215"/>
  <c r="C194"/>
  <c r="C167"/>
  <c r="C137"/>
  <c r="C111"/>
  <c r="C91"/>
  <c r="C70"/>
  <c r="C52"/>
  <c r="C35"/>
  <c r="C17"/>
  <c r="B443"/>
  <c r="B418"/>
  <c r="B405"/>
  <c r="B395"/>
  <c r="B387"/>
  <c r="B377"/>
  <c r="B346"/>
  <c r="B317"/>
  <c r="B288"/>
  <c r="B256"/>
  <c r="B229"/>
  <c r="B206"/>
  <c r="B185"/>
  <c r="B154"/>
  <c r="B123"/>
  <c r="B102"/>
  <c r="B82"/>
  <c r="B60"/>
  <c r="B47"/>
  <c r="B28"/>
  <c r="B10"/>
  <c r="C467"/>
  <c r="C466"/>
  <c r="B466"/>
  <c r="C465"/>
  <c r="B465"/>
  <c r="C464"/>
  <c r="B464"/>
  <c r="C463"/>
  <c r="B463"/>
  <c r="C462"/>
  <c r="B462"/>
  <c r="C461"/>
  <c r="B461"/>
  <c r="C460"/>
  <c r="B460"/>
  <c r="C459"/>
  <c r="B459"/>
  <c r="C458"/>
  <c r="B458"/>
  <c r="C457"/>
  <c r="B457"/>
  <c r="C456"/>
  <c r="B456"/>
  <c r="C455"/>
  <c r="B455"/>
  <c r="B454"/>
  <c r="C453"/>
  <c r="B453"/>
  <c r="C452"/>
  <c r="B452"/>
  <c r="C451"/>
  <c r="B451"/>
  <c r="C450"/>
  <c r="B450"/>
  <c r="C449"/>
  <c r="B449"/>
  <c r="C448"/>
  <c r="B448"/>
  <c r="C447"/>
  <c r="B447"/>
  <c r="C446"/>
  <c r="B446"/>
  <c r="C445"/>
  <c r="B445"/>
  <c r="C444"/>
  <c r="B444"/>
  <c r="C443"/>
  <c r="C442"/>
  <c r="B442"/>
  <c r="C441"/>
  <c r="B441"/>
  <c r="C440"/>
  <c r="B440"/>
  <c r="C439"/>
  <c r="B439"/>
  <c r="C438"/>
  <c r="B438"/>
  <c r="C437"/>
  <c r="B437"/>
  <c r="C436"/>
  <c r="B436"/>
  <c r="C435"/>
  <c r="B435"/>
  <c r="C434"/>
  <c r="B434"/>
  <c r="C433"/>
  <c r="B433"/>
  <c r="C432"/>
  <c r="B432"/>
  <c r="C431"/>
  <c r="B431"/>
  <c r="C430"/>
  <c r="B430"/>
  <c r="B429"/>
  <c r="C428"/>
  <c r="B428"/>
  <c r="C427"/>
  <c r="B427"/>
  <c r="C426"/>
  <c r="B426"/>
  <c r="C425"/>
  <c r="B425"/>
  <c r="C424"/>
  <c r="B424"/>
  <c r="C423"/>
  <c r="B423"/>
  <c r="C422"/>
  <c r="B422"/>
  <c r="C421"/>
  <c r="B421"/>
  <c r="C420"/>
  <c r="B420"/>
  <c r="C419"/>
  <c r="B419"/>
  <c r="C418"/>
  <c r="C417"/>
  <c r="B417"/>
  <c r="C416"/>
  <c r="B416"/>
  <c r="C415"/>
  <c r="B415"/>
  <c r="C414"/>
  <c r="B414"/>
  <c r="C413"/>
  <c r="B413"/>
  <c r="C412"/>
  <c r="B412"/>
  <c r="C411"/>
  <c r="B411"/>
  <c r="C410"/>
  <c r="B410"/>
  <c r="C409"/>
  <c r="B409"/>
  <c r="C408"/>
  <c r="B408"/>
  <c r="B407"/>
  <c r="C406"/>
  <c r="B406"/>
  <c r="C405"/>
  <c r="C404"/>
  <c r="B404"/>
  <c r="C403"/>
  <c r="B403"/>
  <c r="C402"/>
  <c r="B402"/>
  <c r="C401"/>
  <c r="B401"/>
  <c r="C400"/>
  <c r="B400"/>
  <c r="C399"/>
  <c r="B399"/>
  <c r="C398"/>
  <c r="B398"/>
  <c r="C397"/>
  <c r="B397"/>
  <c r="C396"/>
  <c r="B396"/>
  <c r="C395"/>
  <c r="C394"/>
  <c r="B394"/>
  <c r="C393"/>
  <c r="B393"/>
  <c r="C392"/>
  <c r="B392"/>
  <c r="C391"/>
  <c r="B391"/>
  <c r="B390"/>
  <c r="C389"/>
  <c r="B389"/>
  <c r="C388"/>
  <c r="B388"/>
  <c r="C387"/>
  <c r="C386"/>
  <c r="B386"/>
  <c r="C385"/>
  <c r="B385"/>
  <c r="C384"/>
  <c r="B384"/>
  <c r="C383"/>
  <c r="B383"/>
  <c r="C382"/>
  <c r="B382"/>
  <c r="C381"/>
  <c r="B381"/>
  <c r="C380"/>
  <c r="B380"/>
  <c r="B379"/>
  <c r="C378"/>
  <c r="B378"/>
  <c r="C377"/>
  <c r="C376"/>
  <c r="B376"/>
  <c r="C375"/>
  <c r="B375"/>
  <c r="C374"/>
  <c r="B374"/>
  <c r="C373"/>
  <c r="B373"/>
  <c r="C372"/>
  <c r="B372"/>
  <c r="C371"/>
  <c r="B371"/>
  <c r="C370"/>
  <c r="B370"/>
  <c r="C369"/>
  <c r="B369"/>
  <c r="C368"/>
  <c r="B368"/>
  <c r="C367"/>
  <c r="B367"/>
  <c r="C366"/>
  <c r="B366"/>
  <c r="C365"/>
  <c r="B365"/>
  <c r="C364"/>
  <c r="B364"/>
  <c r="C363"/>
  <c r="B363"/>
  <c r="C362"/>
  <c r="B362"/>
  <c r="C361"/>
  <c r="B361"/>
  <c r="C360"/>
  <c r="B360"/>
  <c r="B359"/>
  <c r="C358"/>
  <c r="B358"/>
  <c r="C357"/>
  <c r="B357"/>
  <c r="C356"/>
  <c r="B356"/>
  <c r="C355"/>
  <c r="B355"/>
  <c r="C354"/>
  <c r="B354"/>
  <c r="C353"/>
  <c r="B353"/>
  <c r="C352"/>
  <c r="B352"/>
  <c r="C351"/>
  <c r="B351"/>
  <c r="C350"/>
  <c r="B350"/>
  <c r="C349"/>
  <c r="B349"/>
  <c r="C348"/>
  <c r="B348"/>
  <c r="C347"/>
  <c r="B347"/>
  <c r="C346"/>
  <c r="C345"/>
  <c r="B345"/>
  <c r="C344"/>
  <c r="B344"/>
  <c r="C343"/>
  <c r="B343"/>
  <c r="C342"/>
  <c r="B342"/>
  <c r="C341"/>
  <c r="B341"/>
  <c r="C340"/>
  <c r="B340"/>
  <c r="C339"/>
  <c r="B339"/>
  <c r="C338"/>
  <c r="B338"/>
  <c r="C337"/>
  <c r="B337"/>
  <c r="C336"/>
  <c r="B336"/>
  <c r="C335"/>
  <c r="B335"/>
  <c r="C334"/>
  <c r="B334"/>
  <c r="C333"/>
  <c r="B333"/>
  <c r="C332"/>
  <c r="B332"/>
  <c r="C331"/>
  <c r="B331"/>
  <c r="C330"/>
  <c r="B330"/>
  <c r="B329"/>
  <c r="C328"/>
  <c r="B328"/>
  <c r="C327"/>
  <c r="B327"/>
  <c r="C326"/>
  <c r="B326"/>
  <c r="C325"/>
  <c r="B325"/>
  <c r="C324"/>
  <c r="B324"/>
  <c r="C323"/>
  <c r="B323"/>
  <c r="C322"/>
  <c r="B322"/>
  <c r="C321"/>
  <c r="B321"/>
  <c r="C320"/>
  <c r="B320"/>
  <c r="C319"/>
  <c r="B319"/>
  <c r="C318"/>
  <c r="B318"/>
  <c r="C317"/>
  <c r="C316"/>
  <c r="B316"/>
  <c r="C315"/>
  <c r="B315"/>
  <c r="C314"/>
  <c r="B314"/>
  <c r="C313"/>
  <c r="B313"/>
  <c r="C312"/>
  <c r="B312"/>
  <c r="C311"/>
  <c r="B311"/>
  <c r="C310"/>
  <c r="B310"/>
  <c r="C309"/>
  <c r="B309"/>
  <c r="C308"/>
  <c r="B308"/>
  <c r="C307"/>
  <c r="B307"/>
  <c r="C306"/>
  <c r="B306"/>
  <c r="C305"/>
  <c r="B305"/>
  <c r="C304"/>
  <c r="B304"/>
  <c r="C303"/>
  <c r="B303"/>
  <c r="C302"/>
  <c r="B302"/>
  <c r="C301"/>
  <c r="B301"/>
  <c r="B300"/>
  <c r="C299"/>
  <c r="B299"/>
  <c r="C298"/>
  <c r="B298"/>
  <c r="C297"/>
  <c r="B297"/>
  <c r="C296"/>
  <c r="B296"/>
  <c r="C295"/>
  <c r="B295"/>
  <c r="C294"/>
  <c r="B294"/>
  <c r="C293"/>
  <c r="B293"/>
  <c r="C292"/>
  <c r="B292"/>
  <c r="C291"/>
  <c r="B291"/>
  <c r="C290"/>
  <c r="B290"/>
  <c r="C289"/>
  <c r="B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8"/>
  <c r="C267"/>
  <c r="C266"/>
  <c r="C265"/>
  <c r="C264"/>
  <c r="C263"/>
  <c r="C262"/>
  <c r="C261"/>
  <c r="C260"/>
  <c r="C259"/>
  <c r="C258"/>
  <c r="C257"/>
  <c r="C256"/>
  <c r="C255"/>
  <c r="B255"/>
  <c r="C254"/>
  <c r="B254"/>
  <c r="C253"/>
  <c r="B253"/>
  <c r="C252"/>
  <c r="B252"/>
  <c r="C251"/>
  <c r="B251"/>
  <c r="C250"/>
  <c r="B250"/>
  <c r="C249"/>
  <c r="B249"/>
  <c r="C248"/>
  <c r="B248"/>
  <c r="C247"/>
  <c r="B247"/>
  <c r="C246"/>
  <c r="B246"/>
  <c r="C245"/>
  <c r="B245"/>
  <c r="C244"/>
  <c r="B244"/>
  <c r="C243"/>
  <c r="B243"/>
  <c r="C242"/>
  <c r="B242"/>
  <c r="B241"/>
  <c r="C240"/>
  <c r="B240"/>
  <c r="C239"/>
  <c r="B239"/>
  <c r="C238"/>
  <c r="B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C228"/>
  <c r="B228"/>
  <c r="C227"/>
  <c r="B227"/>
  <c r="C226"/>
  <c r="B226"/>
  <c r="C225"/>
  <c r="B225"/>
  <c r="C224"/>
  <c r="B224"/>
  <c r="C223"/>
  <c r="B223"/>
  <c r="C222"/>
  <c r="B222"/>
  <c r="C221"/>
  <c r="B221"/>
  <c r="C220"/>
  <c r="B220"/>
  <c r="C219"/>
  <c r="B219"/>
  <c r="C218"/>
  <c r="B218"/>
  <c r="C217"/>
  <c r="B217"/>
  <c r="C216"/>
  <c r="B216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C205"/>
  <c r="B205"/>
  <c r="C204"/>
  <c r="B204"/>
  <c r="C203"/>
  <c r="B203"/>
  <c r="C202"/>
  <c r="B202"/>
  <c r="C201"/>
  <c r="B201"/>
  <c r="C200"/>
  <c r="B200"/>
  <c r="C199"/>
  <c r="B199"/>
  <c r="C198"/>
  <c r="B198"/>
  <c r="C197"/>
  <c r="B197"/>
  <c r="C196"/>
  <c r="B196"/>
  <c r="C195"/>
  <c r="B195"/>
  <c r="B194"/>
  <c r="C193"/>
  <c r="B193"/>
  <c r="C192"/>
  <c r="B192"/>
  <c r="C191"/>
  <c r="B191"/>
  <c r="C190"/>
  <c r="B190"/>
  <c r="C189"/>
  <c r="B189"/>
  <c r="C188"/>
  <c r="B188"/>
  <c r="C187"/>
  <c r="B187"/>
  <c r="C186"/>
  <c r="B186"/>
  <c r="C185"/>
  <c r="C184"/>
  <c r="B184"/>
  <c r="C183"/>
  <c r="B183"/>
  <c r="C182"/>
  <c r="B182"/>
  <c r="C181"/>
  <c r="B181"/>
  <c r="C180"/>
  <c r="B180"/>
  <c r="C179"/>
  <c r="B179"/>
  <c r="C178"/>
  <c r="B178"/>
  <c r="C177"/>
  <c r="B177"/>
  <c r="C176"/>
  <c r="B176"/>
  <c r="C175"/>
  <c r="B175"/>
  <c r="C174"/>
  <c r="B174"/>
  <c r="C173"/>
  <c r="B173"/>
  <c r="C172"/>
  <c r="B172"/>
  <c r="C171"/>
  <c r="B171"/>
  <c r="C170"/>
  <c r="B170"/>
  <c r="C169"/>
  <c r="B169"/>
  <c r="C168"/>
  <c r="B168"/>
  <c r="B167"/>
  <c r="C166"/>
  <c r="B166"/>
  <c r="C165"/>
  <c r="B165"/>
  <c r="C164"/>
  <c r="B164"/>
  <c r="C163"/>
  <c r="B163"/>
  <c r="C162"/>
  <c r="B162"/>
  <c r="C161"/>
  <c r="B161"/>
  <c r="C160"/>
  <c r="B160"/>
  <c r="C159"/>
  <c r="B159"/>
  <c r="C158"/>
  <c r="B158"/>
  <c r="C157"/>
  <c r="B157"/>
  <c r="C156"/>
  <c r="B156"/>
  <c r="C155"/>
  <c r="B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6"/>
  <c r="C135"/>
  <c r="C134"/>
  <c r="C133"/>
  <c r="C132"/>
  <c r="C131"/>
  <c r="C130"/>
  <c r="C129"/>
  <c r="C128"/>
  <c r="C127"/>
  <c r="C126"/>
  <c r="C125"/>
  <c r="C124"/>
  <c r="C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B113"/>
  <c r="C112"/>
  <c r="B112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C101"/>
  <c r="B101"/>
  <c r="C100"/>
  <c r="B100"/>
  <c r="C99"/>
  <c r="B99"/>
  <c r="C98"/>
  <c r="B98"/>
  <c r="C97"/>
  <c r="B97"/>
  <c r="C96"/>
  <c r="B96"/>
  <c r="C95"/>
  <c r="B95"/>
  <c r="C94"/>
  <c r="B94"/>
  <c r="C93"/>
  <c r="B93"/>
  <c r="C92"/>
  <c r="B92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C81"/>
  <c r="B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B70"/>
  <c r="C69"/>
  <c r="B69"/>
  <c r="C68"/>
  <c r="B68"/>
  <c r="C67"/>
  <c r="B67"/>
  <c r="C66"/>
  <c r="B66"/>
  <c r="C65"/>
  <c r="B65"/>
  <c r="C64"/>
  <c r="B64"/>
  <c r="C63"/>
  <c r="B63"/>
  <c r="C62"/>
  <c r="B62"/>
  <c r="C61"/>
  <c r="B61"/>
  <c r="C60"/>
  <c r="C59"/>
  <c r="B59"/>
  <c r="C58"/>
  <c r="B58"/>
  <c r="C57"/>
  <c r="B57"/>
  <c r="C56"/>
  <c r="B56"/>
  <c r="C55"/>
  <c r="B55"/>
  <c r="C54"/>
  <c r="B54"/>
  <c r="C53"/>
  <c r="B53"/>
  <c r="B52"/>
  <c r="C51"/>
  <c r="B51"/>
  <c r="C50"/>
  <c r="B50"/>
  <c r="C49"/>
  <c r="B49"/>
  <c r="C48"/>
  <c r="B48"/>
  <c r="C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C37"/>
  <c r="B37"/>
  <c r="C36"/>
  <c r="B36"/>
  <c r="B35"/>
  <c r="C34"/>
  <c r="B34"/>
  <c r="C33"/>
  <c r="B33"/>
  <c r="C32"/>
  <c r="B32"/>
  <c r="C31"/>
  <c r="B31"/>
  <c r="C30"/>
  <c r="B30"/>
  <c r="C29"/>
  <c r="B29"/>
  <c r="C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<sst xmlns="http://schemas.openxmlformats.org/spreadsheetml/2006/main" count="11" uniqueCount="11">
  <si>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</si>
  <si>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</si>
  <si>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</si>
  <si>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</si>
  <si>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</si>
  <si>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</si>
  <si>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</si>
  <si>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</si>
  <si>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</si>
  <si>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MATRÍCULAS CONSULARES EXPEDIDAS EN EL ESTADO DE INDIANA EE.UU. POR ESTADOS DE LA REPUBLICA MEXICANA Y NIVEL DE EDUCACIÓN, DURANTE EL 2010</t>
  </si>
  <si>
    <t>TOTAL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</si>
</sst>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22" fillId="33" borderId="14" xfId="0" applyFont="1" applyFill="1" applyBorder="1" applyAlignment="1">
      <alignment wrapText="1"/>
    </xf>
    <xf numFmtId="0" fontId="22" fillId="33" borderId="14" xfId="0" applyFont="1" applyFill="1" applyBorder="1" applyAlignment="1">
      <alignment horizontal="right" wrapText="1"/>
    </xf>
    <xf numFmtId="3" fontId="22" fillId="33" borderId="15" xfId="0" applyNumberFormat="1" applyFont="1" applyFill="1" applyBorder="1" applyAlignment="1">
      <alignment horizontal="right" wrapText="1"/>
    </xf>
    <xf numFmtId="10" fontId="22" fillId="33" borderId="15" xfId="0" applyNumberFormat="1" applyFont="1" applyFill="1" applyBorder="1" applyAlignment="1">
      <alignment horizontal="right" wrapText="1"/>
    </xf>
    <xf numFmtId="0" fontId="23" fillId="0" borderId="0" xfId="0" applyFont="1"/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0" y="28575"/>
          <a:ext cx="10953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474"/>
  <sheetViews>
    <sheetView showGridLines="0" tabSelected="1" topLeftCell="A440" workbookViewId="0">
      <selection activeCell="C468" sqref="C468"/>
    </sheetView>
  </sheetViews>
  <sheetFormatPr baseColWidth="10" defaultRowHeight="15"/>
  <cols>
    <col min="2" max="2" width="26.85546875" customWidth="1"/>
    <col min="3" max="3" width="29.140625" customWidth="1"/>
    <col min="4" max="4" width="11.7109375" customWidth="1"/>
    <col min="5" max="5" width="13.42578125" customWidth="1"/>
  </cols>
  <sheetData>
    <row r="6" spans="1:5">
      <c r="B6" s="17" t="s">
        <v>9</v>
      </c>
      <c r="C6" s="17"/>
      <c r="D6" s="17"/>
      <c r="E6" s="17"/>
    </row>
    <row r="7" spans="1:5" ht="16.5">
      <c r="A7" s="4"/>
      <c r="B7" s="17"/>
      <c r="C7" s="17"/>
      <c r="D7" s="17"/>
      <c r="E7" s="17"/>
    </row>
    <row r="9" spans="1:5" ht="33">
      <c r="B9" s="5" t="s">
        <v>0</v>
      </c>
      <c r="C9" s="5" t="s">
        <v>1</v>
      </c>
      <c r="D9" s="5" t="s">
        <v>2</v>
      </c>
      <c r="E9" s="5" t="s">
        <v>3</v>
      </c>
    </row>
    <row r="10" spans="1:5">
      <c r="B10" s="14" t="str">
        <f>"SIN ESTUDIOS"</f>
        <v>SIN ESTUDIOS</v>
      </c>
      <c r="C10" s="1" t="str">
        <f>"AGUASCALIENTES"</f>
        <v>AGUASCALIENTES</v>
      </c>
      <c r="D10" s="2">
        <v>2</v>
      </c>
      <c r="E10" s="3">
        <v>2.0000000000000001E-4</v>
      </c>
    </row>
    <row r="11" spans="1:5">
      <c r="B11" s="15" t="str">
        <f t="shared" ref="B11:B27" si="0">"11SIN ESTUDIOS"</f>
        <v>11SIN ESTUDIOS</v>
      </c>
      <c r="C11" s="1" t="str">
        <f>"CHIAPAS"</f>
        <v>CHIAPAS</v>
      </c>
      <c r="D11" s="2">
        <v>4</v>
      </c>
      <c r="E11" s="3">
        <v>2.9999999999999997E-4</v>
      </c>
    </row>
    <row r="12" spans="1:5">
      <c r="B12" s="15" t="str">
        <f t="shared" si="0"/>
        <v>11SIN ESTUDIOS</v>
      </c>
      <c r="C12" s="1" t="str">
        <f>"DISTRITO FEDERAL"</f>
        <v>DISTRITO FEDERAL</v>
      </c>
      <c r="D12" s="2">
        <v>2</v>
      </c>
      <c r="E12" s="3">
        <v>2.0000000000000001E-4</v>
      </c>
    </row>
    <row r="13" spans="1:5">
      <c r="B13" s="15" t="str">
        <f t="shared" si="0"/>
        <v>11SIN ESTUDIOS</v>
      </c>
      <c r="C13" s="1" t="str">
        <f>"DURANGO"</f>
        <v>DURANGO</v>
      </c>
      <c r="D13" s="2">
        <v>2</v>
      </c>
      <c r="E13" s="3">
        <v>2.0000000000000001E-4</v>
      </c>
    </row>
    <row r="14" spans="1:5">
      <c r="B14" s="15" t="str">
        <f t="shared" si="0"/>
        <v>11SIN ESTUDIOS</v>
      </c>
      <c r="C14" s="1" t="str">
        <f>"GUANAJUATO"</f>
        <v>GUANAJUATO</v>
      </c>
      <c r="D14" s="2">
        <v>19</v>
      </c>
      <c r="E14" s="3">
        <v>1.5E-3</v>
      </c>
    </row>
    <row r="15" spans="1:5">
      <c r="B15" s="15" t="str">
        <f t="shared" si="0"/>
        <v>11SIN ESTUDIOS</v>
      </c>
      <c r="C15" s="1" t="str">
        <f>"GUERRERO"</f>
        <v>GUERRERO</v>
      </c>
      <c r="D15" s="2">
        <v>6</v>
      </c>
      <c r="E15" s="3">
        <v>5.0000000000000001E-4</v>
      </c>
    </row>
    <row r="16" spans="1:5">
      <c r="B16" s="15" t="str">
        <f t="shared" si="0"/>
        <v>11SIN ESTUDIOS</v>
      </c>
      <c r="C16" s="1" t="str">
        <f>"JALISCO"</f>
        <v>JALISCO</v>
      </c>
      <c r="D16" s="2">
        <v>9</v>
      </c>
      <c r="E16" s="3">
        <v>6.9999999999999999E-4</v>
      </c>
    </row>
    <row r="17" spans="2:5">
      <c r="B17" s="15" t="str">
        <f t="shared" si="0"/>
        <v>11SIN ESTUDIOS</v>
      </c>
      <c r="C17" s="1" t="str">
        <f>"ESTADO DE MEXICO"</f>
        <v>ESTADO DE MEXICO</v>
      </c>
      <c r="D17" s="2">
        <v>16</v>
      </c>
      <c r="E17" s="3">
        <v>1.2999999999999999E-3</v>
      </c>
    </row>
    <row r="18" spans="2:5">
      <c r="B18" s="15" t="str">
        <f t="shared" si="0"/>
        <v>11SIN ESTUDIOS</v>
      </c>
      <c r="C18" s="1" t="str">
        <f>"MICHOACAN DE OCAMPO"</f>
        <v>MICHOACAN DE OCAMPO</v>
      </c>
      <c r="D18" s="2">
        <v>17</v>
      </c>
      <c r="E18" s="3">
        <v>1.4E-3</v>
      </c>
    </row>
    <row r="19" spans="2:5">
      <c r="B19" s="15" t="str">
        <f t="shared" si="0"/>
        <v>11SIN ESTUDIOS</v>
      </c>
      <c r="C19" s="1" t="str">
        <f>"MORELOS"</f>
        <v>MORELOS</v>
      </c>
      <c r="D19" s="2">
        <v>3</v>
      </c>
      <c r="E19" s="3">
        <v>2.0000000000000001E-4</v>
      </c>
    </row>
    <row r="20" spans="2:5">
      <c r="B20" s="15" t="str">
        <f t="shared" si="0"/>
        <v>11SIN ESTUDIOS</v>
      </c>
      <c r="C20" s="1" t="str">
        <f>"OAXACA"</f>
        <v>OAXACA</v>
      </c>
      <c r="D20" s="2">
        <v>11</v>
      </c>
      <c r="E20" s="3">
        <v>8.9999999999999998E-4</v>
      </c>
    </row>
    <row r="21" spans="2:5">
      <c r="B21" s="15" t="str">
        <f t="shared" si="0"/>
        <v>11SIN ESTUDIOS</v>
      </c>
      <c r="C21" s="1" t="str">
        <f>"PUEBLA"</f>
        <v>PUEBLA</v>
      </c>
      <c r="D21" s="2">
        <v>9</v>
      </c>
      <c r="E21" s="3">
        <v>6.9999999999999999E-4</v>
      </c>
    </row>
    <row r="22" spans="2:5">
      <c r="B22" s="15" t="str">
        <f t="shared" si="0"/>
        <v>11SIN ESTUDIOS</v>
      </c>
      <c r="C22" s="1" t="str">
        <f>"QUERETARO DE ARTEAGA"</f>
        <v>QUERETARO DE ARTEAGA</v>
      </c>
      <c r="D22" s="2">
        <v>1</v>
      </c>
      <c r="E22" s="3">
        <v>1E-4</v>
      </c>
    </row>
    <row r="23" spans="2:5">
      <c r="B23" s="15" t="str">
        <f t="shared" si="0"/>
        <v>11SIN ESTUDIOS</v>
      </c>
      <c r="C23" s="1" t="str">
        <f>"SAN LUIS POTOSI"</f>
        <v>SAN LUIS POTOSI</v>
      </c>
      <c r="D23" s="2">
        <v>3</v>
      </c>
      <c r="E23" s="3">
        <v>2.0000000000000001E-4</v>
      </c>
    </row>
    <row r="24" spans="2:5">
      <c r="B24" s="15" t="str">
        <f t="shared" si="0"/>
        <v>11SIN ESTUDIOS</v>
      </c>
      <c r="C24" s="1" t="str">
        <f>"TAMAULIPAS"</f>
        <v>TAMAULIPAS</v>
      </c>
      <c r="D24" s="2">
        <v>1</v>
      </c>
      <c r="E24" s="3">
        <v>1E-4</v>
      </c>
    </row>
    <row r="25" spans="2:5" ht="30">
      <c r="B25" s="15" t="str">
        <f t="shared" si="0"/>
        <v>11SIN ESTUDIOS</v>
      </c>
      <c r="C25" s="1" t="str">
        <f>"VERACRUZ DE IGNACIO DE LA LLAVE"</f>
        <v>VERACRUZ DE IGNACIO DE LA LLAVE</v>
      </c>
      <c r="D25" s="2">
        <v>11</v>
      </c>
      <c r="E25" s="3">
        <v>8.9999999999999998E-4</v>
      </c>
    </row>
    <row r="26" spans="2:5">
      <c r="B26" s="15" t="str">
        <f t="shared" si="0"/>
        <v>11SIN ESTUDIOS</v>
      </c>
      <c r="C26" s="1" t="str">
        <f>"ZACATECAS"</f>
        <v>ZACATECAS</v>
      </c>
      <c r="D26" s="2">
        <v>4</v>
      </c>
      <c r="E26" s="3">
        <v>2.9999999999999997E-4</v>
      </c>
    </row>
    <row r="27" spans="2:5" ht="16.5">
      <c r="B27" s="15" t="str">
        <f t="shared" si="0"/>
        <v>11SIN ESTUDIOS</v>
      </c>
      <c r="C27" s="6" t="str">
        <f>"Total"</f>
        <v>Total</v>
      </c>
      <c r="D27" s="7">
        <v>120</v>
      </c>
      <c r="E27" s="8">
        <v>9.5999999999999992E-3</v>
      </c>
    </row>
    <row r="28" spans="2:5">
      <c r="B28" s="14" t="str">
        <f>"1o. PRIMARIA"</f>
        <v>1o. PRIMARIA</v>
      </c>
      <c r="C28" s="1" t="str">
        <f>"AGUASCALIENTES"</f>
        <v>AGUASCALIENTES</v>
      </c>
      <c r="D28" s="2">
        <v>2</v>
      </c>
      <c r="E28" s="3">
        <v>2.0000000000000001E-4</v>
      </c>
    </row>
    <row r="29" spans="2:5">
      <c r="B29" s="15" t="str">
        <f t="shared" ref="B29:B46" si="1">"211o. PRIMARIA"</f>
        <v>211o. PRIMARIA</v>
      </c>
      <c r="C29" s="1" t="str">
        <f>"CHIAPAS"</f>
        <v>CHIAPAS</v>
      </c>
      <c r="D29" s="2">
        <v>2</v>
      </c>
      <c r="E29" s="3">
        <v>2.0000000000000001E-4</v>
      </c>
    </row>
    <row r="30" spans="2:5">
      <c r="B30" s="15" t="str">
        <f t="shared" si="1"/>
        <v>211o. PRIMARIA</v>
      </c>
      <c r="C30" s="1" t="str">
        <f>"COAHUILA DE ZARAGOZA"</f>
        <v>COAHUILA DE ZARAGOZA</v>
      </c>
      <c r="D30" s="2">
        <v>2</v>
      </c>
      <c r="E30" s="3">
        <v>2.0000000000000001E-4</v>
      </c>
    </row>
    <row r="31" spans="2:5">
      <c r="B31" s="15" t="str">
        <f t="shared" si="1"/>
        <v>211o. PRIMARIA</v>
      </c>
      <c r="C31" s="1" t="str">
        <f>"DISTRITO FEDERAL"</f>
        <v>DISTRITO FEDERAL</v>
      </c>
      <c r="D31" s="2">
        <v>1</v>
      </c>
      <c r="E31" s="3">
        <v>1E-4</v>
      </c>
    </row>
    <row r="32" spans="2:5">
      <c r="B32" s="15" t="str">
        <f t="shared" si="1"/>
        <v>211o. PRIMARIA</v>
      </c>
      <c r="C32" s="1" t="str">
        <f>"GUANAJUATO"</f>
        <v>GUANAJUATO</v>
      </c>
      <c r="D32" s="2">
        <v>5</v>
      </c>
      <c r="E32" s="3">
        <v>4.0000000000000002E-4</v>
      </c>
    </row>
    <row r="33" spans="2:5">
      <c r="B33" s="15" t="str">
        <f t="shared" si="1"/>
        <v>211o. PRIMARIA</v>
      </c>
      <c r="C33" s="1" t="str">
        <f>"GUERRERO"</f>
        <v>GUERRERO</v>
      </c>
      <c r="D33" s="2">
        <v>2</v>
      </c>
      <c r="E33" s="3">
        <v>2.0000000000000001E-4</v>
      </c>
    </row>
    <row r="34" spans="2:5">
      <c r="B34" s="15" t="str">
        <f t="shared" si="1"/>
        <v>211o. PRIMARIA</v>
      </c>
      <c r="C34" s="1" t="str">
        <f>"JALISCO"</f>
        <v>JALISCO</v>
      </c>
      <c r="D34" s="2">
        <v>5</v>
      </c>
      <c r="E34" s="3">
        <v>4.0000000000000002E-4</v>
      </c>
    </row>
    <row r="35" spans="2:5">
      <c r="B35" s="15" t="str">
        <f t="shared" si="1"/>
        <v>211o. PRIMARIA</v>
      </c>
      <c r="C35" s="1" t="str">
        <f>"ESTADO DE MEXICO"</f>
        <v>ESTADO DE MEXICO</v>
      </c>
      <c r="D35" s="2">
        <v>11</v>
      </c>
      <c r="E35" s="3">
        <v>8.9999999999999998E-4</v>
      </c>
    </row>
    <row r="36" spans="2:5">
      <c r="B36" s="15" t="str">
        <f t="shared" si="1"/>
        <v>211o. PRIMARIA</v>
      </c>
      <c r="C36" s="1" t="str">
        <f>"MICHOACAN DE OCAMPO"</f>
        <v>MICHOACAN DE OCAMPO</v>
      </c>
      <c r="D36" s="2">
        <v>13</v>
      </c>
      <c r="E36" s="3">
        <v>1E-3</v>
      </c>
    </row>
    <row r="37" spans="2:5">
      <c r="B37" s="15" t="str">
        <f t="shared" si="1"/>
        <v>211o. PRIMARIA</v>
      </c>
      <c r="C37" s="1" t="str">
        <f>"MORELOS"</f>
        <v>MORELOS</v>
      </c>
      <c r="D37" s="2">
        <v>4</v>
      </c>
      <c r="E37" s="3">
        <v>2.9999999999999997E-4</v>
      </c>
    </row>
    <row r="38" spans="2:5">
      <c r="B38" s="15" t="str">
        <f t="shared" si="1"/>
        <v>211o. PRIMARIA</v>
      </c>
      <c r="C38" s="1" t="str">
        <f>"OAXACA"</f>
        <v>OAXACA</v>
      </c>
      <c r="D38" s="2">
        <v>7</v>
      </c>
      <c r="E38" s="3">
        <v>5.9999999999999995E-4</v>
      </c>
    </row>
    <row r="39" spans="2:5">
      <c r="B39" s="15" t="str">
        <f t="shared" si="1"/>
        <v>211o. PRIMARIA</v>
      </c>
      <c r="C39" s="1" t="str">
        <f>"PUEBLA"</f>
        <v>PUEBLA</v>
      </c>
      <c r="D39" s="2">
        <v>19</v>
      </c>
      <c r="E39" s="3">
        <v>1.5E-3</v>
      </c>
    </row>
    <row r="40" spans="2:5">
      <c r="B40" s="15" t="str">
        <f t="shared" si="1"/>
        <v>211o. PRIMARIA</v>
      </c>
      <c r="C40" s="1" t="str">
        <f>"SAN LUIS POTOSI"</f>
        <v>SAN LUIS POTOSI</v>
      </c>
      <c r="D40" s="2">
        <v>2</v>
      </c>
      <c r="E40" s="3">
        <v>2.0000000000000001E-4</v>
      </c>
    </row>
    <row r="41" spans="2:5">
      <c r="B41" s="15" t="str">
        <f t="shared" si="1"/>
        <v>211o. PRIMARIA</v>
      </c>
      <c r="C41" s="1" t="str">
        <f>"TABASCO"</f>
        <v>TABASCO</v>
      </c>
      <c r="D41" s="2">
        <v>1</v>
      </c>
      <c r="E41" s="3">
        <v>1E-4</v>
      </c>
    </row>
    <row r="42" spans="2:5">
      <c r="B42" s="15" t="str">
        <f t="shared" si="1"/>
        <v>211o. PRIMARIA</v>
      </c>
      <c r="C42" s="1" t="str">
        <f>"TAMAULIPAS"</f>
        <v>TAMAULIPAS</v>
      </c>
      <c r="D42" s="2">
        <v>1</v>
      </c>
      <c r="E42" s="3">
        <v>1E-4</v>
      </c>
    </row>
    <row r="43" spans="2:5">
      <c r="B43" s="15" t="str">
        <f t="shared" si="1"/>
        <v>211o. PRIMARIA</v>
      </c>
      <c r="C43" s="1" t="str">
        <f>"TLAXCALA"</f>
        <v>TLAXCALA</v>
      </c>
      <c r="D43" s="2">
        <v>1</v>
      </c>
      <c r="E43" s="3">
        <v>1E-4</v>
      </c>
    </row>
    <row r="44" spans="2:5" ht="30">
      <c r="B44" s="15" t="str">
        <f t="shared" si="1"/>
        <v>211o. PRIMARIA</v>
      </c>
      <c r="C44" s="1" t="str">
        <f>"VERACRUZ DE IGNACIO DE LA LLAVE"</f>
        <v>VERACRUZ DE IGNACIO DE LA LLAVE</v>
      </c>
      <c r="D44" s="2">
        <v>9</v>
      </c>
      <c r="E44" s="3">
        <v>6.9999999999999999E-4</v>
      </c>
    </row>
    <row r="45" spans="2:5">
      <c r="B45" s="15" t="str">
        <f t="shared" si="1"/>
        <v>211o. PRIMARIA</v>
      </c>
      <c r="C45" s="1" t="str">
        <f>"ZACATECAS"</f>
        <v>ZACATECAS</v>
      </c>
      <c r="D45" s="2">
        <v>6</v>
      </c>
      <c r="E45" s="3">
        <v>5.0000000000000001E-4</v>
      </c>
    </row>
    <row r="46" spans="2:5" ht="16.5">
      <c r="B46" s="15" t="str">
        <f t="shared" si="1"/>
        <v>211o. PRIMARIA</v>
      </c>
      <c r="C46" s="6" t="str">
        <f>"Total"</f>
        <v>Total</v>
      </c>
      <c r="D46" s="7">
        <v>93</v>
      </c>
      <c r="E46" s="8">
        <v>7.4999999999999997E-3</v>
      </c>
    </row>
    <row r="47" spans="2:5">
      <c r="B47" s="14" t="str">
        <f>"2o. PRIMARIA"</f>
        <v>2o. PRIMARIA</v>
      </c>
      <c r="C47" s="1" t="str">
        <f>"CHIAPAS"</f>
        <v>CHIAPAS</v>
      </c>
      <c r="D47" s="2">
        <v>2</v>
      </c>
      <c r="E47" s="3">
        <v>2.0000000000000001E-4</v>
      </c>
    </row>
    <row r="48" spans="2:5">
      <c r="B48" s="15" t="str">
        <f t="shared" ref="B48:B59" si="2">"222o. PRIMARIA"</f>
        <v>222o. PRIMARIA</v>
      </c>
      <c r="C48" s="1" t="str">
        <f>"DISTRITO FEDERAL"</f>
        <v>DISTRITO FEDERAL</v>
      </c>
      <c r="D48" s="2">
        <v>2</v>
      </c>
      <c r="E48" s="3">
        <v>2.0000000000000001E-4</v>
      </c>
    </row>
    <row r="49" spans="2:5">
      <c r="B49" s="15" t="str">
        <f t="shared" si="2"/>
        <v>222o. PRIMARIA</v>
      </c>
      <c r="C49" s="1" t="str">
        <f>"GUANAJUATO"</f>
        <v>GUANAJUATO</v>
      </c>
      <c r="D49" s="2">
        <v>8</v>
      </c>
      <c r="E49" s="3">
        <v>5.9999999999999995E-4</v>
      </c>
    </row>
    <row r="50" spans="2:5">
      <c r="B50" s="15" t="str">
        <f t="shared" si="2"/>
        <v>222o. PRIMARIA</v>
      </c>
      <c r="C50" s="1" t="str">
        <f>"GUERRERO"</f>
        <v>GUERRERO</v>
      </c>
      <c r="D50" s="2">
        <v>4</v>
      </c>
      <c r="E50" s="3">
        <v>2.9999999999999997E-4</v>
      </c>
    </row>
    <row r="51" spans="2:5">
      <c r="B51" s="15" t="str">
        <f t="shared" si="2"/>
        <v>222o. PRIMARIA</v>
      </c>
      <c r="C51" s="1" t="str">
        <f>"JALISCO"</f>
        <v>JALISCO</v>
      </c>
      <c r="D51" s="2">
        <v>4</v>
      </c>
      <c r="E51" s="3">
        <v>2.9999999999999997E-4</v>
      </c>
    </row>
    <row r="52" spans="2:5">
      <c r="B52" s="15" t="str">
        <f t="shared" si="2"/>
        <v>222o. PRIMARIA</v>
      </c>
      <c r="C52" s="1" t="str">
        <f>"ESTADO DE MEXICO"</f>
        <v>ESTADO DE MEXICO</v>
      </c>
      <c r="D52" s="2">
        <v>6</v>
      </c>
      <c r="E52" s="3">
        <v>5.0000000000000001E-4</v>
      </c>
    </row>
    <row r="53" spans="2:5">
      <c r="B53" s="15" t="str">
        <f t="shared" si="2"/>
        <v>222o. PRIMARIA</v>
      </c>
      <c r="C53" s="1" t="str">
        <f>"MICHOACAN DE OCAMPO"</f>
        <v>MICHOACAN DE OCAMPO</v>
      </c>
      <c r="D53" s="2">
        <v>6</v>
      </c>
      <c r="E53" s="3">
        <v>5.0000000000000001E-4</v>
      </c>
    </row>
    <row r="54" spans="2:5">
      <c r="B54" s="15" t="str">
        <f t="shared" si="2"/>
        <v>222o. PRIMARIA</v>
      </c>
      <c r="C54" s="1" t="str">
        <f>"MORELOS"</f>
        <v>MORELOS</v>
      </c>
      <c r="D54" s="2">
        <v>4</v>
      </c>
      <c r="E54" s="3">
        <v>2.9999999999999997E-4</v>
      </c>
    </row>
    <row r="55" spans="2:5">
      <c r="B55" s="15" t="str">
        <f t="shared" si="2"/>
        <v>222o. PRIMARIA</v>
      </c>
      <c r="C55" s="1" t="str">
        <f>"OAXACA"</f>
        <v>OAXACA</v>
      </c>
      <c r="D55" s="2">
        <v>3</v>
      </c>
      <c r="E55" s="3">
        <v>2.0000000000000001E-4</v>
      </c>
    </row>
    <row r="56" spans="2:5">
      <c r="B56" s="15" t="str">
        <f t="shared" si="2"/>
        <v>222o. PRIMARIA</v>
      </c>
      <c r="C56" s="1" t="str">
        <f>"PUEBLA"</f>
        <v>PUEBLA</v>
      </c>
      <c r="D56" s="2">
        <v>5</v>
      </c>
      <c r="E56" s="3">
        <v>4.0000000000000002E-4</v>
      </c>
    </row>
    <row r="57" spans="2:5" ht="30">
      <c r="B57" s="15" t="str">
        <f t="shared" si="2"/>
        <v>222o. PRIMARIA</v>
      </c>
      <c r="C57" s="1" t="str">
        <f>"VERACRUZ DE IGNACIO DE LA LLAVE"</f>
        <v>VERACRUZ DE IGNACIO DE LA LLAVE</v>
      </c>
      <c r="D57" s="2">
        <v>8</v>
      </c>
      <c r="E57" s="3">
        <v>5.9999999999999995E-4</v>
      </c>
    </row>
    <row r="58" spans="2:5">
      <c r="B58" s="15" t="str">
        <f t="shared" si="2"/>
        <v>222o. PRIMARIA</v>
      </c>
      <c r="C58" s="1" t="str">
        <f>"ZACATECAS"</f>
        <v>ZACATECAS</v>
      </c>
      <c r="D58" s="2">
        <v>1</v>
      </c>
      <c r="E58" s="3">
        <v>1E-4</v>
      </c>
    </row>
    <row r="59" spans="2:5" ht="16.5">
      <c r="B59" s="15" t="str">
        <f t="shared" si="2"/>
        <v>222o. PRIMARIA</v>
      </c>
      <c r="C59" s="6" t="str">
        <f>"Total"</f>
        <v>Total</v>
      </c>
      <c r="D59" s="7">
        <v>53</v>
      </c>
      <c r="E59" s="8">
        <v>4.3E-3</v>
      </c>
    </row>
    <row r="60" spans="2:5">
      <c r="B60" s="14" t="str">
        <f>"3o. PRIMARIA"</f>
        <v>3o. PRIMARIA</v>
      </c>
      <c r="C60" s="1" t="str">
        <f>"AGUASCALIENTES"</f>
        <v>AGUASCALIENTES</v>
      </c>
      <c r="D60" s="2">
        <v>1</v>
      </c>
      <c r="E60" s="3">
        <v>1E-4</v>
      </c>
    </row>
    <row r="61" spans="2:5">
      <c r="B61" s="15" t="str">
        <f t="shared" ref="B61:B81" si="3">"233o. PRIMARIA"</f>
        <v>233o. PRIMARIA</v>
      </c>
      <c r="C61" s="1" t="str">
        <f>"CHIAPAS"</f>
        <v>CHIAPAS</v>
      </c>
      <c r="D61" s="2">
        <v>2</v>
      </c>
      <c r="E61" s="3">
        <v>2.0000000000000001E-4</v>
      </c>
    </row>
    <row r="62" spans="2:5">
      <c r="B62" s="15" t="str">
        <f t="shared" si="3"/>
        <v>233o. PRIMARIA</v>
      </c>
      <c r="C62" s="1" t="str">
        <f>"CHIHUAHUA"</f>
        <v>CHIHUAHUA</v>
      </c>
      <c r="D62" s="2">
        <v>1</v>
      </c>
      <c r="E62" s="3">
        <v>1E-4</v>
      </c>
    </row>
    <row r="63" spans="2:5">
      <c r="B63" s="15" t="str">
        <f t="shared" si="3"/>
        <v>233o. PRIMARIA</v>
      </c>
      <c r="C63" s="1" t="str">
        <f>"COLIMA"</f>
        <v>COLIMA</v>
      </c>
      <c r="D63" s="2">
        <v>1</v>
      </c>
      <c r="E63" s="3">
        <v>1E-4</v>
      </c>
    </row>
    <row r="64" spans="2:5">
      <c r="B64" s="15" t="str">
        <f t="shared" si="3"/>
        <v>233o. PRIMARIA</v>
      </c>
      <c r="C64" s="1" t="str">
        <f>"DISTRITO FEDERAL"</f>
        <v>DISTRITO FEDERAL</v>
      </c>
      <c r="D64" s="2">
        <v>2</v>
      </c>
      <c r="E64" s="3">
        <v>2.0000000000000001E-4</v>
      </c>
    </row>
    <row r="65" spans="2:5">
      <c r="B65" s="15" t="str">
        <f t="shared" si="3"/>
        <v>233o. PRIMARIA</v>
      </c>
      <c r="C65" s="1" t="str">
        <f>"DURANGO"</f>
        <v>DURANGO</v>
      </c>
      <c r="D65" s="2">
        <v>2</v>
      </c>
      <c r="E65" s="3">
        <v>2.0000000000000001E-4</v>
      </c>
    </row>
    <row r="66" spans="2:5">
      <c r="B66" s="15" t="str">
        <f t="shared" si="3"/>
        <v>233o. PRIMARIA</v>
      </c>
      <c r="C66" s="1" t="str">
        <f>"GUANAJUATO"</f>
        <v>GUANAJUATO</v>
      </c>
      <c r="D66" s="2">
        <v>11</v>
      </c>
      <c r="E66" s="3">
        <v>8.9999999999999998E-4</v>
      </c>
    </row>
    <row r="67" spans="2:5">
      <c r="B67" s="15" t="str">
        <f t="shared" si="3"/>
        <v>233o. PRIMARIA</v>
      </c>
      <c r="C67" s="1" t="str">
        <f>"GUERRERO"</f>
        <v>GUERRERO</v>
      </c>
      <c r="D67" s="2">
        <v>3</v>
      </c>
      <c r="E67" s="3">
        <v>2.0000000000000001E-4</v>
      </c>
    </row>
    <row r="68" spans="2:5">
      <c r="B68" s="15" t="str">
        <f t="shared" si="3"/>
        <v>233o. PRIMARIA</v>
      </c>
      <c r="C68" s="1" t="str">
        <f>"HIDALGO"</f>
        <v>HIDALGO</v>
      </c>
      <c r="D68" s="2">
        <v>4</v>
      </c>
      <c r="E68" s="3">
        <v>2.9999999999999997E-4</v>
      </c>
    </row>
    <row r="69" spans="2:5">
      <c r="B69" s="15" t="str">
        <f t="shared" si="3"/>
        <v>233o. PRIMARIA</v>
      </c>
      <c r="C69" s="1" t="str">
        <f>"JALISCO"</f>
        <v>JALISCO</v>
      </c>
      <c r="D69" s="2">
        <v>7</v>
      </c>
      <c r="E69" s="3">
        <v>5.9999999999999995E-4</v>
      </c>
    </row>
    <row r="70" spans="2:5">
      <c r="B70" s="15" t="str">
        <f t="shared" si="3"/>
        <v>233o. PRIMARIA</v>
      </c>
      <c r="C70" s="1" t="str">
        <f>"ESTADO DE MEXICO"</f>
        <v>ESTADO DE MEXICO</v>
      </c>
      <c r="D70" s="2">
        <v>15</v>
      </c>
      <c r="E70" s="3">
        <v>1.1999999999999999E-3</v>
      </c>
    </row>
    <row r="71" spans="2:5">
      <c r="B71" s="15" t="str">
        <f t="shared" si="3"/>
        <v>233o. PRIMARIA</v>
      </c>
      <c r="C71" s="1" t="str">
        <f>"MICHOACAN DE OCAMPO"</f>
        <v>MICHOACAN DE OCAMPO</v>
      </c>
      <c r="D71" s="2">
        <v>12</v>
      </c>
      <c r="E71" s="3">
        <v>1E-3</v>
      </c>
    </row>
    <row r="72" spans="2:5">
      <c r="B72" s="15" t="str">
        <f t="shared" si="3"/>
        <v>233o. PRIMARIA</v>
      </c>
      <c r="C72" s="1" t="str">
        <f>"MORELOS"</f>
        <v>MORELOS</v>
      </c>
      <c r="D72" s="2">
        <v>2</v>
      </c>
      <c r="E72" s="3">
        <v>2.0000000000000001E-4</v>
      </c>
    </row>
    <row r="73" spans="2:5">
      <c r="B73" s="15" t="str">
        <f t="shared" si="3"/>
        <v>233o. PRIMARIA</v>
      </c>
      <c r="C73" s="1" t="str">
        <f>"NAYARIT"</f>
        <v>NAYARIT</v>
      </c>
      <c r="D73" s="2">
        <v>2</v>
      </c>
      <c r="E73" s="3">
        <v>2.0000000000000001E-4</v>
      </c>
    </row>
    <row r="74" spans="2:5">
      <c r="B74" s="15" t="str">
        <f t="shared" si="3"/>
        <v>233o. PRIMARIA</v>
      </c>
      <c r="C74" s="1" t="str">
        <f>"OAXACA"</f>
        <v>OAXACA</v>
      </c>
      <c r="D74" s="2">
        <v>11</v>
      </c>
      <c r="E74" s="3">
        <v>8.9999999999999998E-4</v>
      </c>
    </row>
    <row r="75" spans="2:5">
      <c r="B75" s="15" t="str">
        <f t="shared" si="3"/>
        <v>233o. PRIMARIA</v>
      </c>
      <c r="C75" s="1" t="str">
        <f>"PUEBLA"</f>
        <v>PUEBLA</v>
      </c>
      <c r="D75" s="2">
        <v>15</v>
      </c>
      <c r="E75" s="3">
        <v>1.1999999999999999E-3</v>
      </c>
    </row>
    <row r="76" spans="2:5">
      <c r="B76" s="15" t="str">
        <f t="shared" si="3"/>
        <v>233o. PRIMARIA</v>
      </c>
      <c r="C76" s="1" t="str">
        <f>"SAN LUIS POTOSI"</f>
        <v>SAN LUIS POTOSI</v>
      </c>
      <c r="D76" s="2">
        <v>5</v>
      </c>
      <c r="E76" s="3">
        <v>4.0000000000000002E-4</v>
      </c>
    </row>
    <row r="77" spans="2:5">
      <c r="B77" s="15" t="str">
        <f t="shared" si="3"/>
        <v>233o. PRIMARIA</v>
      </c>
      <c r="C77" s="1" t="str">
        <f>"TAMAULIPAS"</f>
        <v>TAMAULIPAS</v>
      </c>
      <c r="D77" s="2">
        <v>1</v>
      </c>
      <c r="E77" s="3">
        <v>1E-4</v>
      </c>
    </row>
    <row r="78" spans="2:5">
      <c r="B78" s="15" t="str">
        <f t="shared" si="3"/>
        <v>233o. PRIMARIA</v>
      </c>
      <c r="C78" s="1" t="str">
        <f>"TLAXCALA"</f>
        <v>TLAXCALA</v>
      </c>
      <c r="D78" s="2">
        <v>1</v>
      </c>
      <c r="E78" s="3">
        <v>1E-4</v>
      </c>
    </row>
    <row r="79" spans="2:5" ht="30">
      <c r="B79" s="15" t="str">
        <f t="shared" si="3"/>
        <v>233o. PRIMARIA</v>
      </c>
      <c r="C79" s="1" t="str">
        <f>"VERACRUZ DE IGNACIO DE LA LLAVE"</f>
        <v>VERACRUZ DE IGNACIO DE LA LLAVE</v>
      </c>
      <c r="D79" s="2">
        <v>16</v>
      </c>
      <c r="E79" s="3">
        <v>1.2999999999999999E-3</v>
      </c>
    </row>
    <row r="80" spans="2:5">
      <c r="B80" s="15" t="str">
        <f t="shared" si="3"/>
        <v>233o. PRIMARIA</v>
      </c>
      <c r="C80" s="1" t="str">
        <f>"ZACATECAS"</f>
        <v>ZACATECAS</v>
      </c>
      <c r="D80" s="2">
        <v>4</v>
      </c>
      <c r="E80" s="3">
        <v>2.9999999999999997E-4</v>
      </c>
    </row>
    <row r="81" spans="2:5" ht="16.5">
      <c r="B81" s="15" t="str">
        <f t="shared" si="3"/>
        <v>233o. PRIMARIA</v>
      </c>
      <c r="C81" s="6" t="str">
        <f>"Total"</f>
        <v>Total</v>
      </c>
      <c r="D81" s="7">
        <v>118</v>
      </c>
      <c r="E81" s="8">
        <v>9.4999999999999998E-3</v>
      </c>
    </row>
    <row r="82" spans="2:5">
      <c r="B82" s="14" t="str">
        <f>"4o. PRIMARIA"</f>
        <v>4o. PRIMARIA</v>
      </c>
      <c r="C82" s="1" t="str">
        <f>"CHIAPAS"</f>
        <v>CHIAPAS</v>
      </c>
      <c r="D82" s="2">
        <v>1</v>
      </c>
      <c r="E82" s="3">
        <v>1E-4</v>
      </c>
    </row>
    <row r="83" spans="2:5">
      <c r="B83" s="15" t="str">
        <f t="shared" ref="B83:B101" si="4">"244o. PRIMARIA"</f>
        <v>244o. PRIMARIA</v>
      </c>
      <c r="C83" s="1" t="str">
        <f>"CHIHUAHUA"</f>
        <v>CHIHUAHUA</v>
      </c>
      <c r="D83" s="2">
        <v>1</v>
      </c>
      <c r="E83" s="3">
        <v>1E-4</v>
      </c>
    </row>
    <row r="84" spans="2:5">
      <c r="B84" s="15" t="str">
        <f t="shared" si="4"/>
        <v>244o. PRIMARIA</v>
      </c>
      <c r="C84" s="1" t="str">
        <f>"COAHUILA DE ZARAGOZA"</f>
        <v>COAHUILA DE ZARAGOZA</v>
      </c>
      <c r="D84" s="2">
        <v>1</v>
      </c>
      <c r="E84" s="3">
        <v>1E-4</v>
      </c>
    </row>
    <row r="85" spans="2:5">
      <c r="B85" s="15" t="str">
        <f t="shared" si="4"/>
        <v>244o. PRIMARIA</v>
      </c>
      <c r="C85" s="1" t="str">
        <f>"DISTRITO FEDERAL"</f>
        <v>DISTRITO FEDERAL</v>
      </c>
      <c r="D85" s="2">
        <v>3</v>
      </c>
      <c r="E85" s="3">
        <v>2.0000000000000001E-4</v>
      </c>
    </row>
    <row r="86" spans="2:5">
      <c r="B86" s="15" t="str">
        <f t="shared" si="4"/>
        <v>244o. PRIMARIA</v>
      </c>
      <c r="C86" s="1" t="str">
        <f>"DURANGO"</f>
        <v>DURANGO</v>
      </c>
      <c r="D86" s="2">
        <v>1</v>
      </c>
      <c r="E86" s="3">
        <v>1E-4</v>
      </c>
    </row>
    <row r="87" spans="2:5">
      <c r="B87" s="15" t="str">
        <f t="shared" si="4"/>
        <v>244o. PRIMARIA</v>
      </c>
      <c r="C87" s="1" t="str">
        <f>"GUANAJUATO"</f>
        <v>GUANAJUATO</v>
      </c>
      <c r="D87" s="2">
        <v>5</v>
      </c>
      <c r="E87" s="3">
        <v>4.0000000000000002E-4</v>
      </c>
    </row>
    <row r="88" spans="2:5">
      <c r="B88" s="15" t="str">
        <f t="shared" si="4"/>
        <v>244o. PRIMARIA</v>
      </c>
      <c r="C88" s="1" t="str">
        <f>"GUERRERO"</f>
        <v>GUERRERO</v>
      </c>
      <c r="D88" s="2">
        <v>4</v>
      </c>
      <c r="E88" s="3">
        <v>2.9999999999999997E-4</v>
      </c>
    </row>
    <row r="89" spans="2:5">
      <c r="B89" s="15" t="str">
        <f t="shared" si="4"/>
        <v>244o. PRIMARIA</v>
      </c>
      <c r="C89" s="1" t="str">
        <f>"HIDALGO"</f>
        <v>HIDALGO</v>
      </c>
      <c r="D89" s="2">
        <v>1</v>
      </c>
      <c r="E89" s="3">
        <v>1E-4</v>
      </c>
    </row>
    <row r="90" spans="2:5">
      <c r="B90" s="15" t="str">
        <f t="shared" si="4"/>
        <v>244o. PRIMARIA</v>
      </c>
      <c r="C90" s="1" t="str">
        <f>"JALISCO"</f>
        <v>JALISCO</v>
      </c>
      <c r="D90" s="2">
        <v>3</v>
      </c>
      <c r="E90" s="3">
        <v>2.0000000000000001E-4</v>
      </c>
    </row>
    <row r="91" spans="2:5">
      <c r="B91" s="15" t="str">
        <f t="shared" si="4"/>
        <v>244o. PRIMARIA</v>
      </c>
      <c r="C91" s="1" t="str">
        <f>"ESTADO DE MEXICO"</f>
        <v>ESTADO DE MEXICO</v>
      </c>
      <c r="D91" s="2">
        <v>15</v>
      </c>
      <c r="E91" s="3">
        <v>1.1999999999999999E-3</v>
      </c>
    </row>
    <row r="92" spans="2:5">
      <c r="B92" s="15" t="str">
        <f t="shared" si="4"/>
        <v>244o. PRIMARIA</v>
      </c>
      <c r="C92" s="1" t="str">
        <f>"MICHOACAN DE OCAMPO"</f>
        <v>MICHOACAN DE OCAMPO</v>
      </c>
      <c r="D92" s="2">
        <v>13</v>
      </c>
      <c r="E92" s="3">
        <v>1E-3</v>
      </c>
    </row>
    <row r="93" spans="2:5">
      <c r="B93" s="15" t="str">
        <f t="shared" si="4"/>
        <v>244o. PRIMARIA</v>
      </c>
      <c r="C93" s="1" t="str">
        <f>"MORELOS"</f>
        <v>MORELOS</v>
      </c>
      <c r="D93" s="2">
        <v>2</v>
      </c>
      <c r="E93" s="3">
        <v>2.0000000000000001E-4</v>
      </c>
    </row>
    <row r="94" spans="2:5">
      <c r="B94" s="15" t="str">
        <f t="shared" si="4"/>
        <v>244o. PRIMARIA</v>
      </c>
      <c r="C94" s="1" t="str">
        <f>"NAYARIT"</f>
        <v>NAYARIT</v>
      </c>
      <c r="D94" s="2">
        <v>1</v>
      </c>
      <c r="E94" s="3">
        <v>1E-4</v>
      </c>
    </row>
    <row r="95" spans="2:5">
      <c r="B95" s="15" t="str">
        <f t="shared" si="4"/>
        <v>244o. PRIMARIA</v>
      </c>
      <c r="C95" s="1" t="str">
        <f>"OAXACA"</f>
        <v>OAXACA</v>
      </c>
      <c r="D95" s="2">
        <v>9</v>
      </c>
      <c r="E95" s="3">
        <v>6.9999999999999999E-4</v>
      </c>
    </row>
    <row r="96" spans="2:5">
      <c r="B96" s="15" t="str">
        <f t="shared" si="4"/>
        <v>244o. PRIMARIA</v>
      </c>
      <c r="C96" s="1" t="str">
        <f>"PUEBLA"</f>
        <v>PUEBLA</v>
      </c>
      <c r="D96" s="2">
        <v>11</v>
      </c>
      <c r="E96" s="3">
        <v>8.9999999999999998E-4</v>
      </c>
    </row>
    <row r="97" spans="2:5">
      <c r="B97" s="15" t="str">
        <f t="shared" si="4"/>
        <v>244o. PRIMARIA</v>
      </c>
      <c r="C97" s="1" t="str">
        <f>"SAN LUIS POTOSI"</f>
        <v>SAN LUIS POTOSI</v>
      </c>
      <c r="D97" s="2">
        <v>4</v>
      </c>
      <c r="E97" s="3">
        <v>2.9999999999999997E-4</v>
      </c>
    </row>
    <row r="98" spans="2:5">
      <c r="B98" s="15" t="str">
        <f t="shared" si="4"/>
        <v>244o. PRIMARIA</v>
      </c>
      <c r="C98" s="1" t="str">
        <f>"TLAXCALA"</f>
        <v>TLAXCALA</v>
      </c>
      <c r="D98" s="2">
        <v>1</v>
      </c>
      <c r="E98" s="3">
        <v>1E-4</v>
      </c>
    </row>
    <row r="99" spans="2:5" ht="30">
      <c r="B99" s="15" t="str">
        <f t="shared" si="4"/>
        <v>244o. PRIMARIA</v>
      </c>
      <c r="C99" s="1" t="str">
        <f>"VERACRUZ DE IGNACIO DE LA LLAVE"</f>
        <v>VERACRUZ DE IGNACIO DE LA LLAVE</v>
      </c>
      <c r="D99" s="2">
        <v>17</v>
      </c>
      <c r="E99" s="3">
        <v>1.4E-3</v>
      </c>
    </row>
    <row r="100" spans="2:5">
      <c r="B100" s="15" t="str">
        <f t="shared" si="4"/>
        <v>244o. PRIMARIA</v>
      </c>
      <c r="C100" s="1" t="str">
        <f>"ZACATECAS"</f>
        <v>ZACATECAS</v>
      </c>
      <c r="D100" s="2">
        <v>2</v>
      </c>
      <c r="E100" s="3">
        <v>2.0000000000000001E-4</v>
      </c>
    </row>
    <row r="101" spans="2:5" ht="16.5">
      <c r="B101" s="15" t="str">
        <f t="shared" si="4"/>
        <v>244o. PRIMARIA</v>
      </c>
      <c r="C101" s="6" t="str">
        <f>"Total"</f>
        <v>Total</v>
      </c>
      <c r="D101" s="7">
        <v>95</v>
      </c>
      <c r="E101" s="8">
        <v>7.6E-3</v>
      </c>
    </row>
    <row r="102" spans="2:5">
      <c r="B102" s="14" t="str">
        <f>"5o. PRIMARIA"</f>
        <v>5o. PRIMARIA</v>
      </c>
      <c r="C102" s="1" t="str">
        <f>"AGUASCALIENTES"</f>
        <v>AGUASCALIENTES</v>
      </c>
      <c r="D102" s="2">
        <v>2</v>
      </c>
      <c r="E102" s="3">
        <v>2.0000000000000001E-4</v>
      </c>
    </row>
    <row r="103" spans="2:5">
      <c r="B103" s="15" t="str">
        <f t="shared" ref="B103:B122" si="5">"255o. PRIMARIA"</f>
        <v>255o. PRIMARIA</v>
      </c>
      <c r="C103" s="1" t="str">
        <f>"CHIAPAS"</f>
        <v>CHIAPAS</v>
      </c>
      <c r="D103" s="2">
        <v>2</v>
      </c>
      <c r="E103" s="3">
        <v>2.0000000000000001E-4</v>
      </c>
    </row>
    <row r="104" spans="2:5">
      <c r="B104" s="15" t="str">
        <f t="shared" si="5"/>
        <v>255o. PRIMARIA</v>
      </c>
      <c r="C104" s="1" t="str">
        <f>"CHIHUAHUA"</f>
        <v>CHIHUAHUA</v>
      </c>
      <c r="D104" s="2">
        <v>1</v>
      </c>
      <c r="E104" s="3">
        <v>1E-4</v>
      </c>
    </row>
    <row r="105" spans="2:5">
      <c r="B105" s="15" t="str">
        <f t="shared" si="5"/>
        <v>255o. PRIMARIA</v>
      </c>
      <c r="C105" s="1" t="str">
        <f>"DISTRITO FEDERAL"</f>
        <v>DISTRITO FEDERAL</v>
      </c>
      <c r="D105" s="2">
        <v>4</v>
      </c>
      <c r="E105" s="3">
        <v>2.9999999999999997E-4</v>
      </c>
    </row>
    <row r="106" spans="2:5">
      <c r="B106" s="15" t="str">
        <f t="shared" si="5"/>
        <v>255o. PRIMARIA</v>
      </c>
      <c r="C106" s="1" t="str">
        <f>"DURANGO"</f>
        <v>DURANGO</v>
      </c>
      <c r="D106" s="2">
        <v>6</v>
      </c>
      <c r="E106" s="3">
        <v>5.0000000000000001E-4</v>
      </c>
    </row>
    <row r="107" spans="2:5">
      <c r="B107" s="15" t="str">
        <f t="shared" si="5"/>
        <v>255o. PRIMARIA</v>
      </c>
      <c r="C107" s="1" t="str">
        <f>"GUANAJUATO"</f>
        <v>GUANAJUATO</v>
      </c>
      <c r="D107" s="2">
        <v>11</v>
      </c>
      <c r="E107" s="3">
        <v>8.9999999999999998E-4</v>
      </c>
    </row>
    <row r="108" spans="2:5">
      <c r="B108" s="15" t="str">
        <f t="shared" si="5"/>
        <v>255o. PRIMARIA</v>
      </c>
      <c r="C108" s="1" t="str">
        <f>"GUERRERO"</f>
        <v>GUERRERO</v>
      </c>
      <c r="D108" s="2">
        <v>7</v>
      </c>
      <c r="E108" s="3">
        <v>5.9999999999999995E-4</v>
      </c>
    </row>
    <row r="109" spans="2:5">
      <c r="B109" s="15" t="str">
        <f t="shared" si="5"/>
        <v>255o. PRIMARIA</v>
      </c>
      <c r="C109" s="1" t="str">
        <f>"HIDALGO"</f>
        <v>HIDALGO</v>
      </c>
      <c r="D109" s="2">
        <v>1</v>
      </c>
      <c r="E109" s="3">
        <v>1E-4</v>
      </c>
    </row>
    <row r="110" spans="2:5">
      <c r="B110" s="15" t="str">
        <f t="shared" si="5"/>
        <v>255o. PRIMARIA</v>
      </c>
      <c r="C110" s="1" t="str">
        <f>"JALISCO"</f>
        <v>JALISCO</v>
      </c>
      <c r="D110" s="2">
        <v>3</v>
      </c>
      <c r="E110" s="3">
        <v>2.0000000000000001E-4</v>
      </c>
    </row>
    <row r="111" spans="2:5">
      <c r="B111" s="15" t="str">
        <f t="shared" si="5"/>
        <v>255o. PRIMARIA</v>
      </c>
      <c r="C111" s="1" t="str">
        <f>"ESTADO DE MEXICO"</f>
        <v>ESTADO DE MEXICO</v>
      </c>
      <c r="D111" s="2">
        <v>15</v>
      </c>
      <c r="E111" s="3">
        <v>1.1999999999999999E-3</v>
      </c>
    </row>
    <row r="112" spans="2:5">
      <c r="B112" s="15" t="str">
        <f t="shared" si="5"/>
        <v>255o. PRIMARIA</v>
      </c>
      <c r="C112" s="1" t="str">
        <f>"MICHOACAN DE OCAMPO"</f>
        <v>MICHOACAN DE OCAMPO</v>
      </c>
      <c r="D112" s="2">
        <v>15</v>
      </c>
      <c r="E112" s="3">
        <v>1.1999999999999999E-3</v>
      </c>
    </row>
    <row r="113" spans="2:5">
      <c r="B113" s="15" t="str">
        <f t="shared" si="5"/>
        <v>255o. PRIMARIA</v>
      </c>
      <c r="C113" s="1" t="str">
        <f>"MORELOS"</f>
        <v>MORELOS</v>
      </c>
      <c r="D113" s="2">
        <v>3</v>
      </c>
      <c r="E113" s="3">
        <v>2.0000000000000001E-4</v>
      </c>
    </row>
    <row r="114" spans="2:5">
      <c r="B114" s="15" t="str">
        <f t="shared" si="5"/>
        <v>255o. PRIMARIA</v>
      </c>
      <c r="C114" s="1" t="str">
        <f>"OAXACA"</f>
        <v>OAXACA</v>
      </c>
      <c r="D114" s="2">
        <v>8</v>
      </c>
      <c r="E114" s="3">
        <v>5.9999999999999995E-4</v>
      </c>
    </row>
    <row r="115" spans="2:5">
      <c r="B115" s="15" t="str">
        <f t="shared" si="5"/>
        <v>255o. PRIMARIA</v>
      </c>
      <c r="C115" s="1" t="str">
        <f>"PUEBLA"</f>
        <v>PUEBLA</v>
      </c>
      <c r="D115" s="2">
        <v>24</v>
      </c>
      <c r="E115" s="3">
        <v>1.9E-3</v>
      </c>
    </row>
    <row r="116" spans="2:5">
      <c r="B116" s="15" t="str">
        <f t="shared" si="5"/>
        <v>255o. PRIMARIA</v>
      </c>
      <c r="C116" s="1" t="str">
        <f>"QUERETARO DE ARTEAGA"</f>
        <v>QUERETARO DE ARTEAGA</v>
      </c>
      <c r="D116" s="2">
        <v>2</v>
      </c>
      <c r="E116" s="3">
        <v>2.0000000000000001E-4</v>
      </c>
    </row>
    <row r="117" spans="2:5">
      <c r="B117" s="15" t="str">
        <f t="shared" si="5"/>
        <v>255o. PRIMARIA</v>
      </c>
      <c r="C117" s="1" t="str">
        <f>"SAN LUIS POTOSI"</f>
        <v>SAN LUIS POTOSI</v>
      </c>
      <c r="D117" s="2">
        <v>3</v>
      </c>
      <c r="E117" s="3">
        <v>2.0000000000000001E-4</v>
      </c>
    </row>
    <row r="118" spans="2:5">
      <c r="B118" s="15" t="str">
        <f t="shared" si="5"/>
        <v>255o. PRIMARIA</v>
      </c>
      <c r="C118" s="1" t="str">
        <f>"TABASCO"</f>
        <v>TABASCO</v>
      </c>
      <c r="D118" s="2">
        <v>1</v>
      </c>
      <c r="E118" s="3">
        <v>1E-4</v>
      </c>
    </row>
    <row r="119" spans="2:5">
      <c r="B119" s="15" t="str">
        <f t="shared" si="5"/>
        <v>255o. PRIMARIA</v>
      </c>
      <c r="C119" s="1" t="str">
        <f>"TAMAULIPAS"</f>
        <v>TAMAULIPAS</v>
      </c>
      <c r="D119" s="2">
        <v>1</v>
      </c>
      <c r="E119" s="3">
        <v>1E-4</v>
      </c>
    </row>
    <row r="120" spans="2:5" ht="30">
      <c r="B120" s="15" t="str">
        <f t="shared" si="5"/>
        <v>255o. PRIMARIA</v>
      </c>
      <c r="C120" s="1" t="str">
        <f>"VERACRUZ DE IGNACIO DE LA LLAVE"</f>
        <v>VERACRUZ DE IGNACIO DE LA LLAVE</v>
      </c>
      <c r="D120" s="2">
        <v>12</v>
      </c>
      <c r="E120" s="3">
        <v>1E-3</v>
      </c>
    </row>
    <row r="121" spans="2:5">
      <c r="B121" s="15" t="str">
        <f t="shared" si="5"/>
        <v>255o. PRIMARIA</v>
      </c>
      <c r="C121" s="1" t="str">
        <f>"ZACATECAS"</f>
        <v>ZACATECAS</v>
      </c>
      <c r="D121" s="2">
        <v>6</v>
      </c>
      <c r="E121" s="3">
        <v>5.0000000000000001E-4</v>
      </c>
    </row>
    <row r="122" spans="2:5" ht="16.5">
      <c r="B122" s="15" t="str">
        <f t="shared" si="5"/>
        <v>255o. PRIMARIA</v>
      </c>
      <c r="C122" s="6" t="str">
        <f>"Total"</f>
        <v>Total</v>
      </c>
      <c r="D122" s="7">
        <v>127</v>
      </c>
      <c r="E122" s="8">
        <v>1.0200000000000001E-2</v>
      </c>
    </row>
    <row r="123" spans="2:5">
      <c r="B123" s="14" t="str">
        <f>"6o. PRIMARIA"</f>
        <v>6o. PRIMARIA</v>
      </c>
      <c r="C123" s="1" t="str">
        <f>"AGUASCALIENTES"</f>
        <v>AGUASCALIENTES</v>
      </c>
      <c r="D123" s="2">
        <v>23</v>
      </c>
      <c r="E123" s="3">
        <v>1.8E-3</v>
      </c>
    </row>
    <row r="124" spans="2:5">
      <c r="B124" s="15"/>
      <c r="C124" s="1" t="str">
        <f>"BAJA CALIFORNIA"</f>
        <v>BAJA CALIFORNIA</v>
      </c>
      <c r="D124" s="2">
        <v>2</v>
      </c>
      <c r="E124" s="3">
        <v>2.0000000000000001E-4</v>
      </c>
    </row>
    <row r="125" spans="2:5">
      <c r="B125" s="15"/>
      <c r="C125" s="1" t="str">
        <f>"BAJA CALIFORNIA SUR"</f>
        <v>BAJA CALIFORNIA SUR</v>
      </c>
      <c r="D125" s="2">
        <v>1</v>
      </c>
      <c r="E125" s="3">
        <v>1E-4</v>
      </c>
    </row>
    <row r="126" spans="2:5">
      <c r="B126" s="15"/>
      <c r="C126" s="1" t="str">
        <f>"CAMPECHE"</f>
        <v>CAMPECHE</v>
      </c>
      <c r="D126" s="2">
        <v>1</v>
      </c>
      <c r="E126" s="3">
        <v>1E-4</v>
      </c>
    </row>
    <row r="127" spans="2:5">
      <c r="B127" s="15"/>
      <c r="C127" s="1" t="str">
        <f>"CHIAPAS"</f>
        <v>CHIAPAS</v>
      </c>
      <c r="D127" s="2">
        <v>28</v>
      </c>
      <c r="E127" s="3">
        <v>2.2000000000000001E-3</v>
      </c>
    </row>
    <row r="128" spans="2:5">
      <c r="B128" s="15"/>
      <c r="C128" s="1" t="str">
        <f>"CHIHUAHUA"</f>
        <v>CHIHUAHUA</v>
      </c>
      <c r="D128" s="2">
        <v>9</v>
      </c>
      <c r="E128" s="3">
        <v>6.9999999999999999E-4</v>
      </c>
    </row>
    <row r="129" spans="2:5">
      <c r="B129" s="15"/>
      <c r="C129" s="1" t="str">
        <f>"COAHUILA DE ZARAGOZA"</f>
        <v>COAHUILA DE ZARAGOZA</v>
      </c>
      <c r="D129" s="2">
        <v>4</v>
      </c>
      <c r="E129" s="3">
        <v>2.9999999999999997E-4</v>
      </c>
    </row>
    <row r="130" spans="2:5">
      <c r="B130" s="15"/>
      <c r="C130" s="1" t="str">
        <f>"COLIMA"</f>
        <v>COLIMA</v>
      </c>
      <c r="D130" s="2">
        <v>4</v>
      </c>
      <c r="E130" s="3">
        <v>2.9999999999999997E-4</v>
      </c>
    </row>
    <row r="131" spans="2:5">
      <c r="B131" s="15"/>
      <c r="C131" s="1" t="str">
        <f>"DISTRITO FEDERAL"</f>
        <v>DISTRITO FEDERAL</v>
      </c>
      <c r="D131" s="2">
        <v>29</v>
      </c>
      <c r="E131" s="3">
        <v>2.3E-3</v>
      </c>
    </row>
    <row r="132" spans="2:5">
      <c r="B132" s="15"/>
      <c r="C132" s="1" t="str">
        <f>"DURANGO"</f>
        <v>DURANGO</v>
      </c>
      <c r="D132" s="2">
        <v>30</v>
      </c>
      <c r="E132" s="3">
        <v>2.3999999999999998E-3</v>
      </c>
    </row>
    <row r="133" spans="2:5">
      <c r="B133" s="15"/>
      <c r="C133" s="1" t="str">
        <f>"GUANAJUATO"</f>
        <v>GUANAJUATO</v>
      </c>
      <c r="D133" s="2">
        <v>82</v>
      </c>
      <c r="E133" s="3">
        <v>6.6E-3</v>
      </c>
    </row>
    <row r="134" spans="2:5">
      <c r="B134" s="15"/>
      <c r="C134" s="1" t="str">
        <f>"GUERRERO"</f>
        <v>GUERRERO</v>
      </c>
      <c r="D134" s="2">
        <v>45</v>
      </c>
      <c r="E134" s="3">
        <v>3.5999999999999999E-3</v>
      </c>
    </row>
    <row r="135" spans="2:5">
      <c r="B135" s="15"/>
      <c r="C135" s="1" t="str">
        <f>"HIDALGO"</f>
        <v>HIDALGO</v>
      </c>
      <c r="D135" s="2">
        <v>24</v>
      </c>
      <c r="E135" s="3">
        <v>1.9E-3</v>
      </c>
    </row>
    <row r="136" spans="2:5">
      <c r="B136" s="15"/>
      <c r="C136" s="1" t="str">
        <f>"JALISCO"</f>
        <v>JALISCO</v>
      </c>
      <c r="D136" s="2">
        <v>71</v>
      </c>
      <c r="E136" s="3">
        <v>5.7000000000000002E-3</v>
      </c>
    </row>
    <row r="137" spans="2:5">
      <c r="B137" s="15"/>
      <c r="C137" s="1" t="str">
        <f>"ESTADO DE MEXICO"</f>
        <v>ESTADO DE MEXICO</v>
      </c>
      <c r="D137" s="2">
        <v>112</v>
      </c>
      <c r="E137" s="3">
        <v>8.9999999999999993E-3</v>
      </c>
    </row>
    <row r="138" spans="2:5">
      <c r="B138" s="15"/>
      <c r="C138" s="1" t="str">
        <f>"MICHOACAN DE OCAMPO"</f>
        <v>MICHOACAN DE OCAMPO</v>
      </c>
      <c r="D138" s="2">
        <v>111</v>
      </c>
      <c r="E138" s="3">
        <v>8.8999999999999999E-3</v>
      </c>
    </row>
    <row r="139" spans="2:5">
      <c r="B139" s="15"/>
      <c r="C139" s="1" t="str">
        <f>"MORELOS"</f>
        <v>MORELOS</v>
      </c>
      <c r="D139" s="2">
        <v>31</v>
      </c>
      <c r="E139" s="3">
        <v>2.5000000000000001E-3</v>
      </c>
    </row>
    <row r="140" spans="2:5">
      <c r="B140" s="15"/>
      <c r="C140" s="1" t="str">
        <f>"NAYARIT"</f>
        <v>NAYARIT</v>
      </c>
      <c r="D140" s="2">
        <v>4</v>
      </c>
      <c r="E140" s="3">
        <v>2.9999999999999997E-4</v>
      </c>
    </row>
    <row r="141" spans="2:5">
      <c r="B141" s="15"/>
      <c r="C141" s="1" t="str">
        <f>"NUEVO LEON"</f>
        <v>NUEVO LEON</v>
      </c>
      <c r="D141" s="2">
        <v>5</v>
      </c>
      <c r="E141" s="3">
        <v>4.0000000000000002E-4</v>
      </c>
    </row>
    <row r="142" spans="2:5">
      <c r="B142" s="15"/>
      <c r="C142" s="1" t="str">
        <f>"OAXACA"</f>
        <v>OAXACA</v>
      </c>
      <c r="D142" s="2">
        <v>113</v>
      </c>
      <c r="E142" s="3">
        <v>9.1000000000000004E-3</v>
      </c>
    </row>
    <row r="143" spans="2:5">
      <c r="B143" s="15"/>
      <c r="C143" s="1" t="str">
        <f>"PUEBLA"</f>
        <v>PUEBLA</v>
      </c>
      <c r="D143" s="2">
        <v>192</v>
      </c>
      <c r="E143" s="3">
        <v>1.54E-2</v>
      </c>
    </row>
    <row r="144" spans="2:5">
      <c r="B144" s="15"/>
      <c r="C144" s="1" t="str">
        <f>"QUERETARO DE ARTEAGA"</f>
        <v>QUERETARO DE ARTEAGA</v>
      </c>
      <c r="D144" s="2">
        <v>16</v>
      </c>
      <c r="E144" s="3">
        <v>1.2999999999999999E-3</v>
      </c>
    </row>
    <row r="145" spans="2:5">
      <c r="B145" s="15"/>
      <c r="C145" s="1" t="str">
        <f>"SAN LUIS POTOSI"</f>
        <v>SAN LUIS POTOSI</v>
      </c>
      <c r="D145" s="2">
        <v>30</v>
      </c>
      <c r="E145" s="3">
        <v>2.3999999999999998E-3</v>
      </c>
    </row>
    <row r="146" spans="2:5">
      <c r="B146" s="15"/>
      <c r="C146" s="1" t="str">
        <f>"SINALOA"</f>
        <v>SINALOA</v>
      </c>
      <c r="D146" s="2">
        <v>4</v>
      </c>
      <c r="E146" s="3">
        <v>2.9999999999999997E-4</v>
      </c>
    </row>
    <row r="147" spans="2:5">
      <c r="B147" s="15"/>
      <c r="C147" s="1" t="str">
        <f>"SONORA"</f>
        <v>SONORA</v>
      </c>
      <c r="D147" s="2">
        <v>1</v>
      </c>
      <c r="E147" s="3">
        <v>1E-4</v>
      </c>
    </row>
    <row r="148" spans="2:5">
      <c r="B148" s="15"/>
      <c r="C148" s="1" t="str">
        <f>"TABASCO"</f>
        <v>TABASCO</v>
      </c>
      <c r="D148" s="2">
        <v>7</v>
      </c>
      <c r="E148" s="3">
        <v>5.9999999999999995E-4</v>
      </c>
    </row>
    <row r="149" spans="2:5">
      <c r="B149" s="15"/>
      <c r="C149" s="1" t="str">
        <f>"TAMAULIPAS"</f>
        <v>TAMAULIPAS</v>
      </c>
      <c r="D149" s="2">
        <v>9</v>
      </c>
      <c r="E149" s="3">
        <v>6.9999999999999999E-4</v>
      </c>
    </row>
    <row r="150" spans="2:5">
      <c r="B150" s="15"/>
      <c r="C150" s="1" t="str">
        <f>"TLAXCALA"</f>
        <v>TLAXCALA</v>
      </c>
      <c r="D150" s="2">
        <v>12</v>
      </c>
      <c r="E150" s="3">
        <v>1E-3</v>
      </c>
    </row>
    <row r="151" spans="2:5" ht="30">
      <c r="B151" s="15"/>
      <c r="C151" s="1" t="str">
        <f>"VERACRUZ DE IGNACIO DE LA LLAVE"</f>
        <v>VERACRUZ DE IGNACIO DE LA LLAVE</v>
      </c>
      <c r="D151" s="2">
        <v>102</v>
      </c>
      <c r="E151" s="3">
        <v>8.2000000000000007E-3</v>
      </c>
    </row>
    <row r="152" spans="2:5">
      <c r="B152" s="15"/>
      <c r="C152" s="1" t="str">
        <f>"ZACATECAS"</f>
        <v>ZACATECAS</v>
      </c>
      <c r="D152" s="2">
        <v>38</v>
      </c>
      <c r="E152" s="3">
        <v>3.0000000000000001E-3</v>
      </c>
    </row>
    <row r="153" spans="2:5" ht="16.5">
      <c r="B153" s="16"/>
      <c r="C153" s="6" t="str">
        <f>"Total"</f>
        <v>Total</v>
      </c>
      <c r="D153" s="7">
        <v>1140</v>
      </c>
      <c r="E153" s="8">
        <v>9.1399999999999995E-2</v>
      </c>
    </row>
    <row r="154" spans="2:5">
      <c r="B154" s="14" t="str">
        <f>"PRIMARIA CON CERTIFICADO"</f>
        <v>PRIMARIA CON CERTIFICADO</v>
      </c>
      <c r="C154" s="1" t="str">
        <f>"AGUASCALIENTES"</f>
        <v>AGUASCALIENTES</v>
      </c>
      <c r="D154" s="2">
        <v>93</v>
      </c>
      <c r="E154" s="3">
        <v>7.4999999999999997E-3</v>
      </c>
    </row>
    <row r="155" spans="2:5">
      <c r="B155" s="15" t="str">
        <f t="shared" ref="B155:B184" si="6">"27PRIMARIA CON CERTIFICADO"</f>
        <v>27PRIMARIA CON CERTIFICADO</v>
      </c>
      <c r="C155" s="1" t="str">
        <f>"BAJA CALIFORNIA"</f>
        <v>BAJA CALIFORNIA</v>
      </c>
      <c r="D155" s="2">
        <v>4</v>
      </c>
      <c r="E155" s="3">
        <v>2.9999999999999997E-4</v>
      </c>
    </row>
    <row r="156" spans="2:5">
      <c r="B156" s="15" t="str">
        <f t="shared" si="6"/>
        <v>27PRIMARIA CON CERTIFICADO</v>
      </c>
      <c r="C156" s="1" t="str">
        <f>"CAMPECHE"</f>
        <v>CAMPECHE</v>
      </c>
      <c r="D156" s="2">
        <v>4</v>
      </c>
      <c r="E156" s="3">
        <v>2.9999999999999997E-4</v>
      </c>
    </row>
    <row r="157" spans="2:5">
      <c r="B157" s="15" t="str">
        <f t="shared" si="6"/>
        <v>27PRIMARIA CON CERTIFICADO</v>
      </c>
      <c r="C157" s="1" t="str">
        <f>"CHIAPAS"</f>
        <v>CHIAPAS</v>
      </c>
      <c r="D157" s="2">
        <v>35</v>
      </c>
      <c r="E157" s="3">
        <v>2.8E-3</v>
      </c>
    </row>
    <row r="158" spans="2:5">
      <c r="B158" s="15" t="str">
        <f t="shared" si="6"/>
        <v>27PRIMARIA CON CERTIFICADO</v>
      </c>
      <c r="C158" s="1" t="str">
        <f>"CHIHUAHUA"</f>
        <v>CHIHUAHUA</v>
      </c>
      <c r="D158" s="2">
        <v>25</v>
      </c>
      <c r="E158" s="3">
        <v>2E-3</v>
      </c>
    </row>
    <row r="159" spans="2:5">
      <c r="B159" s="15" t="str">
        <f t="shared" si="6"/>
        <v>27PRIMARIA CON CERTIFICADO</v>
      </c>
      <c r="C159" s="1" t="str">
        <f>"COAHUILA DE ZARAGOZA"</f>
        <v>COAHUILA DE ZARAGOZA</v>
      </c>
      <c r="D159" s="2">
        <v>18</v>
      </c>
      <c r="E159" s="3">
        <v>1.4E-3</v>
      </c>
    </row>
    <row r="160" spans="2:5">
      <c r="B160" s="15" t="str">
        <f t="shared" si="6"/>
        <v>27PRIMARIA CON CERTIFICADO</v>
      </c>
      <c r="C160" s="1" t="str">
        <f>"COLIMA"</f>
        <v>COLIMA</v>
      </c>
      <c r="D160" s="2">
        <v>8</v>
      </c>
      <c r="E160" s="3">
        <v>5.9999999999999995E-4</v>
      </c>
    </row>
    <row r="161" spans="2:5">
      <c r="B161" s="15" t="str">
        <f t="shared" si="6"/>
        <v>27PRIMARIA CON CERTIFICADO</v>
      </c>
      <c r="C161" s="1" t="str">
        <f>"DISTRITO FEDERAL"</f>
        <v>DISTRITO FEDERAL</v>
      </c>
      <c r="D161" s="2">
        <v>78</v>
      </c>
      <c r="E161" s="3">
        <v>6.3E-3</v>
      </c>
    </row>
    <row r="162" spans="2:5">
      <c r="B162" s="15" t="str">
        <f t="shared" si="6"/>
        <v>27PRIMARIA CON CERTIFICADO</v>
      </c>
      <c r="C162" s="1" t="str">
        <f>"DURANGO"</f>
        <v>DURANGO</v>
      </c>
      <c r="D162" s="2">
        <v>53</v>
      </c>
      <c r="E162" s="3">
        <v>4.3E-3</v>
      </c>
    </row>
    <row r="163" spans="2:5">
      <c r="B163" s="15" t="str">
        <f t="shared" si="6"/>
        <v>27PRIMARIA CON CERTIFICADO</v>
      </c>
      <c r="C163" s="1" t="str">
        <f>"GUANAJUATO"</f>
        <v>GUANAJUATO</v>
      </c>
      <c r="D163" s="2">
        <v>220</v>
      </c>
      <c r="E163" s="3">
        <v>1.7600000000000001E-2</v>
      </c>
    </row>
    <row r="164" spans="2:5">
      <c r="B164" s="15" t="str">
        <f t="shared" si="6"/>
        <v>27PRIMARIA CON CERTIFICADO</v>
      </c>
      <c r="C164" s="1" t="str">
        <f>"GUERRERO"</f>
        <v>GUERRERO</v>
      </c>
      <c r="D164" s="2">
        <v>103</v>
      </c>
      <c r="E164" s="3">
        <v>8.3000000000000001E-3</v>
      </c>
    </row>
    <row r="165" spans="2:5">
      <c r="B165" s="15" t="str">
        <f t="shared" si="6"/>
        <v>27PRIMARIA CON CERTIFICADO</v>
      </c>
      <c r="C165" s="1" t="str">
        <f>"HIDALGO"</f>
        <v>HIDALGO</v>
      </c>
      <c r="D165" s="2">
        <v>49</v>
      </c>
      <c r="E165" s="3">
        <v>3.8999999999999998E-3</v>
      </c>
    </row>
    <row r="166" spans="2:5">
      <c r="B166" s="15" t="str">
        <f t="shared" si="6"/>
        <v>27PRIMARIA CON CERTIFICADO</v>
      </c>
      <c r="C166" s="1" t="str">
        <f>"JALISCO"</f>
        <v>JALISCO</v>
      </c>
      <c r="D166" s="2">
        <v>190</v>
      </c>
      <c r="E166" s="3">
        <v>1.52E-2</v>
      </c>
    </row>
    <row r="167" spans="2:5">
      <c r="B167" s="15" t="str">
        <f t="shared" si="6"/>
        <v>27PRIMARIA CON CERTIFICADO</v>
      </c>
      <c r="C167" s="1" t="str">
        <f>"ESTADO DE MEXICO"</f>
        <v>ESTADO DE MEXICO</v>
      </c>
      <c r="D167" s="2">
        <v>178</v>
      </c>
      <c r="E167" s="3">
        <v>1.43E-2</v>
      </c>
    </row>
    <row r="168" spans="2:5">
      <c r="B168" s="15" t="str">
        <f t="shared" si="6"/>
        <v>27PRIMARIA CON CERTIFICADO</v>
      </c>
      <c r="C168" s="1" t="str">
        <f>"MICHOACAN DE OCAMPO"</f>
        <v>MICHOACAN DE OCAMPO</v>
      </c>
      <c r="D168" s="2">
        <v>223</v>
      </c>
      <c r="E168" s="3">
        <v>1.7899999999999999E-2</v>
      </c>
    </row>
    <row r="169" spans="2:5">
      <c r="B169" s="15" t="str">
        <f t="shared" si="6"/>
        <v>27PRIMARIA CON CERTIFICADO</v>
      </c>
      <c r="C169" s="1" t="str">
        <f>"MORELOS"</f>
        <v>MORELOS</v>
      </c>
      <c r="D169" s="2">
        <v>36</v>
      </c>
      <c r="E169" s="3">
        <v>2.8999999999999998E-3</v>
      </c>
    </row>
    <row r="170" spans="2:5">
      <c r="B170" s="15" t="str">
        <f t="shared" si="6"/>
        <v>27PRIMARIA CON CERTIFICADO</v>
      </c>
      <c r="C170" s="1" t="str">
        <f>"NAYARIT"</f>
        <v>NAYARIT</v>
      </c>
      <c r="D170" s="2">
        <v>7</v>
      </c>
      <c r="E170" s="3">
        <v>5.9999999999999995E-4</v>
      </c>
    </row>
    <row r="171" spans="2:5">
      <c r="B171" s="15" t="str">
        <f t="shared" si="6"/>
        <v>27PRIMARIA CON CERTIFICADO</v>
      </c>
      <c r="C171" s="1" t="str">
        <f>"NUEVO LEON"</f>
        <v>NUEVO LEON</v>
      </c>
      <c r="D171" s="2">
        <v>16</v>
      </c>
      <c r="E171" s="3">
        <v>1.2999999999999999E-3</v>
      </c>
    </row>
    <row r="172" spans="2:5">
      <c r="B172" s="15" t="str">
        <f t="shared" si="6"/>
        <v>27PRIMARIA CON CERTIFICADO</v>
      </c>
      <c r="C172" s="1" t="str">
        <f>"OAXACA"</f>
        <v>OAXACA</v>
      </c>
      <c r="D172" s="2">
        <v>102</v>
      </c>
      <c r="E172" s="3">
        <v>8.2000000000000007E-3</v>
      </c>
    </row>
    <row r="173" spans="2:5">
      <c r="B173" s="15" t="str">
        <f t="shared" si="6"/>
        <v>27PRIMARIA CON CERTIFICADO</v>
      </c>
      <c r="C173" s="1" t="str">
        <f>"PUEBLA"</f>
        <v>PUEBLA</v>
      </c>
      <c r="D173" s="2">
        <v>284</v>
      </c>
      <c r="E173" s="3">
        <v>2.2800000000000001E-2</v>
      </c>
    </row>
    <row r="174" spans="2:5">
      <c r="B174" s="15" t="str">
        <f t="shared" si="6"/>
        <v>27PRIMARIA CON CERTIFICADO</v>
      </c>
      <c r="C174" s="1" t="str">
        <f>"QUERETARO DE ARTEAGA"</f>
        <v>QUERETARO DE ARTEAGA</v>
      </c>
      <c r="D174" s="2">
        <v>21</v>
      </c>
      <c r="E174" s="3">
        <v>1.6999999999999999E-3</v>
      </c>
    </row>
    <row r="175" spans="2:5">
      <c r="B175" s="15" t="str">
        <f t="shared" si="6"/>
        <v>27PRIMARIA CON CERTIFICADO</v>
      </c>
      <c r="C175" s="1" t="str">
        <f>"QUINTANA ROO"</f>
        <v>QUINTANA ROO</v>
      </c>
      <c r="D175" s="2">
        <v>4</v>
      </c>
      <c r="E175" s="3">
        <v>2.9999999999999997E-4</v>
      </c>
    </row>
    <row r="176" spans="2:5">
      <c r="B176" s="15" t="str">
        <f t="shared" si="6"/>
        <v>27PRIMARIA CON CERTIFICADO</v>
      </c>
      <c r="C176" s="1" t="str">
        <f>"SAN LUIS POTOSI"</f>
        <v>SAN LUIS POTOSI</v>
      </c>
      <c r="D176" s="2">
        <v>39</v>
      </c>
      <c r="E176" s="3">
        <v>3.0999999999999999E-3</v>
      </c>
    </row>
    <row r="177" spans="2:5">
      <c r="B177" s="15" t="str">
        <f t="shared" si="6"/>
        <v>27PRIMARIA CON CERTIFICADO</v>
      </c>
      <c r="C177" s="1" t="str">
        <f>"SINALOA"</f>
        <v>SINALOA</v>
      </c>
      <c r="D177" s="2">
        <v>9</v>
      </c>
      <c r="E177" s="3">
        <v>6.9999999999999999E-4</v>
      </c>
    </row>
    <row r="178" spans="2:5">
      <c r="B178" s="15" t="str">
        <f t="shared" si="6"/>
        <v>27PRIMARIA CON CERTIFICADO</v>
      </c>
      <c r="C178" s="1" t="str">
        <f>"SONORA"</f>
        <v>SONORA</v>
      </c>
      <c r="D178" s="2">
        <v>2</v>
      </c>
      <c r="E178" s="3">
        <v>2.0000000000000001E-4</v>
      </c>
    </row>
    <row r="179" spans="2:5">
      <c r="B179" s="15" t="str">
        <f t="shared" si="6"/>
        <v>27PRIMARIA CON CERTIFICADO</v>
      </c>
      <c r="C179" s="1" t="str">
        <f>"TABASCO"</f>
        <v>TABASCO</v>
      </c>
      <c r="D179" s="2">
        <v>9</v>
      </c>
      <c r="E179" s="3">
        <v>6.9999999999999999E-4</v>
      </c>
    </row>
    <row r="180" spans="2:5">
      <c r="B180" s="15" t="str">
        <f t="shared" si="6"/>
        <v>27PRIMARIA CON CERTIFICADO</v>
      </c>
      <c r="C180" s="1" t="str">
        <f>"TAMAULIPAS"</f>
        <v>TAMAULIPAS</v>
      </c>
      <c r="D180" s="2">
        <v>18</v>
      </c>
      <c r="E180" s="3">
        <v>1.4E-3</v>
      </c>
    </row>
    <row r="181" spans="2:5">
      <c r="B181" s="15" t="str">
        <f t="shared" si="6"/>
        <v>27PRIMARIA CON CERTIFICADO</v>
      </c>
      <c r="C181" s="1" t="str">
        <f>"TLAXCALA"</f>
        <v>TLAXCALA</v>
      </c>
      <c r="D181" s="2">
        <v>29</v>
      </c>
      <c r="E181" s="3">
        <v>2.3E-3</v>
      </c>
    </row>
    <row r="182" spans="2:5" ht="30">
      <c r="B182" s="15" t="str">
        <f t="shared" si="6"/>
        <v>27PRIMARIA CON CERTIFICADO</v>
      </c>
      <c r="C182" s="1" t="str">
        <f>"VERACRUZ DE IGNACIO DE LA LLAVE"</f>
        <v>VERACRUZ DE IGNACIO DE LA LLAVE</v>
      </c>
      <c r="D182" s="2">
        <v>179</v>
      </c>
      <c r="E182" s="3">
        <v>1.44E-2</v>
      </c>
    </row>
    <row r="183" spans="2:5">
      <c r="B183" s="15" t="str">
        <f t="shared" si="6"/>
        <v>27PRIMARIA CON CERTIFICADO</v>
      </c>
      <c r="C183" s="1" t="str">
        <f>"ZACATECAS"</f>
        <v>ZACATECAS</v>
      </c>
      <c r="D183" s="2">
        <v>48</v>
      </c>
      <c r="E183" s="3">
        <v>3.8E-3</v>
      </c>
    </row>
    <row r="184" spans="2:5" ht="16.5">
      <c r="B184" s="16" t="str">
        <f t="shared" si="6"/>
        <v>27PRIMARIA CON CERTIFICADO</v>
      </c>
      <c r="C184" s="6" t="str">
        <f>"Total"</f>
        <v>Total</v>
      </c>
      <c r="D184" s="7">
        <v>2084</v>
      </c>
      <c r="E184" s="8">
        <v>0.1671</v>
      </c>
    </row>
    <row r="185" spans="2:5">
      <c r="B185" s="14" t="str">
        <f>"1o. SECUNDARIA"</f>
        <v>1o. SECUNDARIA</v>
      </c>
      <c r="C185" s="1" t="str">
        <f>"AGUASCALIENTES"</f>
        <v>AGUASCALIENTES</v>
      </c>
      <c r="D185" s="2">
        <v>4</v>
      </c>
      <c r="E185" s="3">
        <v>2.9999999999999997E-4</v>
      </c>
    </row>
    <row r="186" spans="2:5">
      <c r="B186" s="15" t="str">
        <f t="shared" ref="B186:B205" si="7">"311o. SECUNDARIA"</f>
        <v>311o. SECUNDARIA</v>
      </c>
      <c r="C186" s="1" t="str">
        <f>"CHIAPAS"</f>
        <v>CHIAPAS</v>
      </c>
      <c r="D186" s="2">
        <v>1</v>
      </c>
      <c r="E186" s="3">
        <v>1E-4</v>
      </c>
    </row>
    <row r="187" spans="2:5">
      <c r="B187" s="15" t="str">
        <f t="shared" si="7"/>
        <v>311o. SECUNDARIA</v>
      </c>
      <c r="C187" s="1" t="str">
        <f>"CHIHUAHUA"</f>
        <v>CHIHUAHUA</v>
      </c>
      <c r="D187" s="2">
        <v>1</v>
      </c>
      <c r="E187" s="3">
        <v>1E-4</v>
      </c>
    </row>
    <row r="188" spans="2:5">
      <c r="B188" s="15" t="str">
        <f t="shared" si="7"/>
        <v>311o. SECUNDARIA</v>
      </c>
      <c r="C188" s="1" t="str">
        <f>"DISTRITO FEDERAL"</f>
        <v>DISTRITO FEDERAL</v>
      </c>
      <c r="D188" s="2">
        <v>4</v>
      </c>
      <c r="E188" s="3">
        <v>2.9999999999999997E-4</v>
      </c>
    </row>
    <row r="189" spans="2:5">
      <c r="B189" s="15" t="str">
        <f t="shared" si="7"/>
        <v>311o. SECUNDARIA</v>
      </c>
      <c r="C189" s="1" t="str">
        <f>"DURANGO"</f>
        <v>DURANGO</v>
      </c>
      <c r="D189" s="2">
        <v>1</v>
      </c>
      <c r="E189" s="3">
        <v>1E-4</v>
      </c>
    </row>
    <row r="190" spans="2:5">
      <c r="B190" s="15" t="str">
        <f t="shared" si="7"/>
        <v>311o. SECUNDARIA</v>
      </c>
      <c r="C190" s="1" t="str">
        <f>"GUANAJUATO"</f>
        <v>GUANAJUATO</v>
      </c>
      <c r="D190" s="2">
        <v>6</v>
      </c>
      <c r="E190" s="3">
        <v>5.0000000000000001E-4</v>
      </c>
    </row>
    <row r="191" spans="2:5">
      <c r="B191" s="15" t="str">
        <f t="shared" si="7"/>
        <v>311o. SECUNDARIA</v>
      </c>
      <c r="C191" s="1" t="str">
        <f>"GUERRERO"</f>
        <v>GUERRERO</v>
      </c>
      <c r="D191" s="2">
        <v>6</v>
      </c>
      <c r="E191" s="3">
        <v>5.0000000000000001E-4</v>
      </c>
    </row>
    <row r="192" spans="2:5">
      <c r="B192" s="15" t="str">
        <f t="shared" si="7"/>
        <v>311o. SECUNDARIA</v>
      </c>
      <c r="C192" s="1" t="str">
        <f>"HIDALGO"</f>
        <v>HIDALGO</v>
      </c>
      <c r="D192" s="2">
        <v>3</v>
      </c>
      <c r="E192" s="3">
        <v>2.0000000000000001E-4</v>
      </c>
    </row>
    <row r="193" spans="2:5">
      <c r="B193" s="15" t="str">
        <f t="shared" si="7"/>
        <v>311o. SECUNDARIA</v>
      </c>
      <c r="C193" s="1" t="str">
        <f>"JALISCO"</f>
        <v>JALISCO</v>
      </c>
      <c r="D193" s="2">
        <v>2</v>
      </c>
      <c r="E193" s="3">
        <v>2.0000000000000001E-4</v>
      </c>
    </row>
    <row r="194" spans="2:5">
      <c r="B194" s="15" t="str">
        <f t="shared" si="7"/>
        <v>311o. SECUNDARIA</v>
      </c>
      <c r="C194" s="1" t="str">
        <f>"ESTADO DE MEXICO"</f>
        <v>ESTADO DE MEXICO</v>
      </c>
      <c r="D194" s="2">
        <v>15</v>
      </c>
      <c r="E194" s="3">
        <v>1.1999999999999999E-3</v>
      </c>
    </row>
    <row r="195" spans="2:5">
      <c r="B195" s="15" t="str">
        <f t="shared" si="7"/>
        <v>311o. SECUNDARIA</v>
      </c>
      <c r="C195" s="1" t="str">
        <f>"MICHOACAN DE OCAMPO"</f>
        <v>MICHOACAN DE OCAMPO</v>
      </c>
      <c r="D195" s="2">
        <v>10</v>
      </c>
      <c r="E195" s="3">
        <v>8.0000000000000004E-4</v>
      </c>
    </row>
    <row r="196" spans="2:5">
      <c r="B196" s="15" t="str">
        <f t="shared" si="7"/>
        <v>311o. SECUNDARIA</v>
      </c>
      <c r="C196" s="1" t="str">
        <f>"MORELOS"</f>
        <v>MORELOS</v>
      </c>
      <c r="D196" s="2">
        <v>4</v>
      </c>
      <c r="E196" s="3">
        <v>2.9999999999999997E-4</v>
      </c>
    </row>
    <row r="197" spans="2:5">
      <c r="B197" s="15" t="str">
        <f t="shared" si="7"/>
        <v>311o. SECUNDARIA</v>
      </c>
      <c r="C197" s="1" t="str">
        <f>"NUEVO LEON"</f>
        <v>NUEVO LEON</v>
      </c>
      <c r="D197" s="2">
        <v>2</v>
      </c>
      <c r="E197" s="3">
        <v>2.0000000000000001E-4</v>
      </c>
    </row>
    <row r="198" spans="2:5">
      <c r="B198" s="15" t="str">
        <f t="shared" si="7"/>
        <v>311o. SECUNDARIA</v>
      </c>
      <c r="C198" s="1" t="str">
        <f>"OAXACA"</f>
        <v>OAXACA</v>
      </c>
      <c r="D198" s="2">
        <v>6</v>
      </c>
      <c r="E198" s="3">
        <v>5.0000000000000001E-4</v>
      </c>
    </row>
    <row r="199" spans="2:5">
      <c r="B199" s="15" t="str">
        <f t="shared" si="7"/>
        <v>311o. SECUNDARIA</v>
      </c>
      <c r="C199" s="1" t="str">
        <f>"PUEBLA"</f>
        <v>PUEBLA</v>
      </c>
      <c r="D199" s="2">
        <v>6</v>
      </c>
      <c r="E199" s="3">
        <v>5.0000000000000001E-4</v>
      </c>
    </row>
    <row r="200" spans="2:5">
      <c r="B200" s="15" t="str">
        <f t="shared" si="7"/>
        <v>311o. SECUNDARIA</v>
      </c>
      <c r="C200" s="1" t="str">
        <f>"QUERETARO DE ARTEAGA"</f>
        <v>QUERETARO DE ARTEAGA</v>
      </c>
      <c r="D200" s="2">
        <v>1</v>
      </c>
      <c r="E200" s="3">
        <v>1E-4</v>
      </c>
    </row>
    <row r="201" spans="2:5">
      <c r="B201" s="15" t="str">
        <f t="shared" si="7"/>
        <v>311o. SECUNDARIA</v>
      </c>
      <c r="C201" s="1" t="str">
        <f>"SAN LUIS POTOSI"</f>
        <v>SAN LUIS POTOSI</v>
      </c>
      <c r="D201" s="2">
        <v>3</v>
      </c>
      <c r="E201" s="3">
        <v>2.0000000000000001E-4</v>
      </c>
    </row>
    <row r="202" spans="2:5">
      <c r="B202" s="15" t="str">
        <f t="shared" si="7"/>
        <v>311o. SECUNDARIA</v>
      </c>
      <c r="C202" s="1" t="str">
        <f>"SONORA"</f>
        <v>SONORA</v>
      </c>
      <c r="D202" s="2">
        <v>1</v>
      </c>
      <c r="E202" s="3">
        <v>1E-4</v>
      </c>
    </row>
    <row r="203" spans="2:5" ht="30">
      <c r="B203" s="15" t="str">
        <f t="shared" si="7"/>
        <v>311o. SECUNDARIA</v>
      </c>
      <c r="C203" s="1" t="str">
        <f>"VERACRUZ DE IGNACIO DE LA LLAVE"</f>
        <v>VERACRUZ DE IGNACIO DE LA LLAVE</v>
      </c>
      <c r="D203" s="2">
        <v>5</v>
      </c>
      <c r="E203" s="3">
        <v>4.0000000000000002E-4</v>
      </c>
    </row>
    <row r="204" spans="2:5">
      <c r="B204" s="15" t="str">
        <f t="shared" si="7"/>
        <v>311o. SECUNDARIA</v>
      </c>
      <c r="C204" s="1" t="str">
        <f>"ZACATECAS"</f>
        <v>ZACATECAS</v>
      </c>
      <c r="D204" s="2">
        <v>1</v>
      </c>
      <c r="E204" s="3">
        <v>1E-4</v>
      </c>
    </row>
    <row r="205" spans="2:5" ht="16.5">
      <c r="B205" s="15" t="str">
        <f t="shared" si="7"/>
        <v>311o. SECUNDARIA</v>
      </c>
      <c r="C205" s="6" t="str">
        <f>"Total"</f>
        <v>Total</v>
      </c>
      <c r="D205" s="7">
        <v>82</v>
      </c>
      <c r="E205" s="8">
        <v>6.6E-3</v>
      </c>
    </row>
    <row r="206" spans="2:5">
      <c r="B206" s="14" t="str">
        <f>"2o. SECUNDARIA"</f>
        <v>2o. SECUNDARIA</v>
      </c>
      <c r="C206" s="1" t="str">
        <f>"BAJA CALIFORNIA"</f>
        <v>BAJA CALIFORNIA</v>
      </c>
      <c r="D206" s="2">
        <v>1</v>
      </c>
      <c r="E206" s="3">
        <v>1E-4</v>
      </c>
    </row>
    <row r="207" spans="2:5">
      <c r="B207" s="15" t="str">
        <f t="shared" ref="B207:B228" si="8">"322o. SECUNDARIA"</f>
        <v>322o. SECUNDARIA</v>
      </c>
      <c r="C207" s="1" t="str">
        <f>"CHIAPAS"</f>
        <v>CHIAPAS</v>
      </c>
      <c r="D207" s="2">
        <v>2</v>
      </c>
      <c r="E207" s="3">
        <v>2.0000000000000001E-4</v>
      </c>
    </row>
    <row r="208" spans="2:5">
      <c r="B208" s="15" t="str">
        <f t="shared" si="8"/>
        <v>322o. SECUNDARIA</v>
      </c>
      <c r="C208" s="1" t="str">
        <f>"CHIHUAHUA"</f>
        <v>CHIHUAHUA</v>
      </c>
      <c r="D208" s="2">
        <v>2</v>
      </c>
      <c r="E208" s="3">
        <v>2.0000000000000001E-4</v>
      </c>
    </row>
    <row r="209" spans="2:5">
      <c r="B209" s="15" t="str">
        <f t="shared" si="8"/>
        <v>322o. SECUNDARIA</v>
      </c>
      <c r="C209" s="1" t="str">
        <f>"COLIMA"</f>
        <v>COLIMA</v>
      </c>
      <c r="D209" s="2">
        <v>1</v>
      </c>
      <c r="E209" s="3">
        <v>1E-4</v>
      </c>
    </row>
    <row r="210" spans="2:5">
      <c r="B210" s="15" t="str">
        <f t="shared" si="8"/>
        <v>322o. SECUNDARIA</v>
      </c>
      <c r="C210" s="1" t="str">
        <f>"DISTRITO FEDERAL"</f>
        <v>DISTRITO FEDERAL</v>
      </c>
      <c r="D210" s="2">
        <v>7</v>
      </c>
      <c r="E210" s="3">
        <v>5.9999999999999995E-4</v>
      </c>
    </row>
    <row r="211" spans="2:5">
      <c r="B211" s="15" t="str">
        <f t="shared" si="8"/>
        <v>322o. SECUNDARIA</v>
      </c>
      <c r="C211" s="1" t="str">
        <f>"DURANGO"</f>
        <v>DURANGO</v>
      </c>
      <c r="D211" s="2">
        <v>5</v>
      </c>
      <c r="E211" s="3">
        <v>4.0000000000000002E-4</v>
      </c>
    </row>
    <row r="212" spans="2:5">
      <c r="B212" s="15" t="str">
        <f t="shared" si="8"/>
        <v>322o. SECUNDARIA</v>
      </c>
      <c r="C212" s="1" t="str">
        <f>"GUANAJUATO"</f>
        <v>GUANAJUATO</v>
      </c>
      <c r="D212" s="2">
        <v>12</v>
      </c>
      <c r="E212" s="3">
        <v>1E-3</v>
      </c>
    </row>
    <row r="213" spans="2:5">
      <c r="B213" s="15" t="str">
        <f t="shared" si="8"/>
        <v>322o. SECUNDARIA</v>
      </c>
      <c r="C213" s="1" t="str">
        <f>"GUERRERO"</f>
        <v>GUERRERO</v>
      </c>
      <c r="D213" s="2">
        <v>6</v>
      </c>
      <c r="E213" s="3">
        <v>5.0000000000000001E-4</v>
      </c>
    </row>
    <row r="214" spans="2:5">
      <c r="B214" s="15" t="str">
        <f t="shared" si="8"/>
        <v>322o. SECUNDARIA</v>
      </c>
      <c r="C214" s="1" t="str">
        <f>"JALISCO"</f>
        <v>JALISCO</v>
      </c>
      <c r="D214" s="2">
        <v>9</v>
      </c>
      <c r="E214" s="3">
        <v>6.9999999999999999E-4</v>
      </c>
    </row>
    <row r="215" spans="2:5">
      <c r="B215" s="15" t="str">
        <f t="shared" si="8"/>
        <v>322o. SECUNDARIA</v>
      </c>
      <c r="C215" s="1" t="str">
        <f>"ESTADO DE MEXICO"</f>
        <v>ESTADO DE MEXICO</v>
      </c>
      <c r="D215" s="2">
        <v>8</v>
      </c>
      <c r="E215" s="3">
        <v>5.9999999999999995E-4</v>
      </c>
    </row>
    <row r="216" spans="2:5">
      <c r="B216" s="15" t="str">
        <f t="shared" si="8"/>
        <v>322o. SECUNDARIA</v>
      </c>
      <c r="C216" s="1" t="str">
        <f>"MICHOACAN DE OCAMPO"</f>
        <v>MICHOACAN DE OCAMPO</v>
      </c>
      <c r="D216" s="2">
        <v>13</v>
      </c>
      <c r="E216" s="3">
        <v>1E-3</v>
      </c>
    </row>
    <row r="217" spans="2:5">
      <c r="B217" s="15" t="str">
        <f t="shared" si="8"/>
        <v>322o. SECUNDARIA</v>
      </c>
      <c r="C217" s="1" t="str">
        <f>"MORELOS"</f>
        <v>MORELOS</v>
      </c>
      <c r="D217" s="2">
        <v>3</v>
      </c>
      <c r="E217" s="3">
        <v>2.0000000000000001E-4</v>
      </c>
    </row>
    <row r="218" spans="2:5">
      <c r="B218" s="15" t="str">
        <f t="shared" si="8"/>
        <v>322o. SECUNDARIA</v>
      </c>
      <c r="C218" s="1" t="str">
        <f>"NAYARIT"</f>
        <v>NAYARIT</v>
      </c>
      <c r="D218" s="2">
        <v>1</v>
      </c>
      <c r="E218" s="3">
        <v>1E-4</v>
      </c>
    </row>
    <row r="219" spans="2:5">
      <c r="B219" s="15" t="str">
        <f t="shared" si="8"/>
        <v>322o. SECUNDARIA</v>
      </c>
      <c r="C219" s="1" t="str">
        <f>"NUEVO LEON"</f>
        <v>NUEVO LEON</v>
      </c>
      <c r="D219" s="2">
        <v>1</v>
      </c>
      <c r="E219" s="3">
        <v>1E-4</v>
      </c>
    </row>
    <row r="220" spans="2:5">
      <c r="B220" s="15" t="str">
        <f t="shared" si="8"/>
        <v>322o. SECUNDARIA</v>
      </c>
      <c r="C220" s="1" t="str">
        <f>"OAXACA"</f>
        <v>OAXACA</v>
      </c>
      <c r="D220" s="2">
        <v>7</v>
      </c>
      <c r="E220" s="3">
        <v>5.9999999999999995E-4</v>
      </c>
    </row>
    <row r="221" spans="2:5">
      <c r="B221" s="15" t="str">
        <f t="shared" si="8"/>
        <v>322o. SECUNDARIA</v>
      </c>
      <c r="C221" s="1" t="str">
        <f>"PUEBLA"</f>
        <v>PUEBLA</v>
      </c>
      <c r="D221" s="2">
        <v>12</v>
      </c>
      <c r="E221" s="3">
        <v>1E-3</v>
      </c>
    </row>
    <row r="222" spans="2:5">
      <c r="B222" s="15" t="str">
        <f t="shared" si="8"/>
        <v>322o. SECUNDARIA</v>
      </c>
      <c r="C222" s="1" t="str">
        <f>"SAN LUIS POTOSI"</f>
        <v>SAN LUIS POTOSI</v>
      </c>
      <c r="D222" s="2">
        <v>5</v>
      </c>
      <c r="E222" s="3">
        <v>4.0000000000000002E-4</v>
      </c>
    </row>
    <row r="223" spans="2:5">
      <c r="B223" s="15" t="str">
        <f t="shared" si="8"/>
        <v>322o. SECUNDARIA</v>
      </c>
      <c r="C223" s="1" t="str">
        <f>"TAMAULIPAS"</f>
        <v>TAMAULIPAS</v>
      </c>
      <c r="D223" s="2">
        <v>3</v>
      </c>
      <c r="E223" s="3">
        <v>2.0000000000000001E-4</v>
      </c>
    </row>
    <row r="224" spans="2:5">
      <c r="B224" s="15" t="str">
        <f t="shared" si="8"/>
        <v>322o. SECUNDARIA</v>
      </c>
      <c r="C224" s="1" t="str">
        <f>"TLAXCALA"</f>
        <v>TLAXCALA</v>
      </c>
      <c r="D224" s="2">
        <v>3</v>
      </c>
      <c r="E224" s="3">
        <v>2.0000000000000001E-4</v>
      </c>
    </row>
    <row r="225" spans="2:5" ht="30">
      <c r="B225" s="15" t="str">
        <f t="shared" si="8"/>
        <v>322o. SECUNDARIA</v>
      </c>
      <c r="C225" s="1" t="str">
        <f>"VERACRUZ DE IGNACIO DE LA LLAVE"</f>
        <v>VERACRUZ DE IGNACIO DE LA LLAVE</v>
      </c>
      <c r="D225" s="2">
        <v>14</v>
      </c>
      <c r="E225" s="3">
        <v>1.1000000000000001E-3</v>
      </c>
    </row>
    <row r="226" spans="2:5">
      <c r="B226" s="15" t="str">
        <f t="shared" si="8"/>
        <v>322o. SECUNDARIA</v>
      </c>
      <c r="C226" s="1" t="str">
        <f>"YUCATAN"</f>
        <v>YUCATAN</v>
      </c>
      <c r="D226" s="2">
        <v>1</v>
      </c>
      <c r="E226" s="3">
        <v>1E-4</v>
      </c>
    </row>
    <row r="227" spans="2:5">
      <c r="B227" s="15" t="str">
        <f t="shared" si="8"/>
        <v>322o. SECUNDARIA</v>
      </c>
      <c r="C227" s="1" t="str">
        <f>"ZACATECAS"</f>
        <v>ZACATECAS</v>
      </c>
      <c r="D227" s="2">
        <v>2</v>
      </c>
      <c r="E227" s="3">
        <v>2.0000000000000001E-4</v>
      </c>
    </row>
    <row r="228" spans="2:5" ht="16.5">
      <c r="B228" s="15" t="str">
        <f t="shared" si="8"/>
        <v>322o. SECUNDARIA</v>
      </c>
      <c r="C228" s="6" t="str">
        <f>"Total"</f>
        <v>Total</v>
      </c>
      <c r="D228" s="7">
        <v>118</v>
      </c>
      <c r="E228" s="8">
        <v>9.4999999999999998E-3</v>
      </c>
    </row>
    <row r="229" spans="2:5">
      <c r="B229" s="14" t="str">
        <f>"3o. SECUNDARIA"</f>
        <v>3o. SECUNDARIA</v>
      </c>
      <c r="C229" s="1" t="str">
        <f>"AGUASCALIENTES"</f>
        <v>AGUASCALIENTES</v>
      </c>
      <c r="D229" s="2">
        <v>2</v>
      </c>
      <c r="E229" s="3">
        <v>2.0000000000000001E-4</v>
      </c>
    </row>
    <row r="230" spans="2:5">
      <c r="B230" s="15" t="str">
        <f t="shared" ref="B230:B255" si="9">"333o. SECUNDARIA"</f>
        <v>333o. SECUNDARIA</v>
      </c>
      <c r="C230" s="1" t="str">
        <f>"BAJA CALIFORNIA"</f>
        <v>BAJA CALIFORNIA</v>
      </c>
      <c r="D230" s="2">
        <v>1</v>
      </c>
      <c r="E230" s="3">
        <v>1E-4</v>
      </c>
    </row>
    <row r="231" spans="2:5">
      <c r="B231" s="15" t="str">
        <f t="shared" si="9"/>
        <v>333o. SECUNDARIA</v>
      </c>
      <c r="C231" s="1" t="str">
        <f>"CAMPECHE"</f>
        <v>CAMPECHE</v>
      </c>
      <c r="D231" s="2">
        <v>1</v>
      </c>
      <c r="E231" s="3">
        <v>1E-4</v>
      </c>
    </row>
    <row r="232" spans="2:5">
      <c r="B232" s="15" t="str">
        <f t="shared" si="9"/>
        <v>333o. SECUNDARIA</v>
      </c>
      <c r="C232" s="1" t="str">
        <f>"CHIAPAS"</f>
        <v>CHIAPAS</v>
      </c>
      <c r="D232" s="2">
        <v>6</v>
      </c>
      <c r="E232" s="3">
        <v>5.0000000000000001E-4</v>
      </c>
    </row>
    <row r="233" spans="2:5">
      <c r="B233" s="15" t="str">
        <f t="shared" si="9"/>
        <v>333o. SECUNDARIA</v>
      </c>
      <c r="C233" s="1" t="str">
        <f>"CHIHUAHUA"</f>
        <v>CHIHUAHUA</v>
      </c>
      <c r="D233" s="2">
        <v>2</v>
      </c>
      <c r="E233" s="3">
        <v>2.0000000000000001E-4</v>
      </c>
    </row>
    <row r="234" spans="2:5">
      <c r="B234" s="15" t="str">
        <f t="shared" si="9"/>
        <v>333o. SECUNDARIA</v>
      </c>
      <c r="C234" s="1" t="str">
        <f>"COAHUILA DE ZARAGOZA"</f>
        <v>COAHUILA DE ZARAGOZA</v>
      </c>
      <c r="D234" s="2">
        <v>2</v>
      </c>
      <c r="E234" s="3">
        <v>2.0000000000000001E-4</v>
      </c>
    </row>
    <row r="235" spans="2:5">
      <c r="B235" s="15" t="str">
        <f t="shared" si="9"/>
        <v>333o. SECUNDARIA</v>
      </c>
      <c r="C235" s="1" t="str">
        <f>"DISTRITO FEDERAL"</f>
        <v>DISTRITO FEDERAL</v>
      </c>
      <c r="D235" s="2">
        <v>16</v>
      </c>
      <c r="E235" s="3">
        <v>1.2999999999999999E-3</v>
      </c>
    </row>
    <row r="236" spans="2:5">
      <c r="B236" s="15" t="str">
        <f t="shared" si="9"/>
        <v>333o. SECUNDARIA</v>
      </c>
      <c r="C236" s="1" t="str">
        <f>"DURANGO"</f>
        <v>DURANGO</v>
      </c>
      <c r="D236" s="2">
        <v>2</v>
      </c>
      <c r="E236" s="3">
        <v>2.0000000000000001E-4</v>
      </c>
    </row>
    <row r="237" spans="2:5">
      <c r="B237" s="15" t="str">
        <f t="shared" si="9"/>
        <v>333o. SECUNDARIA</v>
      </c>
      <c r="C237" s="1" t="str">
        <f>"GUANAJUATO"</f>
        <v>GUANAJUATO</v>
      </c>
      <c r="D237" s="2">
        <v>9</v>
      </c>
      <c r="E237" s="3">
        <v>6.9999999999999999E-4</v>
      </c>
    </row>
    <row r="238" spans="2:5">
      <c r="B238" s="15" t="str">
        <f t="shared" si="9"/>
        <v>333o. SECUNDARIA</v>
      </c>
      <c r="C238" s="1" t="str">
        <f>"GUERRERO"</f>
        <v>GUERRERO</v>
      </c>
      <c r="D238" s="2">
        <v>6</v>
      </c>
      <c r="E238" s="3">
        <v>5.0000000000000001E-4</v>
      </c>
    </row>
    <row r="239" spans="2:5">
      <c r="B239" s="15" t="str">
        <f t="shared" si="9"/>
        <v>333o. SECUNDARIA</v>
      </c>
      <c r="C239" s="1" t="str">
        <f>"HIDALGO"</f>
        <v>HIDALGO</v>
      </c>
      <c r="D239" s="2">
        <v>1</v>
      </c>
      <c r="E239" s="3">
        <v>1E-4</v>
      </c>
    </row>
    <row r="240" spans="2:5">
      <c r="B240" s="15" t="str">
        <f t="shared" si="9"/>
        <v>333o. SECUNDARIA</v>
      </c>
      <c r="C240" s="1" t="str">
        <f>"JALISCO"</f>
        <v>JALISCO</v>
      </c>
      <c r="D240" s="2">
        <v>9</v>
      </c>
      <c r="E240" s="3">
        <v>6.9999999999999999E-4</v>
      </c>
    </row>
    <row r="241" spans="2:5">
      <c r="B241" s="15" t="str">
        <f t="shared" si="9"/>
        <v>333o. SECUNDARIA</v>
      </c>
      <c r="C241" s="1" t="str">
        <f>"ESTADO DE MEXICO"</f>
        <v>ESTADO DE MEXICO</v>
      </c>
      <c r="D241" s="2">
        <v>38</v>
      </c>
      <c r="E241" s="3">
        <v>3.0000000000000001E-3</v>
      </c>
    </row>
    <row r="242" spans="2:5">
      <c r="B242" s="15" t="str">
        <f t="shared" si="9"/>
        <v>333o. SECUNDARIA</v>
      </c>
      <c r="C242" s="1" t="str">
        <f>"MICHOACAN DE OCAMPO"</f>
        <v>MICHOACAN DE OCAMPO</v>
      </c>
      <c r="D242" s="2">
        <v>9</v>
      </c>
      <c r="E242" s="3">
        <v>6.9999999999999999E-4</v>
      </c>
    </row>
    <row r="243" spans="2:5">
      <c r="B243" s="15" t="str">
        <f t="shared" si="9"/>
        <v>333o. SECUNDARIA</v>
      </c>
      <c r="C243" s="1" t="str">
        <f>"MORELOS"</f>
        <v>MORELOS</v>
      </c>
      <c r="D243" s="2">
        <v>5</v>
      </c>
      <c r="E243" s="3">
        <v>4.0000000000000002E-4</v>
      </c>
    </row>
    <row r="244" spans="2:5">
      <c r="B244" s="15" t="str">
        <f t="shared" si="9"/>
        <v>333o. SECUNDARIA</v>
      </c>
      <c r="C244" s="1" t="str">
        <f>"NAYARIT"</f>
        <v>NAYARIT</v>
      </c>
      <c r="D244" s="2">
        <v>2</v>
      </c>
      <c r="E244" s="3">
        <v>2.0000000000000001E-4</v>
      </c>
    </row>
    <row r="245" spans="2:5">
      <c r="B245" s="15" t="str">
        <f t="shared" si="9"/>
        <v>333o. SECUNDARIA</v>
      </c>
      <c r="C245" s="1" t="str">
        <f>"NUEVO LEON"</f>
        <v>NUEVO LEON</v>
      </c>
      <c r="D245" s="2">
        <v>1</v>
      </c>
      <c r="E245" s="3">
        <v>1E-4</v>
      </c>
    </row>
    <row r="246" spans="2:5">
      <c r="B246" s="15" t="str">
        <f t="shared" si="9"/>
        <v>333o. SECUNDARIA</v>
      </c>
      <c r="C246" s="1" t="str">
        <f>"OAXACA"</f>
        <v>OAXACA</v>
      </c>
      <c r="D246" s="2">
        <v>13</v>
      </c>
      <c r="E246" s="3">
        <v>1E-3</v>
      </c>
    </row>
    <row r="247" spans="2:5">
      <c r="B247" s="15" t="str">
        <f t="shared" si="9"/>
        <v>333o. SECUNDARIA</v>
      </c>
      <c r="C247" s="1" t="str">
        <f>"PUEBLA"</f>
        <v>PUEBLA</v>
      </c>
      <c r="D247" s="2">
        <v>20</v>
      </c>
      <c r="E247" s="3">
        <v>1.6000000000000001E-3</v>
      </c>
    </row>
    <row r="248" spans="2:5">
      <c r="B248" s="15" t="str">
        <f t="shared" si="9"/>
        <v>333o. SECUNDARIA</v>
      </c>
      <c r="C248" s="1" t="str">
        <f>"QUERETARO DE ARTEAGA"</f>
        <v>QUERETARO DE ARTEAGA</v>
      </c>
      <c r="D248" s="2">
        <v>4</v>
      </c>
      <c r="E248" s="3">
        <v>2.9999999999999997E-4</v>
      </c>
    </row>
    <row r="249" spans="2:5">
      <c r="B249" s="15" t="str">
        <f t="shared" si="9"/>
        <v>333o. SECUNDARIA</v>
      </c>
      <c r="C249" s="1" t="str">
        <f>"SAN LUIS POTOSI"</f>
        <v>SAN LUIS POTOSI</v>
      </c>
      <c r="D249" s="2">
        <v>9</v>
      </c>
      <c r="E249" s="3">
        <v>6.9999999999999999E-4</v>
      </c>
    </row>
    <row r="250" spans="2:5">
      <c r="B250" s="15" t="str">
        <f t="shared" si="9"/>
        <v>333o. SECUNDARIA</v>
      </c>
      <c r="C250" s="1" t="str">
        <f>"TABASCO"</f>
        <v>TABASCO</v>
      </c>
      <c r="D250" s="2">
        <v>4</v>
      </c>
      <c r="E250" s="3">
        <v>2.9999999999999997E-4</v>
      </c>
    </row>
    <row r="251" spans="2:5">
      <c r="B251" s="15" t="str">
        <f t="shared" si="9"/>
        <v>333o. SECUNDARIA</v>
      </c>
      <c r="C251" s="1" t="str">
        <f>"TAMAULIPAS"</f>
        <v>TAMAULIPAS</v>
      </c>
      <c r="D251" s="2">
        <v>1</v>
      </c>
      <c r="E251" s="3">
        <v>1E-4</v>
      </c>
    </row>
    <row r="252" spans="2:5">
      <c r="B252" s="15" t="str">
        <f t="shared" si="9"/>
        <v>333o. SECUNDARIA</v>
      </c>
      <c r="C252" s="1" t="str">
        <f>"TLAXCALA"</f>
        <v>TLAXCALA</v>
      </c>
      <c r="D252" s="2">
        <v>2</v>
      </c>
      <c r="E252" s="3">
        <v>2.0000000000000001E-4</v>
      </c>
    </row>
    <row r="253" spans="2:5" ht="30">
      <c r="B253" s="15" t="str">
        <f t="shared" si="9"/>
        <v>333o. SECUNDARIA</v>
      </c>
      <c r="C253" s="1" t="str">
        <f>"VERACRUZ DE IGNACIO DE LA LLAVE"</f>
        <v>VERACRUZ DE IGNACIO DE LA LLAVE</v>
      </c>
      <c r="D253" s="2">
        <v>19</v>
      </c>
      <c r="E253" s="3">
        <v>1.5E-3</v>
      </c>
    </row>
    <row r="254" spans="2:5">
      <c r="B254" s="15" t="str">
        <f t="shared" si="9"/>
        <v>333o. SECUNDARIA</v>
      </c>
      <c r="C254" s="1" t="str">
        <f>"ZACATECAS"</f>
        <v>ZACATECAS</v>
      </c>
      <c r="D254" s="2">
        <v>5</v>
      </c>
      <c r="E254" s="3">
        <v>4.0000000000000002E-4</v>
      </c>
    </row>
    <row r="255" spans="2:5" ht="16.5">
      <c r="B255" s="15" t="str">
        <f t="shared" si="9"/>
        <v>333o. SECUNDARIA</v>
      </c>
      <c r="C255" s="6" t="str">
        <f>"Total"</f>
        <v>Total</v>
      </c>
      <c r="D255" s="7">
        <v>189</v>
      </c>
      <c r="E255" s="8">
        <v>1.52E-2</v>
      </c>
    </row>
    <row r="256" spans="2:5" ht="15" customHeight="1">
      <c r="B256" s="14" t="str">
        <f>"SECUNDARIA CON CERTIFICADO"</f>
        <v>SECUNDARIA CON CERTIFICADO</v>
      </c>
      <c r="C256" s="1" t="str">
        <f>"AGUASCALIENTES"</f>
        <v>AGUASCALIENTES</v>
      </c>
      <c r="D256" s="2">
        <v>171</v>
      </c>
      <c r="E256" s="3">
        <v>1.37E-2</v>
      </c>
    </row>
    <row r="257" spans="2:5" ht="15" customHeight="1">
      <c r="B257" s="15"/>
      <c r="C257" s="1" t="str">
        <f>"BAJA CALIFORNIA"</f>
        <v>BAJA CALIFORNIA</v>
      </c>
      <c r="D257" s="2">
        <v>11</v>
      </c>
      <c r="E257" s="3">
        <v>8.9999999999999998E-4</v>
      </c>
    </row>
    <row r="258" spans="2:5" ht="15" customHeight="1">
      <c r="B258" s="15"/>
      <c r="C258" s="1" t="str">
        <f>"CAMPECHE"</f>
        <v>CAMPECHE</v>
      </c>
      <c r="D258" s="2">
        <v>12</v>
      </c>
      <c r="E258" s="3">
        <v>1E-3</v>
      </c>
    </row>
    <row r="259" spans="2:5" ht="15" customHeight="1">
      <c r="B259" s="15"/>
      <c r="C259" s="1" t="str">
        <f>"CHIAPAS"</f>
        <v>CHIAPAS</v>
      </c>
      <c r="D259" s="2">
        <v>92</v>
      </c>
      <c r="E259" s="3">
        <v>7.4000000000000003E-3</v>
      </c>
    </row>
    <row r="260" spans="2:5" ht="15" customHeight="1">
      <c r="B260" s="15"/>
      <c r="C260" s="1" t="str">
        <f>"CHIHUAHUA"</f>
        <v>CHIHUAHUA</v>
      </c>
      <c r="D260" s="2">
        <v>47</v>
      </c>
      <c r="E260" s="3">
        <v>3.8E-3</v>
      </c>
    </row>
    <row r="261" spans="2:5" ht="15" customHeight="1">
      <c r="B261" s="15"/>
      <c r="C261" s="1" t="str">
        <f>"COAHUILA DE ZARAGOZA"</f>
        <v>COAHUILA DE ZARAGOZA</v>
      </c>
      <c r="D261" s="2">
        <v>33</v>
      </c>
      <c r="E261" s="3">
        <v>2.5999999999999999E-3</v>
      </c>
    </row>
    <row r="262" spans="2:5" ht="15" customHeight="1">
      <c r="B262" s="15"/>
      <c r="C262" s="1" t="str">
        <f>"COLIMA"</f>
        <v>COLIMA</v>
      </c>
      <c r="D262" s="2">
        <v>9</v>
      </c>
      <c r="E262" s="3">
        <v>6.9999999999999999E-4</v>
      </c>
    </row>
    <row r="263" spans="2:5" ht="15" customHeight="1">
      <c r="B263" s="15"/>
      <c r="C263" s="1" t="str">
        <f>"DISTRITO FEDERAL"</f>
        <v>DISTRITO FEDERAL</v>
      </c>
      <c r="D263" s="2">
        <v>398</v>
      </c>
      <c r="E263" s="3">
        <v>3.1899999999999998E-2</v>
      </c>
    </row>
    <row r="264" spans="2:5" ht="15" customHeight="1">
      <c r="B264" s="15"/>
      <c r="C264" s="1" t="str">
        <f>"DURANGO"</f>
        <v>DURANGO</v>
      </c>
      <c r="D264" s="2">
        <v>105</v>
      </c>
      <c r="E264" s="3">
        <v>8.3999999999999995E-3</v>
      </c>
    </row>
    <row r="265" spans="2:5" ht="15" customHeight="1">
      <c r="B265" s="15"/>
      <c r="C265" s="1" t="str">
        <f>"GUANAJUATO"</f>
        <v>GUANAJUATO</v>
      </c>
      <c r="D265" s="2">
        <v>340</v>
      </c>
      <c r="E265" s="3">
        <v>2.7300000000000001E-2</v>
      </c>
    </row>
    <row r="266" spans="2:5" ht="15" customHeight="1">
      <c r="B266" s="15"/>
      <c r="C266" s="1" t="str">
        <f>"GUERRERO"</f>
        <v>GUERRERO</v>
      </c>
      <c r="D266" s="2">
        <v>232</v>
      </c>
      <c r="E266" s="3">
        <v>1.8599999999999998E-2</v>
      </c>
    </row>
    <row r="267" spans="2:5" ht="15" customHeight="1">
      <c r="B267" s="15"/>
      <c r="C267" s="1" t="str">
        <f>"HIDALGO"</f>
        <v>HIDALGO</v>
      </c>
      <c r="D267" s="2">
        <v>122</v>
      </c>
      <c r="E267" s="3">
        <v>9.7999999999999997E-3</v>
      </c>
    </row>
    <row r="268" spans="2:5" ht="15" customHeight="1">
      <c r="B268" s="15"/>
      <c r="C268" s="1" t="str">
        <f>"JALISCO"</f>
        <v>JALISCO</v>
      </c>
      <c r="D268" s="2">
        <v>302</v>
      </c>
      <c r="E268" s="3">
        <v>2.4199999999999999E-2</v>
      </c>
    </row>
    <row r="269" spans="2:5" ht="15" customHeight="1">
      <c r="B269" s="15"/>
      <c r="C269" s="1" t="str">
        <f>"ESTADO DE MEXICO"</f>
        <v>ESTADO DE MEXICO</v>
      </c>
      <c r="D269" s="2">
        <v>469</v>
      </c>
      <c r="E269" s="3">
        <v>3.7600000000000001E-2</v>
      </c>
    </row>
    <row r="270" spans="2:5" ht="15" customHeight="1">
      <c r="B270" s="15"/>
      <c r="C270" s="1" t="str">
        <f>"MICHOACAN DE OCAMPO"</f>
        <v>MICHOACAN DE OCAMPO</v>
      </c>
      <c r="D270" s="2">
        <v>337</v>
      </c>
      <c r="E270" s="3">
        <v>2.7E-2</v>
      </c>
    </row>
    <row r="271" spans="2:5" ht="15" customHeight="1">
      <c r="B271" s="15"/>
      <c r="C271" s="1" t="str">
        <f>"MORELOS"</f>
        <v>MORELOS</v>
      </c>
      <c r="D271" s="2">
        <v>159</v>
      </c>
      <c r="E271" s="3">
        <v>1.2800000000000001E-2</v>
      </c>
    </row>
    <row r="272" spans="2:5" ht="15" customHeight="1">
      <c r="B272" s="15"/>
      <c r="C272" s="1" t="str">
        <f>"NAYARIT"</f>
        <v>NAYARIT</v>
      </c>
      <c r="D272" s="2">
        <v>28</v>
      </c>
      <c r="E272" s="3">
        <v>2.2000000000000001E-3</v>
      </c>
    </row>
    <row r="273" spans="2:5" ht="15" customHeight="1">
      <c r="B273" s="15"/>
      <c r="C273" s="1" t="str">
        <f>"NUEVO LEON"</f>
        <v>NUEVO LEON</v>
      </c>
      <c r="D273" s="2">
        <v>36</v>
      </c>
      <c r="E273" s="3">
        <v>2.8999999999999998E-3</v>
      </c>
    </row>
    <row r="274" spans="2:5" ht="15" customHeight="1">
      <c r="B274" s="15"/>
      <c r="C274" s="1" t="str">
        <f>"OAXACA"</f>
        <v>OAXACA</v>
      </c>
      <c r="D274" s="2">
        <v>305</v>
      </c>
      <c r="E274" s="3">
        <v>2.4500000000000001E-2</v>
      </c>
    </row>
    <row r="275" spans="2:5" ht="15" customHeight="1">
      <c r="B275" s="15"/>
      <c r="C275" s="1" t="str">
        <f>"PUEBLA"</f>
        <v>PUEBLA</v>
      </c>
      <c r="D275" s="2">
        <v>448</v>
      </c>
      <c r="E275" s="3">
        <v>3.5900000000000001E-2</v>
      </c>
    </row>
    <row r="276" spans="2:5" ht="15" customHeight="1">
      <c r="B276" s="15"/>
      <c r="C276" s="1" t="str">
        <f>"QUERETARO DE ARTEAGA"</f>
        <v>QUERETARO DE ARTEAGA</v>
      </c>
      <c r="D276" s="2">
        <v>69</v>
      </c>
      <c r="E276" s="3">
        <v>5.4999999999999997E-3</v>
      </c>
    </row>
    <row r="277" spans="2:5" ht="15" customHeight="1">
      <c r="B277" s="15"/>
      <c r="C277" s="1" t="str">
        <f>"QUINTANA ROO"</f>
        <v>QUINTANA ROO</v>
      </c>
      <c r="D277" s="2">
        <v>3</v>
      </c>
      <c r="E277" s="3">
        <v>2.0000000000000001E-4</v>
      </c>
    </row>
    <row r="278" spans="2:5" ht="15" customHeight="1">
      <c r="B278" s="15"/>
      <c r="C278" s="1" t="str">
        <f>"SAN LUIS POTOSI"</f>
        <v>SAN LUIS POTOSI</v>
      </c>
      <c r="D278" s="2">
        <v>123</v>
      </c>
      <c r="E278" s="3">
        <v>9.9000000000000008E-3</v>
      </c>
    </row>
    <row r="279" spans="2:5" ht="15" customHeight="1">
      <c r="B279" s="15"/>
      <c r="C279" s="1" t="str">
        <f>"SINALOA"</f>
        <v>SINALOA</v>
      </c>
      <c r="D279" s="2">
        <v>13</v>
      </c>
      <c r="E279" s="3">
        <v>1E-3</v>
      </c>
    </row>
    <row r="280" spans="2:5" ht="15" customHeight="1">
      <c r="B280" s="15"/>
      <c r="C280" s="1" t="str">
        <f>"SONORA"</f>
        <v>SONORA</v>
      </c>
      <c r="D280" s="2">
        <v>19</v>
      </c>
      <c r="E280" s="3">
        <v>1.5E-3</v>
      </c>
    </row>
    <row r="281" spans="2:5" ht="15" customHeight="1">
      <c r="B281" s="15"/>
      <c r="C281" s="1" t="str">
        <f>"TABASCO"</f>
        <v>TABASCO</v>
      </c>
      <c r="D281" s="2">
        <v>29</v>
      </c>
      <c r="E281" s="3">
        <v>2.3E-3</v>
      </c>
    </row>
    <row r="282" spans="2:5" ht="15" customHeight="1">
      <c r="B282" s="15"/>
      <c r="C282" s="1" t="str">
        <f>"TAMAULIPAS"</f>
        <v>TAMAULIPAS</v>
      </c>
      <c r="D282" s="2">
        <v>64</v>
      </c>
      <c r="E282" s="3">
        <v>5.1000000000000004E-3</v>
      </c>
    </row>
    <row r="283" spans="2:5" ht="15" customHeight="1">
      <c r="B283" s="15"/>
      <c r="C283" s="1" t="str">
        <f>"TLAXCALA"</f>
        <v>TLAXCALA</v>
      </c>
      <c r="D283" s="2">
        <v>59</v>
      </c>
      <c r="E283" s="3">
        <v>4.7000000000000002E-3</v>
      </c>
    </row>
    <row r="284" spans="2:5" ht="30">
      <c r="B284" s="15"/>
      <c r="C284" s="1" t="str">
        <f>"VERACRUZ DE IGNACIO DE LA LLAVE"</f>
        <v>VERACRUZ DE IGNACIO DE LA LLAVE</v>
      </c>
      <c r="D284" s="2">
        <v>489</v>
      </c>
      <c r="E284" s="3">
        <v>3.9199999999999999E-2</v>
      </c>
    </row>
    <row r="285" spans="2:5" ht="15" customHeight="1">
      <c r="B285" s="15"/>
      <c r="C285" s="1" t="str">
        <f>"YUCATAN"</f>
        <v>YUCATAN</v>
      </c>
      <c r="D285" s="2">
        <v>1</v>
      </c>
      <c r="E285" s="3">
        <v>1E-4</v>
      </c>
    </row>
    <row r="286" spans="2:5" ht="15" customHeight="1">
      <c r="B286" s="15"/>
      <c r="C286" s="1" t="str">
        <f>"ZACATECAS"</f>
        <v>ZACATECAS</v>
      </c>
      <c r="D286" s="2">
        <v>98</v>
      </c>
      <c r="E286" s="3">
        <v>7.9000000000000008E-3</v>
      </c>
    </row>
    <row r="287" spans="2:5" ht="15" customHeight="1">
      <c r="B287" s="16"/>
      <c r="C287" s="6" t="str">
        <f>"Total"</f>
        <v>Total</v>
      </c>
      <c r="D287" s="7">
        <v>4623</v>
      </c>
      <c r="E287" s="8">
        <v>0.37069999999999997</v>
      </c>
    </row>
    <row r="288" spans="2:5">
      <c r="B288" s="14" t="str">
        <f>"CAPACITACION TECNICA"</f>
        <v>CAPACITACION TECNICA</v>
      </c>
      <c r="C288" s="1" t="str">
        <f>"AGUASCALIENTES"</f>
        <v>AGUASCALIENTES</v>
      </c>
      <c r="D288" s="2">
        <v>7</v>
      </c>
      <c r="E288" s="3">
        <v>5.9999999999999995E-4</v>
      </c>
    </row>
    <row r="289" spans="2:5">
      <c r="B289" s="15" t="str">
        <f t="shared" ref="B289:B316" si="10">"41CAPACITACION TECNICA"</f>
        <v>41CAPACITACION TECNICA</v>
      </c>
      <c r="C289" s="1" t="str">
        <f>"BAJA CALIFORNIA"</f>
        <v>BAJA CALIFORNIA</v>
      </c>
      <c r="D289" s="2">
        <v>2</v>
      </c>
      <c r="E289" s="3">
        <v>2.0000000000000001E-4</v>
      </c>
    </row>
    <row r="290" spans="2:5">
      <c r="B290" s="15" t="str">
        <f t="shared" si="10"/>
        <v>41CAPACITACION TECNICA</v>
      </c>
      <c r="C290" s="1" t="str">
        <f>"CAMPECHE"</f>
        <v>CAMPECHE</v>
      </c>
      <c r="D290" s="2">
        <v>1</v>
      </c>
      <c r="E290" s="3">
        <v>1E-4</v>
      </c>
    </row>
    <row r="291" spans="2:5">
      <c r="B291" s="15" t="str">
        <f t="shared" si="10"/>
        <v>41CAPACITACION TECNICA</v>
      </c>
      <c r="C291" s="1" t="str">
        <f>"CHIAPAS"</f>
        <v>CHIAPAS</v>
      </c>
      <c r="D291" s="2">
        <v>3</v>
      </c>
      <c r="E291" s="3">
        <v>2.0000000000000001E-4</v>
      </c>
    </row>
    <row r="292" spans="2:5">
      <c r="B292" s="15" t="str">
        <f t="shared" si="10"/>
        <v>41CAPACITACION TECNICA</v>
      </c>
      <c r="C292" s="1" t="str">
        <f>"CHIHUAHUA"</f>
        <v>CHIHUAHUA</v>
      </c>
      <c r="D292" s="2">
        <v>5</v>
      </c>
      <c r="E292" s="3">
        <v>4.0000000000000002E-4</v>
      </c>
    </row>
    <row r="293" spans="2:5">
      <c r="B293" s="15" t="str">
        <f t="shared" si="10"/>
        <v>41CAPACITACION TECNICA</v>
      </c>
      <c r="C293" s="1" t="str">
        <f>"COAHUILA DE ZARAGOZA"</f>
        <v>COAHUILA DE ZARAGOZA</v>
      </c>
      <c r="D293" s="2">
        <v>3</v>
      </c>
      <c r="E293" s="3">
        <v>2.0000000000000001E-4</v>
      </c>
    </row>
    <row r="294" spans="2:5">
      <c r="B294" s="15" t="str">
        <f t="shared" si="10"/>
        <v>41CAPACITACION TECNICA</v>
      </c>
      <c r="C294" s="1" t="str">
        <f>"DISTRITO FEDERAL"</f>
        <v>DISTRITO FEDERAL</v>
      </c>
      <c r="D294" s="2">
        <v>36</v>
      </c>
      <c r="E294" s="3">
        <v>2.8999999999999998E-3</v>
      </c>
    </row>
    <row r="295" spans="2:5">
      <c r="B295" s="15" t="str">
        <f t="shared" si="10"/>
        <v>41CAPACITACION TECNICA</v>
      </c>
      <c r="C295" s="1" t="str">
        <f>"DURANGO"</f>
        <v>DURANGO</v>
      </c>
      <c r="D295" s="2">
        <v>4</v>
      </c>
      <c r="E295" s="3">
        <v>2.9999999999999997E-4</v>
      </c>
    </row>
    <row r="296" spans="2:5">
      <c r="B296" s="15" t="str">
        <f t="shared" si="10"/>
        <v>41CAPACITACION TECNICA</v>
      </c>
      <c r="C296" s="1" t="str">
        <f>"GUANAJUATO"</f>
        <v>GUANAJUATO</v>
      </c>
      <c r="D296" s="2">
        <v>8</v>
      </c>
      <c r="E296" s="3">
        <v>5.9999999999999995E-4</v>
      </c>
    </row>
    <row r="297" spans="2:5">
      <c r="B297" s="15" t="str">
        <f t="shared" si="10"/>
        <v>41CAPACITACION TECNICA</v>
      </c>
      <c r="C297" s="1" t="str">
        <f>"GUERRERO"</f>
        <v>GUERRERO</v>
      </c>
      <c r="D297" s="2">
        <v>6</v>
      </c>
      <c r="E297" s="3">
        <v>5.0000000000000001E-4</v>
      </c>
    </row>
    <row r="298" spans="2:5">
      <c r="B298" s="15" t="str">
        <f t="shared" si="10"/>
        <v>41CAPACITACION TECNICA</v>
      </c>
      <c r="C298" s="1" t="str">
        <f>"HIDALGO"</f>
        <v>HIDALGO</v>
      </c>
      <c r="D298" s="2">
        <v>5</v>
      </c>
      <c r="E298" s="3">
        <v>4.0000000000000002E-4</v>
      </c>
    </row>
    <row r="299" spans="2:5">
      <c r="B299" s="15" t="str">
        <f t="shared" si="10"/>
        <v>41CAPACITACION TECNICA</v>
      </c>
      <c r="C299" s="1" t="str">
        <f>"JALISCO"</f>
        <v>JALISCO</v>
      </c>
      <c r="D299" s="2">
        <v>9</v>
      </c>
      <c r="E299" s="3">
        <v>6.9999999999999999E-4</v>
      </c>
    </row>
    <row r="300" spans="2:5">
      <c r="B300" s="15" t="str">
        <f t="shared" si="10"/>
        <v>41CAPACITACION TECNICA</v>
      </c>
      <c r="C300" s="1" t="str">
        <f>"ESTADO DE MEXICO"</f>
        <v>ESTADO DE MEXICO</v>
      </c>
      <c r="D300" s="2">
        <v>19</v>
      </c>
      <c r="E300" s="3">
        <v>1.5E-3</v>
      </c>
    </row>
    <row r="301" spans="2:5">
      <c r="B301" s="15" t="str">
        <f t="shared" si="10"/>
        <v>41CAPACITACION TECNICA</v>
      </c>
      <c r="C301" s="1" t="str">
        <f>"MICHOACAN DE OCAMPO"</f>
        <v>MICHOACAN DE OCAMPO</v>
      </c>
      <c r="D301" s="2">
        <v>15</v>
      </c>
      <c r="E301" s="3">
        <v>1.1999999999999999E-3</v>
      </c>
    </row>
    <row r="302" spans="2:5">
      <c r="B302" s="15" t="str">
        <f t="shared" si="10"/>
        <v>41CAPACITACION TECNICA</v>
      </c>
      <c r="C302" s="1" t="str">
        <f>"MORELOS"</f>
        <v>MORELOS</v>
      </c>
      <c r="D302" s="2">
        <v>14</v>
      </c>
      <c r="E302" s="3">
        <v>1.1000000000000001E-3</v>
      </c>
    </row>
    <row r="303" spans="2:5">
      <c r="B303" s="15" t="str">
        <f t="shared" si="10"/>
        <v>41CAPACITACION TECNICA</v>
      </c>
      <c r="C303" s="1" t="str">
        <f>"NAYARIT"</f>
        <v>NAYARIT</v>
      </c>
      <c r="D303" s="2">
        <v>1</v>
      </c>
      <c r="E303" s="3">
        <v>1E-4</v>
      </c>
    </row>
    <row r="304" spans="2:5">
      <c r="B304" s="15" t="str">
        <f t="shared" si="10"/>
        <v>41CAPACITACION TECNICA</v>
      </c>
      <c r="C304" s="1" t="str">
        <f>"NUEVO LEON"</f>
        <v>NUEVO LEON</v>
      </c>
      <c r="D304" s="2">
        <v>6</v>
      </c>
      <c r="E304" s="3">
        <v>5.0000000000000001E-4</v>
      </c>
    </row>
    <row r="305" spans="2:5">
      <c r="B305" s="15" t="str">
        <f t="shared" si="10"/>
        <v>41CAPACITACION TECNICA</v>
      </c>
      <c r="C305" s="1" t="str">
        <f>"OAXACA"</f>
        <v>OAXACA</v>
      </c>
      <c r="D305" s="2">
        <v>9</v>
      </c>
      <c r="E305" s="3">
        <v>6.9999999999999999E-4</v>
      </c>
    </row>
    <row r="306" spans="2:5">
      <c r="B306" s="15" t="str">
        <f t="shared" si="10"/>
        <v>41CAPACITACION TECNICA</v>
      </c>
      <c r="C306" s="1" t="str">
        <f>"PUEBLA"</f>
        <v>PUEBLA</v>
      </c>
      <c r="D306" s="2">
        <v>13</v>
      </c>
      <c r="E306" s="3">
        <v>1E-3</v>
      </c>
    </row>
    <row r="307" spans="2:5">
      <c r="B307" s="15" t="str">
        <f t="shared" si="10"/>
        <v>41CAPACITACION TECNICA</v>
      </c>
      <c r="C307" s="1" t="str">
        <f>"QUERETARO DE ARTEAGA"</f>
        <v>QUERETARO DE ARTEAGA</v>
      </c>
      <c r="D307" s="2">
        <v>1</v>
      </c>
      <c r="E307" s="3">
        <v>1E-4</v>
      </c>
    </row>
    <row r="308" spans="2:5">
      <c r="B308" s="15" t="str">
        <f t="shared" si="10"/>
        <v>41CAPACITACION TECNICA</v>
      </c>
      <c r="C308" s="1" t="str">
        <f>"SAN LUIS POTOSI"</f>
        <v>SAN LUIS POTOSI</v>
      </c>
      <c r="D308" s="2">
        <v>8</v>
      </c>
      <c r="E308" s="3">
        <v>5.9999999999999995E-4</v>
      </c>
    </row>
    <row r="309" spans="2:5">
      <c r="B309" s="15" t="str">
        <f t="shared" si="10"/>
        <v>41CAPACITACION TECNICA</v>
      </c>
      <c r="C309" s="1" t="str">
        <f>"SINALOA"</f>
        <v>SINALOA</v>
      </c>
      <c r="D309" s="2">
        <v>2</v>
      </c>
      <c r="E309" s="3">
        <v>2.0000000000000001E-4</v>
      </c>
    </row>
    <row r="310" spans="2:5">
      <c r="B310" s="15" t="str">
        <f t="shared" si="10"/>
        <v>41CAPACITACION TECNICA</v>
      </c>
      <c r="C310" s="1" t="str">
        <f>"SONORA"</f>
        <v>SONORA</v>
      </c>
      <c r="D310" s="2">
        <v>2</v>
      </c>
      <c r="E310" s="3">
        <v>2.0000000000000001E-4</v>
      </c>
    </row>
    <row r="311" spans="2:5">
      <c r="B311" s="15" t="str">
        <f t="shared" si="10"/>
        <v>41CAPACITACION TECNICA</v>
      </c>
      <c r="C311" s="1" t="str">
        <f>"TABASCO"</f>
        <v>TABASCO</v>
      </c>
      <c r="D311" s="2">
        <v>2</v>
      </c>
      <c r="E311" s="3">
        <v>2.0000000000000001E-4</v>
      </c>
    </row>
    <row r="312" spans="2:5">
      <c r="B312" s="15" t="str">
        <f t="shared" si="10"/>
        <v>41CAPACITACION TECNICA</v>
      </c>
      <c r="C312" s="1" t="str">
        <f>"TAMAULIPAS"</f>
        <v>TAMAULIPAS</v>
      </c>
      <c r="D312" s="2">
        <v>6</v>
      </c>
      <c r="E312" s="3">
        <v>5.0000000000000001E-4</v>
      </c>
    </row>
    <row r="313" spans="2:5">
      <c r="B313" s="15" t="str">
        <f t="shared" si="10"/>
        <v>41CAPACITACION TECNICA</v>
      </c>
      <c r="C313" s="1" t="str">
        <f>"TLAXCALA"</f>
        <v>TLAXCALA</v>
      </c>
      <c r="D313" s="2">
        <v>6</v>
      </c>
      <c r="E313" s="3">
        <v>5.0000000000000001E-4</v>
      </c>
    </row>
    <row r="314" spans="2:5" ht="30">
      <c r="B314" s="15" t="str">
        <f t="shared" si="10"/>
        <v>41CAPACITACION TECNICA</v>
      </c>
      <c r="C314" s="1" t="str">
        <f>"VERACRUZ DE IGNACIO DE LA LLAVE"</f>
        <v>VERACRUZ DE IGNACIO DE LA LLAVE</v>
      </c>
      <c r="D314" s="2">
        <v>15</v>
      </c>
      <c r="E314" s="3">
        <v>1.1999999999999999E-3</v>
      </c>
    </row>
    <row r="315" spans="2:5">
      <c r="B315" s="15" t="str">
        <f t="shared" si="10"/>
        <v>41CAPACITACION TECNICA</v>
      </c>
      <c r="C315" s="1" t="str">
        <f>"ZACATECAS"</f>
        <v>ZACATECAS</v>
      </c>
      <c r="D315" s="2">
        <v>2</v>
      </c>
      <c r="E315" s="3">
        <v>2.0000000000000001E-4</v>
      </c>
    </row>
    <row r="316" spans="2:5" ht="16.5">
      <c r="B316" s="15" t="str">
        <f t="shared" si="10"/>
        <v>41CAPACITACION TECNICA</v>
      </c>
      <c r="C316" s="6" t="str">
        <f>"Total"</f>
        <v>Total</v>
      </c>
      <c r="D316" s="7">
        <v>210</v>
      </c>
      <c r="E316" s="8">
        <v>1.6799999999999999E-2</v>
      </c>
    </row>
    <row r="317" spans="2:5">
      <c r="B317" s="14" t="str">
        <f>"PREPARATORIA SIN CERTIFICADO"</f>
        <v>PREPARATORIA SIN CERTIFICADO</v>
      </c>
      <c r="C317" s="1" t="str">
        <f>"AGUASCALIENTES"</f>
        <v>AGUASCALIENTES</v>
      </c>
      <c r="D317" s="2">
        <v>6</v>
      </c>
      <c r="E317" s="3">
        <v>5.0000000000000001E-4</v>
      </c>
    </row>
    <row r="318" spans="2:5">
      <c r="B318" s="15" t="str">
        <f t="shared" ref="B318:B345" si="11">"51PREPARATORIA SIN CERTIFICADO"</f>
        <v>51PREPARATORIA SIN CERTIFICADO</v>
      </c>
      <c r="C318" s="1" t="str">
        <f>"BAJA CALIFORNIA"</f>
        <v>BAJA CALIFORNIA</v>
      </c>
      <c r="D318" s="2">
        <v>4</v>
      </c>
      <c r="E318" s="3">
        <v>2.9999999999999997E-4</v>
      </c>
    </row>
    <row r="319" spans="2:5">
      <c r="B319" s="15" t="str">
        <f t="shared" si="11"/>
        <v>51PREPARATORIA SIN CERTIFICADO</v>
      </c>
      <c r="C319" s="1" t="str">
        <f>"CAMPECHE"</f>
        <v>CAMPECHE</v>
      </c>
      <c r="D319" s="2">
        <v>1</v>
      </c>
      <c r="E319" s="3">
        <v>1E-4</v>
      </c>
    </row>
    <row r="320" spans="2:5">
      <c r="B320" s="15" t="str">
        <f t="shared" si="11"/>
        <v>51PREPARATORIA SIN CERTIFICADO</v>
      </c>
      <c r="C320" s="1" t="str">
        <f>"CHIAPAS"</f>
        <v>CHIAPAS</v>
      </c>
      <c r="D320" s="2">
        <v>3</v>
      </c>
      <c r="E320" s="3">
        <v>2.0000000000000001E-4</v>
      </c>
    </row>
    <row r="321" spans="2:5">
      <c r="B321" s="15" t="str">
        <f t="shared" si="11"/>
        <v>51PREPARATORIA SIN CERTIFICADO</v>
      </c>
      <c r="C321" s="1" t="str">
        <f>"CHIHUAHUA"</f>
        <v>CHIHUAHUA</v>
      </c>
      <c r="D321" s="2">
        <v>5</v>
      </c>
      <c r="E321" s="3">
        <v>4.0000000000000002E-4</v>
      </c>
    </row>
    <row r="322" spans="2:5">
      <c r="B322" s="15" t="str">
        <f t="shared" si="11"/>
        <v>51PREPARATORIA SIN CERTIFICADO</v>
      </c>
      <c r="C322" s="1" t="str">
        <f>"COAHUILA DE ZARAGOZA"</f>
        <v>COAHUILA DE ZARAGOZA</v>
      </c>
      <c r="D322" s="2">
        <v>3</v>
      </c>
      <c r="E322" s="3">
        <v>2.0000000000000001E-4</v>
      </c>
    </row>
    <row r="323" spans="2:5">
      <c r="B323" s="15" t="str">
        <f t="shared" si="11"/>
        <v>51PREPARATORIA SIN CERTIFICADO</v>
      </c>
      <c r="C323" s="1" t="str">
        <f>"DISTRITO FEDERAL"</f>
        <v>DISTRITO FEDERAL</v>
      </c>
      <c r="D323" s="2">
        <v>36</v>
      </c>
      <c r="E323" s="3">
        <v>2.8999999999999998E-3</v>
      </c>
    </row>
    <row r="324" spans="2:5">
      <c r="B324" s="15" t="str">
        <f t="shared" si="11"/>
        <v>51PREPARATORIA SIN CERTIFICADO</v>
      </c>
      <c r="C324" s="1" t="str">
        <f>"DURANGO"</f>
        <v>DURANGO</v>
      </c>
      <c r="D324" s="2">
        <v>12</v>
      </c>
      <c r="E324" s="3">
        <v>1E-3</v>
      </c>
    </row>
    <row r="325" spans="2:5">
      <c r="B325" s="15" t="str">
        <f t="shared" si="11"/>
        <v>51PREPARATORIA SIN CERTIFICADO</v>
      </c>
      <c r="C325" s="1" t="str">
        <f>"GUANAJUATO"</f>
        <v>GUANAJUATO</v>
      </c>
      <c r="D325" s="2">
        <v>22</v>
      </c>
      <c r="E325" s="3">
        <v>1.8E-3</v>
      </c>
    </row>
    <row r="326" spans="2:5">
      <c r="B326" s="15" t="str">
        <f t="shared" si="11"/>
        <v>51PREPARATORIA SIN CERTIFICADO</v>
      </c>
      <c r="C326" s="1" t="str">
        <f>"GUERRERO"</f>
        <v>GUERRERO</v>
      </c>
      <c r="D326" s="2">
        <v>13</v>
      </c>
      <c r="E326" s="3">
        <v>1E-3</v>
      </c>
    </row>
    <row r="327" spans="2:5">
      <c r="B327" s="15" t="str">
        <f t="shared" si="11"/>
        <v>51PREPARATORIA SIN CERTIFICADO</v>
      </c>
      <c r="C327" s="1" t="str">
        <f>"HIDALGO"</f>
        <v>HIDALGO</v>
      </c>
      <c r="D327" s="2">
        <v>10</v>
      </c>
      <c r="E327" s="3">
        <v>8.0000000000000004E-4</v>
      </c>
    </row>
    <row r="328" spans="2:5">
      <c r="B328" s="15" t="str">
        <f t="shared" si="11"/>
        <v>51PREPARATORIA SIN CERTIFICADO</v>
      </c>
      <c r="C328" s="1" t="str">
        <f>"JALISCO"</f>
        <v>JALISCO</v>
      </c>
      <c r="D328" s="2">
        <v>27</v>
      </c>
      <c r="E328" s="3">
        <v>2.2000000000000001E-3</v>
      </c>
    </row>
    <row r="329" spans="2:5">
      <c r="B329" s="15" t="str">
        <f t="shared" si="11"/>
        <v>51PREPARATORIA SIN CERTIFICADO</v>
      </c>
      <c r="C329" s="1" t="str">
        <f>"ESTADO DE MEXICO"</f>
        <v>ESTADO DE MEXICO</v>
      </c>
      <c r="D329" s="2">
        <v>27</v>
      </c>
      <c r="E329" s="3">
        <v>2.2000000000000001E-3</v>
      </c>
    </row>
    <row r="330" spans="2:5">
      <c r="B330" s="15" t="str">
        <f t="shared" si="11"/>
        <v>51PREPARATORIA SIN CERTIFICADO</v>
      </c>
      <c r="C330" s="1" t="str">
        <f>"MICHOACAN DE OCAMPO"</f>
        <v>MICHOACAN DE OCAMPO</v>
      </c>
      <c r="D330" s="2">
        <v>35</v>
      </c>
      <c r="E330" s="3">
        <v>2.8E-3</v>
      </c>
    </row>
    <row r="331" spans="2:5">
      <c r="B331" s="15" t="str">
        <f t="shared" si="11"/>
        <v>51PREPARATORIA SIN CERTIFICADO</v>
      </c>
      <c r="C331" s="1" t="str">
        <f>"MORELOS"</f>
        <v>MORELOS</v>
      </c>
      <c r="D331" s="2">
        <v>15</v>
      </c>
      <c r="E331" s="3">
        <v>1.1999999999999999E-3</v>
      </c>
    </row>
    <row r="332" spans="2:5">
      <c r="B332" s="15" t="str">
        <f t="shared" si="11"/>
        <v>51PREPARATORIA SIN CERTIFICADO</v>
      </c>
      <c r="C332" s="1" t="str">
        <f>"NAYARIT"</f>
        <v>NAYARIT</v>
      </c>
      <c r="D332" s="2">
        <v>1</v>
      </c>
      <c r="E332" s="3">
        <v>1E-4</v>
      </c>
    </row>
    <row r="333" spans="2:5">
      <c r="B333" s="15" t="str">
        <f t="shared" si="11"/>
        <v>51PREPARATORIA SIN CERTIFICADO</v>
      </c>
      <c r="C333" s="1" t="str">
        <f>"NUEVO LEON"</f>
        <v>NUEVO LEON</v>
      </c>
      <c r="D333" s="2">
        <v>2</v>
      </c>
      <c r="E333" s="3">
        <v>2.0000000000000001E-4</v>
      </c>
    </row>
    <row r="334" spans="2:5">
      <c r="B334" s="15" t="str">
        <f t="shared" si="11"/>
        <v>51PREPARATORIA SIN CERTIFICADO</v>
      </c>
      <c r="C334" s="1" t="str">
        <f>"OAXACA"</f>
        <v>OAXACA</v>
      </c>
      <c r="D334" s="2">
        <v>16</v>
      </c>
      <c r="E334" s="3">
        <v>1.2999999999999999E-3</v>
      </c>
    </row>
    <row r="335" spans="2:5">
      <c r="B335" s="15" t="str">
        <f t="shared" si="11"/>
        <v>51PREPARATORIA SIN CERTIFICADO</v>
      </c>
      <c r="C335" s="1" t="str">
        <f>"PUEBLA"</f>
        <v>PUEBLA</v>
      </c>
      <c r="D335" s="2">
        <v>25</v>
      </c>
      <c r="E335" s="3">
        <v>2E-3</v>
      </c>
    </row>
    <row r="336" spans="2:5">
      <c r="B336" s="15" t="str">
        <f t="shared" si="11"/>
        <v>51PREPARATORIA SIN CERTIFICADO</v>
      </c>
      <c r="C336" s="1" t="str">
        <f>"QUERETARO DE ARTEAGA"</f>
        <v>QUERETARO DE ARTEAGA</v>
      </c>
      <c r="D336" s="2">
        <v>1</v>
      </c>
      <c r="E336" s="3">
        <v>1E-4</v>
      </c>
    </row>
    <row r="337" spans="2:5">
      <c r="B337" s="15" t="str">
        <f t="shared" si="11"/>
        <v>51PREPARATORIA SIN CERTIFICADO</v>
      </c>
      <c r="C337" s="1" t="str">
        <f>"QUINTANA ROO"</f>
        <v>QUINTANA ROO</v>
      </c>
      <c r="D337" s="2">
        <v>1</v>
      </c>
      <c r="E337" s="3">
        <v>1E-4</v>
      </c>
    </row>
    <row r="338" spans="2:5">
      <c r="B338" s="15" t="str">
        <f t="shared" si="11"/>
        <v>51PREPARATORIA SIN CERTIFICADO</v>
      </c>
      <c r="C338" s="1" t="str">
        <f>"SAN LUIS POTOSI"</f>
        <v>SAN LUIS POTOSI</v>
      </c>
      <c r="D338" s="2">
        <v>11</v>
      </c>
      <c r="E338" s="3">
        <v>8.9999999999999998E-4</v>
      </c>
    </row>
    <row r="339" spans="2:5">
      <c r="B339" s="15" t="str">
        <f t="shared" si="11"/>
        <v>51PREPARATORIA SIN CERTIFICADO</v>
      </c>
      <c r="C339" s="1" t="str">
        <f>"SONORA"</f>
        <v>SONORA</v>
      </c>
      <c r="D339" s="2">
        <v>2</v>
      </c>
      <c r="E339" s="3">
        <v>2.0000000000000001E-4</v>
      </c>
    </row>
    <row r="340" spans="2:5">
      <c r="B340" s="15" t="str">
        <f t="shared" si="11"/>
        <v>51PREPARATORIA SIN CERTIFICADO</v>
      </c>
      <c r="C340" s="1" t="str">
        <f>"TABASCO"</f>
        <v>TABASCO</v>
      </c>
      <c r="D340" s="2">
        <v>3</v>
      </c>
      <c r="E340" s="3">
        <v>2.0000000000000001E-4</v>
      </c>
    </row>
    <row r="341" spans="2:5">
      <c r="B341" s="15" t="str">
        <f t="shared" si="11"/>
        <v>51PREPARATORIA SIN CERTIFICADO</v>
      </c>
      <c r="C341" s="1" t="str">
        <f>"TAMAULIPAS"</f>
        <v>TAMAULIPAS</v>
      </c>
      <c r="D341" s="2">
        <v>14</v>
      </c>
      <c r="E341" s="3">
        <v>1.1000000000000001E-3</v>
      </c>
    </row>
    <row r="342" spans="2:5">
      <c r="B342" s="15" t="str">
        <f t="shared" si="11"/>
        <v>51PREPARATORIA SIN CERTIFICADO</v>
      </c>
      <c r="C342" s="1" t="str">
        <f>"TLAXCALA"</f>
        <v>TLAXCALA</v>
      </c>
      <c r="D342" s="2">
        <v>2</v>
      </c>
      <c r="E342" s="3">
        <v>2.0000000000000001E-4</v>
      </c>
    </row>
    <row r="343" spans="2:5" ht="30">
      <c r="B343" s="15" t="str">
        <f t="shared" si="11"/>
        <v>51PREPARATORIA SIN CERTIFICADO</v>
      </c>
      <c r="C343" s="1" t="str">
        <f>"VERACRUZ DE IGNACIO DE LA LLAVE"</f>
        <v>VERACRUZ DE IGNACIO DE LA LLAVE</v>
      </c>
      <c r="D343" s="2">
        <v>33</v>
      </c>
      <c r="E343" s="3">
        <v>2.5999999999999999E-3</v>
      </c>
    </row>
    <row r="344" spans="2:5">
      <c r="B344" s="15" t="str">
        <f t="shared" si="11"/>
        <v>51PREPARATORIA SIN CERTIFICADO</v>
      </c>
      <c r="C344" s="1" t="str">
        <f>"ZACATECAS"</f>
        <v>ZACATECAS</v>
      </c>
      <c r="D344" s="2">
        <v>12</v>
      </c>
      <c r="E344" s="3">
        <v>1E-3</v>
      </c>
    </row>
    <row r="345" spans="2:5" ht="16.5">
      <c r="B345" s="15" t="str">
        <f t="shared" si="11"/>
        <v>51PREPARATORIA SIN CERTIFICADO</v>
      </c>
      <c r="C345" s="6" t="str">
        <f>"Total"</f>
        <v>Total</v>
      </c>
      <c r="D345" s="7">
        <v>342</v>
      </c>
      <c r="E345" s="8">
        <v>2.7400000000000001E-2</v>
      </c>
    </row>
    <row r="346" spans="2:5">
      <c r="B346" s="14" t="str">
        <f>"PREPARATORIA CON CERTIFICADO"</f>
        <v>PREPARATORIA CON CERTIFICADO</v>
      </c>
      <c r="C346" s="1" t="str">
        <f>"AGUASCALIENTES"</f>
        <v>AGUASCALIENTES</v>
      </c>
      <c r="D346" s="2">
        <v>68</v>
      </c>
      <c r="E346" s="3">
        <v>5.4999999999999997E-3</v>
      </c>
    </row>
    <row r="347" spans="2:5">
      <c r="B347" s="15" t="str">
        <f t="shared" ref="B347:B376" si="12">"52PREPARATORIA CON CERTIFICADO"</f>
        <v>52PREPARATORIA CON CERTIFICADO</v>
      </c>
      <c r="C347" s="1" t="str">
        <f>"BAJA CALIFORNIA"</f>
        <v>BAJA CALIFORNIA</v>
      </c>
      <c r="D347" s="2">
        <v>14</v>
      </c>
      <c r="E347" s="3">
        <v>1.1000000000000001E-3</v>
      </c>
    </row>
    <row r="348" spans="2:5">
      <c r="B348" s="15" t="str">
        <f t="shared" si="12"/>
        <v>52PREPARATORIA CON CERTIFICADO</v>
      </c>
      <c r="C348" s="1" t="str">
        <f>"CAMPECHE"</f>
        <v>CAMPECHE</v>
      </c>
      <c r="D348" s="2">
        <v>8</v>
      </c>
      <c r="E348" s="3">
        <v>5.9999999999999995E-4</v>
      </c>
    </row>
    <row r="349" spans="2:5">
      <c r="B349" s="15" t="str">
        <f t="shared" si="12"/>
        <v>52PREPARATORIA CON CERTIFICADO</v>
      </c>
      <c r="C349" s="1" t="str">
        <f>"CHIAPAS"</f>
        <v>CHIAPAS</v>
      </c>
      <c r="D349" s="2">
        <v>55</v>
      </c>
      <c r="E349" s="3">
        <v>4.4000000000000003E-3</v>
      </c>
    </row>
    <row r="350" spans="2:5">
      <c r="B350" s="15" t="str">
        <f t="shared" si="12"/>
        <v>52PREPARATORIA CON CERTIFICADO</v>
      </c>
      <c r="C350" s="1" t="str">
        <f>"CHIHUAHUA"</f>
        <v>CHIHUAHUA</v>
      </c>
      <c r="D350" s="2">
        <v>65</v>
      </c>
      <c r="E350" s="3">
        <v>5.1999999999999998E-3</v>
      </c>
    </row>
    <row r="351" spans="2:5">
      <c r="B351" s="15" t="str">
        <f t="shared" si="12"/>
        <v>52PREPARATORIA CON CERTIFICADO</v>
      </c>
      <c r="C351" s="1" t="str">
        <f>"COAHUILA DE ZARAGOZA"</f>
        <v>COAHUILA DE ZARAGOZA</v>
      </c>
      <c r="D351" s="2">
        <v>20</v>
      </c>
      <c r="E351" s="3">
        <v>1.6000000000000001E-3</v>
      </c>
    </row>
    <row r="352" spans="2:5">
      <c r="B352" s="15" t="str">
        <f t="shared" si="12"/>
        <v>52PREPARATORIA CON CERTIFICADO</v>
      </c>
      <c r="C352" s="1" t="str">
        <f>"COLIMA"</f>
        <v>COLIMA</v>
      </c>
      <c r="D352" s="2">
        <v>9</v>
      </c>
      <c r="E352" s="3">
        <v>6.9999999999999999E-4</v>
      </c>
    </row>
    <row r="353" spans="2:5">
      <c r="B353" s="15" t="str">
        <f t="shared" si="12"/>
        <v>52PREPARATORIA CON CERTIFICADO</v>
      </c>
      <c r="C353" s="1" t="str">
        <f>"DISTRITO FEDERAL"</f>
        <v>DISTRITO FEDERAL</v>
      </c>
      <c r="D353" s="2">
        <v>253</v>
      </c>
      <c r="E353" s="3">
        <v>2.0299999999999999E-2</v>
      </c>
    </row>
    <row r="354" spans="2:5">
      <c r="B354" s="15" t="str">
        <f t="shared" si="12"/>
        <v>52PREPARATORIA CON CERTIFICADO</v>
      </c>
      <c r="C354" s="1" t="str">
        <f>"DURANGO"</f>
        <v>DURANGO</v>
      </c>
      <c r="D354" s="2">
        <v>79</v>
      </c>
      <c r="E354" s="3">
        <v>6.3E-3</v>
      </c>
    </row>
    <row r="355" spans="2:5">
      <c r="B355" s="15" t="str">
        <f t="shared" si="12"/>
        <v>52PREPARATORIA CON CERTIFICADO</v>
      </c>
      <c r="C355" s="1" t="str">
        <f>"GUANAJUATO"</f>
        <v>GUANAJUATO</v>
      </c>
      <c r="D355" s="2">
        <v>179</v>
      </c>
      <c r="E355" s="3">
        <v>1.44E-2</v>
      </c>
    </row>
    <row r="356" spans="2:5">
      <c r="B356" s="15" t="str">
        <f t="shared" si="12"/>
        <v>52PREPARATORIA CON CERTIFICADO</v>
      </c>
      <c r="C356" s="1" t="str">
        <f>"GUERRERO"</f>
        <v>GUERRERO</v>
      </c>
      <c r="D356" s="2">
        <v>168</v>
      </c>
      <c r="E356" s="3">
        <v>1.35E-2</v>
      </c>
    </row>
    <row r="357" spans="2:5">
      <c r="B357" s="15" t="str">
        <f t="shared" si="12"/>
        <v>52PREPARATORIA CON CERTIFICADO</v>
      </c>
      <c r="C357" s="1" t="str">
        <f>"HIDALGO"</f>
        <v>HIDALGO</v>
      </c>
      <c r="D357" s="2">
        <v>65</v>
      </c>
      <c r="E357" s="3">
        <v>5.1999999999999998E-3</v>
      </c>
    </row>
    <row r="358" spans="2:5">
      <c r="B358" s="15" t="str">
        <f t="shared" si="12"/>
        <v>52PREPARATORIA CON CERTIFICADO</v>
      </c>
      <c r="C358" s="1" t="str">
        <f>"JALISCO"</f>
        <v>JALISCO</v>
      </c>
      <c r="D358" s="2">
        <v>162</v>
      </c>
      <c r="E358" s="3">
        <v>1.2999999999999999E-2</v>
      </c>
    </row>
    <row r="359" spans="2:5">
      <c r="B359" s="15" t="str">
        <f t="shared" si="12"/>
        <v>52PREPARATORIA CON CERTIFICADO</v>
      </c>
      <c r="C359" s="1" t="str">
        <f>"ESTADO DE MEXICO"</f>
        <v>ESTADO DE MEXICO</v>
      </c>
      <c r="D359" s="2">
        <v>267</v>
      </c>
      <c r="E359" s="3">
        <v>2.1399999999999999E-2</v>
      </c>
    </row>
    <row r="360" spans="2:5">
      <c r="B360" s="15" t="str">
        <f t="shared" si="12"/>
        <v>52PREPARATORIA CON CERTIFICADO</v>
      </c>
      <c r="C360" s="1" t="str">
        <f>"MICHOACAN DE OCAMPO"</f>
        <v>MICHOACAN DE OCAMPO</v>
      </c>
      <c r="D360" s="2">
        <v>200</v>
      </c>
      <c r="E360" s="3">
        <v>1.6E-2</v>
      </c>
    </row>
    <row r="361" spans="2:5">
      <c r="B361" s="15" t="str">
        <f t="shared" si="12"/>
        <v>52PREPARATORIA CON CERTIFICADO</v>
      </c>
      <c r="C361" s="1" t="str">
        <f>"MORELOS"</f>
        <v>MORELOS</v>
      </c>
      <c r="D361" s="2">
        <v>96</v>
      </c>
      <c r="E361" s="3">
        <v>7.7000000000000002E-3</v>
      </c>
    </row>
    <row r="362" spans="2:5">
      <c r="B362" s="15" t="str">
        <f t="shared" si="12"/>
        <v>52PREPARATORIA CON CERTIFICADO</v>
      </c>
      <c r="C362" s="1" t="str">
        <f>"NAYARIT"</f>
        <v>NAYARIT</v>
      </c>
      <c r="D362" s="2">
        <v>15</v>
      </c>
      <c r="E362" s="3">
        <v>1.1999999999999999E-3</v>
      </c>
    </row>
    <row r="363" spans="2:5">
      <c r="B363" s="15" t="str">
        <f t="shared" si="12"/>
        <v>52PREPARATORIA CON CERTIFICADO</v>
      </c>
      <c r="C363" s="1" t="str">
        <f>"NUEVO LEON"</f>
        <v>NUEVO LEON</v>
      </c>
      <c r="D363" s="2">
        <v>35</v>
      </c>
      <c r="E363" s="3">
        <v>2.8E-3</v>
      </c>
    </row>
    <row r="364" spans="2:5">
      <c r="B364" s="15" t="str">
        <f t="shared" si="12"/>
        <v>52PREPARATORIA CON CERTIFICADO</v>
      </c>
      <c r="C364" s="1" t="str">
        <f>"OAXACA"</f>
        <v>OAXACA</v>
      </c>
      <c r="D364" s="2">
        <v>194</v>
      </c>
      <c r="E364" s="3">
        <v>1.5599999999999999E-2</v>
      </c>
    </row>
    <row r="365" spans="2:5">
      <c r="B365" s="15" t="str">
        <f t="shared" si="12"/>
        <v>52PREPARATORIA CON CERTIFICADO</v>
      </c>
      <c r="C365" s="1" t="str">
        <f>"PUEBLA"</f>
        <v>PUEBLA</v>
      </c>
      <c r="D365" s="2">
        <v>213</v>
      </c>
      <c r="E365" s="3">
        <v>1.7100000000000001E-2</v>
      </c>
    </row>
    <row r="366" spans="2:5">
      <c r="B366" s="15" t="str">
        <f t="shared" si="12"/>
        <v>52PREPARATORIA CON CERTIFICADO</v>
      </c>
      <c r="C366" s="1" t="str">
        <f>"QUERETARO DE ARTEAGA"</f>
        <v>QUERETARO DE ARTEAGA</v>
      </c>
      <c r="D366" s="2">
        <v>16</v>
      </c>
      <c r="E366" s="3">
        <v>1.2999999999999999E-3</v>
      </c>
    </row>
    <row r="367" spans="2:5">
      <c r="B367" s="15" t="str">
        <f t="shared" si="12"/>
        <v>52PREPARATORIA CON CERTIFICADO</v>
      </c>
      <c r="C367" s="1" t="str">
        <f>"QUINTANA ROO"</f>
        <v>QUINTANA ROO</v>
      </c>
      <c r="D367" s="2">
        <v>2</v>
      </c>
      <c r="E367" s="3">
        <v>2.0000000000000001E-4</v>
      </c>
    </row>
    <row r="368" spans="2:5">
      <c r="B368" s="15" t="str">
        <f t="shared" si="12"/>
        <v>52PREPARATORIA CON CERTIFICADO</v>
      </c>
      <c r="C368" s="1" t="str">
        <f>"SAN LUIS POTOSI"</f>
        <v>SAN LUIS POTOSI</v>
      </c>
      <c r="D368" s="2">
        <v>57</v>
      </c>
      <c r="E368" s="3">
        <v>4.5999999999999999E-3</v>
      </c>
    </row>
    <row r="369" spans="2:5">
      <c r="B369" s="15" t="str">
        <f t="shared" si="12"/>
        <v>52PREPARATORIA CON CERTIFICADO</v>
      </c>
      <c r="C369" s="1" t="str">
        <f>"SINALOA"</f>
        <v>SINALOA</v>
      </c>
      <c r="D369" s="2">
        <v>20</v>
      </c>
      <c r="E369" s="3">
        <v>1.6000000000000001E-3</v>
      </c>
    </row>
    <row r="370" spans="2:5">
      <c r="B370" s="15" t="str">
        <f t="shared" si="12"/>
        <v>52PREPARATORIA CON CERTIFICADO</v>
      </c>
      <c r="C370" s="1" t="str">
        <f>"SONORA"</f>
        <v>SONORA</v>
      </c>
      <c r="D370" s="2">
        <v>13</v>
      </c>
      <c r="E370" s="3">
        <v>1E-3</v>
      </c>
    </row>
    <row r="371" spans="2:5">
      <c r="B371" s="15" t="str">
        <f t="shared" si="12"/>
        <v>52PREPARATORIA CON CERTIFICADO</v>
      </c>
      <c r="C371" s="1" t="str">
        <f>"TABASCO"</f>
        <v>TABASCO</v>
      </c>
      <c r="D371" s="2">
        <v>17</v>
      </c>
      <c r="E371" s="3">
        <v>1.4E-3</v>
      </c>
    </row>
    <row r="372" spans="2:5">
      <c r="B372" s="15" t="str">
        <f t="shared" si="12"/>
        <v>52PREPARATORIA CON CERTIFICADO</v>
      </c>
      <c r="C372" s="1" t="str">
        <f>"TAMAULIPAS"</f>
        <v>TAMAULIPAS</v>
      </c>
      <c r="D372" s="2">
        <v>34</v>
      </c>
      <c r="E372" s="3">
        <v>2.7000000000000001E-3</v>
      </c>
    </row>
    <row r="373" spans="2:5">
      <c r="B373" s="15" t="str">
        <f t="shared" si="12"/>
        <v>52PREPARATORIA CON CERTIFICADO</v>
      </c>
      <c r="C373" s="1" t="str">
        <f>"TLAXCALA"</f>
        <v>TLAXCALA</v>
      </c>
      <c r="D373" s="2">
        <v>41</v>
      </c>
      <c r="E373" s="3">
        <v>3.3E-3</v>
      </c>
    </row>
    <row r="374" spans="2:5" ht="30">
      <c r="B374" s="15" t="str">
        <f t="shared" si="12"/>
        <v>52PREPARATORIA CON CERTIFICADO</v>
      </c>
      <c r="C374" s="1" t="str">
        <f>"VERACRUZ DE IGNACIO DE LA LLAVE"</f>
        <v>VERACRUZ DE IGNACIO DE LA LLAVE</v>
      </c>
      <c r="D374" s="2">
        <v>325</v>
      </c>
      <c r="E374" s="3">
        <v>2.6100000000000002E-2</v>
      </c>
    </row>
    <row r="375" spans="2:5">
      <c r="B375" s="15" t="str">
        <f t="shared" si="12"/>
        <v>52PREPARATORIA CON CERTIFICADO</v>
      </c>
      <c r="C375" s="1" t="str">
        <f>"ZACATECAS"</f>
        <v>ZACATECAS</v>
      </c>
      <c r="D375" s="2">
        <v>55</v>
      </c>
      <c r="E375" s="3">
        <v>4.4000000000000003E-3</v>
      </c>
    </row>
    <row r="376" spans="2:5" ht="16.5">
      <c r="B376" s="15" t="str">
        <f t="shared" si="12"/>
        <v>52PREPARATORIA CON CERTIFICADO</v>
      </c>
      <c r="C376" s="6" t="str">
        <f>"Total"</f>
        <v>Total</v>
      </c>
      <c r="D376" s="7">
        <v>2745</v>
      </c>
      <c r="E376" s="8">
        <v>0.22009999999999999</v>
      </c>
    </row>
    <row r="377" spans="2:5">
      <c r="B377" s="14" t="str">
        <f>"1o. ANO DE PROFESIONAL"</f>
        <v>1o. ANO DE PROFESIONAL</v>
      </c>
      <c r="C377" s="1" t="str">
        <f>"GUERRERO"</f>
        <v>GUERRERO</v>
      </c>
      <c r="D377" s="2">
        <v>3</v>
      </c>
      <c r="E377" s="3">
        <v>2.0000000000000001E-4</v>
      </c>
    </row>
    <row r="378" spans="2:5">
      <c r="B378" s="15" t="str">
        <f t="shared" ref="B378:B386" si="13">"611o. ANO DE PROFESIONAL"</f>
        <v>611o. ANO DE PROFESIONAL</v>
      </c>
      <c r="C378" s="1" t="str">
        <f>"JALISCO"</f>
        <v>JALISCO</v>
      </c>
      <c r="D378" s="2">
        <v>1</v>
      </c>
      <c r="E378" s="3">
        <v>1E-4</v>
      </c>
    </row>
    <row r="379" spans="2:5">
      <c r="B379" s="15" t="str">
        <f t="shared" si="13"/>
        <v>611o. ANO DE PROFESIONAL</v>
      </c>
      <c r="C379" s="1" t="str">
        <f>"ESTADO DE MEXICO"</f>
        <v>ESTADO DE MEXICO</v>
      </c>
      <c r="D379" s="2">
        <v>1</v>
      </c>
      <c r="E379" s="3">
        <v>1E-4</v>
      </c>
    </row>
    <row r="380" spans="2:5">
      <c r="B380" s="15" t="str">
        <f t="shared" si="13"/>
        <v>611o. ANO DE PROFESIONAL</v>
      </c>
      <c r="C380" s="1" t="str">
        <f>"OAXACA"</f>
        <v>OAXACA</v>
      </c>
      <c r="D380" s="2">
        <v>1</v>
      </c>
      <c r="E380" s="3">
        <v>1E-4</v>
      </c>
    </row>
    <row r="381" spans="2:5">
      <c r="B381" s="15" t="str">
        <f t="shared" si="13"/>
        <v>611o. ANO DE PROFESIONAL</v>
      </c>
      <c r="C381" s="1" t="str">
        <f>"PUEBLA"</f>
        <v>PUEBLA</v>
      </c>
      <c r="D381" s="2">
        <v>1</v>
      </c>
      <c r="E381" s="3">
        <v>1E-4</v>
      </c>
    </row>
    <row r="382" spans="2:5">
      <c r="B382" s="15" t="str">
        <f t="shared" si="13"/>
        <v>611o. ANO DE PROFESIONAL</v>
      </c>
      <c r="C382" s="1" t="str">
        <f>"SAN LUIS POTOSI"</f>
        <v>SAN LUIS POTOSI</v>
      </c>
      <c r="D382" s="2">
        <v>1</v>
      </c>
      <c r="E382" s="3">
        <v>1E-4</v>
      </c>
    </row>
    <row r="383" spans="2:5">
      <c r="B383" s="15" t="str">
        <f t="shared" si="13"/>
        <v>611o. ANO DE PROFESIONAL</v>
      </c>
      <c r="C383" s="1" t="str">
        <f>"SINALOA"</f>
        <v>SINALOA</v>
      </c>
      <c r="D383" s="2">
        <v>1</v>
      </c>
      <c r="E383" s="3">
        <v>1E-4</v>
      </c>
    </row>
    <row r="384" spans="2:5">
      <c r="B384" s="15" t="str">
        <f t="shared" si="13"/>
        <v>611o. ANO DE PROFESIONAL</v>
      </c>
      <c r="C384" s="1" t="str">
        <f>"TAMAULIPAS"</f>
        <v>TAMAULIPAS</v>
      </c>
      <c r="D384" s="2">
        <v>1</v>
      </c>
      <c r="E384" s="3">
        <v>1E-4</v>
      </c>
    </row>
    <row r="385" spans="2:5" ht="30">
      <c r="B385" s="15" t="str">
        <f t="shared" si="13"/>
        <v>611o. ANO DE PROFESIONAL</v>
      </c>
      <c r="C385" s="1" t="str">
        <f>"VERACRUZ DE IGNACIO DE LA LLAVE"</f>
        <v>VERACRUZ DE IGNACIO DE LA LLAVE</v>
      </c>
      <c r="D385" s="2">
        <v>2</v>
      </c>
      <c r="E385" s="3">
        <v>2.0000000000000001E-4</v>
      </c>
    </row>
    <row r="386" spans="2:5" ht="16.5">
      <c r="B386" s="15" t="str">
        <f t="shared" si="13"/>
        <v>611o. ANO DE PROFESIONAL</v>
      </c>
      <c r="C386" s="6" t="str">
        <f>"Total"</f>
        <v>Total</v>
      </c>
      <c r="D386" s="7">
        <v>12</v>
      </c>
      <c r="E386" s="8">
        <v>1E-3</v>
      </c>
    </row>
    <row r="387" spans="2:5">
      <c r="B387" s="14" t="str">
        <f>"20. ANO DE PROFESIONAL"</f>
        <v>20. ANO DE PROFESIONAL</v>
      </c>
      <c r="C387" s="1" t="str">
        <f>"DISTRITO FEDERAL"</f>
        <v>DISTRITO FEDERAL</v>
      </c>
      <c r="D387" s="2">
        <v>1</v>
      </c>
      <c r="E387" s="3">
        <v>1E-4</v>
      </c>
    </row>
    <row r="388" spans="2:5">
      <c r="B388" s="15" t="str">
        <f t="shared" ref="B388:B394" si="14">"6220. ANO DE PROFESIONAL"</f>
        <v>6220. ANO DE PROFESIONAL</v>
      </c>
      <c r="C388" s="1" t="str">
        <f>"GUANAJUATO"</f>
        <v>GUANAJUATO</v>
      </c>
      <c r="D388" s="2">
        <v>1</v>
      </c>
      <c r="E388" s="3">
        <v>1E-4</v>
      </c>
    </row>
    <row r="389" spans="2:5">
      <c r="B389" s="15" t="str">
        <f t="shared" si="14"/>
        <v>6220. ANO DE PROFESIONAL</v>
      </c>
      <c r="C389" s="1" t="str">
        <f>"JALISCO"</f>
        <v>JALISCO</v>
      </c>
      <c r="D389" s="2">
        <v>1</v>
      </c>
      <c r="E389" s="3">
        <v>1E-4</v>
      </c>
    </row>
    <row r="390" spans="2:5">
      <c r="B390" s="15" t="str">
        <f t="shared" si="14"/>
        <v>6220. ANO DE PROFESIONAL</v>
      </c>
      <c r="C390" s="1" t="str">
        <f>"ESTADO DE MEXICO"</f>
        <v>ESTADO DE MEXICO</v>
      </c>
      <c r="D390" s="2">
        <v>1</v>
      </c>
      <c r="E390" s="3">
        <v>1E-4</v>
      </c>
    </row>
    <row r="391" spans="2:5">
      <c r="B391" s="15" t="str">
        <f t="shared" si="14"/>
        <v>6220. ANO DE PROFESIONAL</v>
      </c>
      <c r="C391" s="1" t="str">
        <f>"MICHOACAN DE OCAMPO"</f>
        <v>MICHOACAN DE OCAMPO</v>
      </c>
      <c r="D391" s="2">
        <v>1</v>
      </c>
      <c r="E391" s="3">
        <v>1E-4</v>
      </c>
    </row>
    <row r="392" spans="2:5">
      <c r="B392" s="15" t="str">
        <f t="shared" si="14"/>
        <v>6220. ANO DE PROFESIONAL</v>
      </c>
      <c r="C392" s="1" t="str">
        <f>"MORELOS"</f>
        <v>MORELOS</v>
      </c>
      <c r="D392" s="2">
        <v>1</v>
      </c>
      <c r="E392" s="3">
        <v>1E-4</v>
      </c>
    </row>
    <row r="393" spans="2:5">
      <c r="B393" s="15" t="str">
        <f t="shared" si="14"/>
        <v>6220. ANO DE PROFESIONAL</v>
      </c>
      <c r="C393" s="1" t="str">
        <f>"TLAXCALA"</f>
        <v>TLAXCALA</v>
      </c>
      <c r="D393" s="2">
        <v>1</v>
      </c>
      <c r="E393" s="3">
        <v>1E-4</v>
      </c>
    </row>
    <row r="394" spans="2:5" ht="16.5">
      <c r="B394" s="15" t="str">
        <f t="shared" si="14"/>
        <v>6220. ANO DE PROFESIONAL</v>
      </c>
      <c r="C394" s="6" t="str">
        <f>"Total"</f>
        <v>Total</v>
      </c>
      <c r="D394" s="7">
        <v>7</v>
      </c>
      <c r="E394" s="8">
        <v>5.9999999999999995E-4</v>
      </c>
    </row>
    <row r="395" spans="2:5">
      <c r="B395" s="14" t="str">
        <f>"3er. ANO DE PROFESIONAL"</f>
        <v>3er. ANO DE PROFESIONAL</v>
      </c>
      <c r="C395" s="1" t="str">
        <f>"AGUASCALIENTES"</f>
        <v>AGUASCALIENTES</v>
      </c>
      <c r="D395" s="2">
        <v>1</v>
      </c>
      <c r="E395" s="3">
        <v>1E-4</v>
      </c>
    </row>
    <row r="396" spans="2:5">
      <c r="B396" s="15" t="str">
        <f t="shared" ref="B396:B404" si="15">"633er. ANO DE PROFESIONAL"</f>
        <v>633er. ANO DE PROFESIONAL</v>
      </c>
      <c r="C396" s="1" t="str">
        <f>"DISTRITO FEDERAL"</f>
        <v>DISTRITO FEDERAL</v>
      </c>
      <c r="D396" s="2">
        <v>2</v>
      </c>
      <c r="E396" s="3">
        <v>2.0000000000000001E-4</v>
      </c>
    </row>
    <row r="397" spans="2:5">
      <c r="B397" s="15" t="str">
        <f t="shared" si="15"/>
        <v>633er. ANO DE PROFESIONAL</v>
      </c>
      <c r="C397" s="1" t="str">
        <f>"DURANGO"</f>
        <v>DURANGO</v>
      </c>
      <c r="D397" s="2">
        <v>1</v>
      </c>
      <c r="E397" s="3">
        <v>1E-4</v>
      </c>
    </row>
    <row r="398" spans="2:5">
      <c r="B398" s="15" t="str">
        <f t="shared" si="15"/>
        <v>633er. ANO DE PROFESIONAL</v>
      </c>
      <c r="C398" s="1" t="str">
        <f>"GUANAJUATO"</f>
        <v>GUANAJUATO</v>
      </c>
      <c r="D398" s="2">
        <v>1</v>
      </c>
      <c r="E398" s="3">
        <v>1E-4</v>
      </c>
    </row>
    <row r="399" spans="2:5">
      <c r="B399" s="15" t="str">
        <f t="shared" si="15"/>
        <v>633er. ANO DE PROFESIONAL</v>
      </c>
      <c r="C399" s="1" t="str">
        <f>"MICHOACAN DE OCAMPO"</f>
        <v>MICHOACAN DE OCAMPO</v>
      </c>
      <c r="D399" s="2">
        <v>2</v>
      </c>
      <c r="E399" s="3">
        <v>2.0000000000000001E-4</v>
      </c>
    </row>
    <row r="400" spans="2:5">
      <c r="B400" s="15" t="str">
        <f t="shared" si="15"/>
        <v>633er. ANO DE PROFESIONAL</v>
      </c>
      <c r="C400" s="1" t="str">
        <f>"MORELOS"</f>
        <v>MORELOS</v>
      </c>
      <c r="D400" s="2">
        <v>1</v>
      </c>
      <c r="E400" s="3">
        <v>1E-4</v>
      </c>
    </row>
    <row r="401" spans="2:5">
      <c r="B401" s="15" t="str">
        <f t="shared" si="15"/>
        <v>633er. ANO DE PROFESIONAL</v>
      </c>
      <c r="C401" s="1" t="str">
        <f>"SAN LUIS POTOSI"</f>
        <v>SAN LUIS POTOSI</v>
      </c>
      <c r="D401" s="2">
        <v>1</v>
      </c>
      <c r="E401" s="3">
        <v>1E-4</v>
      </c>
    </row>
    <row r="402" spans="2:5">
      <c r="B402" s="15" t="str">
        <f t="shared" si="15"/>
        <v>633er. ANO DE PROFESIONAL</v>
      </c>
      <c r="C402" s="1" t="str">
        <f>"TABASCO"</f>
        <v>TABASCO</v>
      </c>
      <c r="D402" s="2">
        <v>1</v>
      </c>
      <c r="E402" s="3">
        <v>1E-4</v>
      </c>
    </row>
    <row r="403" spans="2:5" ht="30">
      <c r="B403" s="15" t="str">
        <f t="shared" si="15"/>
        <v>633er. ANO DE PROFESIONAL</v>
      </c>
      <c r="C403" s="1" t="str">
        <f>"VERACRUZ DE IGNACIO DE LA LLAVE"</f>
        <v>VERACRUZ DE IGNACIO DE LA LLAVE</v>
      </c>
      <c r="D403" s="2">
        <v>1</v>
      </c>
      <c r="E403" s="3">
        <v>1E-4</v>
      </c>
    </row>
    <row r="404" spans="2:5" ht="16.5">
      <c r="B404" s="15" t="str">
        <f t="shared" si="15"/>
        <v>633er. ANO DE PROFESIONAL</v>
      </c>
      <c r="C404" s="6" t="str">
        <f>"Total"</f>
        <v>Total</v>
      </c>
      <c r="D404" s="7">
        <v>11</v>
      </c>
      <c r="E404" s="8">
        <v>8.9999999999999998E-4</v>
      </c>
    </row>
    <row r="405" spans="2:5">
      <c r="B405" s="14" t="str">
        <f>"4o. ANO DE PROFESIONAL"</f>
        <v>4o. ANO DE PROFESIONAL</v>
      </c>
      <c r="C405" s="1" t="str">
        <f>"AGUASCALIENTES"</f>
        <v>AGUASCALIENTES</v>
      </c>
      <c r="D405" s="2">
        <v>1</v>
      </c>
      <c r="E405" s="3">
        <v>1E-4</v>
      </c>
    </row>
    <row r="406" spans="2:5">
      <c r="B406" s="15" t="str">
        <f t="shared" ref="B406:B417" si="16">"644o. ANO DE PROFESIONAL"</f>
        <v>644o. ANO DE PROFESIONAL</v>
      </c>
      <c r="C406" s="1" t="str">
        <f>"GUERRERO"</f>
        <v>GUERRERO</v>
      </c>
      <c r="D406" s="2">
        <v>1</v>
      </c>
      <c r="E406" s="3">
        <v>1E-4</v>
      </c>
    </row>
    <row r="407" spans="2:5">
      <c r="B407" s="15" t="str">
        <f t="shared" si="16"/>
        <v>644o. ANO DE PROFESIONAL</v>
      </c>
      <c r="C407" s="1" t="str">
        <f>"ESTADO DE MEXICO"</f>
        <v>ESTADO DE MEXICO</v>
      </c>
      <c r="D407" s="2">
        <v>2</v>
      </c>
      <c r="E407" s="3">
        <v>2.0000000000000001E-4</v>
      </c>
    </row>
    <row r="408" spans="2:5">
      <c r="B408" s="15" t="str">
        <f t="shared" si="16"/>
        <v>644o. ANO DE PROFESIONAL</v>
      </c>
      <c r="C408" s="1" t="str">
        <f>"MICHOACAN DE OCAMPO"</f>
        <v>MICHOACAN DE OCAMPO</v>
      </c>
      <c r="D408" s="2">
        <v>2</v>
      </c>
      <c r="E408" s="3">
        <v>2.0000000000000001E-4</v>
      </c>
    </row>
    <row r="409" spans="2:5">
      <c r="B409" s="15" t="str">
        <f t="shared" si="16"/>
        <v>644o. ANO DE PROFESIONAL</v>
      </c>
      <c r="C409" s="1" t="str">
        <f>"MORELOS"</f>
        <v>MORELOS</v>
      </c>
      <c r="D409" s="2">
        <v>2</v>
      </c>
      <c r="E409" s="3">
        <v>2.0000000000000001E-4</v>
      </c>
    </row>
    <row r="410" spans="2:5">
      <c r="B410" s="15" t="str">
        <f t="shared" si="16"/>
        <v>644o. ANO DE PROFESIONAL</v>
      </c>
      <c r="C410" s="1" t="str">
        <f>"NAYARIT"</f>
        <v>NAYARIT</v>
      </c>
      <c r="D410" s="2">
        <v>1</v>
      </c>
      <c r="E410" s="3">
        <v>1E-4</v>
      </c>
    </row>
    <row r="411" spans="2:5">
      <c r="B411" s="15" t="str">
        <f t="shared" si="16"/>
        <v>644o. ANO DE PROFESIONAL</v>
      </c>
      <c r="C411" s="1" t="str">
        <f>"OAXACA"</f>
        <v>OAXACA</v>
      </c>
      <c r="D411" s="2">
        <v>2</v>
      </c>
      <c r="E411" s="3">
        <v>2.0000000000000001E-4</v>
      </c>
    </row>
    <row r="412" spans="2:5">
      <c r="B412" s="15" t="str">
        <f t="shared" si="16"/>
        <v>644o. ANO DE PROFESIONAL</v>
      </c>
      <c r="C412" s="1" t="str">
        <f>"PUEBLA"</f>
        <v>PUEBLA</v>
      </c>
      <c r="D412" s="2">
        <v>1</v>
      </c>
      <c r="E412" s="3">
        <v>1E-4</v>
      </c>
    </row>
    <row r="413" spans="2:5">
      <c r="B413" s="15" t="str">
        <f t="shared" si="16"/>
        <v>644o. ANO DE PROFESIONAL</v>
      </c>
      <c r="C413" s="1" t="str">
        <f>"SAN LUIS POTOSI"</f>
        <v>SAN LUIS POTOSI</v>
      </c>
      <c r="D413" s="2">
        <v>1</v>
      </c>
      <c r="E413" s="3">
        <v>1E-4</v>
      </c>
    </row>
    <row r="414" spans="2:5">
      <c r="B414" s="15" t="str">
        <f t="shared" si="16"/>
        <v>644o. ANO DE PROFESIONAL</v>
      </c>
      <c r="C414" s="1" t="str">
        <f>"TABASCO"</f>
        <v>TABASCO</v>
      </c>
      <c r="D414" s="2">
        <v>1</v>
      </c>
      <c r="E414" s="3">
        <v>1E-4</v>
      </c>
    </row>
    <row r="415" spans="2:5" ht="30">
      <c r="B415" s="15" t="str">
        <f t="shared" si="16"/>
        <v>644o. ANO DE PROFESIONAL</v>
      </c>
      <c r="C415" s="1" t="str">
        <f>"VERACRUZ DE IGNACIO DE LA LLAVE"</f>
        <v>VERACRUZ DE IGNACIO DE LA LLAVE</v>
      </c>
      <c r="D415" s="2">
        <v>4</v>
      </c>
      <c r="E415" s="3">
        <v>2.9999999999999997E-4</v>
      </c>
    </row>
    <row r="416" spans="2:5">
      <c r="B416" s="15" t="str">
        <f t="shared" si="16"/>
        <v>644o. ANO DE PROFESIONAL</v>
      </c>
      <c r="C416" s="1" t="str">
        <f>"ZACATECAS"</f>
        <v>ZACATECAS</v>
      </c>
      <c r="D416" s="2">
        <v>1</v>
      </c>
      <c r="E416" s="3">
        <v>1E-4</v>
      </c>
    </row>
    <row r="417" spans="2:5" ht="16.5">
      <c r="B417" s="15" t="str">
        <f t="shared" si="16"/>
        <v>644o. ANO DE PROFESIONAL</v>
      </c>
      <c r="C417" s="6" t="str">
        <f>"Total"</f>
        <v>Total</v>
      </c>
      <c r="D417" s="7">
        <v>19</v>
      </c>
      <c r="E417" s="8">
        <v>1.5E-3</v>
      </c>
    </row>
    <row r="418" spans="2:5">
      <c r="B418" s="14" t="str">
        <f>"PROFESIONAL PASANTE"</f>
        <v>PROFESIONAL PASANTE</v>
      </c>
      <c r="C418" s="1" t="str">
        <f>"AGUASCALIENTES"</f>
        <v>AGUASCALIENTES</v>
      </c>
      <c r="D418" s="2">
        <v>9</v>
      </c>
      <c r="E418" s="3">
        <v>6.9999999999999999E-4</v>
      </c>
    </row>
    <row r="419" spans="2:5">
      <c r="B419" s="15" t="str">
        <f t="shared" ref="B419:B442" si="17">"65PROFESIONAL PASANTE"</f>
        <v>65PROFESIONAL PASANTE</v>
      </c>
      <c r="C419" s="1" t="str">
        <f>"CHIAPAS"</f>
        <v>CHIAPAS</v>
      </c>
      <c r="D419" s="2">
        <v>7</v>
      </c>
      <c r="E419" s="3">
        <v>5.9999999999999995E-4</v>
      </c>
    </row>
    <row r="420" spans="2:5">
      <c r="B420" s="15" t="str">
        <f t="shared" si="17"/>
        <v>65PROFESIONAL PASANTE</v>
      </c>
      <c r="C420" s="1" t="str">
        <f>"CHIHUAHUA"</f>
        <v>CHIHUAHUA</v>
      </c>
      <c r="D420" s="2">
        <v>3</v>
      </c>
      <c r="E420" s="3">
        <v>2.0000000000000001E-4</v>
      </c>
    </row>
    <row r="421" spans="2:5">
      <c r="B421" s="15" t="str">
        <f t="shared" si="17"/>
        <v>65PROFESIONAL PASANTE</v>
      </c>
      <c r="C421" s="1" t="str">
        <f>"COAHUILA DE ZARAGOZA"</f>
        <v>COAHUILA DE ZARAGOZA</v>
      </c>
      <c r="D421" s="2">
        <v>4</v>
      </c>
      <c r="E421" s="3">
        <v>2.9999999999999997E-4</v>
      </c>
    </row>
    <row r="422" spans="2:5">
      <c r="B422" s="15" t="str">
        <f t="shared" si="17"/>
        <v>65PROFESIONAL PASANTE</v>
      </c>
      <c r="C422" s="1" t="str">
        <f>"COLIMA"</f>
        <v>COLIMA</v>
      </c>
      <c r="D422" s="2">
        <v>2</v>
      </c>
      <c r="E422" s="3">
        <v>2.0000000000000001E-4</v>
      </c>
    </row>
    <row r="423" spans="2:5">
      <c r="B423" s="15" t="str">
        <f t="shared" si="17"/>
        <v>65PROFESIONAL PASANTE</v>
      </c>
      <c r="C423" s="1" t="str">
        <f>"DISTRITO FEDERAL"</f>
        <v>DISTRITO FEDERAL</v>
      </c>
      <c r="D423" s="2">
        <v>31</v>
      </c>
      <c r="E423" s="3">
        <v>2.5000000000000001E-3</v>
      </c>
    </row>
    <row r="424" spans="2:5">
      <c r="B424" s="15" t="str">
        <f t="shared" si="17"/>
        <v>65PROFESIONAL PASANTE</v>
      </c>
      <c r="C424" s="1" t="str">
        <f>"DURANGO"</f>
        <v>DURANGO</v>
      </c>
      <c r="D424" s="2">
        <v>3</v>
      </c>
      <c r="E424" s="3">
        <v>2.0000000000000001E-4</v>
      </c>
    </row>
    <row r="425" spans="2:5">
      <c r="B425" s="15" t="str">
        <f t="shared" si="17"/>
        <v>65PROFESIONAL PASANTE</v>
      </c>
      <c r="C425" s="1" t="str">
        <f>"GUANAJUATO"</f>
        <v>GUANAJUATO</v>
      </c>
      <c r="D425" s="2">
        <v>6</v>
      </c>
      <c r="E425" s="3">
        <v>5.0000000000000001E-4</v>
      </c>
    </row>
    <row r="426" spans="2:5">
      <c r="B426" s="15" t="str">
        <f t="shared" si="17"/>
        <v>65PROFESIONAL PASANTE</v>
      </c>
      <c r="C426" s="1" t="str">
        <f>"GUERRERO"</f>
        <v>GUERRERO</v>
      </c>
      <c r="D426" s="2">
        <v>13</v>
      </c>
      <c r="E426" s="3">
        <v>1E-3</v>
      </c>
    </row>
    <row r="427" spans="2:5">
      <c r="B427" s="15" t="str">
        <f t="shared" si="17"/>
        <v>65PROFESIONAL PASANTE</v>
      </c>
      <c r="C427" s="1" t="str">
        <f>"HIDALGO"</f>
        <v>HIDALGO</v>
      </c>
      <c r="D427" s="2">
        <v>4</v>
      </c>
      <c r="E427" s="3">
        <v>2.9999999999999997E-4</v>
      </c>
    </row>
    <row r="428" spans="2:5">
      <c r="B428" s="15" t="str">
        <f t="shared" si="17"/>
        <v>65PROFESIONAL PASANTE</v>
      </c>
      <c r="C428" s="1" t="str">
        <f>"JALISCO"</f>
        <v>JALISCO</v>
      </c>
      <c r="D428" s="2">
        <v>13</v>
      </c>
      <c r="E428" s="3">
        <v>1E-3</v>
      </c>
    </row>
    <row r="429" spans="2:5">
      <c r="B429" s="15" t="str">
        <f t="shared" si="17"/>
        <v>65PROFESIONAL PASANTE</v>
      </c>
      <c r="C429" s="1" t="str">
        <f>"ESTADO DE MEXICO"</f>
        <v>ESTADO DE MEXICO</v>
      </c>
      <c r="D429" s="2">
        <v>13</v>
      </c>
      <c r="E429" s="3">
        <v>1E-3</v>
      </c>
    </row>
    <row r="430" spans="2:5">
      <c r="B430" s="15" t="str">
        <f t="shared" si="17"/>
        <v>65PROFESIONAL PASANTE</v>
      </c>
      <c r="C430" s="1" t="str">
        <f>"MICHOACAN DE OCAMPO"</f>
        <v>MICHOACAN DE OCAMPO</v>
      </c>
      <c r="D430" s="2">
        <v>2</v>
      </c>
      <c r="E430" s="3">
        <v>2.0000000000000001E-4</v>
      </c>
    </row>
    <row r="431" spans="2:5">
      <c r="B431" s="15" t="str">
        <f t="shared" si="17"/>
        <v>65PROFESIONAL PASANTE</v>
      </c>
      <c r="C431" s="1" t="str">
        <f>"MORELOS"</f>
        <v>MORELOS</v>
      </c>
      <c r="D431" s="2">
        <v>6</v>
      </c>
      <c r="E431" s="3">
        <v>5.0000000000000001E-4</v>
      </c>
    </row>
    <row r="432" spans="2:5">
      <c r="B432" s="15" t="str">
        <f t="shared" si="17"/>
        <v>65PROFESIONAL PASANTE</v>
      </c>
      <c r="C432" s="1" t="str">
        <f>"NUEVO LEON"</f>
        <v>NUEVO LEON</v>
      </c>
      <c r="D432" s="2">
        <v>4</v>
      </c>
      <c r="E432" s="3">
        <v>2.9999999999999997E-4</v>
      </c>
    </row>
    <row r="433" spans="2:5">
      <c r="B433" s="15" t="str">
        <f t="shared" si="17"/>
        <v>65PROFESIONAL PASANTE</v>
      </c>
      <c r="C433" s="1" t="str">
        <f>"OAXACA"</f>
        <v>OAXACA</v>
      </c>
      <c r="D433" s="2">
        <v>4</v>
      </c>
      <c r="E433" s="3">
        <v>2.9999999999999997E-4</v>
      </c>
    </row>
    <row r="434" spans="2:5">
      <c r="B434" s="15" t="str">
        <f t="shared" si="17"/>
        <v>65PROFESIONAL PASANTE</v>
      </c>
      <c r="C434" s="1" t="str">
        <f>"PUEBLA"</f>
        <v>PUEBLA</v>
      </c>
      <c r="D434" s="2">
        <v>8</v>
      </c>
      <c r="E434" s="3">
        <v>5.9999999999999995E-4</v>
      </c>
    </row>
    <row r="435" spans="2:5">
      <c r="B435" s="15" t="str">
        <f t="shared" si="17"/>
        <v>65PROFESIONAL PASANTE</v>
      </c>
      <c r="C435" s="1" t="str">
        <f>"SAN LUIS POTOSI"</f>
        <v>SAN LUIS POTOSI</v>
      </c>
      <c r="D435" s="2">
        <v>3</v>
      </c>
      <c r="E435" s="3">
        <v>2.0000000000000001E-4</v>
      </c>
    </row>
    <row r="436" spans="2:5">
      <c r="B436" s="15" t="str">
        <f t="shared" si="17"/>
        <v>65PROFESIONAL PASANTE</v>
      </c>
      <c r="C436" s="1" t="str">
        <f>"SINALOA"</f>
        <v>SINALOA</v>
      </c>
      <c r="D436" s="2">
        <v>1</v>
      </c>
      <c r="E436" s="3">
        <v>1E-4</v>
      </c>
    </row>
    <row r="437" spans="2:5">
      <c r="B437" s="15" t="str">
        <f t="shared" si="17"/>
        <v>65PROFESIONAL PASANTE</v>
      </c>
      <c r="C437" s="1" t="str">
        <f>"SONORA"</f>
        <v>SONORA</v>
      </c>
      <c r="D437" s="2">
        <v>2</v>
      </c>
      <c r="E437" s="3">
        <v>2.0000000000000001E-4</v>
      </c>
    </row>
    <row r="438" spans="2:5">
      <c r="B438" s="15" t="str">
        <f t="shared" si="17"/>
        <v>65PROFESIONAL PASANTE</v>
      </c>
      <c r="C438" s="1" t="str">
        <f>"TAMAULIPAS"</f>
        <v>TAMAULIPAS</v>
      </c>
      <c r="D438" s="2">
        <v>4</v>
      </c>
      <c r="E438" s="3">
        <v>2.9999999999999997E-4</v>
      </c>
    </row>
    <row r="439" spans="2:5">
      <c r="B439" s="15" t="str">
        <f t="shared" si="17"/>
        <v>65PROFESIONAL PASANTE</v>
      </c>
      <c r="C439" s="1" t="str">
        <f>"TLAXCALA"</f>
        <v>TLAXCALA</v>
      </c>
      <c r="D439" s="2">
        <v>3</v>
      </c>
      <c r="E439" s="3">
        <v>2.0000000000000001E-4</v>
      </c>
    </row>
    <row r="440" spans="2:5" ht="30">
      <c r="B440" s="15" t="str">
        <f t="shared" si="17"/>
        <v>65PROFESIONAL PASANTE</v>
      </c>
      <c r="C440" s="1" t="str">
        <f>"VERACRUZ DE IGNACIO DE LA LLAVE"</f>
        <v>VERACRUZ DE IGNACIO DE LA LLAVE</v>
      </c>
      <c r="D440" s="2">
        <v>29</v>
      </c>
      <c r="E440" s="3">
        <v>2.3E-3</v>
      </c>
    </row>
    <row r="441" spans="2:5">
      <c r="B441" s="15" t="str">
        <f t="shared" si="17"/>
        <v>65PROFESIONAL PASANTE</v>
      </c>
      <c r="C441" s="1" t="str">
        <f>"ZACATECAS"</f>
        <v>ZACATECAS</v>
      </c>
      <c r="D441" s="2">
        <v>6</v>
      </c>
      <c r="E441" s="3">
        <v>5.0000000000000001E-4</v>
      </c>
    </row>
    <row r="442" spans="2:5" ht="16.5">
      <c r="B442" s="15" t="str">
        <f t="shared" si="17"/>
        <v>65PROFESIONAL PASANTE</v>
      </c>
      <c r="C442" s="6" t="str">
        <f>"Total"</f>
        <v>Total</v>
      </c>
      <c r="D442" s="7">
        <v>180</v>
      </c>
      <c r="E442" s="8">
        <v>1.44E-2</v>
      </c>
    </row>
    <row r="443" spans="2:5">
      <c r="B443" s="14" t="str">
        <f>"PROFESIONAL TITULADO"</f>
        <v>PROFESIONAL TITULADO</v>
      </c>
      <c r="C443" s="1" t="str">
        <f>"AGUASCALIENTES"</f>
        <v>AGUASCALIENTES</v>
      </c>
      <c r="D443" s="2">
        <v>8</v>
      </c>
      <c r="E443" s="3">
        <v>5.9999999999999995E-4</v>
      </c>
    </row>
    <row r="444" spans="2:5">
      <c r="B444" s="15" t="str">
        <f t="shared" ref="B444:B466" si="18">"66PROFESIONAL TITULADO"</f>
        <v>66PROFESIONAL TITULADO</v>
      </c>
      <c r="C444" s="1" t="str">
        <f>"BAJA CALIFORNIA"</f>
        <v>BAJA CALIFORNIA</v>
      </c>
      <c r="D444" s="2">
        <v>1</v>
      </c>
      <c r="E444" s="3">
        <v>1E-4</v>
      </c>
    </row>
    <row r="445" spans="2:5">
      <c r="B445" s="15" t="str">
        <f t="shared" si="18"/>
        <v>66PROFESIONAL TITULADO</v>
      </c>
      <c r="C445" s="1" t="str">
        <f>"CHIAPAS"</f>
        <v>CHIAPAS</v>
      </c>
      <c r="D445" s="2">
        <v>1</v>
      </c>
      <c r="E445" s="3">
        <v>1E-4</v>
      </c>
    </row>
    <row r="446" spans="2:5">
      <c r="B446" s="15" t="str">
        <f t="shared" si="18"/>
        <v>66PROFESIONAL TITULADO</v>
      </c>
      <c r="C446" s="1" t="str">
        <f>"CHIHUAHUA"</f>
        <v>CHIHUAHUA</v>
      </c>
      <c r="D446" s="2">
        <v>3</v>
      </c>
      <c r="E446" s="3">
        <v>2.0000000000000001E-4</v>
      </c>
    </row>
    <row r="447" spans="2:5">
      <c r="B447" s="15" t="str">
        <f t="shared" si="18"/>
        <v>66PROFESIONAL TITULADO</v>
      </c>
      <c r="C447" s="1" t="str">
        <f>"COAHUILA DE ZARAGOZA"</f>
        <v>COAHUILA DE ZARAGOZA</v>
      </c>
      <c r="D447" s="2">
        <v>3</v>
      </c>
      <c r="E447" s="3">
        <v>2.0000000000000001E-4</v>
      </c>
    </row>
    <row r="448" spans="2:5">
      <c r="B448" s="15" t="str">
        <f t="shared" si="18"/>
        <v>66PROFESIONAL TITULADO</v>
      </c>
      <c r="C448" s="1" t="str">
        <f>"DISTRITO FEDERAL"</f>
        <v>DISTRITO FEDERAL</v>
      </c>
      <c r="D448" s="2">
        <v>20</v>
      </c>
      <c r="E448" s="3">
        <v>1.6000000000000001E-3</v>
      </c>
    </row>
    <row r="449" spans="2:5">
      <c r="B449" s="15" t="str">
        <f t="shared" si="18"/>
        <v>66PROFESIONAL TITULADO</v>
      </c>
      <c r="C449" s="1" t="str">
        <f>"DURANGO"</f>
        <v>DURANGO</v>
      </c>
      <c r="D449" s="2">
        <v>3</v>
      </c>
      <c r="E449" s="3">
        <v>2.0000000000000001E-4</v>
      </c>
    </row>
    <row r="450" spans="2:5">
      <c r="B450" s="15" t="str">
        <f t="shared" si="18"/>
        <v>66PROFESIONAL TITULADO</v>
      </c>
      <c r="C450" s="1" t="str">
        <f>"GUANAJUATO"</f>
        <v>GUANAJUATO</v>
      </c>
      <c r="D450" s="2">
        <v>4</v>
      </c>
      <c r="E450" s="3">
        <v>2.9999999999999997E-4</v>
      </c>
    </row>
    <row r="451" spans="2:5">
      <c r="B451" s="15" t="str">
        <f t="shared" si="18"/>
        <v>66PROFESIONAL TITULADO</v>
      </c>
      <c r="C451" s="1" t="str">
        <f>"GUERRERO"</f>
        <v>GUERRERO</v>
      </c>
      <c r="D451" s="2">
        <v>3</v>
      </c>
      <c r="E451" s="3">
        <v>2.0000000000000001E-4</v>
      </c>
    </row>
    <row r="452" spans="2:5">
      <c r="B452" s="15" t="str">
        <f t="shared" si="18"/>
        <v>66PROFESIONAL TITULADO</v>
      </c>
      <c r="C452" s="1" t="str">
        <f>"HIDALGO"</f>
        <v>HIDALGO</v>
      </c>
      <c r="D452" s="2">
        <v>1</v>
      </c>
      <c r="E452" s="3">
        <v>1E-4</v>
      </c>
    </row>
    <row r="453" spans="2:5">
      <c r="B453" s="15" t="str">
        <f t="shared" si="18"/>
        <v>66PROFESIONAL TITULADO</v>
      </c>
      <c r="C453" s="1" t="str">
        <f>"JALISCO"</f>
        <v>JALISCO</v>
      </c>
      <c r="D453" s="2">
        <v>8</v>
      </c>
      <c r="E453" s="3">
        <v>5.9999999999999995E-4</v>
      </c>
    </row>
    <row r="454" spans="2:5">
      <c r="B454" s="15" t="str">
        <f t="shared" si="18"/>
        <v>66PROFESIONAL TITULADO</v>
      </c>
      <c r="C454" s="1" t="str">
        <f>"ESTADO DE MEXICO"</f>
        <v>ESTADO DE MEXICO</v>
      </c>
      <c r="D454" s="2">
        <v>4</v>
      </c>
      <c r="E454" s="3">
        <v>2.9999999999999997E-4</v>
      </c>
    </row>
    <row r="455" spans="2:5">
      <c r="B455" s="15" t="str">
        <f t="shared" si="18"/>
        <v>66PROFESIONAL TITULADO</v>
      </c>
      <c r="C455" s="1" t="str">
        <f>"MICHOACAN DE OCAMPO"</f>
        <v>MICHOACAN DE OCAMPO</v>
      </c>
      <c r="D455" s="2">
        <v>5</v>
      </c>
      <c r="E455" s="3">
        <v>4.0000000000000002E-4</v>
      </c>
    </row>
    <row r="456" spans="2:5">
      <c r="B456" s="15" t="str">
        <f t="shared" si="18"/>
        <v>66PROFESIONAL TITULADO</v>
      </c>
      <c r="C456" s="1" t="str">
        <f>"MORELOS"</f>
        <v>MORELOS</v>
      </c>
      <c r="D456" s="2">
        <v>4</v>
      </c>
      <c r="E456" s="3">
        <v>2.9999999999999997E-4</v>
      </c>
    </row>
    <row r="457" spans="2:5">
      <c r="B457" s="15" t="str">
        <f t="shared" si="18"/>
        <v>66PROFESIONAL TITULADO</v>
      </c>
      <c r="C457" s="1" t="str">
        <f>"NUEVO LEON"</f>
        <v>NUEVO LEON</v>
      </c>
      <c r="D457" s="2">
        <v>4</v>
      </c>
      <c r="E457" s="3">
        <v>2.9999999999999997E-4</v>
      </c>
    </row>
    <row r="458" spans="2:5">
      <c r="B458" s="15" t="str">
        <f t="shared" si="18"/>
        <v>66PROFESIONAL TITULADO</v>
      </c>
      <c r="C458" s="1" t="str">
        <f>"OAXACA"</f>
        <v>OAXACA</v>
      </c>
      <c r="D458" s="2">
        <v>6</v>
      </c>
      <c r="E458" s="3">
        <v>5.0000000000000001E-4</v>
      </c>
    </row>
    <row r="459" spans="2:5">
      <c r="B459" s="15" t="str">
        <f t="shared" si="18"/>
        <v>66PROFESIONAL TITULADO</v>
      </c>
      <c r="C459" s="1" t="str">
        <f>"PUEBLA"</f>
        <v>PUEBLA</v>
      </c>
      <c r="D459" s="2">
        <v>3</v>
      </c>
      <c r="E459" s="3">
        <v>2.0000000000000001E-4</v>
      </c>
    </row>
    <row r="460" spans="2:5">
      <c r="B460" s="15" t="str">
        <f t="shared" si="18"/>
        <v>66PROFESIONAL TITULADO</v>
      </c>
      <c r="C460" s="1" t="str">
        <f>"SAN LUIS POTOSI"</f>
        <v>SAN LUIS POTOSI</v>
      </c>
      <c r="D460" s="2">
        <v>2</v>
      </c>
      <c r="E460" s="3">
        <v>2.0000000000000001E-4</v>
      </c>
    </row>
    <row r="461" spans="2:5">
      <c r="B461" s="15" t="str">
        <f t="shared" si="18"/>
        <v>66PROFESIONAL TITULADO</v>
      </c>
      <c r="C461" s="1" t="str">
        <f>"SINALOA"</f>
        <v>SINALOA</v>
      </c>
      <c r="D461" s="2">
        <v>1</v>
      </c>
      <c r="E461" s="3">
        <v>1E-4</v>
      </c>
    </row>
    <row r="462" spans="2:5">
      <c r="B462" s="15" t="str">
        <f t="shared" si="18"/>
        <v>66PROFESIONAL TITULADO</v>
      </c>
      <c r="C462" s="1" t="str">
        <f>"TAMAULIPAS"</f>
        <v>TAMAULIPAS</v>
      </c>
      <c r="D462" s="2">
        <v>6</v>
      </c>
      <c r="E462" s="3">
        <v>5.0000000000000001E-4</v>
      </c>
    </row>
    <row r="463" spans="2:5">
      <c r="B463" s="15" t="str">
        <f t="shared" si="18"/>
        <v>66PROFESIONAL TITULADO</v>
      </c>
      <c r="C463" s="1" t="str">
        <f>"TLAXCALA"</f>
        <v>TLAXCALA</v>
      </c>
      <c r="D463" s="2">
        <v>1</v>
      </c>
      <c r="E463" s="3">
        <v>1E-4</v>
      </c>
    </row>
    <row r="464" spans="2:5" ht="30">
      <c r="B464" s="15" t="str">
        <f t="shared" si="18"/>
        <v>66PROFESIONAL TITULADO</v>
      </c>
      <c r="C464" s="1" t="str">
        <f>"VERACRUZ DE IGNACIO DE LA LLAVE"</f>
        <v>VERACRUZ DE IGNACIO DE LA LLAVE</v>
      </c>
      <c r="D464" s="2">
        <v>10</v>
      </c>
      <c r="E464" s="3">
        <v>8.0000000000000004E-4</v>
      </c>
    </row>
    <row r="465" spans="2:5">
      <c r="B465" s="15" t="str">
        <f t="shared" si="18"/>
        <v>66PROFESIONAL TITULADO</v>
      </c>
      <c r="C465" s="1" t="str">
        <f>"ZACATECAS"</f>
        <v>ZACATECAS</v>
      </c>
      <c r="D465" s="2">
        <v>1</v>
      </c>
      <c r="E465" s="3">
        <v>1E-4</v>
      </c>
    </row>
    <row r="466" spans="2:5" ht="16.5">
      <c r="B466" s="15" t="str">
        <f t="shared" si="18"/>
        <v>66PROFESIONAL TITULADO</v>
      </c>
      <c r="C466" s="6" t="str">
        <f>"Total"</f>
        <v>Total</v>
      </c>
      <c r="D466" s="7">
        <v>102</v>
      </c>
      <c r="E466" s="8">
        <v>8.2000000000000007E-3</v>
      </c>
    </row>
    <row r="467" spans="2:5" ht="16.5">
      <c r="B467" s="9" t="s">
        <v>10</v>
      </c>
      <c r="C467" s="10" t="str">
        <f>" "</f>
        <v> </v>
      </c>
      <c r="D467" s="11">
        <v>12470</v>
      </c>
      <c r="E467" s="12">
        <v>1</v>
      </c>
    </row>
    <row r="470" spans="2:5">
      <c r="B470" s="13" t="s">
        <v>4</v>
      </c>
    </row>
    <row r="471" spans="2:5">
      <c r="B471" s="13" t="s">
        <v>5</v>
      </c>
    </row>
    <row r="472" spans="2:5">
      <c r="B472" s="13" t="s">
        <v>6</v>
      </c>
    </row>
    <row r="473" spans="2:5">
      <c r="B473" s="13" t="s">
        <v>7</v>
      </c>
    </row>
    <row r="474" spans="2:5">
      <c r="B474" s="13" t="s">
        <v>8</v>
      </c>
    </row>
  </sheetData>
  <mergeCells count="22">
    <mergeCell ref="B47:B59"/>
    <mergeCell ref="B60:B81"/>
    <mergeCell ref="B82:B101"/>
    <mergeCell ref="B102:B122"/>
    <mergeCell ref="B6:E7"/>
    <mergeCell ref="B10:B27"/>
    <mergeCell ref="B28:B46"/>
    <mergeCell ref="B229:B255"/>
    <mergeCell ref="B256:B287"/>
    <mergeCell ref="B288:B316"/>
    <mergeCell ref="B317:B345"/>
    <mergeCell ref="B123:B153"/>
    <mergeCell ref="B154:B184"/>
    <mergeCell ref="B185:B205"/>
    <mergeCell ref="B206:B228"/>
    <mergeCell ref="B418:B442"/>
    <mergeCell ref="B443:B466"/>
    <mergeCell ref="B346:B376"/>
    <mergeCell ref="B377:B386"/>
    <mergeCell ref="B387:B394"/>
    <mergeCell ref="B395:B404"/>
    <mergeCell ref="B405:B417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easCACDLE5P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2012-03-22T22:40:21Z</dcterms:created>
  <dcterms:modified xsi:type="dcterms:W3CDTF">2012-03-23T23:34:27Z</dcterms:modified>
</cp:coreProperties>
</file>