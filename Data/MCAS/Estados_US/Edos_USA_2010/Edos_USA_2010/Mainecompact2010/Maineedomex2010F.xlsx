
<file path=[Content_Types].xml><?xml version="1.0" encoding="utf-8"?>
<Types xmlns="http://schemas.openxmlformats.org/package/2006/content-types">
  <Default Extension="bin" ContentType="application/vnd.openxmlformats-officedocument.oleObject"/>
  <Default Extension="png" ContentType="image/png"/>
  <Override PartName="/xl/theme/theme1.xml" ContentType="application/vnd.openxmlformats-officedocument.theme+xml"/>
  <Override PartName="/xl/styles.xml" ContentType="application/vnd.openxmlformats-officedocument.spreadsheetml.styles+xml"/>
  <Default Extension="emf" ContentType="image/x-emf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app.xml" ContentType="application/vnd.openxmlformats-officedocument.extended-properties+xml"/>
  <Override PartName="/xl/drawings/drawing1.xml" ContentType="application/vnd.openxmlformats-officedocument.drawing+xml"/>
  <Override PartName="/xl/worksheets/sheet1.xml" ContentType="application/vnd.openxmlformats-officedocument.spreadsheetml.worksheet+xml"/>
  <Default Extension="vml" ContentType="application/vnd.openxmlformats-officedocument.vmlDrawing"/>
  <Override PartName="/xl/calcChain.xml" ContentType="application/vnd.openxmlformats-officedocument.spreadsheetml.calcChain+xml"/>
  <Override PartName="/xl/sharedStrings.xml" ContentType="application/vnd.openxmlformats-officedocument.spreadsheetml.sharedStrings+xml"/>
  <Override PartName="/docProps/core.xml" ContentType="application/vnd.openxmlformats-package.core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6"/>
  <workbookPr defaultThemeVersion="124226"/>
  <bookViews>
    <workbookView xWindow="600" yWindow="45" windowWidth="10515" windowHeight="9780"/>
  </bookViews>
  <sheets>
    <sheet name="easCA6ZBENQ" sheetId="2" r:id="rId1"/>
  </sheets>
  <calcPr calcId="125725"/>
</workbook>
</file>

<file path=xl/calcChain.xml><?xml version="1.0" encoding="utf-8"?>
<calcChain xmlns="http://schemas.openxmlformats.org/spreadsheetml/2006/main">
  <c r="B24" i="2"/>
  <c r="B23"/>
  <c r="B22"/>
  <c r="B21"/>
  <c r="B20"/>
  <c r="B19"/>
  <c r="B18"/>
  <c r="B17"/>
  <c r="B16"/>
  <c r="B15"/>
  <c r="B14"/>
  <c r="B13"/>
  <c r="B12"/>
  <c r="B11"/>
</calcChain>
</file>

<file path=xl/sharedStrings.xml><?xml version="1.0" encoding="utf-8"?>
<sst xmlns="http://schemas.openxmlformats.org/spreadsheetml/2006/main" count="12" uniqueCount="12">
  <si>
    <t>TOTAL</t>
  </si>
  <si>
    <t>Tamaño de la muestra: 842, 321</t>
  </si>
  <si>
    <t xml:space="preserve">Fuente: Expedición de Matrículas Consulares de Alta Seguridad en los Consulados de México en E.E.U.U. </t>
  </si>
  <si>
    <t xml:space="preserve">Elaborado por: Sistematización de Información y Estadística del Instituto de los Mexicanos en el Exterior </t>
  </si>
  <si>
    <t xml:space="preserve">Secretaria de Relaciones Exteriores </t>
  </si>
  <si>
    <t>Marzo del 2012</t>
  </si>
  <si>
    <t xml:space="preserve">MATRÍCULAS CONSULARES DE ALTA SEGURIDAD EXPEDIDAS EN EL ESTADO DE </t>
  </si>
  <si>
    <t>(Tabla  en orden descendente)</t>
  </si>
  <si>
    <t>Estado de Origen</t>
  </si>
  <si>
    <t xml:space="preserve">Número de Matrículas </t>
  </si>
  <si>
    <t>Porcentaje de Matrículas</t>
  </si>
  <si>
    <t>MAINE POR ESTADO DE LA REPÚBLICA MEXICANA, 2010</t>
  </si>
</sst>
</file>

<file path=xl/styles.xml><?xml version="1.0" encoding="utf-8"?>
<styleSheet xmlns="http://schemas.openxmlformats.org/spreadsheetml/2006/main">
  <fonts count="25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8"/>
      <color theme="3"/>
      <name val="Cambria"/>
      <family val="2"/>
      <scheme val="maj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9C6500"/>
      <name val="Calibri"/>
      <family val="2"/>
      <scheme val="minor"/>
    </font>
    <font>
      <sz val="11"/>
      <color rgb="FF3F3F76"/>
      <name val="Calibri"/>
      <family val="2"/>
      <scheme val="minor"/>
    </font>
    <font>
      <b/>
      <sz val="11"/>
      <color rgb="FF3F3F3F"/>
      <name val="Calibri"/>
      <family val="2"/>
      <scheme val="minor"/>
    </font>
    <font>
      <b/>
      <sz val="11"/>
      <color rgb="FFFA7D00"/>
      <name val="Calibri"/>
      <family val="2"/>
      <scheme val="minor"/>
    </font>
    <font>
      <sz val="11"/>
      <color rgb="FFFA7D0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rgb="FFFF0000"/>
      <name val="Calibri"/>
      <family val="2"/>
      <scheme val="minor"/>
    </font>
    <font>
      <i/>
      <sz val="11"/>
      <color rgb="FF7F7F7F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sz val="11"/>
      <name val="Calibri"/>
      <family val="2"/>
      <scheme val="minor"/>
    </font>
    <font>
      <sz val="10"/>
      <name val="Arial Narrow"/>
      <family val="2"/>
    </font>
    <font>
      <b/>
      <sz val="11"/>
      <name val="Arial Narrow"/>
      <family val="2"/>
    </font>
    <font>
      <i/>
      <sz val="11"/>
      <name val="Arial Narrow"/>
      <family val="2"/>
    </font>
    <font>
      <sz val="11"/>
      <name val="Arial Narrow"/>
      <family val="2"/>
    </font>
    <font>
      <sz val="11"/>
      <color indexed="8"/>
      <name val="Calibri"/>
      <family val="2"/>
    </font>
    <font>
      <b/>
      <sz val="11"/>
      <color indexed="9"/>
      <name val="Arial Narrow"/>
      <family val="2"/>
    </font>
  </fonts>
  <fills count="35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theme="0" tint="-0.499984740745262"/>
        <bgColor indexed="64"/>
      </patternFill>
    </fill>
    <fill>
      <patternFill patternType="solid">
        <fgColor indexed="17"/>
        <bgColor indexed="64"/>
      </patternFill>
    </fill>
  </fills>
  <borders count="11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43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7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7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7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7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7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7" fillId="32" borderId="0" applyNumberFormat="0" applyBorder="0" applyAlignment="0" applyProtection="0"/>
    <xf numFmtId="0" fontId="23" fillId="0" borderId="0"/>
  </cellStyleXfs>
  <cellXfs count="16">
    <xf numFmtId="0" fontId="0" fillId="0" borderId="0" xfId="0"/>
    <xf numFmtId="0" fontId="18" fillId="0" borderId="10" xfId="0" applyFont="1" applyBorder="1" applyAlignment="1">
      <alignment wrapText="1"/>
    </xf>
    <xf numFmtId="0" fontId="18" fillId="0" borderId="10" xfId="0" applyFont="1" applyBorder="1" applyAlignment="1">
      <alignment horizontal="right" wrapText="1"/>
    </xf>
    <xf numFmtId="10" fontId="18" fillId="0" borderId="10" xfId="0" applyNumberFormat="1" applyFont="1" applyBorder="1" applyAlignment="1">
      <alignment horizontal="right" wrapText="1"/>
    </xf>
    <xf numFmtId="0" fontId="19" fillId="0" borderId="0" xfId="0" applyFont="1"/>
    <xf numFmtId="0" fontId="13" fillId="33" borderId="10" xfId="0" applyFont="1" applyFill="1" applyBorder="1" applyAlignment="1">
      <alignment wrapText="1"/>
    </xf>
    <xf numFmtId="0" fontId="13" fillId="33" borderId="10" xfId="0" applyFont="1" applyFill="1" applyBorder="1" applyAlignment="1">
      <alignment horizontal="right" wrapText="1"/>
    </xf>
    <xf numFmtId="10" fontId="13" fillId="33" borderId="10" xfId="0" applyNumberFormat="1" applyFont="1" applyFill="1" applyBorder="1" applyAlignment="1">
      <alignment horizontal="right" wrapText="1"/>
    </xf>
    <xf numFmtId="0" fontId="20" fillId="0" borderId="0" xfId="0" applyFont="1" applyAlignment="1">
      <alignment horizontal="center"/>
    </xf>
    <xf numFmtId="0" fontId="21" fillId="0" borderId="0" xfId="0" applyFont="1" applyAlignment="1">
      <alignment horizontal="center"/>
    </xf>
    <xf numFmtId="0" fontId="22" fillId="0" borderId="0" xfId="0" applyFont="1" applyAlignment="1">
      <alignment horizontal="center"/>
    </xf>
    <xf numFmtId="0" fontId="24" fillId="0" borderId="0" xfId="42" applyFont="1" applyFill="1" applyBorder="1" applyAlignment="1">
      <alignment horizontal="center" vertical="center" wrapText="1"/>
    </xf>
    <xf numFmtId="0" fontId="0" fillId="0" borderId="0" xfId="0" applyFill="1"/>
    <xf numFmtId="0" fontId="24" fillId="34" borderId="10" xfId="42" applyFont="1" applyFill="1" applyBorder="1" applyAlignment="1">
      <alignment horizontal="center" vertical="center" wrapText="1"/>
    </xf>
    <xf numFmtId="10" fontId="22" fillId="0" borderId="0" xfId="42" applyNumberFormat="1" applyFont="1" applyFill="1" applyBorder="1" applyAlignment="1">
      <alignment horizontal="right" wrapText="1"/>
    </xf>
    <xf numFmtId="0" fontId="0" fillId="0" borderId="0" xfId="0" applyFill="1" applyBorder="1"/>
  </cellXfs>
  <cellStyles count="43">
    <cellStyle name="20% - Énfasis1" xfId="19" builtinId="30" customBuiltin="1"/>
    <cellStyle name="20% - Énfasis2" xfId="23" builtinId="34" customBuiltin="1"/>
    <cellStyle name="20% - Énfasis3" xfId="27" builtinId="38" customBuiltin="1"/>
    <cellStyle name="20% - Énfasis4" xfId="31" builtinId="42" customBuiltin="1"/>
    <cellStyle name="20% - Énfasis5" xfId="35" builtinId="46" customBuiltin="1"/>
    <cellStyle name="20% - Énfasis6" xfId="39" builtinId="50" customBuiltin="1"/>
    <cellStyle name="40% - Énfasis1" xfId="20" builtinId="31" customBuiltin="1"/>
    <cellStyle name="40% - Énfasis2" xfId="24" builtinId="35" customBuiltin="1"/>
    <cellStyle name="40% - Énfasis3" xfId="28" builtinId="39" customBuiltin="1"/>
    <cellStyle name="40% - Énfasis4" xfId="32" builtinId="43" customBuiltin="1"/>
    <cellStyle name="40% - Énfasis5" xfId="36" builtinId="47" customBuiltin="1"/>
    <cellStyle name="40% - Énfasis6" xfId="40" builtinId="51" customBuiltin="1"/>
    <cellStyle name="60% - Énfasis1" xfId="21" builtinId="32" customBuiltin="1"/>
    <cellStyle name="60% - Énfasis2" xfId="25" builtinId="36" customBuiltin="1"/>
    <cellStyle name="60% - Énfasis3" xfId="29" builtinId="40" customBuiltin="1"/>
    <cellStyle name="60% - Énfasis4" xfId="33" builtinId="44" customBuiltin="1"/>
    <cellStyle name="60% - Énfasis5" xfId="37" builtinId="48" customBuiltin="1"/>
    <cellStyle name="60% - Énfasis6" xfId="41" builtinId="52" customBuiltin="1"/>
    <cellStyle name="Buena" xfId="6" builtinId="26" customBuiltin="1"/>
    <cellStyle name="Cálculo" xfId="11" builtinId="22" customBuiltin="1"/>
    <cellStyle name="Celda de comprobación" xfId="13" builtinId="23" customBuiltin="1"/>
    <cellStyle name="Celda vinculada" xfId="12" builtinId="24" customBuiltin="1"/>
    <cellStyle name="Encabezado 4" xfId="5" builtinId="19" customBuiltin="1"/>
    <cellStyle name="Énfasis1" xfId="18" builtinId="29" customBuiltin="1"/>
    <cellStyle name="Énfasis2" xfId="22" builtinId="33" customBuiltin="1"/>
    <cellStyle name="Énfasis3" xfId="26" builtinId="37" customBuiltin="1"/>
    <cellStyle name="Énfasis4" xfId="30" builtinId="41" customBuiltin="1"/>
    <cellStyle name="Énfasis5" xfId="34" builtinId="45" customBuiltin="1"/>
    <cellStyle name="Énfasis6" xfId="38" builtinId="49" customBuiltin="1"/>
    <cellStyle name="Entrada" xfId="9" builtinId="20" customBuiltin="1"/>
    <cellStyle name="Incorrecto" xfId="7" builtinId="27" customBuiltin="1"/>
    <cellStyle name="Neutral" xfId="8" builtinId="28" customBuiltin="1"/>
    <cellStyle name="Normal" xfId="0" builtinId="0"/>
    <cellStyle name="Normal_Hoja1" xfId="42"/>
    <cellStyle name="Notas" xfId="15" builtinId="10" customBuiltin="1"/>
    <cellStyle name="Salida" xfId="10" builtinId="21" customBuiltin="1"/>
    <cellStyle name="Texto de advertencia" xfId="14" builtinId="11" customBuiltin="1"/>
    <cellStyle name="Texto explicativo" xfId="16" builtinId="53" customBuiltin="1"/>
    <cellStyle name="Título" xfId="1" builtinId="15" customBuiltin="1"/>
    <cellStyle name="Título 1" xfId="2" builtinId="16" customBuiltin="1"/>
    <cellStyle name="Título 2" xfId="3" builtinId="17" customBuiltin="1"/>
    <cellStyle name="Título 3" xfId="4" builtinId="18" customBuiltin="1"/>
    <cellStyle name="Total" xfId="17" builtinId="25" customBuiltin="1"/>
  </cellStyles>
  <dxfs count="0"/>
  <tableStyles count="0" defaultTableStyle="TableStyleMedium9" defaultPivotStyle="PivotStyleLight16"/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vmlDrawing1.vml.rels><?xml version="1.0" encoding="UTF-8" standalone="yes"?>
<Relationships xmlns="http://schemas.openxmlformats.org/package/2006/relationships"><Relationship Id="rId1" Type="http://schemas.openxmlformats.org/officeDocument/2006/relationships/image" Target="../media/image2.emf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3</xdr:col>
      <xdr:colOff>257175</xdr:colOff>
      <xdr:row>0</xdr:row>
      <xdr:rowOff>28575</xdr:rowOff>
    </xdr:from>
    <xdr:to>
      <xdr:col>4</xdr:col>
      <xdr:colOff>238125</xdr:colOff>
      <xdr:row>3</xdr:row>
      <xdr:rowOff>123825</xdr:rowOff>
    </xdr:to>
    <xdr:pic>
      <xdr:nvPicPr>
        <xdr:cNvPr id="2" name="Picture 2"/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/>
        <a:srcRect/>
        <a:stretch>
          <a:fillRect/>
        </a:stretch>
      </xdr:blipFill>
      <xdr:spPr bwMode="auto">
        <a:xfrm>
          <a:off x="4572000" y="28575"/>
          <a:ext cx="1276350" cy="58102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twoCellAnchor>
</xdr:wsDr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oleObject" Target="../embeddings/oleObject1.bin"/><Relationship Id="rId2" Type="http://schemas.openxmlformats.org/officeDocument/2006/relationships/vmlDrawing" Target="../drawings/vmlDrawing1.vml"/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G31"/>
  <sheetViews>
    <sheetView showGridLines="0" tabSelected="1" workbookViewId="0">
      <selection activeCell="A10" sqref="A10"/>
    </sheetView>
  </sheetViews>
  <sheetFormatPr baseColWidth="10" defaultRowHeight="15"/>
  <cols>
    <col min="2" max="2" width="42.28515625" customWidth="1"/>
    <col min="3" max="4" width="16.140625" bestFit="1" customWidth="1"/>
  </cols>
  <sheetData>
    <row r="1" spans="1:7" ht="12.75"/>
    <row r="2" spans="1:7" ht="12.75"/>
    <row r="3" spans="1:7" ht="12.75"/>
    <row r="4" spans="1:7" ht="12.75"/>
    <row r="5" spans="1:7" ht="12.75"/>
    <row r="6" spans="1:7" ht="16.5">
      <c r="A6" s="8" t="s">
        <v>6</v>
      </c>
      <c r="B6" s="8"/>
      <c r="C6" s="8"/>
      <c r="D6" s="8"/>
      <c r="E6" s="8"/>
    </row>
    <row r="7" spans="1:7" ht="16.5">
      <c r="A7" s="8" t="s">
        <v>11</v>
      </c>
      <c r="B7" s="8"/>
      <c r="C7" s="8"/>
      <c r="D7" s="8"/>
      <c r="E7" s="8"/>
    </row>
    <row r="8" spans="1:7" ht="12.75"/>
    <row r="9" spans="1:7" ht="16.5">
      <c r="B9" s="9" t="s">
        <v>7</v>
      </c>
      <c r="C9" s="10"/>
      <c r="D9" s="10"/>
      <c r="E9" s="11"/>
    </row>
    <row r="10" spans="1:7" ht="33">
      <c r="A10" s="12"/>
      <c r="B10" s="13" t="s">
        <v>8</v>
      </c>
      <c r="C10" s="13" t="s">
        <v>9</v>
      </c>
      <c r="D10" s="13" t="s">
        <v>10</v>
      </c>
      <c r="E10" s="14"/>
      <c r="F10" s="15"/>
      <c r="G10" s="15"/>
    </row>
    <row r="11" spans="1:7">
      <c r="B11" s="1" t="str">
        <f>"PUEBLA"</f>
        <v>PUEBLA</v>
      </c>
      <c r="C11" s="2">
        <v>6</v>
      </c>
      <c r="D11" s="3">
        <v>0.15790000000000001</v>
      </c>
    </row>
    <row r="12" spans="1:7">
      <c r="B12" s="1" t="str">
        <f>"OAXACA"</f>
        <v>OAXACA</v>
      </c>
      <c r="C12" s="2">
        <v>5</v>
      </c>
      <c r="D12" s="3">
        <v>0.13159999999999999</v>
      </c>
    </row>
    <row r="13" spans="1:7">
      <c r="B13" s="1" t="str">
        <f>"GUANAJUATO"</f>
        <v>GUANAJUATO</v>
      </c>
      <c r="C13" s="2">
        <v>5</v>
      </c>
      <c r="D13" s="3">
        <v>0.13159999999999999</v>
      </c>
    </row>
    <row r="14" spans="1:7">
      <c r="B14" s="1" t="str">
        <f>"COLIMA"</f>
        <v>COLIMA</v>
      </c>
      <c r="C14" s="2">
        <v>4</v>
      </c>
      <c r="D14" s="3">
        <v>0.1053</v>
      </c>
    </row>
    <row r="15" spans="1:7">
      <c r="B15" s="1" t="str">
        <f>"MICHOACAN DE OCAMPO"</f>
        <v>MICHOACAN DE OCAMPO</v>
      </c>
      <c r="C15" s="2">
        <v>4</v>
      </c>
      <c r="D15" s="3">
        <v>0.1053</v>
      </c>
    </row>
    <row r="16" spans="1:7">
      <c r="B16" s="1" t="str">
        <f>"SAN LUIS POTOSI"</f>
        <v>SAN LUIS POTOSI</v>
      </c>
      <c r="C16" s="2">
        <v>4</v>
      </c>
      <c r="D16" s="3">
        <v>0.1053</v>
      </c>
    </row>
    <row r="17" spans="2:4">
      <c r="B17" s="1" t="str">
        <f>"DISTRITO FEDERAL"</f>
        <v>DISTRITO FEDERAL</v>
      </c>
      <c r="C17" s="2">
        <v>2</v>
      </c>
      <c r="D17" s="3">
        <v>5.2600000000000001E-2</v>
      </c>
    </row>
    <row r="18" spans="2:4">
      <c r="B18" s="1" t="str">
        <f>"MEXICO"</f>
        <v>MEXICO</v>
      </c>
      <c r="C18" s="2">
        <v>2</v>
      </c>
      <c r="D18" s="3">
        <v>5.2600000000000001E-2</v>
      </c>
    </row>
    <row r="19" spans="2:4">
      <c r="B19" s="1" t="str">
        <f>"CHIAPAS"</f>
        <v>CHIAPAS</v>
      </c>
      <c r="C19" s="2">
        <v>1</v>
      </c>
      <c r="D19" s="3">
        <v>2.63E-2</v>
      </c>
    </row>
    <row r="20" spans="2:4">
      <c r="B20" s="1" t="str">
        <f>"CHIHUAHUA"</f>
        <v>CHIHUAHUA</v>
      </c>
      <c r="C20" s="2">
        <v>1</v>
      </c>
      <c r="D20" s="3">
        <v>2.63E-2</v>
      </c>
    </row>
    <row r="21" spans="2:4">
      <c r="B21" s="1" t="str">
        <f>"JALISCO"</f>
        <v>JALISCO</v>
      </c>
      <c r="C21" s="2">
        <v>1</v>
      </c>
      <c r="D21" s="3">
        <v>2.63E-2</v>
      </c>
    </row>
    <row r="22" spans="2:4">
      <c r="B22" s="1" t="str">
        <f>"BAJA CALIFORNIA"</f>
        <v>BAJA CALIFORNIA</v>
      </c>
      <c r="C22" s="2">
        <v>1</v>
      </c>
      <c r="D22" s="3">
        <v>2.63E-2</v>
      </c>
    </row>
    <row r="23" spans="2:4">
      <c r="B23" s="1" t="str">
        <f>"VERACRUZ DE IGNACIO DE LA LLAVE"</f>
        <v>VERACRUZ DE IGNACIO DE LA LLAVE</v>
      </c>
      <c r="C23" s="2">
        <v>1</v>
      </c>
      <c r="D23" s="3">
        <v>2.63E-2</v>
      </c>
    </row>
    <row r="24" spans="2:4">
      <c r="B24" s="1" t="str">
        <f>"ZACATECAS"</f>
        <v>ZACATECAS</v>
      </c>
      <c r="C24" s="2">
        <v>1</v>
      </c>
      <c r="D24" s="3">
        <v>2.63E-2</v>
      </c>
    </row>
    <row r="25" spans="2:4">
      <c r="B25" s="5" t="s">
        <v>0</v>
      </c>
      <c r="C25" s="6">
        <v>38</v>
      </c>
      <c r="D25" s="7">
        <v>1</v>
      </c>
    </row>
    <row r="27" spans="2:4">
      <c r="B27" s="4" t="s">
        <v>1</v>
      </c>
    </row>
    <row r="28" spans="2:4">
      <c r="B28" s="4" t="s">
        <v>2</v>
      </c>
    </row>
    <row r="29" spans="2:4">
      <c r="B29" s="4" t="s">
        <v>3</v>
      </c>
    </row>
    <row r="30" spans="2:4">
      <c r="B30" s="4" t="s">
        <v>4</v>
      </c>
    </row>
    <row r="31" spans="2:4">
      <c r="B31" s="4" t="s">
        <v>5</v>
      </c>
    </row>
  </sheetData>
  <mergeCells count="3">
    <mergeCell ref="A6:E6"/>
    <mergeCell ref="A7:E7"/>
    <mergeCell ref="B9:D9"/>
  </mergeCells>
  <pageMargins left="0.75" right="0.75" top="1" bottom="1" header="0.5" footer="0.5"/>
  <drawing r:id="rId1"/>
  <legacyDrawing r:id="rId2"/>
  <oleObjects>
    <oleObject shapeId="1025" r:id="rId3"/>
  </oleObjec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</vt:i4>
      </vt:variant>
    </vt:vector>
  </HeadingPairs>
  <TitlesOfParts>
    <vt:vector size="1" baseType="lpstr">
      <vt:lpstr>easCA6ZBENQ</vt:lpstr>
    </vt:vector>
  </TitlesOfParts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Soto Ramírez, Edith</dc:creator>
  <cp:lastModifiedBy>ghurtado</cp:lastModifiedBy>
  <dcterms:created xsi:type="dcterms:W3CDTF">2012-02-23T21:43:39Z</dcterms:created>
  <dcterms:modified xsi:type="dcterms:W3CDTF">2012-03-28T20:24:54Z</dcterms:modified>
</cp:coreProperties>
</file>