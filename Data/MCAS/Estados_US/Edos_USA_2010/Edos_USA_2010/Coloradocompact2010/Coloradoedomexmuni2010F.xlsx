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C1273" i="2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B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B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B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B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B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B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B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B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B944"/>
  <c r="C943"/>
  <c r="C942"/>
  <c r="C941"/>
  <c r="B941"/>
  <c r="C940"/>
  <c r="C939"/>
  <c r="C938"/>
  <c r="C937"/>
  <c r="C936"/>
  <c r="C935"/>
  <c r="C934"/>
  <c r="C933"/>
  <c r="C932"/>
  <c r="C931"/>
  <c r="C930"/>
  <c r="C929"/>
  <c r="C928"/>
  <c r="C927"/>
  <c r="C926"/>
  <c r="B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B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B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B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B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B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B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B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B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B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B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B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B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B187"/>
  <c r="C186"/>
  <c r="C185"/>
  <c r="C184"/>
  <c r="C183"/>
  <c r="C182"/>
  <c r="C181"/>
  <c r="C180"/>
  <c r="C179"/>
  <c r="C178"/>
  <c r="C177"/>
  <c r="C176"/>
  <c r="B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B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B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B39"/>
  <c r="C38"/>
  <c r="C37"/>
  <c r="C36"/>
  <c r="C35"/>
  <c r="C34"/>
  <c r="C33"/>
  <c r="C32"/>
  <c r="C31"/>
  <c r="C30"/>
  <c r="B30"/>
  <c r="C29"/>
  <c r="C28"/>
  <c r="C27"/>
  <c r="B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<sst xmlns="http://schemas.openxmlformats.org/spreadsheetml/2006/main" count="11" uniqueCount="11">
  <si>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</si>
  <si>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</si>
  <si>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</si>
  <si>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</si>
  <si>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</si>
  <si>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</si>
  <si>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</si>
  <si>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</si>
  <si>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</si>
  <si>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COLORADO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</si>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</sst>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9" fillId="34" borderId="10" xfId="0" applyFont="1" applyFill="1" applyBorder="1" applyAlignment="1">
      <alignment wrapText="1"/>
    </xf>
    <xf numFmtId="0" fontId="18" fillId="34" borderId="10" xfId="0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3" fontId="19" fillId="35" borderId="10" xfId="0" applyNumberFormat="1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3" fontId="18" fillId="34" borderId="10" xfId="0" applyNumberFormat="1" applyFont="1" applyFill="1" applyBorder="1" applyAlignment="1">
      <alignment horizontal="right" wrapText="1"/>
    </xf>
    <xf numFmtId="10" fontId="18" fillId="34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279"/>
  <sheetViews>
    <sheetView showGridLines="0" tabSelected="1" zoomScaleNormal="100" workbookViewId="0">
      <selection activeCell="A8" sqref="A8"/>
    </sheetView>
  </sheetViews>
  <sheetFormatPr baseColWidth="10" defaultRowHeight="15"/>
  <cols>
    <col min="2" max="2" width="42.85546875" customWidth="1"/>
    <col min="3" max="3" width="27.1406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3" t="s">
        <v>9</v>
      </c>
      <c r="C6" s="23"/>
      <c r="D6" s="23"/>
      <c r="E6" s="23"/>
      <c r="F6" s="10"/>
    </row>
    <row r="7" spans="1:7">
      <c r="A7" s="6"/>
      <c r="B7" s="24"/>
      <c r="C7" s="24"/>
      <c r="D7" s="24"/>
      <c r="E7" s="24"/>
      <c r="F7" s="6"/>
    </row>
    <row r="8" spans="1:7">
      <c r="A8" s="6"/>
      <c r="B8" s="25" t="s">
        <v>6</v>
      </c>
      <c r="C8" s="25" t="s">
        <v>7</v>
      </c>
      <c r="D8" s="28" t="s">
        <v>0</v>
      </c>
      <c r="E8" s="28" t="s">
        <v>8</v>
      </c>
      <c r="F8" s="6"/>
    </row>
    <row r="9" spans="1:7" ht="18" customHeight="1">
      <c r="A9" s="6"/>
      <c r="B9" s="26"/>
      <c r="C9" s="27"/>
      <c r="D9" s="29"/>
      <c r="E9" s="29"/>
      <c r="F9" s="12"/>
      <c r="G9" s="13"/>
    </row>
    <row r="10" spans="1:7">
      <c r="B10" s="30" t="str">
        <f>"AGUASCALIENTES"</f>
        <v>AGUASCALIENTES</v>
      </c>
      <c r="C10" s="1" t="str">
        <f>"AGUASCALIENTES"</f>
        <v>AGUASCALIENTES</v>
      </c>
      <c r="D10" s="2">
        <v>255</v>
      </c>
      <c r="E10" s="3">
        <v>1.2999999999999999E-2</v>
      </c>
    </row>
    <row r="11" spans="1:7">
      <c r="B11" s="31"/>
      <c r="C11" s="1" t="str">
        <f>"ASIENTOS"</f>
        <v>ASIENTOS</v>
      </c>
      <c r="D11" s="2">
        <v>24</v>
      </c>
      <c r="E11" s="3">
        <v>1.1999999999999999E-3</v>
      </c>
    </row>
    <row r="12" spans="1:7">
      <c r="B12" s="31"/>
      <c r="C12" s="1" t="str">
        <f>"CALVILLO"</f>
        <v>CALVILLO</v>
      </c>
      <c r="D12" s="2">
        <v>70</v>
      </c>
      <c r="E12" s="3">
        <v>3.5999999999999999E-3</v>
      </c>
    </row>
    <row r="13" spans="1:7">
      <c r="B13" s="31"/>
      <c r="C13" s="1" t="str">
        <f>"COSIO"</f>
        <v>COSIO</v>
      </c>
      <c r="D13" s="2">
        <v>38</v>
      </c>
      <c r="E13" s="3">
        <v>1.9E-3</v>
      </c>
    </row>
    <row r="14" spans="1:7">
      <c r="B14" s="31"/>
      <c r="C14" s="1" t="str">
        <f>"EL LLANO"</f>
        <v>EL LLANO</v>
      </c>
      <c r="D14" s="2">
        <v>2</v>
      </c>
      <c r="E14" s="3">
        <v>1E-4</v>
      </c>
    </row>
    <row r="15" spans="1:7">
      <c r="B15" s="31"/>
      <c r="C15" s="1" t="str">
        <f>"JESUS MARIA"</f>
        <v>JESUS MARIA</v>
      </c>
      <c r="D15" s="2">
        <v>36</v>
      </c>
      <c r="E15" s="3">
        <v>1.8E-3</v>
      </c>
    </row>
    <row r="16" spans="1:7">
      <c r="B16" s="31"/>
      <c r="C16" s="1" t="str">
        <f>"PABELLON DE ARTEAGA"</f>
        <v>PABELLON DE ARTEAGA</v>
      </c>
      <c r="D16" s="2">
        <v>71</v>
      </c>
      <c r="E16" s="3">
        <v>3.5999999999999999E-3</v>
      </c>
    </row>
    <row r="17" spans="2:5">
      <c r="B17" s="31"/>
      <c r="C17" s="1" t="str">
        <f>"RINCON DE ROMOS"</f>
        <v>RINCON DE ROMOS</v>
      </c>
      <c r="D17" s="2">
        <v>166</v>
      </c>
      <c r="E17" s="3">
        <v>8.5000000000000006E-3</v>
      </c>
    </row>
    <row r="18" spans="2:5" ht="30">
      <c r="B18" s="31"/>
      <c r="C18" s="1" t="str">
        <f>"SAN FRANCISCO DE LOS ROMO"</f>
        <v>SAN FRANCISCO DE LOS ROMO</v>
      </c>
      <c r="D18" s="2">
        <v>10</v>
      </c>
      <c r="E18" s="3">
        <v>5.0000000000000001E-4</v>
      </c>
    </row>
    <row r="19" spans="2:5">
      <c r="B19" s="31"/>
      <c r="C19" s="1" t="str">
        <f>"SAN JOSE DE GRACIA"</f>
        <v>SAN JOSE DE GRACIA</v>
      </c>
      <c r="D19" s="2">
        <v>2</v>
      </c>
      <c r="E19" s="3">
        <v>1E-4</v>
      </c>
    </row>
    <row r="20" spans="2:5">
      <c r="B20" s="31"/>
      <c r="C20" s="1" t="str">
        <f>"TEPEZALA"</f>
        <v>TEPEZALA</v>
      </c>
      <c r="D20" s="2">
        <v>46</v>
      </c>
      <c r="E20" s="3">
        <v>2.3999999999999998E-3</v>
      </c>
    </row>
    <row r="21" spans="2:5">
      <c r="B21" s="32"/>
      <c r="C21" s="14" t="str">
        <f>"Total"</f>
        <v>Total</v>
      </c>
      <c r="D21" s="15">
        <v>720</v>
      </c>
      <c r="E21" s="21">
        <v>3.6799999999999999E-2</v>
      </c>
    </row>
    <row r="22" spans="2:5">
      <c r="B22" s="30" t="str">
        <f>"BAJA CALIFORNIA"</f>
        <v>BAJA CALIFORNIA</v>
      </c>
      <c r="C22" s="1" t="str">
        <f>"ENSENADA"</f>
        <v>ENSENADA</v>
      </c>
      <c r="D22" s="2">
        <v>12</v>
      </c>
      <c r="E22" s="3">
        <v>5.9999999999999995E-4</v>
      </c>
    </row>
    <row r="23" spans="2:5">
      <c r="B23" s="31"/>
      <c r="C23" s="1" t="str">
        <f>"MEXICALI"</f>
        <v>MEXICALI</v>
      </c>
      <c r="D23" s="2">
        <v>30</v>
      </c>
      <c r="E23" s="3">
        <v>1.5E-3</v>
      </c>
    </row>
    <row r="24" spans="2:5">
      <c r="B24" s="31"/>
      <c r="C24" s="1" t="str">
        <f>"TECATE"</f>
        <v>TECATE</v>
      </c>
      <c r="D24" s="2">
        <v>6</v>
      </c>
      <c r="E24" s="3">
        <v>2.9999999999999997E-4</v>
      </c>
    </row>
    <row r="25" spans="2:5">
      <c r="B25" s="31"/>
      <c r="C25" s="1" t="str">
        <f>"TIJUANA"</f>
        <v>TIJUANA</v>
      </c>
      <c r="D25" s="2">
        <v>73</v>
      </c>
      <c r="E25" s="3">
        <v>3.7000000000000002E-3</v>
      </c>
    </row>
    <row r="26" spans="2:5">
      <c r="B26" s="32"/>
      <c r="C26" s="14" t="str">
        <f>"Total"</f>
        <v>Total</v>
      </c>
      <c r="D26" s="15">
        <v>121</v>
      </c>
      <c r="E26" s="21">
        <v>6.1999999999999998E-3</v>
      </c>
    </row>
    <row r="27" spans="2:5">
      <c r="B27" s="30" t="str">
        <f>"BAJA CALIFORNIA SUR"</f>
        <v>BAJA CALIFORNIA SUR</v>
      </c>
      <c r="C27" s="1" t="str">
        <f>"COMONDU"</f>
        <v>COMONDU</v>
      </c>
      <c r="D27" s="2">
        <v>4</v>
      </c>
      <c r="E27" s="3">
        <v>2.0000000000000001E-4</v>
      </c>
    </row>
    <row r="28" spans="2:5">
      <c r="B28" s="31"/>
      <c r="C28" s="1" t="str">
        <f>"LA PAZ"</f>
        <v>LA PAZ</v>
      </c>
      <c r="D28" s="2">
        <v>9</v>
      </c>
      <c r="E28" s="3">
        <v>5.0000000000000001E-4</v>
      </c>
    </row>
    <row r="29" spans="2:5">
      <c r="B29" s="32"/>
      <c r="C29" s="14" t="str">
        <f>"Total"</f>
        <v>Total</v>
      </c>
      <c r="D29" s="15">
        <v>13</v>
      </c>
      <c r="E29" s="21">
        <v>6.9999999999999999E-4</v>
      </c>
    </row>
    <row r="30" spans="2:5">
      <c r="B30" s="30" t="str">
        <f t="shared" ref="B30" si="0">"CAMPECHE"</f>
        <v>CAMPECHE</v>
      </c>
      <c r="C30" s="1" t="str">
        <f>"CALAKMUL"</f>
        <v>CALAKMUL</v>
      </c>
      <c r="D30" s="2">
        <v>1</v>
      </c>
      <c r="E30" s="3">
        <v>1E-4</v>
      </c>
    </row>
    <row r="31" spans="2:5">
      <c r="B31" s="31"/>
      <c r="C31" s="1" t="str">
        <f>"CALKINI"</f>
        <v>CALKINI</v>
      </c>
      <c r="D31" s="2">
        <v>1</v>
      </c>
      <c r="E31" s="3">
        <v>1E-4</v>
      </c>
    </row>
    <row r="32" spans="2:5">
      <c r="B32" s="31"/>
      <c r="C32" s="1" t="str">
        <f>"CAMPECHE"</f>
        <v>CAMPECHE</v>
      </c>
      <c r="D32" s="2">
        <v>7</v>
      </c>
      <c r="E32" s="3">
        <v>4.0000000000000002E-4</v>
      </c>
    </row>
    <row r="33" spans="2:5">
      <c r="B33" s="31"/>
      <c r="C33" s="1" t="str">
        <f>"CANDELARIA"</f>
        <v>CANDELARIA</v>
      </c>
      <c r="D33" s="2">
        <v>5</v>
      </c>
      <c r="E33" s="3">
        <v>2.9999999999999997E-4</v>
      </c>
    </row>
    <row r="34" spans="2:5">
      <c r="B34" s="31"/>
      <c r="C34" s="1" t="str">
        <f>"CARMEN"</f>
        <v>CARMEN</v>
      </c>
      <c r="D34" s="2">
        <v>39</v>
      </c>
      <c r="E34" s="3">
        <v>2E-3</v>
      </c>
    </row>
    <row r="35" spans="2:5">
      <c r="B35" s="31"/>
      <c r="C35" s="1" t="str">
        <f>"CHAMPOTON"</f>
        <v>CHAMPOTON</v>
      </c>
      <c r="D35" s="2">
        <v>5</v>
      </c>
      <c r="E35" s="3">
        <v>2.9999999999999997E-4</v>
      </c>
    </row>
    <row r="36" spans="2:5">
      <c r="B36" s="31"/>
      <c r="C36" s="1" t="str">
        <f>"ESCARCEGA"</f>
        <v>ESCARCEGA</v>
      </c>
      <c r="D36" s="2">
        <v>2</v>
      </c>
      <c r="E36" s="3">
        <v>1E-4</v>
      </c>
    </row>
    <row r="37" spans="2:5">
      <c r="B37" s="31"/>
      <c r="C37" s="1" t="str">
        <f>"HOPELCHEN"</f>
        <v>HOPELCHEN</v>
      </c>
      <c r="D37" s="2">
        <v>2</v>
      </c>
      <c r="E37" s="3">
        <v>1E-4</v>
      </c>
    </row>
    <row r="38" spans="2:5">
      <c r="B38" s="32"/>
      <c r="C38" s="14" t="str">
        <f>"Total"</f>
        <v>Total</v>
      </c>
      <c r="D38" s="15">
        <v>62</v>
      </c>
      <c r="E38" s="21">
        <v>3.2000000000000002E-3</v>
      </c>
    </row>
    <row r="39" spans="2:5">
      <c r="B39" s="30" t="str">
        <f t="shared" ref="B39" si="1">"CHIAPAS"</f>
        <v>CHIAPAS</v>
      </c>
      <c r="C39" s="1" t="str">
        <f>"ACACOYAGUA"</f>
        <v>ACACOYAGUA</v>
      </c>
      <c r="D39" s="2">
        <v>3</v>
      </c>
      <c r="E39" s="3">
        <v>2.0000000000000001E-4</v>
      </c>
    </row>
    <row r="40" spans="2:5">
      <c r="B40" s="31"/>
      <c r="C40" s="1" t="str">
        <f>"ACAPETAHUA"</f>
        <v>ACAPETAHUA</v>
      </c>
      <c r="D40" s="2">
        <v>1</v>
      </c>
      <c r="E40" s="3">
        <v>1E-4</v>
      </c>
    </row>
    <row r="41" spans="2:5" ht="30">
      <c r="B41" s="31"/>
      <c r="C41" s="1" t="str">
        <f>"AMATENANGO DE LA FRONTERA"</f>
        <v>AMATENANGO DE LA FRONTERA</v>
      </c>
      <c r="D41" s="2">
        <v>2</v>
      </c>
      <c r="E41" s="3">
        <v>1E-4</v>
      </c>
    </row>
    <row r="42" spans="2:5">
      <c r="B42" s="31"/>
      <c r="C42" s="1" t="str">
        <f>"ANGEL ALBINO CORZO"</f>
        <v>ANGEL ALBINO CORZO</v>
      </c>
      <c r="D42" s="2">
        <v>5</v>
      </c>
      <c r="E42" s="3">
        <v>2.9999999999999997E-4</v>
      </c>
    </row>
    <row r="43" spans="2:5">
      <c r="B43" s="31"/>
      <c r="C43" s="1" t="str">
        <f>"ARRIAGA"</f>
        <v>ARRIAGA</v>
      </c>
      <c r="D43" s="2">
        <v>5</v>
      </c>
      <c r="E43" s="3">
        <v>2.9999999999999997E-4</v>
      </c>
    </row>
    <row r="44" spans="2:5">
      <c r="B44" s="31"/>
      <c r="C44" s="1" t="str">
        <f>"BELLA VISTA"</f>
        <v>BELLA VISTA</v>
      </c>
      <c r="D44" s="2">
        <v>2</v>
      </c>
      <c r="E44" s="3">
        <v>1E-4</v>
      </c>
    </row>
    <row r="45" spans="2:5">
      <c r="B45" s="31"/>
      <c r="C45" s="1" t="str">
        <f>"CATAZAJA"</f>
        <v>CATAZAJA</v>
      </c>
      <c r="D45" s="2">
        <v>1</v>
      </c>
      <c r="E45" s="3">
        <v>1E-4</v>
      </c>
    </row>
    <row r="46" spans="2:5">
      <c r="B46" s="31"/>
      <c r="C46" s="1" t="str">
        <f>"CHIAPA DE CORZO"</f>
        <v>CHIAPA DE CORZO</v>
      </c>
      <c r="D46" s="2">
        <v>2</v>
      </c>
      <c r="E46" s="3">
        <v>1E-4</v>
      </c>
    </row>
    <row r="47" spans="2:5">
      <c r="B47" s="31"/>
      <c r="C47" s="1" t="str">
        <f>"CHICOMUSELO"</f>
        <v>CHICOMUSELO</v>
      </c>
      <c r="D47" s="2">
        <v>1</v>
      </c>
      <c r="E47" s="3">
        <v>1E-4</v>
      </c>
    </row>
    <row r="48" spans="2:5">
      <c r="B48" s="31"/>
      <c r="C48" s="1" t="str">
        <f>"CINTALAPA"</f>
        <v>CINTALAPA</v>
      </c>
      <c r="D48" s="2">
        <v>5</v>
      </c>
      <c r="E48" s="3">
        <v>2.9999999999999997E-4</v>
      </c>
    </row>
    <row r="49" spans="2:5">
      <c r="B49" s="31"/>
      <c r="C49" s="1" t="str">
        <f>"EL PORVENIR"</f>
        <v>EL PORVENIR</v>
      </c>
      <c r="D49" s="2">
        <v>2</v>
      </c>
      <c r="E49" s="3">
        <v>1E-4</v>
      </c>
    </row>
    <row r="50" spans="2:5">
      <c r="B50" s="31"/>
      <c r="C50" s="1" t="str">
        <f>"ESCUINTLA"</f>
        <v>ESCUINTLA</v>
      </c>
      <c r="D50" s="2">
        <v>2</v>
      </c>
      <c r="E50" s="3">
        <v>1E-4</v>
      </c>
    </row>
    <row r="51" spans="2:5">
      <c r="B51" s="31"/>
      <c r="C51" s="1" t="str">
        <f>"FRONTERA COMALAPA"</f>
        <v>FRONTERA COMALAPA</v>
      </c>
      <c r="D51" s="2">
        <v>3</v>
      </c>
      <c r="E51" s="3">
        <v>2.0000000000000001E-4</v>
      </c>
    </row>
    <row r="52" spans="2:5">
      <c r="B52" s="31"/>
      <c r="C52" s="1" t="str">
        <f>"FRONTERA HIDALGO"</f>
        <v>FRONTERA HIDALGO</v>
      </c>
      <c r="D52" s="2">
        <v>3</v>
      </c>
      <c r="E52" s="3">
        <v>2.0000000000000001E-4</v>
      </c>
    </row>
    <row r="53" spans="2:5">
      <c r="B53" s="31"/>
      <c r="C53" s="1" t="str">
        <f>"HUEHUETAN"</f>
        <v>HUEHUETAN</v>
      </c>
      <c r="D53" s="2">
        <v>4</v>
      </c>
      <c r="E53" s="3">
        <v>2.0000000000000001E-4</v>
      </c>
    </row>
    <row r="54" spans="2:5">
      <c r="B54" s="31"/>
      <c r="C54" s="1" t="str">
        <f>"JIQUIPILAS"</f>
        <v>JIQUIPILAS</v>
      </c>
      <c r="D54" s="2">
        <v>9</v>
      </c>
      <c r="E54" s="3">
        <v>5.0000000000000001E-4</v>
      </c>
    </row>
    <row r="55" spans="2:5">
      <c r="B55" s="31"/>
      <c r="C55" s="1" t="str">
        <f>"JUAREZ"</f>
        <v>JUAREZ</v>
      </c>
      <c r="D55" s="2">
        <v>2</v>
      </c>
      <c r="E55" s="3">
        <v>1E-4</v>
      </c>
    </row>
    <row r="56" spans="2:5">
      <c r="B56" s="31"/>
      <c r="C56" s="1" t="str">
        <f>"LA CONCORDIA"</f>
        <v>LA CONCORDIA</v>
      </c>
      <c r="D56" s="2">
        <v>1</v>
      </c>
      <c r="E56" s="3">
        <v>1E-4</v>
      </c>
    </row>
    <row r="57" spans="2:5">
      <c r="B57" s="31"/>
      <c r="C57" s="1" t="str">
        <f>"LA GRANDEZA"</f>
        <v>LA GRANDEZA</v>
      </c>
      <c r="D57" s="2">
        <v>1</v>
      </c>
      <c r="E57" s="3">
        <v>1E-4</v>
      </c>
    </row>
    <row r="58" spans="2:5">
      <c r="B58" s="31"/>
      <c r="C58" s="1" t="str">
        <f>"LA LIBERTAD"</f>
        <v>LA LIBERTAD</v>
      </c>
      <c r="D58" s="2">
        <v>1</v>
      </c>
      <c r="E58" s="3">
        <v>1E-4</v>
      </c>
    </row>
    <row r="59" spans="2:5">
      <c r="B59" s="31"/>
      <c r="C59" s="1" t="str">
        <f>"LA TRINITARIA"</f>
        <v>LA TRINITARIA</v>
      </c>
      <c r="D59" s="2">
        <v>3</v>
      </c>
      <c r="E59" s="3">
        <v>2.0000000000000001E-4</v>
      </c>
    </row>
    <row r="60" spans="2:5">
      <c r="B60" s="31"/>
      <c r="C60" s="1" t="str">
        <f>"LAS MARGARITAS"</f>
        <v>LAS MARGARITAS</v>
      </c>
      <c r="D60" s="2">
        <v>1</v>
      </c>
      <c r="E60" s="3">
        <v>1E-4</v>
      </c>
    </row>
    <row r="61" spans="2:5">
      <c r="B61" s="31"/>
      <c r="C61" s="1" t="str">
        <f>"MAPASTEPEC"</f>
        <v>MAPASTEPEC</v>
      </c>
      <c r="D61" s="2">
        <v>9</v>
      </c>
      <c r="E61" s="3">
        <v>5.0000000000000001E-4</v>
      </c>
    </row>
    <row r="62" spans="2:5">
      <c r="B62" s="31"/>
      <c r="C62" s="1" t="str">
        <f>"MAZATAN"</f>
        <v>MAZATAN</v>
      </c>
      <c r="D62" s="2">
        <v>4</v>
      </c>
      <c r="E62" s="3">
        <v>2.0000000000000001E-4</v>
      </c>
    </row>
    <row r="63" spans="2:5">
      <c r="B63" s="31"/>
      <c r="C63" s="1" t="str">
        <f>"METAPA"</f>
        <v>METAPA</v>
      </c>
      <c r="D63" s="2">
        <v>3</v>
      </c>
      <c r="E63" s="3">
        <v>2.0000000000000001E-4</v>
      </c>
    </row>
    <row r="64" spans="2:5">
      <c r="B64" s="31"/>
      <c r="C64" s="1" t="str">
        <f>"MOTOZINTLA"</f>
        <v>MOTOZINTLA</v>
      </c>
      <c r="D64" s="2">
        <v>2</v>
      </c>
      <c r="E64" s="3">
        <v>1E-4</v>
      </c>
    </row>
    <row r="65" spans="2:5">
      <c r="B65" s="31"/>
      <c r="C65" s="1" t="str">
        <f>"OCOSINGO"</f>
        <v>OCOSINGO</v>
      </c>
      <c r="D65" s="2">
        <v>3</v>
      </c>
      <c r="E65" s="3">
        <v>2.0000000000000001E-4</v>
      </c>
    </row>
    <row r="66" spans="2:5">
      <c r="B66" s="31"/>
      <c r="C66" s="1" t="str">
        <f>"PALENQUE"</f>
        <v>PALENQUE</v>
      </c>
      <c r="D66" s="2">
        <v>2</v>
      </c>
      <c r="E66" s="3">
        <v>1E-4</v>
      </c>
    </row>
    <row r="67" spans="2:5">
      <c r="B67" s="31"/>
      <c r="C67" s="1" t="str">
        <f>"PIJIJIAPAN"</f>
        <v>PIJIJIAPAN</v>
      </c>
      <c r="D67" s="2">
        <v>7</v>
      </c>
      <c r="E67" s="3">
        <v>4.0000000000000002E-4</v>
      </c>
    </row>
    <row r="68" spans="2:5">
      <c r="B68" s="31"/>
      <c r="C68" s="1" t="str">
        <f>"REFORMA"</f>
        <v>REFORMA</v>
      </c>
      <c r="D68" s="2">
        <v>1</v>
      </c>
      <c r="E68" s="3">
        <v>1E-4</v>
      </c>
    </row>
    <row r="69" spans="2:5">
      <c r="B69" s="31"/>
      <c r="C69" s="1" t="str">
        <f>"SALTO DE AGUA"</f>
        <v>SALTO DE AGUA</v>
      </c>
      <c r="D69" s="2">
        <v>4</v>
      </c>
      <c r="E69" s="3">
        <v>2.0000000000000001E-4</v>
      </c>
    </row>
    <row r="70" spans="2:5" ht="30">
      <c r="B70" s="31"/>
      <c r="C70" s="1" t="str">
        <f>"SAN CRISTOBAL DE LAS CASAS"</f>
        <v>SAN CRISTOBAL DE LAS CASAS</v>
      </c>
      <c r="D70" s="2">
        <v>1</v>
      </c>
      <c r="E70" s="3">
        <v>1E-4</v>
      </c>
    </row>
    <row r="71" spans="2:5">
      <c r="B71" s="31"/>
      <c r="C71" s="1" t="str">
        <f>"SAN FERNANDO"</f>
        <v>SAN FERNANDO</v>
      </c>
      <c r="D71" s="2">
        <v>1</v>
      </c>
      <c r="E71" s="3">
        <v>1E-4</v>
      </c>
    </row>
    <row r="72" spans="2:5">
      <c r="B72" s="31"/>
      <c r="C72" s="1" t="str">
        <f>"SILTEPEC"</f>
        <v>SILTEPEC</v>
      </c>
      <c r="D72" s="2">
        <v>1</v>
      </c>
      <c r="E72" s="3">
        <v>1E-4</v>
      </c>
    </row>
    <row r="73" spans="2:5">
      <c r="B73" s="31"/>
      <c r="C73" s="1" t="str">
        <f>"SOCOLTENANGO"</f>
        <v>SOCOLTENANGO</v>
      </c>
      <c r="D73" s="2">
        <v>6</v>
      </c>
      <c r="E73" s="3">
        <v>2.9999999999999997E-4</v>
      </c>
    </row>
    <row r="74" spans="2:5">
      <c r="B74" s="31"/>
      <c r="C74" s="1" t="str">
        <f>"SUCHIATE"</f>
        <v>SUCHIATE</v>
      </c>
      <c r="D74" s="2">
        <v>2</v>
      </c>
      <c r="E74" s="3">
        <v>1E-4</v>
      </c>
    </row>
    <row r="75" spans="2:5">
      <c r="B75" s="31"/>
      <c r="C75" s="1" t="str">
        <f>"TAPACHULA"</f>
        <v>TAPACHULA</v>
      </c>
      <c r="D75" s="2">
        <v>14</v>
      </c>
      <c r="E75" s="3">
        <v>6.9999999999999999E-4</v>
      </c>
    </row>
    <row r="76" spans="2:5">
      <c r="B76" s="31"/>
      <c r="C76" s="1" t="str">
        <f>"TAPALAPA"</f>
        <v>TAPALAPA</v>
      </c>
      <c r="D76" s="2">
        <v>1</v>
      </c>
      <c r="E76" s="3">
        <v>1E-4</v>
      </c>
    </row>
    <row r="77" spans="2:5">
      <c r="B77" s="31"/>
      <c r="C77" s="1" t="str">
        <f>"TECPATAN"</f>
        <v>TECPATAN</v>
      </c>
      <c r="D77" s="2">
        <v>4</v>
      </c>
      <c r="E77" s="3">
        <v>2.0000000000000001E-4</v>
      </c>
    </row>
    <row r="78" spans="2:5">
      <c r="B78" s="31"/>
      <c r="C78" s="1" t="str">
        <f>"TONALA"</f>
        <v>TONALA</v>
      </c>
      <c r="D78" s="2">
        <v>27</v>
      </c>
      <c r="E78" s="3">
        <v>1.4E-3</v>
      </c>
    </row>
    <row r="79" spans="2:5">
      <c r="B79" s="31"/>
      <c r="C79" s="1" t="str">
        <f>"TUXTLA CHICO"</f>
        <v>TUXTLA CHICO</v>
      </c>
      <c r="D79" s="2">
        <v>4</v>
      </c>
      <c r="E79" s="3">
        <v>2.0000000000000001E-4</v>
      </c>
    </row>
    <row r="80" spans="2:5">
      <c r="B80" s="31"/>
      <c r="C80" s="1" t="str">
        <f>"TUXTLA GUTIERREZ"</f>
        <v>TUXTLA GUTIERREZ</v>
      </c>
      <c r="D80" s="2">
        <v>4</v>
      </c>
      <c r="E80" s="3">
        <v>2.0000000000000001E-4</v>
      </c>
    </row>
    <row r="81" spans="2:5">
      <c r="B81" s="31"/>
      <c r="C81" s="1" t="str">
        <f>"TUZANTAN"</f>
        <v>TUZANTAN</v>
      </c>
      <c r="D81" s="2">
        <v>3</v>
      </c>
      <c r="E81" s="3">
        <v>2.0000000000000001E-4</v>
      </c>
    </row>
    <row r="82" spans="2:5">
      <c r="B82" s="31"/>
      <c r="C82" s="1" t="str">
        <f>"VENUSTIANO CARRANZA"</f>
        <v>VENUSTIANO CARRANZA</v>
      </c>
      <c r="D82" s="2">
        <v>3</v>
      </c>
      <c r="E82" s="3">
        <v>2.0000000000000001E-4</v>
      </c>
    </row>
    <row r="83" spans="2:5">
      <c r="B83" s="31"/>
      <c r="C83" s="1" t="str">
        <f>"VILLA COMALTITLAN"</f>
        <v>VILLA COMALTITLAN</v>
      </c>
      <c r="D83" s="2">
        <v>3</v>
      </c>
      <c r="E83" s="3">
        <v>2.0000000000000001E-4</v>
      </c>
    </row>
    <row r="84" spans="2:5">
      <c r="B84" s="31"/>
      <c r="C84" s="1" t="str">
        <f>"VILLAFLORES"</f>
        <v>VILLAFLORES</v>
      </c>
      <c r="D84" s="2">
        <v>14</v>
      </c>
      <c r="E84" s="3">
        <v>6.9999999999999999E-4</v>
      </c>
    </row>
    <row r="85" spans="2:5">
      <c r="B85" s="32"/>
      <c r="C85" s="14" t="str">
        <f>"Total"</f>
        <v>Total</v>
      </c>
      <c r="D85" s="15">
        <v>182</v>
      </c>
      <c r="E85" s="21">
        <v>9.2999999999999992E-3</v>
      </c>
    </row>
    <row r="86" spans="2:5">
      <c r="B86" s="30" t="str">
        <f t="shared" ref="B86" si="2">"CHIHUAHUA"</f>
        <v>CHIHUAHUA</v>
      </c>
      <c r="C86" s="1" t="str">
        <f>"AHUMADA"</f>
        <v>AHUMADA</v>
      </c>
      <c r="D86" s="2">
        <v>20</v>
      </c>
      <c r="E86" s="3">
        <v>1E-3</v>
      </c>
    </row>
    <row r="87" spans="2:5">
      <c r="B87" s="31"/>
      <c r="C87" s="1" t="str">
        <f>"ALDAMA"</f>
        <v>ALDAMA</v>
      </c>
      <c r="D87" s="2">
        <v>18</v>
      </c>
      <c r="E87" s="3">
        <v>8.9999999999999998E-4</v>
      </c>
    </row>
    <row r="88" spans="2:5">
      <c r="B88" s="31"/>
      <c r="C88" s="1" t="str">
        <f>"ALLENDE"</f>
        <v>ALLENDE</v>
      </c>
      <c r="D88" s="2">
        <v>39</v>
      </c>
      <c r="E88" s="3">
        <v>2E-3</v>
      </c>
    </row>
    <row r="89" spans="2:5">
      <c r="B89" s="31"/>
      <c r="C89" s="1" t="str">
        <f>"AQUILES SERDAN"</f>
        <v>AQUILES SERDAN</v>
      </c>
      <c r="D89" s="2">
        <v>13</v>
      </c>
      <c r="E89" s="3">
        <v>6.9999999999999999E-4</v>
      </c>
    </row>
    <row r="90" spans="2:5">
      <c r="B90" s="31"/>
      <c r="C90" s="1" t="str">
        <f>"ASCENSION"</f>
        <v>ASCENSION</v>
      </c>
      <c r="D90" s="2">
        <v>24</v>
      </c>
      <c r="E90" s="3">
        <v>1.1999999999999999E-3</v>
      </c>
    </row>
    <row r="91" spans="2:5">
      <c r="B91" s="31"/>
      <c r="C91" s="1" t="str">
        <f>"BACHINIVA"</f>
        <v>BACHINIVA</v>
      </c>
      <c r="D91" s="2">
        <v>20</v>
      </c>
      <c r="E91" s="3">
        <v>1E-3</v>
      </c>
    </row>
    <row r="92" spans="2:5">
      <c r="B92" s="31"/>
      <c r="C92" s="1" t="str">
        <f>"BALLEZA"</f>
        <v>BALLEZA</v>
      </c>
      <c r="D92" s="2">
        <v>105</v>
      </c>
      <c r="E92" s="3">
        <v>5.4000000000000003E-3</v>
      </c>
    </row>
    <row r="93" spans="2:5">
      <c r="B93" s="31"/>
      <c r="C93" s="1" t="str">
        <f>"BATOPILAS"</f>
        <v>BATOPILAS</v>
      </c>
      <c r="D93" s="2">
        <v>12</v>
      </c>
      <c r="E93" s="3">
        <v>5.9999999999999995E-4</v>
      </c>
    </row>
    <row r="94" spans="2:5">
      <c r="B94" s="31"/>
      <c r="C94" s="1" t="str">
        <f>"BOCOYNA"</f>
        <v>BOCOYNA</v>
      </c>
      <c r="D94" s="2">
        <v>29</v>
      </c>
      <c r="E94" s="3">
        <v>1.5E-3</v>
      </c>
    </row>
    <row r="95" spans="2:5">
      <c r="B95" s="31"/>
      <c r="C95" s="1" t="str">
        <f>"BUENAVENTURA"</f>
        <v>BUENAVENTURA</v>
      </c>
      <c r="D95" s="2">
        <v>66</v>
      </c>
      <c r="E95" s="3">
        <v>3.3999999999999998E-3</v>
      </c>
    </row>
    <row r="96" spans="2:5">
      <c r="B96" s="31"/>
      <c r="C96" s="1" t="str">
        <f>"CAMARGO"</f>
        <v>CAMARGO</v>
      </c>
      <c r="D96" s="2">
        <v>81</v>
      </c>
      <c r="E96" s="3">
        <v>4.1000000000000003E-3</v>
      </c>
    </row>
    <row r="97" spans="2:5">
      <c r="B97" s="31"/>
      <c r="C97" s="1" t="str">
        <f>"CARICHI"</f>
        <v>CARICHI</v>
      </c>
      <c r="D97" s="2">
        <v>12</v>
      </c>
      <c r="E97" s="3">
        <v>5.9999999999999995E-4</v>
      </c>
    </row>
    <row r="98" spans="2:5">
      <c r="B98" s="31"/>
      <c r="C98" s="1" t="str">
        <f>"CASAS GRANDES"</f>
        <v>CASAS GRANDES</v>
      </c>
      <c r="D98" s="2">
        <v>12</v>
      </c>
      <c r="E98" s="3">
        <v>5.9999999999999995E-4</v>
      </c>
    </row>
    <row r="99" spans="2:5">
      <c r="B99" s="31"/>
      <c r="C99" s="1" t="str">
        <f>"CHIHUAHUA"</f>
        <v>CHIHUAHUA</v>
      </c>
      <c r="D99" s="2">
        <v>786</v>
      </c>
      <c r="E99" s="3">
        <v>4.02E-2</v>
      </c>
    </row>
    <row r="100" spans="2:5">
      <c r="B100" s="31"/>
      <c r="C100" s="1" t="str">
        <f>"CHINIPAS"</f>
        <v>CHINIPAS</v>
      </c>
      <c r="D100" s="2">
        <v>4</v>
      </c>
      <c r="E100" s="3">
        <v>2.0000000000000001E-4</v>
      </c>
    </row>
    <row r="101" spans="2:5">
      <c r="B101" s="31"/>
      <c r="C101" s="1" t="str">
        <f>"CORONADO"</f>
        <v>CORONADO</v>
      </c>
      <c r="D101" s="2">
        <v>8</v>
      </c>
      <c r="E101" s="3">
        <v>4.0000000000000002E-4</v>
      </c>
    </row>
    <row r="102" spans="2:5">
      <c r="B102" s="31"/>
      <c r="C102" s="1" t="str">
        <f>"COYAME DEL SOTOL"</f>
        <v>COYAME DEL SOTOL</v>
      </c>
      <c r="D102" s="2">
        <v>6</v>
      </c>
      <c r="E102" s="3">
        <v>2.9999999999999997E-4</v>
      </c>
    </row>
    <row r="103" spans="2:5">
      <c r="B103" s="31"/>
      <c r="C103" s="1" t="str">
        <f>"CUAUHTEMOC"</f>
        <v>CUAUHTEMOC</v>
      </c>
      <c r="D103" s="2">
        <v>573</v>
      </c>
      <c r="E103" s="3">
        <v>2.93E-2</v>
      </c>
    </row>
    <row r="104" spans="2:5">
      <c r="B104" s="31"/>
      <c r="C104" s="1" t="str">
        <f>"CUSIHUIRIACHI"</f>
        <v>CUSIHUIRIACHI</v>
      </c>
      <c r="D104" s="2">
        <v>23</v>
      </c>
      <c r="E104" s="3">
        <v>1.1999999999999999E-3</v>
      </c>
    </row>
    <row r="105" spans="2:5">
      <c r="B105" s="31"/>
      <c r="C105" s="1" t="str">
        <f>"DELICIAS"</f>
        <v>DELICIAS</v>
      </c>
      <c r="D105" s="2">
        <v>219</v>
      </c>
      <c r="E105" s="3">
        <v>1.12E-2</v>
      </c>
    </row>
    <row r="106" spans="2:5">
      <c r="B106" s="31"/>
      <c r="C106" s="1" t="str">
        <f>"DR. BELISARIO DOMINGUEZ"</f>
        <v>DR. BELISARIO DOMINGUEZ</v>
      </c>
      <c r="D106" s="2">
        <v>25</v>
      </c>
      <c r="E106" s="3">
        <v>1.2999999999999999E-3</v>
      </c>
    </row>
    <row r="107" spans="2:5">
      <c r="B107" s="31"/>
      <c r="C107" s="1" t="str">
        <f>"EL TULE"</f>
        <v>EL TULE</v>
      </c>
      <c r="D107" s="2">
        <v>22</v>
      </c>
      <c r="E107" s="3">
        <v>1.1000000000000001E-3</v>
      </c>
    </row>
    <row r="108" spans="2:5">
      <c r="B108" s="31"/>
      <c r="C108" s="1" t="str">
        <f>"GALEANA"</f>
        <v>GALEANA</v>
      </c>
      <c r="D108" s="2">
        <v>5</v>
      </c>
      <c r="E108" s="3">
        <v>2.9999999999999997E-4</v>
      </c>
    </row>
    <row r="109" spans="2:5">
      <c r="B109" s="31"/>
      <c r="C109" s="1" t="str">
        <f>"GOMEZ FARIAS"</f>
        <v>GOMEZ FARIAS</v>
      </c>
      <c r="D109" s="2">
        <v>113</v>
      </c>
      <c r="E109" s="3">
        <v>5.7999999999999996E-3</v>
      </c>
    </row>
    <row r="110" spans="2:5">
      <c r="B110" s="31"/>
      <c r="C110" s="1" t="str">
        <f>"GRAN MORELOS"</f>
        <v>GRAN MORELOS</v>
      </c>
      <c r="D110" s="2">
        <v>36</v>
      </c>
      <c r="E110" s="3">
        <v>1.8E-3</v>
      </c>
    </row>
    <row r="111" spans="2:5">
      <c r="B111" s="31"/>
      <c r="C111" s="1" t="str">
        <f>"GUACHOCHI"</f>
        <v>GUACHOCHI</v>
      </c>
      <c r="D111" s="2">
        <v>20</v>
      </c>
      <c r="E111" s="3">
        <v>1E-3</v>
      </c>
    </row>
    <row r="112" spans="2:5">
      <c r="B112" s="31"/>
      <c r="C112" s="1" t="str">
        <f>"GUADALUPE"</f>
        <v>GUADALUPE</v>
      </c>
      <c r="D112" s="2">
        <v>10</v>
      </c>
      <c r="E112" s="3">
        <v>5.0000000000000001E-4</v>
      </c>
    </row>
    <row r="113" spans="2:5">
      <c r="B113" s="31"/>
      <c r="C113" s="1" t="str">
        <f>"GUADALUPE Y CALVO"</f>
        <v>GUADALUPE Y CALVO</v>
      </c>
      <c r="D113" s="2">
        <v>31</v>
      </c>
      <c r="E113" s="3">
        <v>1.6000000000000001E-3</v>
      </c>
    </row>
    <row r="114" spans="2:5">
      <c r="B114" s="31"/>
      <c r="C114" s="1" t="str">
        <f>"GUAZAPARES"</f>
        <v>GUAZAPARES</v>
      </c>
      <c r="D114" s="2">
        <v>4</v>
      </c>
      <c r="E114" s="3">
        <v>2.0000000000000001E-4</v>
      </c>
    </row>
    <row r="115" spans="2:5">
      <c r="B115" s="31"/>
      <c r="C115" s="1" t="str">
        <f>"GUERRERO"</f>
        <v>GUERRERO</v>
      </c>
      <c r="D115" s="2">
        <v>130</v>
      </c>
      <c r="E115" s="3">
        <v>6.7000000000000002E-3</v>
      </c>
    </row>
    <row r="116" spans="2:5">
      <c r="B116" s="31"/>
      <c r="C116" s="1" t="str">
        <f>"HIDALGO DEL PARRAL"</f>
        <v>HIDALGO DEL PARRAL</v>
      </c>
      <c r="D116" s="2">
        <v>325</v>
      </c>
      <c r="E116" s="3">
        <v>1.66E-2</v>
      </c>
    </row>
    <row r="117" spans="2:5">
      <c r="B117" s="31"/>
      <c r="C117" s="1" t="str">
        <f>"HUEJOTITAN"</f>
        <v>HUEJOTITAN</v>
      </c>
      <c r="D117" s="2">
        <v>24</v>
      </c>
      <c r="E117" s="3">
        <v>1.1999999999999999E-3</v>
      </c>
    </row>
    <row r="118" spans="2:5">
      <c r="B118" s="31"/>
      <c r="C118" s="1" t="str">
        <f>"IGNACIO ZARAGOZA"</f>
        <v>IGNACIO ZARAGOZA</v>
      </c>
      <c r="D118" s="2">
        <v>72</v>
      </c>
      <c r="E118" s="3">
        <v>3.7000000000000002E-3</v>
      </c>
    </row>
    <row r="119" spans="2:5">
      <c r="B119" s="31"/>
      <c r="C119" s="1" t="str">
        <f>"JANOS"</f>
        <v>JANOS</v>
      </c>
      <c r="D119" s="2">
        <v>22</v>
      </c>
      <c r="E119" s="3">
        <v>1.1000000000000001E-3</v>
      </c>
    </row>
    <row r="120" spans="2:5">
      <c r="B120" s="31"/>
      <c r="C120" s="1" t="str">
        <f>"JIMENEZ"</f>
        <v>JIMENEZ</v>
      </c>
      <c r="D120" s="2">
        <v>31</v>
      </c>
      <c r="E120" s="3">
        <v>1.6000000000000001E-3</v>
      </c>
    </row>
    <row r="121" spans="2:5">
      <c r="B121" s="31"/>
      <c r="C121" s="1" t="str">
        <f>"JUAREZ"</f>
        <v>JUAREZ</v>
      </c>
      <c r="D121" s="2">
        <v>984</v>
      </c>
      <c r="E121" s="3">
        <v>5.04E-2</v>
      </c>
    </row>
    <row r="122" spans="2:5">
      <c r="B122" s="31"/>
      <c r="C122" s="1" t="str">
        <f>"JULIMES"</f>
        <v>JULIMES</v>
      </c>
      <c r="D122" s="2">
        <v>4</v>
      </c>
      <c r="E122" s="3">
        <v>2.0000000000000001E-4</v>
      </c>
    </row>
    <row r="123" spans="2:5">
      <c r="B123" s="31"/>
      <c r="C123" s="1" t="str">
        <f>"LA CRUZ"</f>
        <v>LA CRUZ</v>
      </c>
      <c r="D123" s="2">
        <v>4</v>
      </c>
      <c r="E123" s="3">
        <v>2.0000000000000001E-4</v>
      </c>
    </row>
    <row r="124" spans="2:5">
      <c r="B124" s="31"/>
      <c r="C124" s="1" t="str">
        <f>"MADERA"</f>
        <v>MADERA</v>
      </c>
      <c r="D124" s="2">
        <v>218</v>
      </c>
      <c r="E124" s="3">
        <v>1.12E-2</v>
      </c>
    </row>
    <row r="125" spans="2:5">
      <c r="B125" s="31"/>
      <c r="C125" s="1" t="str">
        <f>"MANUEL BENAVIDES"</f>
        <v>MANUEL BENAVIDES</v>
      </c>
      <c r="D125" s="2">
        <v>3</v>
      </c>
      <c r="E125" s="3">
        <v>2.0000000000000001E-4</v>
      </c>
    </row>
    <row r="126" spans="2:5">
      <c r="B126" s="31"/>
      <c r="C126" s="1" t="str">
        <f>"MATACHI"</f>
        <v>MATACHI</v>
      </c>
      <c r="D126" s="2">
        <v>16</v>
      </c>
      <c r="E126" s="3">
        <v>8.0000000000000004E-4</v>
      </c>
    </row>
    <row r="127" spans="2:5">
      <c r="B127" s="31"/>
      <c r="C127" s="1" t="str">
        <f>"MATAMOROS"</f>
        <v>MATAMOROS</v>
      </c>
      <c r="D127" s="2">
        <v>5</v>
      </c>
      <c r="E127" s="3">
        <v>2.9999999999999997E-4</v>
      </c>
    </row>
    <row r="128" spans="2:5">
      <c r="B128" s="31"/>
      <c r="C128" s="1" t="str">
        <f>"MEOQUI"</f>
        <v>MEOQUI</v>
      </c>
      <c r="D128" s="2">
        <v>20</v>
      </c>
      <c r="E128" s="3">
        <v>1E-3</v>
      </c>
    </row>
    <row r="129" spans="2:5">
      <c r="B129" s="31"/>
      <c r="C129" s="1" t="str">
        <f>"MORELOS"</f>
        <v>MORELOS</v>
      </c>
      <c r="D129" s="2">
        <v>4</v>
      </c>
      <c r="E129" s="3">
        <v>2.0000000000000001E-4</v>
      </c>
    </row>
    <row r="130" spans="2:5">
      <c r="B130" s="31"/>
      <c r="C130" s="1" t="str">
        <f>"MORIS"</f>
        <v>MORIS</v>
      </c>
      <c r="D130" s="2">
        <v>6</v>
      </c>
      <c r="E130" s="3">
        <v>2.9999999999999997E-4</v>
      </c>
    </row>
    <row r="131" spans="2:5">
      <c r="B131" s="31"/>
      <c r="C131" s="1" t="str">
        <f>"NAMIQUIPA"</f>
        <v>NAMIQUIPA</v>
      </c>
      <c r="D131" s="2">
        <v>114</v>
      </c>
      <c r="E131" s="3">
        <v>5.7999999999999996E-3</v>
      </c>
    </row>
    <row r="132" spans="2:5">
      <c r="B132" s="31"/>
      <c r="C132" s="1" t="str">
        <f>"NONOAVA"</f>
        <v>NONOAVA</v>
      </c>
      <c r="D132" s="2">
        <v>10</v>
      </c>
      <c r="E132" s="3">
        <v>5.0000000000000001E-4</v>
      </c>
    </row>
    <row r="133" spans="2:5">
      <c r="B133" s="31"/>
      <c r="C133" s="1" t="str">
        <f>"NUEVO CASAS GRANDES"</f>
        <v>NUEVO CASAS GRANDES</v>
      </c>
      <c r="D133" s="2">
        <v>139</v>
      </c>
      <c r="E133" s="3">
        <v>7.1000000000000004E-3</v>
      </c>
    </row>
    <row r="134" spans="2:5">
      <c r="B134" s="31"/>
      <c r="C134" s="1" t="str">
        <f>"OCAMPO"</f>
        <v>OCAMPO</v>
      </c>
      <c r="D134" s="2">
        <v>12</v>
      </c>
      <c r="E134" s="3">
        <v>5.9999999999999995E-4</v>
      </c>
    </row>
    <row r="135" spans="2:5">
      <c r="B135" s="31"/>
      <c r="C135" s="1" t="str">
        <f>"OJINAGA"</f>
        <v>OJINAGA</v>
      </c>
      <c r="D135" s="2">
        <v>8</v>
      </c>
      <c r="E135" s="3">
        <v>4.0000000000000002E-4</v>
      </c>
    </row>
    <row r="136" spans="2:5">
      <c r="B136" s="31"/>
      <c r="C136" s="1" t="str">
        <f>"PRAXEDIS G. GUERRERO"</f>
        <v>PRAXEDIS G. GUERRERO</v>
      </c>
      <c r="D136" s="2">
        <v>5</v>
      </c>
      <c r="E136" s="3">
        <v>2.9999999999999997E-4</v>
      </c>
    </row>
    <row r="137" spans="2:5">
      <c r="B137" s="31"/>
      <c r="C137" s="1" t="str">
        <f>"RIVA PALACIO"</f>
        <v>RIVA PALACIO</v>
      </c>
      <c r="D137" s="2">
        <v>10</v>
      </c>
      <c r="E137" s="3">
        <v>5.0000000000000001E-4</v>
      </c>
    </row>
    <row r="138" spans="2:5">
      <c r="B138" s="31"/>
      <c r="C138" s="1" t="str">
        <f>"ROSALES"</f>
        <v>ROSALES</v>
      </c>
      <c r="D138" s="2">
        <v>4</v>
      </c>
      <c r="E138" s="3">
        <v>2.0000000000000001E-4</v>
      </c>
    </row>
    <row r="139" spans="2:5">
      <c r="B139" s="31"/>
      <c r="C139" s="1" t="str">
        <f>"ROSARIO"</f>
        <v>ROSARIO</v>
      </c>
      <c r="D139" s="2">
        <v>19</v>
      </c>
      <c r="E139" s="3">
        <v>1E-3</v>
      </c>
    </row>
    <row r="140" spans="2:5" ht="15.75" customHeight="1">
      <c r="B140" s="31"/>
      <c r="C140" s="1" t="str">
        <f>"SAN FRANCISCO DE BORJA"</f>
        <v>SAN FRANCISCO DE BORJA</v>
      </c>
      <c r="D140" s="2">
        <v>11</v>
      </c>
      <c r="E140" s="3">
        <v>5.9999999999999995E-4</v>
      </c>
    </row>
    <row r="141" spans="2:5" ht="30">
      <c r="B141" s="31"/>
      <c r="C141" s="1" t="str">
        <f>"SAN FRANCISCO DE CONCHOS"</f>
        <v>SAN FRANCISCO DE CONCHOS</v>
      </c>
      <c r="D141" s="2">
        <v>4</v>
      </c>
      <c r="E141" s="3">
        <v>2.0000000000000001E-4</v>
      </c>
    </row>
    <row r="142" spans="2:5">
      <c r="B142" s="31"/>
      <c r="C142" s="1" t="str">
        <f>"SAN FRANCISCO DEL ORO"</f>
        <v>SAN FRANCISCO DEL ORO</v>
      </c>
      <c r="D142" s="2">
        <v>22</v>
      </c>
      <c r="E142" s="3">
        <v>1.1000000000000001E-3</v>
      </c>
    </row>
    <row r="143" spans="2:5">
      <c r="B143" s="31"/>
      <c r="C143" s="1" t="str">
        <f>"SANTA BARBARA"</f>
        <v>SANTA BARBARA</v>
      </c>
      <c r="D143" s="2">
        <v>37</v>
      </c>
      <c r="E143" s="3">
        <v>1.9E-3</v>
      </c>
    </row>
    <row r="144" spans="2:5">
      <c r="B144" s="31"/>
      <c r="C144" s="1" t="str">
        <f>"SANTA ISABEL"</f>
        <v>SANTA ISABEL</v>
      </c>
      <c r="D144" s="2">
        <v>17</v>
      </c>
      <c r="E144" s="3">
        <v>8.9999999999999998E-4</v>
      </c>
    </row>
    <row r="145" spans="2:5">
      <c r="B145" s="31"/>
      <c r="C145" s="1" t="str">
        <f>"SATEVO"</f>
        <v>SATEVO</v>
      </c>
      <c r="D145" s="2">
        <v>12</v>
      </c>
      <c r="E145" s="3">
        <v>5.9999999999999995E-4</v>
      </c>
    </row>
    <row r="146" spans="2:5">
      <c r="B146" s="31"/>
      <c r="C146" s="1" t="str">
        <f>"SAUCILLO"</f>
        <v>SAUCILLO</v>
      </c>
      <c r="D146" s="2">
        <v>17</v>
      </c>
      <c r="E146" s="3">
        <v>8.9999999999999998E-4</v>
      </c>
    </row>
    <row r="147" spans="2:5">
      <c r="B147" s="31"/>
      <c r="C147" s="1" t="str">
        <f>"TEMOSACHI"</f>
        <v>TEMOSACHI</v>
      </c>
      <c r="D147" s="2">
        <v>40</v>
      </c>
      <c r="E147" s="3">
        <v>2E-3</v>
      </c>
    </row>
    <row r="148" spans="2:5">
      <c r="B148" s="31"/>
      <c r="C148" s="1" t="str">
        <f>"URIQUE"</f>
        <v>URIQUE</v>
      </c>
      <c r="D148" s="2">
        <v>8</v>
      </c>
      <c r="E148" s="3">
        <v>4.0000000000000002E-4</v>
      </c>
    </row>
    <row r="149" spans="2:5">
      <c r="B149" s="31"/>
      <c r="C149" s="1" t="str">
        <f>"URUACHI"</f>
        <v>URUACHI</v>
      </c>
      <c r="D149" s="2">
        <v>7</v>
      </c>
      <c r="E149" s="3">
        <v>4.0000000000000002E-4</v>
      </c>
    </row>
    <row r="150" spans="2:5">
      <c r="B150" s="31"/>
      <c r="C150" s="1" t="str">
        <f>"VALLE DE ZARAGOZA"</f>
        <v>VALLE DE ZARAGOZA</v>
      </c>
      <c r="D150" s="2">
        <v>19</v>
      </c>
      <c r="E150" s="3">
        <v>1E-3</v>
      </c>
    </row>
    <row r="151" spans="2:5">
      <c r="B151" s="32"/>
      <c r="C151" s="14" t="str">
        <f>"Total"</f>
        <v>Total</v>
      </c>
      <c r="D151" s="20">
        <v>4719</v>
      </c>
      <c r="E151" s="21">
        <v>0.24149999999999999</v>
      </c>
    </row>
    <row r="152" spans="2:5">
      <c r="B152" s="30" t="str">
        <f t="shared" ref="B152" si="3">"COAHUILA DE ZARAGOZA"</f>
        <v>COAHUILA DE ZARAGOZA</v>
      </c>
      <c r="C152" s="1" t="str">
        <f>"ABASOLO"</f>
        <v>ABASOLO</v>
      </c>
      <c r="D152" s="2">
        <v>1</v>
      </c>
      <c r="E152" s="3">
        <v>1E-4</v>
      </c>
    </row>
    <row r="153" spans="2:5">
      <c r="B153" s="31"/>
      <c r="C153" s="1" t="str">
        <f>"ACUÑA"</f>
        <v>ACUÑA</v>
      </c>
      <c r="D153" s="2">
        <v>2</v>
      </c>
      <c r="E153" s="3">
        <v>1E-4</v>
      </c>
    </row>
    <row r="154" spans="2:5">
      <c r="B154" s="31"/>
      <c r="C154" s="1" t="str">
        <f>"CUATROCIENEGAS"</f>
        <v>CUATROCIENEGAS</v>
      </c>
      <c r="D154" s="2">
        <v>1</v>
      </c>
      <c r="E154" s="3">
        <v>1E-4</v>
      </c>
    </row>
    <row r="155" spans="2:5">
      <c r="B155" s="31"/>
      <c r="C155" s="1" t="str">
        <f>"FRANCISCO I. MADERO"</f>
        <v>FRANCISCO I. MADERO</v>
      </c>
      <c r="D155" s="2">
        <v>29</v>
      </c>
      <c r="E155" s="3">
        <v>1.5E-3</v>
      </c>
    </row>
    <row r="156" spans="2:5">
      <c r="B156" s="31"/>
      <c r="C156" s="1" t="str">
        <f>"FRONTERA"</f>
        <v>FRONTERA</v>
      </c>
      <c r="D156" s="2">
        <v>2</v>
      </c>
      <c r="E156" s="3">
        <v>1E-4</v>
      </c>
    </row>
    <row r="157" spans="2:5">
      <c r="B157" s="31"/>
      <c r="C157" s="1" t="str">
        <f>"HIDALGO"</f>
        <v>HIDALGO</v>
      </c>
      <c r="D157" s="2">
        <v>2</v>
      </c>
      <c r="E157" s="3">
        <v>1E-4</v>
      </c>
    </row>
    <row r="158" spans="2:5">
      <c r="B158" s="31"/>
      <c r="C158" s="1" t="str">
        <f>"MATAMOROS"</f>
        <v>MATAMOROS</v>
      </c>
      <c r="D158" s="2">
        <v>16</v>
      </c>
      <c r="E158" s="3">
        <v>8.0000000000000004E-4</v>
      </c>
    </row>
    <row r="159" spans="2:5">
      <c r="B159" s="31"/>
      <c r="C159" s="1" t="str">
        <f>"MONCLOVA"</f>
        <v>MONCLOVA</v>
      </c>
      <c r="D159" s="2">
        <v>19</v>
      </c>
      <c r="E159" s="3">
        <v>1E-3</v>
      </c>
    </row>
    <row r="160" spans="2:5">
      <c r="B160" s="31"/>
      <c r="C160" s="1" t="str">
        <f>"MUZQUIZ"</f>
        <v>MUZQUIZ</v>
      </c>
      <c r="D160" s="2">
        <v>3</v>
      </c>
      <c r="E160" s="3">
        <v>2.0000000000000001E-4</v>
      </c>
    </row>
    <row r="161" spans="2:5">
      <c r="B161" s="31"/>
      <c r="C161" s="1" t="str">
        <f>"OCAMPO"</f>
        <v>OCAMPO</v>
      </c>
      <c r="D161" s="2">
        <v>2</v>
      </c>
      <c r="E161" s="3">
        <v>1E-4</v>
      </c>
    </row>
    <row r="162" spans="2:5">
      <c r="B162" s="31"/>
      <c r="C162" s="1" t="str">
        <f>"PARRAS"</f>
        <v>PARRAS</v>
      </c>
      <c r="D162" s="2">
        <v>1</v>
      </c>
      <c r="E162" s="3">
        <v>1E-4</v>
      </c>
    </row>
    <row r="163" spans="2:5">
      <c r="B163" s="31"/>
      <c r="C163" s="1" t="str">
        <f>"PIEDRAS NEGRAS"</f>
        <v>PIEDRAS NEGRAS</v>
      </c>
      <c r="D163" s="2">
        <v>13</v>
      </c>
      <c r="E163" s="3">
        <v>6.9999999999999999E-4</v>
      </c>
    </row>
    <row r="164" spans="2:5">
      <c r="B164" s="31"/>
      <c r="C164" s="1" t="str">
        <f>"RAMOS ARIZPE"</f>
        <v>RAMOS ARIZPE</v>
      </c>
      <c r="D164" s="2">
        <v>1</v>
      </c>
      <c r="E164" s="3">
        <v>1E-4</v>
      </c>
    </row>
    <row r="165" spans="2:5">
      <c r="B165" s="31"/>
      <c r="C165" s="1" t="str">
        <f>"SABINAS"</f>
        <v>SABINAS</v>
      </c>
      <c r="D165" s="2">
        <v>1</v>
      </c>
      <c r="E165" s="3">
        <v>1E-4</v>
      </c>
    </row>
    <row r="166" spans="2:5">
      <c r="B166" s="31"/>
      <c r="C166" s="1" t="str">
        <f>"SACRAMENTO"</f>
        <v>SACRAMENTO</v>
      </c>
      <c r="D166" s="2">
        <v>1</v>
      </c>
      <c r="E166" s="3">
        <v>1E-4</v>
      </c>
    </row>
    <row r="167" spans="2:5">
      <c r="B167" s="31"/>
      <c r="C167" s="1" t="str">
        <f>"SALTILLO"</f>
        <v>SALTILLO</v>
      </c>
      <c r="D167" s="2">
        <v>4</v>
      </c>
      <c r="E167" s="3">
        <v>2.0000000000000001E-4</v>
      </c>
    </row>
    <row r="168" spans="2:5">
      <c r="B168" s="31"/>
      <c r="C168" s="1" t="str">
        <f>"SAN BUENAVENTURA"</f>
        <v>SAN BUENAVENTURA</v>
      </c>
      <c r="D168" s="2">
        <v>2</v>
      </c>
      <c r="E168" s="3">
        <v>1E-4</v>
      </c>
    </row>
    <row r="169" spans="2:5">
      <c r="B169" s="31"/>
      <c r="C169" s="1" t="str">
        <f>"SAN JUAN DE SABINAS"</f>
        <v>SAN JUAN DE SABINAS</v>
      </c>
      <c r="D169" s="2">
        <v>2</v>
      </c>
      <c r="E169" s="3">
        <v>1E-4</v>
      </c>
    </row>
    <row r="170" spans="2:5">
      <c r="B170" s="31"/>
      <c r="C170" s="1" t="str">
        <f>"SAN PEDRO"</f>
        <v>SAN PEDRO</v>
      </c>
      <c r="D170" s="2">
        <v>22</v>
      </c>
      <c r="E170" s="3">
        <v>1.1000000000000001E-3</v>
      </c>
    </row>
    <row r="171" spans="2:5">
      <c r="B171" s="31"/>
      <c r="C171" s="1" t="str">
        <f>"SIERRA MOJADA"</f>
        <v>SIERRA MOJADA</v>
      </c>
      <c r="D171" s="2">
        <v>2</v>
      </c>
      <c r="E171" s="3">
        <v>1E-4</v>
      </c>
    </row>
    <row r="172" spans="2:5">
      <c r="B172" s="31"/>
      <c r="C172" s="1" t="str">
        <f>"TORREON"</f>
        <v>TORREON</v>
      </c>
      <c r="D172" s="2">
        <v>193</v>
      </c>
      <c r="E172" s="3">
        <v>9.9000000000000008E-3</v>
      </c>
    </row>
    <row r="173" spans="2:5">
      <c r="B173" s="31"/>
      <c r="C173" s="1" t="str">
        <f>"VIESCA"</f>
        <v>VIESCA</v>
      </c>
      <c r="D173" s="2">
        <v>8</v>
      </c>
      <c r="E173" s="3">
        <v>4.0000000000000002E-4</v>
      </c>
    </row>
    <row r="174" spans="2:5">
      <c r="B174" s="31"/>
      <c r="C174" s="1" t="str">
        <f>"ZARAGOZA"</f>
        <v>ZARAGOZA</v>
      </c>
      <c r="D174" s="2">
        <v>1</v>
      </c>
      <c r="E174" s="3">
        <v>1E-4</v>
      </c>
    </row>
    <row r="175" spans="2:5">
      <c r="B175" s="32"/>
      <c r="C175" s="14" t="str">
        <f>"Total"</f>
        <v>Total</v>
      </c>
      <c r="D175" s="15">
        <v>328</v>
      </c>
      <c r="E175" s="21">
        <v>1.6799999999999999E-2</v>
      </c>
    </row>
    <row r="176" spans="2:5">
      <c r="B176" s="30" t="str">
        <f t="shared" ref="B176" si="4">"COLIMA"</f>
        <v>COLIMA</v>
      </c>
      <c r="C176" s="1" t="str">
        <f>"ARMERIA"</f>
        <v>ARMERIA</v>
      </c>
      <c r="D176" s="2">
        <v>1</v>
      </c>
      <c r="E176" s="3">
        <v>1E-4</v>
      </c>
    </row>
    <row r="177" spans="2:5">
      <c r="B177" s="31"/>
      <c r="C177" s="1" t="str">
        <f>"COLIMA"</f>
        <v>COLIMA</v>
      </c>
      <c r="D177" s="2">
        <v>23</v>
      </c>
      <c r="E177" s="3">
        <v>1.1999999999999999E-3</v>
      </c>
    </row>
    <row r="178" spans="2:5">
      <c r="B178" s="31"/>
      <c r="C178" s="1" t="str">
        <f>"COMALA"</f>
        <v>COMALA</v>
      </c>
      <c r="D178" s="2">
        <v>1</v>
      </c>
      <c r="E178" s="3">
        <v>1E-4</v>
      </c>
    </row>
    <row r="179" spans="2:5">
      <c r="B179" s="31"/>
      <c r="C179" s="1" t="str">
        <f>"COQUIMATLAN"</f>
        <v>COQUIMATLAN</v>
      </c>
      <c r="D179" s="2">
        <v>1</v>
      </c>
      <c r="E179" s="3">
        <v>1E-4</v>
      </c>
    </row>
    <row r="180" spans="2:5">
      <c r="B180" s="31"/>
      <c r="C180" s="1" t="str">
        <f>"CUAUHTEMOC"</f>
        <v>CUAUHTEMOC</v>
      </c>
      <c r="D180" s="2">
        <v>11</v>
      </c>
      <c r="E180" s="3">
        <v>5.9999999999999995E-4</v>
      </c>
    </row>
    <row r="181" spans="2:5">
      <c r="B181" s="31"/>
      <c r="C181" s="1" t="str">
        <f>"IXTLAHUACAN"</f>
        <v>IXTLAHUACAN</v>
      </c>
      <c r="D181" s="2">
        <v>1</v>
      </c>
      <c r="E181" s="3">
        <v>1E-4</v>
      </c>
    </row>
    <row r="182" spans="2:5">
      <c r="B182" s="31"/>
      <c r="C182" s="1" t="str">
        <f>"MANZANILLO"</f>
        <v>MANZANILLO</v>
      </c>
      <c r="D182" s="2">
        <v>11</v>
      </c>
      <c r="E182" s="3">
        <v>5.9999999999999995E-4</v>
      </c>
    </row>
    <row r="183" spans="2:5">
      <c r="B183" s="31"/>
      <c r="C183" s="1" t="str">
        <f>"MINATITLAN"</f>
        <v>MINATITLAN</v>
      </c>
      <c r="D183" s="2">
        <v>1</v>
      </c>
      <c r="E183" s="3">
        <v>1E-4</v>
      </c>
    </row>
    <row r="184" spans="2:5">
      <c r="B184" s="31"/>
      <c r="C184" s="1" t="str">
        <f>"TECOMAN"</f>
        <v>TECOMAN</v>
      </c>
      <c r="D184" s="2">
        <v>23</v>
      </c>
      <c r="E184" s="3">
        <v>1.1999999999999999E-3</v>
      </c>
    </row>
    <row r="185" spans="2:5">
      <c r="B185" s="31"/>
      <c r="C185" s="1" t="str">
        <f>"VILLA DE ALVAREZ"</f>
        <v>VILLA DE ALVAREZ</v>
      </c>
      <c r="D185" s="2">
        <v>6</v>
      </c>
      <c r="E185" s="3">
        <v>2.9999999999999997E-4</v>
      </c>
    </row>
    <row r="186" spans="2:5">
      <c r="B186" s="32"/>
      <c r="C186" s="14" t="str">
        <f>"Total"</f>
        <v>Total</v>
      </c>
      <c r="D186" s="15">
        <v>79</v>
      </c>
      <c r="E186" s="21">
        <v>4.0000000000000001E-3</v>
      </c>
    </row>
    <row r="187" spans="2:5">
      <c r="B187" s="30" t="str">
        <f t="shared" ref="B187" si="5">"DISTRITO FEDERAL"</f>
        <v>DISTRITO FEDERAL</v>
      </c>
      <c r="C187" s="1" t="str">
        <f>"ALVARO OBREGON"</f>
        <v>ALVARO OBREGON</v>
      </c>
      <c r="D187" s="2">
        <v>70</v>
      </c>
      <c r="E187" s="3">
        <v>3.5999999999999999E-3</v>
      </c>
    </row>
    <row r="188" spans="2:5">
      <c r="B188" s="31"/>
      <c r="C188" s="1" t="str">
        <f>"AZCAPOTZALCO"</f>
        <v>AZCAPOTZALCO</v>
      </c>
      <c r="D188" s="2">
        <v>55</v>
      </c>
      <c r="E188" s="3">
        <v>2.8E-3</v>
      </c>
    </row>
    <row r="189" spans="2:5">
      <c r="B189" s="31"/>
      <c r="C189" s="1" t="str">
        <f>"BENITO JUAREZ"</f>
        <v>BENITO JUAREZ</v>
      </c>
      <c r="D189" s="2">
        <v>63</v>
      </c>
      <c r="E189" s="3">
        <v>3.2000000000000002E-3</v>
      </c>
    </row>
    <row r="190" spans="2:5">
      <c r="B190" s="31"/>
      <c r="C190" s="1" t="str">
        <f>"COYOACAN"</f>
        <v>COYOACAN</v>
      </c>
      <c r="D190" s="2">
        <v>26</v>
      </c>
      <c r="E190" s="3">
        <v>1.2999999999999999E-3</v>
      </c>
    </row>
    <row r="191" spans="2:5" ht="15" customHeight="1">
      <c r="B191" s="31"/>
      <c r="C191" s="1" t="str">
        <f>"CUAJIMALPA DE MORELOS"</f>
        <v>CUAJIMALPA DE MORELOS</v>
      </c>
      <c r="D191" s="2">
        <v>7</v>
      </c>
      <c r="E191" s="3">
        <v>4.0000000000000002E-4</v>
      </c>
    </row>
    <row r="192" spans="2:5">
      <c r="B192" s="31"/>
      <c r="C192" s="1" t="str">
        <f>"CUAUHTEMOC"</f>
        <v>CUAUHTEMOC</v>
      </c>
      <c r="D192" s="2">
        <v>78</v>
      </c>
      <c r="E192" s="3">
        <v>4.0000000000000001E-3</v>
      </c>
    </row>
    <row r="193" spans="2:5">
      <c r="B193" s="31"/>
      <c r="C193" s="1" t="str">
        <f>"GUSTAVO A. MADERO"</f>
        <v>GUSTAVO A. MADERO</v>
      </c>
      <c r="D193" s="2">
        <v>328</v>
      </c>
      <c r="E193" s="3">
        <v>1.6799999999999999E-2</v>
      </c>
    </row>
    <row r="194" spans="2:5">
      <c r="B194" s="31"/>
      <c r="C194" s="1" t="str">
        <f>"IZTACALCO"</f>
        <v>IZTACALCO</v>
      </c>
      <c r="D194" s="2">
        <v>51</v>
      </c>
      <c r="E194" s="3">
        <v>2.5999999999999999E-3</v>
      </c>
    </row>
    <row r="195" spans="2:5">
      <c r="B195" s="31"/>
      <c r="C195" s="1" t="str">
        <f>"IZTAPALAPA"</f>
        <v>IZTAPALAPA</v>
      </c>
      <c r="D195" s="2">
        <v>67</v>
      </c>
      <c r="E195" s="3">
        <v>3.3999999999999998E-3</v>
      </c>
    </row>
    <row r="196" spans="2:5">
      <c r="B196" s="31"/>
      <c r="C196" s="1" t="str">
        <f>"LA MAGDALENA CONTRERAS"</f>
        <v>LA MAGDALENA CONTRERAS</v>
      </c>
      <c r="D196" s="2">
        <v>1</v>
      </c>
      <c r="E196" s="3">
        <v>1E-4</v>
      </c>
    </row>
    <row r="197" spans="2:5">
      <c r="B197" s="31"/>
      <c r="C197" s="1" t="str">
        <f>"MIGUEL HIDALGO"</f>
        <v>MIGUEL HIDALGO</v>
      </c>
      <c r="D197" s="2">
        <v>53</v>
      </c>
      <c r="E197" s="3">
        <v>2.7000000000000001E-3</v>
      </c>
    </row>
    <row r="198" spans="2:5">
      <c r="B198" s="31"/>
      <c r="C198" s="1" t="str">
        <f>"MILPA ALTA"</f>
        <v>MILPA ALTA</v>
      </c>
      <c r="D198" s="2">
        <v>4</v>
      </c>
      <c r="E198" s="3">
        <v>2.0000000000000001E-4</v>
      </c>
    </row>
    <row r="199" spans="2:5">
      <c r="B199" s="31"/>
      <c r="C199" s="1" t="str">
        <f>"TLAHUAC"</f>
        <v>TLAHUAC</v>
      </c>
      <c r="D199" s="2">
        <v>8</v>
      </c>
      <c r="E199" s="3">
        <v>4.0000000000000002E-4</v>
      </c>
    </row>
    <row r="200" spans="2:5">
      <c r="B200" s="31"/>
      <c r="C200" s="1" t="str">
        <f>"TLALPAN"</f>
        <v>TLALPAN</v>
      </c>
      <c r="D200" s="2">
        <v>10</v>
      </c>
      <c r="E200" s="3">
        <v>5.0000000000000001E-4</v>
      </c>
    </row>
    <row r="201" spans="2:5">
      <c r="B201" s="31"/>
      <c r="C201" s="1" t="str">
        <f>"VENUSTIANO CARRANZA"</f>
        <v>VENUSTIANO CARRANZA</v>
      </c>
      <c r="D201" s="2">
        <v>33</v>
      </c>
      <c r="E201" s="3">
        <v>1.6999999999999999E-3</v>
      </c>
    </row>
    <row r="202" spans="2:5">
      <c r="B202" s="31"/>
      <c r="C202" s="1" t="str">
        <f>"XOCHIMILCO"</f>
        <v>XOCHIMILCO</v>
      </c>
      <c r="D202" s="2">
        <v>10</v>
      </c>
      <c r="E202" s="3">
        <v>5.0000000000000001E-4</v>
      </c>
    </row>
    <row r="203" spans="2:5">
      <c r="B203" s="32"/>
      <c r="C203" s="14" t="str">
        <f>"Total"</f>
        <v>Total</v>
      </c>
      <c r="D203" s="15">
        <v>864</v>
      </c>
      <c r="E203" s="21">
        <v>4.4200000000000003E-2</v>
      </c>
    </row>
    <row r="204" spans="2:5">
      <c r="B204" s="30" t="str">
        <f t="shared" ref="B204" si="6">"DURANGO"</f>
        <v>DURANGO</v>
      </c>
      <c r="C204" s="1" t="str">
        <f>"CANATLAN"</f>
        <v>CANATLAN</v>
      </c>
      <c r="D204" s="2">
        <v>106</v>
      </c>
      <c r="E204" s="3">
        <v>5.4000000000000003E-3</v>
      </c>
    </row>
    <row r="205" spans="2:5">
      <c r="B205" s="31"/>
      <c r="C205" s="1" t="str">
        <f>"CONETO DE COMONFORT"</f>
        <v>CONETO DE COMONFORT</v>
      </c>
      <c r="D205" s="2">
        <v>38</v>
      </c>
      <c r="E205" s="3">
        <v>1.9E-3</v>
      </c>
    </row>
    <row r="206" spans="2:5">
      <c r="B206" s="31"/>
      <c r="C206" s="1" t="str">
        <f>"CUENCAME"</f>
        <v>CUENCAME</v>
      </c>
      <c r="D206" s="2">
        <v>27</v>
      </c>
      <c r="E206" s="3">
        <v>1.4E-3</v>
      </c>
    </row>
    <row r="207" spans="2:5">
      <c r="B207" s="31"/>
      <c r="C207" s="1" t="str">
        <f>"DURANGO"</f>
        <v>DURANGO</v>
      </c>
      <c r="D207" s="2">
        <v>446</v>
      </c>
      <c r="E207" s="3">
        <v>2.2800000000000001E-2</v>
      </c>
    </row>
    <row r="208" spans="2:5">
      <c r="B208" s="31"/>
      <c r="C208" s="1" t="str">
        <f>"EL ORO"</f>
        <v>EL ORO</v>
      </c>
      <c r="D208" s="2">
        <v>58</v>
      </c>
      <c r="E208" s="3">
        <v>3.0000000000000001E-3</v>
      </c>
    </row>
    <row r="209" spans="2:5">
      <c r="B209" s="31"/>
      <c r="C209" s="1" t="str">
        <f>"GOMEZ PALACIO"</f>
        <v>GOMEZ PALACIO</v>
      </c>
      <c r="D209" s="2">
        <v>106</v>
      </c>
      <c r="E209" s="3">
        <v>5.4000000000000003E-3</v>
      </c>
    </row>
    <row r="210" spans="2:5">
      <c r="B210" s="31"/>
      <c r="C210" s="1" t="str">
        <f>"GRAL. SIMON BOIVAR"</f>
        <v>GRAL. SIMON BOIVAR</v>
      </c>
      <c r="D210" s="2">
        <v>2</v>
      </c>
      <c r="E210" s="3">
        <v>1E-4</v>
      </c>
    </row>
    <row r="211" spans="2:5">
      <c r="B211" s="31"/>
      <c r="C211" s="1" t="str">
        <f>"GUADALUPE VICTORIA"</f>
        <v>GUADALUPE VICTORIA</v>
      </c>
      <c r="D211" s="2">
        <v>40</v>
      </c>
      <c r="E211" s="3">
        <v>2E-3</v>
      </c>
    </row>
    <row r="212" spans="2:5">
      <c r="B212" s="31"/>
      <c r="C212" s="1" t="str">
        <f>"GUANACEVI"</f>
        <v>GUANACEVI</v>
      </c>
      <c r="D212" s="2">
        <v>13</v>
      </c>
      <c r="E212" s="3">
        <v>6.9999999999999999E-4</v>
      </c>
    </row>
    <row r="213" spans="2:5">
      <c r="B213" s="31"/>
      <c r="C213" s="1" t="str">
        <f>"HIDALGO"</f>
        <v>HIDALGO</v>
      </c>
      <c r="D213" s="2">
        <v>28</v>
      </c>
      <c r="E213" s="3">
        <v>1.4E-3</v>
      </c>
    </row>
    <row r="214" spans="2:5">
      <c r="B214" s="31"/>
      <c r="C214" s="1" t="str">
        <f>"INDE"</f>
        <v>INDE</v>
      </c>
      <c r="D214" s="2">
        <v>83</v>
      </c>
      <c r="E214" s="3">
        <v>4.1999999999999997E-3</v>
      </c>
    </row>
    <row r="215" spans="2:5">
      <c r="B215" s="31"/>
      <c r="C215" s="1" t="str">
        <f>"LERDO"</f>
        <v>LERDO</v>
      </c>
      <c r="D215" s="2">
        <v>41</v>
      </c>
      <c r="E215" s="3">
        <v>2.0999999999999999E-3</v>
      </c>
    </row>
    <row r="216" spans="2:5">
      <c r="B216" s="31"/>
      <c r="C216" s="1" t="str">
        <f>"MAPIMI"</f>
        <v>MAPIMI</v>
      </c>
      <c r="D216" s="2">
        <v>53</v>
      </c>
      <c r="E216" s="3">
        <v>2.7000000000000001E-3</v>
      </c>
    </row>
    <row r="217" spans="2:5">
      <c r="B217" s="31"/>
      <c r="C217" s="1" t="str">
        <f>"MEZQUITAL"</f>
        <v>MEZQUITAL</v>
      </c>
      <c r="D217" s="2">
        <v>23</v>
      </c>
      <c r="E217" s="3">
        <v>1.1999999999999999E-3</v>
      </c>
    </row>
    <row r="218" spans="2:5">
      <c r="B218" s="31"/>
      <c r="C218" s="1" t="str">
        <f>"NAZAS"</f>
        <v>NAZAS</v>
      </c>
      <c r="D218" s="2">
        <v>99</v>
      </c>
      <c r="E218" s="3">
        <v>5.1000000000000004E-3</v>
      </c>
    </row>
    <row r="219" spans="2:5">
      <c r="B219" s="31"/>
      <c r="C219" s="1" t="str">
        <f>"NOMBRE DE DIOS"</f>
        <v>NOMBRE DE DIOS</v>
      </c>
      <c r="D219" s="2">
        <v>15</v>
      </c>
      <c r="E219" s="3">
        <v>8.0000000000000004E-4</v>
      </c>
    </row>
    <row r="220" spans="2:5">
      <c r="B220" s="31"/>
      <c r="C220" s="1" t="str">
        <f>"NUEVO IDEAL"</f>
        <v>NUEVO IDEAL</v>
      </c>
      <c r="D220" s="2">
        <v>25</v>
      </c>
      <c r="E220" s="3">
        <v>1.2999999999999999E-3</v>
      </c>
    </row>
    <row r="221" spans="2:5">
      <c r="B221" s="31"/>
      <c r="C221" s="1" t="str">
        <f>"OCAMPO"</f>
        <v>OCAMPO</v>
      </c>
      <c r="D221" s="2">
        <v>58</v>
      </c>
      <c r="E221" s="3">
        <v>3.0000000000000001E-3</v>
      </c>
    </row>
    <row r="222" spans="2:5">
      <c r="B222" s="31"/>
      <c r="C222" s="1" t="str">
        <f>"PANUCO DE CORONADO"</f>
        <v>PANUCO DE CORONADO</v>
      </c>
      <c r="D222" s="2">
        <v>46</v>
      </c>
      <c r="E222" s="3">
        <v>2.3999999999999998E-3</v>
      </c>
    </row>
    <row r="223" spans="2:5">
      <c r="B223" s="31"/>
      <c r="C223" s="1" t="str">
        <f>"PEÑON BLANCO"</f>
        <v>PEÑON BLANCO</v>
      </c>
      <c r="D223" s="2">
        <v>7</v>
      </c>
      <c r="E223" s="3">
        <v>4.0000000000000002E-4</v>
      </c>
    </row>
    <row r="224" spans="2:5">
      <c r="B224" s="31"/>
      <c r="C224" s="1" t="str">
        <f>"POANAS"</f>
        <v>POANAS</v>
      </c>
      <c r="D224" s="2">
        <v>131</v>
      </c>
      <c r="E224" s="3">
        <v>6.7000000000000002E-3</v>
      </c>
    </row>
    <row r="225" spans="2:5">
      <c r="B225" s="31"/>
      <c r="C225" s="1" t="str">
        <f>"PUEBLO NUEVO"</f>
        <v>PUEBLO NUEVO</v>
      </c>
      <c r="D225" s="2">
        <v>8</v>
      </c>
      <c r="E225" s="3">
        <v>4.0000000000000002E-4</v>
      </c>
    </row>
    <row r="226" spans="2:5">
      <c r="B226" s="31"/>
      <c r="C226" s="1" t="str">
        <f>"RODEO"</f>
        <v>RODEO</v>
      </c>
      <c r="D226" s="2">
        <v>84</v>
      </c>
      <c r="E226" s="3">
        <v>4.3E-3</v>
      </c>
    </row>
    <row r="227" spans="2:5">
      <c r="B227" s="31"/>
      <c r="C227" s="1" t="str">
        <f>"SAN BERNARDO"</f>
        <v>SAN BERNARDO</v>
      </c>
      <c r="D227" s="2">
        <v>54</v>
      </c>
      <c r="E227" s="3">
        <v>2.8E-3</v>
      </c>
    </row>
    <row r="228" spans="2:5">
      <c r="B228" s="31"/>
      <c r="C228" s="1" t="str">
        <f>"SAN DIMAS"</f>
        <v>SAN DIMAS</v>
      </c>
      <c r="D228" s="2">
        <v>12</v>
      </c>
      <c r="E228" s="3">
        <v>5.9999999999999995E-4</v>
      </c>
    </row>
    <row r="229" spans="2:5">
      <c r="B229" s="31"/>
      <c r="C229" s="1" t="str">
        <f>"SAN JUAN DE GUADALUPE"</f>
        <v>SAN JUAN DE GUADALUPE</v>
      </c>
      <c r="D229" s="2">
        <v>2</v>
      </c>
      <c r="E229" s="3">
        <v>1E-4</v>
      </c>
    </row>
    <row r="230" spans="2:5">
      <c r="B230" s="31"/>
      <c r="C230" s="1" t="str">
        <f>"SAN JUAN DEL RIO"</f>
        <v>SAN JUAN DEL RIO</v>
      </c>
      <c r="D230" s="2">
        <v>20</v>
      </c>
      <c r="E230" s="3">
        <v>1E-3</v>
      </c>
    </row>
    <row r="231" spans="2:5">
      <c r="B231" s="31"/>
      <c r="C231" s="1" t="str">
        <f>"SAN LUIS DEL CORDERO"</f>
        <v>SAN LUIS DEL CORDERO</v>
      </c>
      <c r="D231" s="2">
        <v>35</v>
      </c>
      <c r="E231" s="3">
        <v>1.8E-3</v>
      </c>
    </row>
    <row r="232" spans="2:5">
      <c r="B232" s="31"/>
      <c r="C232" s="1" t="str">
        <f>"SAN PEDRO DEL GALLO"</f>
        <v>SAN PEDRO DEL GALLO</v>
      </c>
      <c r="D232" s="2">
        <v>18</v>
      </c>
      <c r="E232" s="3">
        <v>8.9999999999999998E-4</v>
      </c>
    </row>
    <row r="233" spans="2:5">
      <c r="B233" s="31"/>
      <c r="C233" s="1" t="str">
        <f>"SANTA CLARA"</f>
        <v>SANTA CLARA</v>
      </c>
      <c r="D233" s="2">
        <v>15</v>
      </c>
      <c r="E233" s="3">
        <v>8.0000000000000004E-4</v>
      </c>
    </row>
    <row r="234" spans="2:5">
      <c r="B234" s="31"/>
      <c r="C234" s="1" t="str">
        <f>"SANTIAGO PAPASQUIARO"</f>
        <v>SANTIAGO PAPASQUIARO</v>
      </c>
      <c r="D234" s="2">
        <v>26</v>
      </c>
      <c r="E234" s="3">
        <v>1.2999999999999999E-3</v>
      </c>
    </row>
    <row r="235" spans="2:5">
      <c r="B235" s="31"/>
      <c r="C235" s="1" t="str">
        <f>"SUCHIL"</f>
        <v>SUCHIL</v>
      </c>
      <c r="D235" s="2">
        <v>6</v>
      </c>
      <c r="E235" s="3">
        <v>2.9999999999999997E-4</v>
      </c>
    </row>
    <row r="236" spans="2:5">
      <c r="B236" s="31"/>
      <c r="C236" s="1" t="str">
        <f>"TAMAZULA"</f>
        <v>TAMAZULA</v>
      </c>
      <c r="D236" s="2">
        <v>3</v>
      </c>
      <c r="E236" s="3">
        <v>2.0000000000000001E-4</v>
      </c>
    </row>
    <row r="237" spans="2:5">
      <c r="B237" s="31"/>
      <c r="C237" s="1" t="str">
        <f>"TEPEHUANES"</f>
        <v>TEPEHUANES</v>
      </c>
      <c r="D237" s="2">
        <v>11</v>
      </c>
      <c r="E237" s="3">
        <v>5.9999999999999995E-4</v>
      </c>
    </row>
    <row r="238" spans="2:5">
      <c r="B238" s="31"/>
      <c r="C238" s="1" t="str">
        <f>"TLAHUALILO"</f>
        <v>TLAHUALILO</v>
      </c>
      <c r="D238" s="2">
        <v>38</v>
      </c>
      <c r="E238" s="3">
        <v>1.9E-3</v>
      </c>
    </row>
    <row r="239" spans="2:5">
      <c r="B239" s="31"/>
      <c r="C239" s="1" t="str">
        <f>"TOPIA"</f>
        <v>TOPIA</v>
      </c>
      <c r="D239" s="2">
        <v>10</v>
      </c>
      <c r="E239" s="3">
        <v>5.0000000000000001E-4</v>
      </c>
    </row>
    <row r="240" spans="2:5">
      <c r="B240" s="31"/>
      <c r="C240" s="1" t="str">
        <f>"VICENTE GUERRERO"</f>
        <v>VICENTE GUERRERO</v>
      </c>
      <c r="D240" s="2">
        <v>38</v>
      </c>
      <c r="E240" s="3">
        <v>1.9E-3</v>
      </c>
    </row>
    <row r="241" spans="2:5">
      <c r="B241" s="32"/>
      <c r="C241" s="14" t="str">
        <f>"Total"</f>
        <v>Total</v>
      </c>
      <c r="D241" s="20">
        <v>1825</v>
      </c>
      <c r="E241" s="21">
        <v>9.3399999999999997E-2</v>
      </c>
    </row>
    <row r="242" spans="2:5">
      <c r="B242" s="30" t="str">
        <f t="shared" ref="B242" si="7">"GUANAJUATO"</f>
        <v>GUANAJUATO</v>
      </c>
      <c r="C242" s="1" t="str">
        <f>"ABASOLO"</f>
        <v>ABASOLO</v>
      </c>
      <c r="D242" s="2">
        <v>17</v>
      </c>
      <c r="E242" s="3">
        <v>8.9999999999999998E-4</v>
      </c>
    </row>
    <row r="243" spans="2:5">
      <c r="B243" s="31"/>
      <c r="C243" s="1" t="str">
        <f>"ACAMBARO"</f>
        <v>ACAMBARO</v>
      </c>
      <c r="D243" s="2">
        <v>31</v>
      </c>
      <c r="E243" s="3">
        <v>1.6000000000000001E-3</v>
      </c>
    </row>
    <row r="244" spans="2:5">
      <c r="B244" s="31"/>
      <c r="C244" s="1" t="str">
        <f>"ALLENDE"</f>
        <v>ALLENDE</v>
      </c>
      <c r="D244" s="2">
        <v>24</v>
      </c>
      <c r="E244" s="3">
        <v>1.1999999999999999E-3</v>
      </c>
    </row>
    <row r="245" spans="2:5">
      <c r="B245" s="31"/>
      <c r="C245" s="1" t="str">
        <f>"APASEO EL ALTO"</f>
        <v>APASEO EL ALTO</v>
      </c>
      <c r="D245" s="2">
        <v>2</v>
      </c>
      <c r="E245" s="3">
        <v>1E-4</v>
      </c>
    </row>
    <row r="246" spans="2:5">
      <c r="B246" s="31"/>
      <c r="C246" s="1" t="str">
        <f>"APASEO EL GRANDE"</f>
        <v>APASEO EL GRANDE</v>
      </c>
      <c r="D246" s="2">
        <v>3</v>
      </c>
      <c r="E246" s="3">
        <v>2.0000000000000001E-4</v>
      </c>
    </row>
    <row r="247" spans="2:5">
      <c r="B247" s="31"/>
      <c r="C247" s="1" t="str">
        <f>"ATARJEA"</f>
        <v>ATARJEA</v>
      </c>
      <c r="D247" s="2">
        <v>2</v>
      </c>
      <c r="E247" s="3">
        <v>1E-4</v>
      </c>
    </row>
    <row r="248" spans="2:5">
      <c r="B248" s="31"/>
      <c r="C248" s="1" t="str">
        <f>"CELAYA"</f>
        <v>CELAYA</v>
      </c>
      <c r="D248" s="2">
        <v>64</v>
      </c>
      <c r="E248" s="3">
        <v>3.3E-3</v>
      </c>
    </row>
    <row r="249" spans="2:5">
      <c r="B249" s="31"/>
      <c r="C249" s="1" t="str">
        <f>"COMONFORT"</f>
        <v>COMONFORT</v>
      </c>
      <c r="D249" s="2">
        <v>9</v>
      </c>
      <c r="E249" s="3">
        <v>5.0000000000000001E-4</v>
      </c>
    </row>
    <row r="250" spans="2:5">
      <c r="B250" s="31"/>
      <c r="C250" s="1" t="str">
        <f>"CORTAZAR"</f>
        <v>CORTAZAR</v>
      </c>
      <c r="D250" s="2">
        <v>3</v>
      </c>
      <c r="E250" s="3">
        <v>2.0000000000000001E-4</v>
      </c>
    </row>
    <row r="251" spans="2:5">
      <c r="B251" s="31"/>
      <c r="C251" s="1" t="str">
        <f>"CUERAMARO"</f>
        <v>CUERAMARO</v>
      </c>
      <c r="D251" s="2">
        <v>26</v>
      </c>
      <c r="E251" s="3">
        <v>1.2999999999999999E-3</v>
      </c>
    </row>
    <row r="252" spans="2:5">
      <c r="B252" s="31"/>
      <c r="C252" s="1" t="str">
        <f>"DOCTOR MORA"</f>
        <v>DOCTOR MORA</v>
      </c>
      <c r="D252" s="2">
        <v>2</v>
      </c>
      <c r="E252" s="3">
        <v>1E-4</v>
      </c>
    </row>
    <row r="253" spans="2:5">
      <c r="B253" s="31"/>
      <c r="C253" s="1" t="str">
        <f>"DOLORES HIDALGO"</f>
        <v>DOLORES HIDALGO</v>
      </c>
      <c r="D253" s="2">
        <v>24</v>
      </c>
      <c r="E253" s="3">
        <v>1.1999999999999999E-3</v>
      </c>
    </row>
    <row r="254" spans="2:5">
      <c r="B254" s="31"/>
      <c r="C254" s="1" t="str">
        <f>"GUANAJUATO"</f>
        <v>GUANAJUATO</v>
      </c>
      <c r="D254" s="2">
        <v>23</v>
      </c>
      <c r="E254" s="3">
        <v>1.1999999999999999E-3</v>
      </c>
    </row>
    <row r="255" spans="2:5">
      <c r="B255" s="31"/>
      <c r="C255" s="1" t="str">
        <f>"HUANIMARO"</f>
        <v>HUANIMARO</v>
      </c>
      <c r="D255" s="2">
        <v>5</v>
      </c>
      <c r="E255" s="3">
        <v>2.9999999999999997E-4</v>
      </c>
    </row>
    <row r="256" spans="2:5">
      <c r="B256" s="31"/>
      <c r="C256" s="1" t="str">
        <f>"IRAPUATO"</f>
        <v>IRAPUATO</v>
      </c>
      <c r="D256" s="2">
        <v>139</v>
      </c>
      <c r="E256" s="3">
        <v>7.1000000000000004E-3</v>
      </c>
    </row>
    <row r="257" spans="2:5">
      <c r="B257" s="31"/>
      <c r="C257" s="1" t="str">
        <f>"JARAL DEL PROGRESO"</f>
        <v>JARAL DEL PROGRESO</v>
      </c>
      <c r="D257" s="2">
        <v>2</v>
      </c>
      <c r="E257" s="3">
        <v>1E-4</v>
      </c>
    </row>
    <row r="258" spans="2:5">
      <c r="B258" s="31"/>
      <c r="C258" s="1" t="str">
        <f>"JERECUARO"</f>
        <v>JERECUARO</v>
      </c>
      <c r="D258" s="2">
        <v>87</v>
      </c>
      <c r="E258" s="3">
        <v>4.4999999999999997E-3</v>
      </c>
    </row>
    <row r="259" spans="2:5">
      <c r="B259" s="31"/>
      <c r="C259" s="1" t="str">
        <f>"LEON"</f>
        <v>LEON</v>
      </c>
      <c r="D259" s="2">
        <v>94</v>
      </c>
      <c r="E259" s="3">
        <v>4.7999999999999996E-3</v>
      </c>
    </row>
    <row r="260" spans="2:5">
      <c r="B260" s="31"/>
      <c r="C260" s="1" t="str">
        <f>"MANUEL DOBLADO"</f>
        <v>MANUEL DOBLADO</v>
      </c>
      <c r="D260" s="2">
        <v>35</v>
      </c>
      <c r="E260" s="3">
        <v>1.8E-3</v>
      </c>
    </row>
    <row r="261" spans="2:5">
      <c r="B261" s="31"/>
      <c r="C261" s="1" t="str">
        <f>"MOROLEON"</f>
        <v>MOROLEON</v>
      </c>
      <c r="D261" s="2">
        <v>4</v>
      </c>
      <c r="E261" s="3">
        <v>2.0000000000000001E-4</v>
      </c>
    </row>
    <row r="262" spans="2:5">
      <c r="B262" s="31"/>
      <c r="C262" s="1" t="str">
        <f>"OCAMPO"</f>
        <v>OCAMPO</v>
      </c>
      <c r="D262" s="2">
        <v>2</v>
      </c>
      <c r="E262" s="3">
        <v>1E-4</v>
      </c>
    </row>
    <row r="263" spans="2:5">
      <c r="B263" s="31"/>
      <c r="C263" s="1" t="str">
        <f>"PENJAMO"</f>
        <v>PENJAMO</v>
      </c>
      <c r="D263" s="2">
        <v>31</v>
      </c>
      <c r="E263" s="3">
        <v>1.6000000000000001E-3</v>
      </c>
    </row>
    <row r="264" spans="2:5">
      <c r="B264" s="31"/>
      <c r="C264" s="1" t="str">
        <f>"PUEBLO NUEVO"</f>
        <v>PUEBLO NUEVO</v>
      </c>
      <c r="D264" s="2">
        <v>2</v>
      </c>
      <c r="E264" s="3">
        <v>1E-4</v>
      </c>
    </row>
    <row r="265" spans="2:5">
      <c r="B265" s="31"/>
      <c r="C265" s="1" t="str">
        <f>"PURISIMA DEL RINCON"</f>
        <v>PURISIMA DEL RINCON</v>
      </c>
      <c r="D265" s="2">
        <v>26</v>
      </c>
      <c r="E265" s="3">
        <v>1.2999999999999999E-3</v>
      </c>
    </row>
    <row r="266" spans="2:5">
      <c r="B266" s="31"/>
      <c r="C266" s="1" t="str">
        <f>"ROMITA"</f>
        <v>ROMITA</v>
      </c>
      <c r="D266" s="2">
        <v>85</v>
      </c>
      <c r="E266" s="3">
        <v>4.3E-3</v>
      </c>
    </row>
    <row r="267" spans="2:5">
      <c r="B267" s="31"/>
      <c r="C267" s="1" t="str">
        <f>"SALAMANCA"</f>
        <v>SALAMANCA</v>
      </c>
      <c r="D267" s="2">
        <v>65</v>
      </c>
      <c r="E267" s="3">
        <v>3.3E-3</v>
      </c>
    </row>
    <row r="268" spans="2:5">
      <c r="B268" s="31"/>
      <c r="C268" s="1" t="str">
        <f>"SALVATIERRA"</f>
        <v>SALVATIERRA</v>
      </c>
      <c r="D268" s="2">
        <v>21</v>
      </c>
      <c r="E268" s="3">
        <v>1.1000000000000001E-3</v>
      </c>
    </row>
    <row r="269" spans="2:5">
      <c r="B269" s="31"/>
      <c r="C269" s="1" t="str">
        <f>"SAN DIEGO DE LA UNION"</f>
        <v>SAN DIEGO DE LA UNION</v>
      </c>
      <c r="D269" s="2">
        <v>1</v>
      </c>
      <c r="E269" s="3">
        <v>1E-4</v>
      </c>
    </row>
    <row r="270" spans="2:5">
      <c r="B270" s="31"/>
      <c r="C270" s="1" t="str">
        <f>"SAN FELIPE"</f>
        <v>SAN FELIPE</v>
      </c>
      <c r="D270" s="2">
        <v>8</v>
      </c>
      <c r="E270" s="3">
        <v>4.0000000000000002E-4</v>
      </c>
    </row>
    <row r="271" spans="2:5">
      <c r="B271" s="31"/>
      <c r="C271" s="1" t="str">
        <f>"SAN FRANCISCO DEL RINCON"</f>
        <v>SAN FRANCISCO DEL RINCON</v>
      </c>
      <c r="D271" s="2">
        <v>28</v>
      </c>
      <c r="E271" s="3">
        <v>1.4E-3</v>
      </c>
    </row>
    <row r="272" spans="2:5">
      <c r="B272" s="31"/>
      <c r="C272" s="1" t="str">
        <f>"SAN LUIS DE LA PAZ"</f>
        <v>SAN LUIS DE LA PAZ</v>
      </c>
      <c r="D272" s="2">
        <v>8</v>
      </c>
      <c r="E272" s="3">
        <v>4.0000000000000002E-4</v>
      </c>
    </row>
    <row r="273" spans="2:5">
      <c r="B273" s="31"/>
      <c r="C273" s="1" t="str">
        <f>"SANTA CATARINA"</f>
        <v>SANTA CATARINA</v>
      </c>
      <c r="D273" s="2">
        <v>1</v>
      </c>
      <c r="E273" s="3">
        <v>1E-4</v>
      </c>
    </row>
    <row r="274" spans="2:5" ht="30">
      <c r="B274" s="31"/>
      <c r="C274" s="1" t="str">
        <f>"SANTA CRUZ DE JUVENTINO ROSAS"</f>
        <v>SANTA CRUZ DE JUVENTINO ROSAS</v>
      </c>
      <c r="D274" s="2">
        <v>21</v>
      </c>
      <c r="E274" s="3">
        <v>1.1000000000000001E-3</v>
      </c>
    </row>
    <row r="275" spans="2:5">
      <c r="B275" s="31"/>
      <c r="C275" s="1" t="str">
        <f>"SILAO"</f>
        <v>SILAO</v>
      </c>
      <c r="D275" s="2">
        <v>29</v>
      </c>
      <c r="E275" s="3">
        <v>1.5E-3</v>
      </c>
    </row>
    <row r="276" spans="2:5">
      <c r="B276" s="31"/>
      <c r="C276" s="1" t="str">
        <f>"TARANDACUAO"</f>
        <v>TARANDACUAO</v>
      </c>
      <c r="D276" s="2">
        <v>3</v>
      </c>
      <c r="E276" s="3">
        <v>2.0000000000000001E-4</v>
      </c>
    </row>
    <row r="277" spans="2:5">
      <c r="B277" s="31"/>
      <c r="C277" s="1" t="str">
        <f>"TARIMORO"</f>
        <v>TARIMORO</v>
      </c>
      <c r="D277" s="2">
        <v>10</v>
      </c>
      <c r="E277" s="3">
        <v>5.0000000000000001E-4</v>
      </c>
    </row>
    <row r="278" spans="2:5">
      <c r="B278" s="31"/>
      <c r="C278" s="1" t="str">
        <f>"URIANGATO"</f>
        <v>URIANGATO</v>
      </c>
      <c r="D278" s="2">
        <v>5</v>
      </c>
      <c r="E278" s="3">
        <v>2.9999999999999997E-4</v>
      </c>
    </row>
    <row r="279" spans="2:5">
      <c r="B279" s="31"/>
      <c r="C279" s="1" t="str">
        <f>"VALLE DE SANTIAGO"</f>
        <v>VALLE DE SANTIAGO</v>
      </c>
      <c r="D279" s="2">
        <v>233</v>
      </c>
      <c r="E279" s="3">
        <v>1.1900000000000001E-2</v>
      </c>
    </row>
    <row r="280" spans="2:5">
      <c r="B280" s="31"/>
      <c r="C280" s="1" t="str">
        <f>"VILLAGRAN"</f>
        <v>VILLAGRAN</v>
      </c>
      <c r="D280" s="2">
        <v>27</v>
      </c>
      <c r="E280" s="3">
        <v>1.4E-3</v>
      </c>
    </row>
    <row r="281" spans="2:5">
      <c r="B281" s="31"/>
      <c r="C281" s="1" t="str">
        <f>"XICHU"</f>
        <v>XICHU</v>
      </c>
      <c r="D281" s="2">
        <v>11</v>
      </c>
      <c r="E281" s="3">
        <v>5.9999999999999995E-4</v>
      </c>
    </row>
    <row r="282" spans="2:5">
      <c r="B282" s="31"/>
      <c r="C282" s="1" t="str">
        <f>"YURIRIA"</f>
        <v>YURIRIA</v>
      </c>
      <c r="D282" s="2">
        <v>21</v>
      </c>
      <c r="E282" s="3">
        <v>1.1000000000000001E-3</v>
      </c>
    </row>
    <row r="283" spans="2:5">
      <c r="B283" s="32"/>
      <c r="C283" s="14" t="str">
        <f>"Total"</f>
        <v>Total</v>
      </c>
      <c r="D283" s="20">
        <v>1234</v>
      </c>
      <c r="E283" s="21">
        <v>6.3100000000000003E-2</v>
      </c>
    </row>
    <row r="284" spans="2:5">
      <c r="B284" s="30" t="str">
        <f t="shared" ref="B284" si="8">"GUERRERO"</f>
        <v>GUERRERO</v>
      </c>
      <c r="C284" s="1" t="str">
        <f>"ACAPULCO DE JUAREZ"</f>
        <v>ACAPULCO DE JUAREZ</v>
      </c>
      <c r="D284" s="2">
        <v>285</v>
      </c>
      <c r="E284" s="3">
        <v>1.46E-2</v>
      </c>
    </row>
    <row r="285" spans="2:5">
      <c r="B285" s="31"/>
      <c r="C285" s="1" t="str">
        <f>"AJUCHITLAN DEL PROGRESO"</f>
        <v>AJUCHITLAN DEL PROGRESO</v>
      </c>
      <c r="D285" s="2">
        <v>4</v>
      </c>
      <c r="E285" s="3">
        <v>2.0000000000000001E-4</v>
      </c>
    </row>
    <row r="286" spans="2:5">
      <c r="B286" s="31"/>
      <c r="C286" s="1" t="str">
        <f>"APAXTLA"</f>
        <v>APAXTLA</v>
      </c>
      <c r="D286" s="2">
        <v>19</v>
      </c>
      <c r="E286" s="3">
        <v>1E-3</v>
      </c>
    </row>
    <row r="287" spans="2:5">
      <c r="B287" s="31"/>
      <c r="C287" s="1" t="str">
        <f>"ARCELIA"</f>
        <v>ARCELIA</v>
      </c>
      <c r="D287" s="2">
        <v>17</v>
      </c>
      <c r="E287" s="3">
        <v>8.9999999999999998E-4</v>
      </c>
    </row>
    <row r="288" spans="2:5">
      <c r="B288" s="31"/>
      <c r="C288" s="1" t="str">
        <f>"ATENANGO DEL RIO"</f>
        <v>ATENANGO DEL RIO</v>
      </c>
      <c r="D288" s="2">
        <v>4</v>
      </c>
      <c r="E288" s="3">
        <v>2.0000000000000001E-4</v>
      </c>
    </row>
    <row r="289" spans="2:5">
      <c r="B289" s="31"/>
      <c r="C289" s="1" t="str">
        <f>"ATLIXTAC"</f>
        <v>ATLIXTAC</v>
      </c>
      <c r="D289" s="2">
        <v>1</v>
      </c>
      <c r="E289" s="3">
        <v>1E-4</v>
      </c>
    </row>
    <row r="290" spans="2:5">
      <c r="B290" s="31"/>
      <c r="C290" s="1" t="str">
        <f>"ATOYAC DE ALVAREZ"</f>
        <v>ATOYAC DE ALVAREZ</v>
      </c>
      <c r="D290" s="2">
        <v>11</v>
      </c>
      <c r="E290" s="3">
        <v>5.9999999999999995E-4</v>
      </c>
    </row>
    <row r="291" spans="2:5">
      <c r="B291" s="31"/>
      <c r="C291" s="1" t="str">
        <f>"AYUTLA DE LOS LIBRES"</f>
        <v>AYUTLA DE LOS LIBRES</v>
      </c>
      <c r="D291" s="2">
        <v>77</v>
      </c>
      <c r="E291" s="3">
        <v>3.8999999999999998E-3</v>
      </c>
    </row>
    <row r="292" spans="2:5">
      <c r="B292" s="31"/>
      <c r="C292" s="1" t="str">
        <f>"AZOYU"</f>
        <v>AZOYU</v>
      </c>
      <c r="D292" s="2">
        <v>21</v>
      </c>
      <c r="E292" s="3">
        <v>1.1000000000000001E-3</v>
      </c>
    </row>
    <row r="293" spans="2:5">
      <c r="B293" s="31"/>
      <c r="C293" s="1" t="str">
        <f>"BENITO JUAREZ"</f>
        <v>BENITO JUAREZ</v>
      </c>
      <c r="D293" s="2">
        <v>1</v>
      </c>
      <c r="E293" s="3">
        <v>1E-4</v>
      </c>
    </row>
    <row r="294" spans="2:5">
      <c r="B294" s="31"/>
      <c r="C294" s="1" t="str">
        <f>"BUENAVISTA DE CUELLAR"</f>
        <v>BUENAVISTA DE CUELLAR</v>
      </c>
      <c r="D294" s="2">
        <v>2</v>
      </c>
      <c r="E294" s="3">
        <v>1E-4</v>
      </c>
    </row>
    <row r="295" spans="2:5">
      <c r="B295" s="31"/>
      <c r="C295" s="1" t="str">
        <f>"CHILAPA DE ALVAREZ"</f>
        <v>CHILAPA DE ALVAREZ</v>
      </c>
      <c r="D295" s="2">
        <v>2</v>
      </c>
      <c r="E295" s="3">
        <v>1E-4</v>
      </c>
    </row>
    <row r="296" spans="2:5" ht="30">
      <c r="B296" s="31"/>
      <c r="C296" s="1" t="str">
        <f>"CHILPANCINGO DE LOS BRAVO"</f>
        <v>CHILPANCINGO DE LOS BRAVO</v>
      </c>
      <c r="D296" s="2">
        <v>123</v>
      </c>
      <c r="E296" s="3">
        <v>6.3E-3</v>
      </c>
    </row>
    <row r="297" spans="2:5" ht="30">
      <c r="B297" s="31"/>
      <c r="C297" s="1" t="str">
        <f>"COAHUAYUTLA DE JOSE MARIA IZAZAGA"</f>
        <v>COAHUAYUTLA DE JOSE MARIA IZAZAGA</v>
      </c>
      <c r="D297" s="2">
        <v>2</v>
      </c>
      <c r="E297" s="3">
        <v>1E-4</v>
      </c>
    </row>
    <row r="298" spans="2:5">
      <c r="B298" s="31"/>
      <c r="C298" s="1" t="str">
        <f>"COCULA"</f>
        <v>COCULA</v>
      </c>
      <c r="D298" s="2">
        <v>3</v>
      </c>
      <c r="E298" s="3">
        <v>2.0000000000000001E-4</v>
      </c>
    </row>
    <row r="299" spans="2:5">
      <c r="B299" s="31"/>
      <c r="C299" s="1" t="str">
        <f>"COPALA"</f>
        <v>COPALA</v>
      </c>
      <c r="D299" s="2">
        <v>21</v>
      </c>
      <c r="E299" s="3">
        <v>1.1000000000000001E-3</v>
      </c>
    </row>
    <row r="300" spans="2:5">
      <c r="B300" s="31"/>
      <c r="C300" s="1" t="str">
        <f>"COPALILLO"</f>
        <v>COPALILLO</v>
      </c>
      <c r="D300" s="2">
        <v>6</v>
      </c>
      <c r="E300" s="3">
        <v>2.9999999999999997E-4</v>
      </c>
    </row>
    <row r="301" spans="2:5">
      <c r="B301" s="31"/>
      <c r="C301" s="1" t="str">
        <f>"COPANATOYAC"</f>
        <v>COPANATOYAC</v>
      </c>
      <c r="D301" s="2">
        <v>2</v>
      </c>
      <c r="E301" s="3">
        <v>1E-4</v>
      </c>
    </row>
    <row r="302" spans="2:5">
      <c r="B302" s="31"/>
      <c r="C302" s="1" t="str">
        <f>"COYUCA DE BENITEZ"</f>
        <v>COYUCA DE BENITEZ</v>
      </c>
      <c r="D302" s="2">
        <v>43</v>
      </c>
      <c r="E302" s="3">
        <v>2.2000000000000001E-3</v>
      </c>
    </row>
    <row r="303" spans="2:5">
      <c r="B303" s="31"/>
      <c r="C303" s="1" t="str">
        <f>"COYUCA DE CATALAN"</f>
        <v>COYUCA DE CATALAN</v>
      </c>
      <c r="D303" s="2">
        <v>12</v>
      </c>
      <c r="E303" s="3">
        <v>5.9999999999999995E-4</v>
      </c>
    </row>
    <row r="304" spans="2:5">
      <c r="B304" s="31"/>
      <c r="C304" s="1" t="str">
        <f>"CUAJINICUILAPA"</f>
        <v>CUAJINICUILAPA</v>
      </c>
      <c r="D304" s="2">
        <v>21</v>
      </c>
      <c r="E304" s="3">
        <v>1.1000000000000001E-3</v>
      </c>
    </row>
    <row r="305" spans="2:5">
      <c r="B305" s="31"/>
      <c r="C305" s="1" t="str">
        <f>"CUAUTEPEC"</f>
        <v>CUAUTEPEC</v>
      </c>
      <c r="D305" s="2">
        <v>8</v>
      </c>
      <c r="E305" s="3">
        <v>4.0000000000000002E-4</v>
      </c>
    </row>
    <row r="306" spans="2:5">
      <c r="B306" s="31"/>
      <c r="C306" s="1" t="str">
        <f>"CUETZALA DEL PROGRESO"</f>
        <v>CUETZALA DEL PROGRESO</v>
      </c>
      <c r="D306" s="2">
        <v>2</v>
      </c>
      <c r="E306" s="3">
        <v>1E-4</v>
      </c>
    </row>
    <row r="307" spans="2:5">
      <c r="B307" s="31"/>
      <c r="C307" s="1" t="str">
        <f>"CUTZAMALA DE PINZON"</f>
        <v>CUTZAMALA DE PINZON</v>
      </c>
      <c r="D307" s="2">
        <v>5</v>
      </c>
      <c r="E307" s="3">
        <v>2.9999999999999997E-4</v>
      </c>
    </row>
    <row r="308" spans="2:5">
      <c r="B308" s="31"/>
      <c r="C308" s="1" t="str">
        <f>"EDUARDO NERI"</f>
        <v>EDUARDO NERI</v>
      </c>
      <c r="D308" s="2">
        <v>10</v>
      </c>
      <c r="E308" s="3">
        <v>5.0000000000000001E-4</v>
      </c>
    </row>
    <row r="309" spans="2:5">
      <c r="B309" s="31"/>
      <c r="C309" s="1" t="str">
        <f>"FLORENCIO VILLARREAL"</f>
        <v>FLORENCIO VILLARREAL</v>
      </c>
      <c r="D309" s="2">
        <v>19</v>
      </c>
      <c r="E309" s="3">
        <v>1E-3</v>
      </c>
    </row>
    <row r="310" spans="2:5" ht="15" customHeight="1">
      <c r="B310" s="31"/>
      <c r="C310" s="1" t="str">
        <f>"GENERAL CANUTO A. NERI"</f>
        <v>GENERAL CANUTO A. NERI</v>
      </c>
      <c r="D310" s="2">
        <v>1</v>
      </c>
      <c r="E310" s="3">
        <v>1E-4</v>
      </c>
    </row>
    <row r="311" spans="2:5" ht="30">
      <c r="B311" s="31"/>
      <c r="C311" s="1" t="str">
        <f>"GENERAL HELIODORO CASTILLO"</f>
        <v>GENERAL HELIODORO CASTILLO</v>
      </c>
      <c r="D311" s="2">
        <v>13</v>
      </c>
      <c r="E311" s="3">
        <v>6.9999999999999999E-4</v>
      </c>
    </row>
    <row r="312" spans="2:5">
      <c r="B312" s="31"/>
      <c r="C312" s="1" t="str">
        <f>"HUAMUXTITLAN"</f>
        <v>HUAMUXTITLAN</v>
      </c>
      <c r="D312" s="2">
        <v>1</v>
      </c>
      <c r="E312" s="3">
        <v>1E-4</v>
      </c>
    </row>
    <row r="313" spans="2:5">
      <c r="B313" s="31"/>
      <c r="C313" s="1" t="str">
        <f>"HUITZUCO DE LOS FIGUEROA"</f>
        <v>HUITZUCO DE LOS FIGUEROA</v>
      </c>
      <c r="D313" s="2">
        <v>14</v>
      </c>
      <c r="E313" s="3">
        <v>6.9999999999999999E-4</v>
      </c>
    </row>
    <row r="314" spans="2:5" ht="30">
      <c r="B314" s="31"/>
      <c r="C314" s="1" t="str">
        <f>"IGUALA DE LA INDEPENDENCIA"</f>
        <v>IGUALA DE LA INDEPENDENCIA</v>
      </c>
      <c r="D314" s="2">
        <v>24</v>
      </c>
      <c r="E314" s="3">
        <v>1.1999999999999999E-3</v>
      </c>
    </row>
    <row r="315" spans="2:5">
      <c r="B315" s="31"/>
      <c r="C315" s="1" t="str">
        <f>"IGUALAPA"</f>
        <v>IGUALAPA</v>
      </c>
      <c r="D315" s="2">
        <v>7</v>
      </c>
      <c r="E315" s="3">
        <v>4.0000000000000002E-4</v>
      </c>
    </row>
    <row r="316" spans="2:5" ht="30">
      <c r="B316" s="31"/>
      <c r="C316" s="1" t="str">
        <f>"IXCATEOPAN DE CUAUHTEMOC"</f>
        <v>IXCATEOPAN DE CUAUHTEMOC</v>
      </c>
      <c r="D316" s="2">
        <v>4</v>
      </c>
      <c r="E316" s="3">
        <v>2.0000000000000001E-4</v>
      </c>
    </row>
    <row r="317" spans="2:5">
      <c r="B317" s="31"/>
      <c r="C317" s="1" t="str">
        <f>"JOSE AZUETA"</f>
        <v>JOSE AZUETA</v>
      </c>
      <c r="D317" s="2">
        <v>11</v>
      </c>
      <c r="E317" s="3">
        <v>5.9999999999999995E-4</v>
      </c>
    </row>
    <row r="318" spans="2:5">
      <c r="B318" s="31"/>
      <c r="C318" s="1" t="str">
        <f>"JUAN R. ESCUDERO"</f>
        <v>JUAN R. ESCUDERO</v>
      </c>
      <c r="D318" s="2">
        <v>6</v>
      </c>
      <c r="E318" s="3">
        <v>2.9999999999999997E-4</v>
      </c>
    </row>
    <row r="319" spans="2:5" ht="30">
      <c r="B319" s="31"/>
      <c r="C319" s="1" t="str">
        <f>"LA UNION DE ISIDORO MONTES DE OCA"</f>
        <v>LA UNION DE ISIDORO MONTES DE OCA</v>
      </c>
      <c r="D319" s="2">
        <v>4</v>
      </c>
      <c r="E319" s="3">
        <v>2.0000000000000001E-4</v>
      </c>
    </row>
    <row r="320" spans="2:5">
      <c r="B320" s="31"/>
      <c r="C320" s="1" t="str">
        <f>"LEONARDO BRAVO"</f>
        <v>LEONARDO BRAVO</v>
      </c>
      <c r="D320" s="2">
        <v>8</v>
      </c>
      <c r="E320" s="3">
        <v>4.0000000000000002E-4</v>
      </c>
    </row>
    <row r="321" spans="2:5">
      <c r="B321" s="31"/>
      <c r="C321" s="1" t="str">
        <f>"MALINALTEPEC"</f>
        <v>MALINALTEPEC</v>
      </c>
      <c r="D321" s="2">
        <v>4</v>
      </c>
      <c r="E321" s="3">
        <v>2.0000000000000001E-4</v>
      </c>
    </row>
    <row r="322" spans="2:5">
      <c r="B322" s="31"/>
      <c r="C322" s="1" t="str">
        <f>"METLATONOC"</f>
        <v>METLATONOC</v>
      </c>
      <c r="D322" s="2">
        <v>2</v>
      </c>
      <c r="E322" s="3">
        <v>1E-4</v>
      </c>
    </row>
    <row r="323" spans="2:5">
      <c r="B323" s="31"/>
      <c r="C323" s="1" t="str">
        <f>"MOCHITLAN"</f>
        <v>MOCHITLAN</v>
      </c>
      <c r="D323" s="2">
        <v>13</v>
      </c>
      <c r="E323" s="3">
        <v>6.9999999999999999E-4</v>
      </c>
    </row>
    <row r="324" spans="2:5">
      <c r="B324" s="31"/>
      <c r="C324" s="1" t="str">
        <f>"OLINALA"</f>
        <v>OLINALA</v>
      </c>
      <c r="D324" s="2">
        <v>2</v>
      </c>
      <c r="E324" s="3">
        <v>1E-4</v>
      </c>
    </row>
    <row r="325" spans="2:5">
      <c r="B325" s="31"/>
      <c r="C325" s="1" t="str">
        <f>"OMETEPEC"</f>
        <v>OMETEPEC</v>
      </c>
      <c r="D325" s="2">
        <v>15</v>
      </c>
      <c r="E325" s="3">
        <v>8.0000000000000004E-4</v>
      </c>
    </row>
    <row r="326" spans="2:5">
      <c r="B326" s="31"/>
      <c r="C326" s="1" t="str">
        <f>"PETATLAN"</f>
        <v>PETATLAN</v>
      </c>
      <c r="D326" s="2">
        <v>9</v>
      </c>
      <c r="E326" s="3">
        <v>5.0000000000000001E-4</v>
      </c>
    </row>
    <row r="327" spans="2:5">
      <c r="B327" s="31"/>
      <c r="C327" s="1" t="str">
        <f>"PILCAYA"</f>
        <v>PILCAYA</v>
      </c>
      <c r="D327" s="2">
        <v>3</v>
      </c>
      <c r="E327" s="3">
        <v>2.0000000000000001E-4</v>
      </c>
    </row>
    <row r="328" spans="2:5">
      <c r="B328" s="31"/>
      <c r="C328" s="1" t="str">
        <f>"PUNGARABATO"</f>
        <v>PUNGARABATO</v>
      </c>
      <c r="D328" s="2">
        <v>1</v>
      </c>
      <c r="E328" s="3">
        <v>1E-4</v>
      </c>
    </row>
    <row r="329" spans="2:5">
      <c r="B329" s="31"/>
      <c r="C329" s="1" t="str">
        <f>"QUECHULTENANGO"</f>
        <v>QUECHULTENANGO</v>
      </c>
      <c r="D329" s="2">
        <v>9</v>
      </c>
      <c r="E329" s="3">
        <v>5.0000000000000001E-4</v>
      </c>
    </row>
    <row r="330" spans="2:5">
      <c r="B330" s="31"/>
      <c r="C330" s="1" t="str">
        <f>"SAN LUIS ACATLAN"</f>
        <v>SAN LUIS ACATLAN</v>
      </c>
      <c r="D330" s="2">
        <v>10</v>
      </c>
      <c r="E330" s="3">
        <v>5.0000000000000001E-4</v>
      </c>
    </row>
    <row r="331" spans="2:5">
      <c r="B331" s="31"/>
      <c r="C331" s="1" t="str">
        <f>"SAN MARCOS"</f>
        <v>SAN MARCOS</v>
      </c>
      <c r="D331" s="2">
        <v>19</v>
      </c>
      <c r="E331" s="3">
        <v>1E-3</v>
      </c>
    </row>
    <row r="332" spans="2:5">
      <c r="B332" s="31"/>
      <c r="C332" s="1" t="str">
        <f>"SAN MIGUEL TOTOLAPAN"</f>
        <v>SAN MIGUEL TOTOLAPAN</v>
      </c>
      <c r="D332" s="2">
        <v>4</v>
      </c>
      <c r="E332" s="3">
        <v>2.0000000000000001E-4</v>
      </c>
    </row>
    <row r="333" spans="2:5">
      <c r="B333" s="31"/>
      <c r="C333" s="1" t="str">
        <f>"TAXCO DE ALARCON"</f>
        <v>TAXCO DE ALARCON</v>
      </c>
      <c r="D333" s="2">
        <v>12</v>
      </c>
      <c r="E333" s="3">
        <v>5.9999999999999995E-4</v>
      </c>
    </row>
    <row r="334" spans="2:5">
      <c r="B334" s="31"/>
      <c r="C334" s="1" t="str">
        <f>"TECOANAPA"</f>
        <v>TECOANAPA</v>
      </c>
      <c r="D334" s="2">
        <v>18</v>
      </c>
      <c r="E334" s="3">
        <v>8.9999999999999998E-4</v>
      </c>
    </row>
    <row r="335" spans="2:5">
      <c r="B335" s="31"/>
      <c r="C335" s="1" t="str">
        <f>"TECPAN DE GALEANA"</f>
        <v>TECPAN DE GALEANA</v>
      </c>
      <c r="D335" s="2">
        <v>14</v>
      </c>
      <c r="E335" s="3">
        <v>6.9999999999999999E-4</v>
      </c>
    </row>
    <row r="336" spans="2:5">
      <c r="B336" s="31"/>
      <c r="C336" s="1" t="str">
        <f>"TELOLOAPAN"</f>
        <v>TELOLOAPAN</v>
      </c>
      <c r="D336" s="2">
        <v>19</v>
      </c>
      <c r="E336" s="3">
        <v>1E-3</v>
      </c>
    </row>
    <row r="337" spans="2:5" ht="30">
      <c r="B337" s="31"/>
      <c r="C337" s="1" t="str">
        <f>"TEPECOACUILCO DE TRUJANO"</f>
        <v>TEPECOACUILCO DE TRUJANO</v>
      </c>
      <c r="D337" s="2">
        <v>2</v>
      </c>
      <c r="E337" s="3">
        <v>1E-4</v>
      </c>
    </row>
    <row r="338" spans="2:5">
      <c r="B338" s="31"/>
      <c r="C338" s="1" t="str">
        <f>"TIXTLA DE GUERRERO"</f>
        <v>TIXTLA DE GUERRERO</v>
      </c>
      <c r="D338" s="2">
        <v>2</v>
      </c>
      <c r="E338" s="3">
        <v>1E-4</v>
      </c>
    </row>
    <row r="339" spans="2:5">
      <c r="B339" s="31"/>
      <c r="C339" s="1" t="str">
        <f>"TLACOACHISTLAHUACA"</f>
        <v>TLACOACHISTLAHUACA</v>
      </c>
      <c r="D339" s="2">
        <v>2</v>
      </c>
      <c r="E339" s="3">
        <v>1E-4</v>
      </c>
    </row>
    <row r="340" spans="2:5">
      <c r="B340" s="31"/>
      <c r="C340" s="1" t="str">
        <f>"TLALCHAPA"</f>
        <v>TLALCHAPA</v>
      </c>
      <c r="D340" s="2">
        <v>4</v>
      </c>
      <c r="E340" s="3">
        <v>2.0000000000000001E-4</v>
      </c>
    </row>
    <row r="341" spans="2:5">
      <c r="B341" s="31"/>
      <c r="C341" s="1" t="str">
        <f>"TLAPA DE COMONFORT"</f>
        <v>TLAPA DE COMONFORT</v>
      </c>
      <c r="D341" s="2">
        <v>1</v>
      </c>
      <c r="E341" s="3">
        <v>1E-4</v>
      </c>
    </row>
    <row r="342" spans="2:5">
      <c r="B342" s="31"/>
      <c r="C342" s="1" t="str">
        <f>"TLAPEHUALA"</f>
        <v>TLAPEHUALA</v>
      </c>
      <c r="D342" s="2">
        <v>2</v>
      </c>
      <c r="E342" s="3">
        <v>1E-4</v>
      </c>
    </row>
    <row r="343" spans="2:5">
      <c r="B343" s="31"/>
      <c r="C343" s="1" t="str">
        <f>"XALPATLAHUAC"</f>
        <v>XALPATLAHUAC</v>
      </c>
      <c r="D343" s="2">
        <v>3</v>
      </c>
      <c r="E343" s="3">
        <v>2.0000000000000001E-4</v>
      </c>
    </row>
    <row r="344" spans="2:5">
      <c r="B344" s="31"/>
      <c r="C344" s="1" t="str">
        <f>"XOCHISTLAHUACA"</f>
        <v>XOCHISTLAHUACA</v>
      </c>
      <c r="D344" s="2">
        <v>2</v>
      </c>
      <c r="E344" s="3">
        <v>1E-4</v>
      </c>
    </row>
    <row r="345" spans="2:5">
      <c r="B345" s="31"/>
      <c r="C345" s="1" t="str">
        <f>"ZIRANDARO"</f>
        <v>ZIRANDARO</v>
      </c>
      <c r="D345" s="2">
        <v>4</v>
      </c>
      <c r="E345" s="3">
        <v>2.0000000000000001E-4</v>
      </c>
    </row>
    <row r="346" spans="2:5">
      <c r="B346" s="32"/>
      <c r="C346" s="14" t="str">
        <f>"Total"</f>
        <v>Total</v>
      </c>
      <c r="D346" s="15">
        <v>990</v>
      </c>
      <c r="E346" s="21">
        <v>5.0700000000000002E-2</v>
      </c>
    </row>
    <row r="347" spans="2:5">
      <c r="B347" s="30" t="str">
        <f t="shared" ref="B347" si="9">"HIDALGO"</f>
        <v>HIDALGO</v>
      </c>
      <c r="C347" s="1" t="str">
        <f>"ACAXOCHITLAN"</f>
        <v>ACAXOCHITLAN</v>
      </c>
      <c r="D347" s="2">
        <v>3</v>
      </c>
      <c r="E347" s="3">
        <v>2.0000000000000001E-4</v>
      </c>
    </row>
    <row r="348" spans="2:5">
      <c r="B348" s="31"/>
      <c r="C348" s="1" t="str">
        <f>"ACTOPAN"</f>
        <v>ACTOPAN</v>
      </c>
      <c r="D348" s="2">
        <v>8</v>
      </c>
      <c r="E348" s="3">
        <v>4.0000000000000002E-4</v>
      </c>
    </row>
    <row r="349" spans="2:5">
      <c r="B349" s="31"/>
      <c r="C349" s="1" t="str">
        <f>"AJACUBA"</f>
        <v>AJACUBA</v>
      </c>
      <c r="D349" s="2">
        <v>3</v>
      </c>
      <c r="E349" s="3">
        <v>2.0000000000000001E-4</v>
      </c>
    </row>
    <row r="350" spans="2:5">
      <c r="B350" s="31"/>
      <c r="C350" s="1" t="str">
        <f>"ALFAJAYUCAN"</f>
        <v>ALFAJAYUCAN</v>
      </c>
      <c r="D350" s="2">
        <v>3</v>
      </c>
      <c r="E350" s="3">
        <v>2.0000000000000001E-4</v>
      </c>
    </row>
    <row r="351" spans="2:5">
      <c r="B351" s="31"/>
      <c r="C351" s="1" t="str">
        <f>"APAN"</f>
        <v>APAN</v>
      </c>
      <c r="D351" s="2">
        <v>3</v>
      </c>
      <c r="E351" s="3">
        <v>2.0000000000000001E-4</v>
      </c>
    </row>
    <row r="352" spans="2:5">
      <c r="B352" s="31"/>
      <c r="C352" s="1" t="str">
        <f>"ATOTONILCO DE TULA"</f>
        <v>ATOTONILCO DE TULA</v>
      </c>
      <c r="D352" s="2">
        <v>1</v>
      </c>
      <c r="E352" s="3">
        <v>1E-4</v>
      </c>
    </row>
    <row r="353" spans="2:5">
      <c r="B353" s="31"/>
      <c r="C353" s="1" t="str">
        <f>"ATOTONILCO EL GRANDE"</f>
        <v>ATOTONILCO EL GRANDE</v>
      </c>
      <c r="D353" s="2">
        <v>20</v>
      </c>
      <c r="E353" s="3">
        <v>1E-3</v>
      </c>
    </row>
    <row r="354" spans="2:5">
      <c r="B354" s="31"/>
      <c r="C354" s="1" t="str">
        <f>"CARDONAL"</f>
        <v>CARDONAL</v>
      </c>
      <c r="D354" s="2">
        <v>6</v>
      </c>
      <c r="E354" s="3">
        <v>2.9999999999999997E-4</v>
      </c>
    </row>
    <row r="355" spans="2:5">
      <c r="B355" s="31"/>
      <c r="C355" s="1" t="str">
        <f>"CHAPANTONGO"</f>
        <v>CHAPANTONGO</v>
      </c>
      <c r="D355" s="2">
        <v>1</v>
      </c>
      <c r="E355" s="3">
        <v>1E-4</v>
      </c>
    </row>
    <row r="356" spans="2:5">
      <c r="B356" s="31"/>
      <c r="C356" s="1" t="str">
        <f>"CHAPULHUACAN"</f>
        <v>CHAPULHUACAN</v>
      </c>
      <c r="D356" s="2">
        <v>7</v>
      </c>
      <c r="E356" s="3">
        <v>4.0000000000000002E-4</v>
      </c>
    </row>
    <row r="357" spans="2:5">
      <c r="B357" s="31"/>
      <c r="C357" s="1" t="str">
        <f>"CHILCUAUTLA"</f>
        <v>CHILCUAUTLA</v>
      </c>
      <c r="D357" s="2">
        <v>2</v>
      </c>
      <c r="E357" s="3">
        <v>1E-4</v>
      </c>
    </row>
    <row r="358" spans="2:5">
      <c r="B358" s="31"/>
      <c r="C358" s="1" t="str">
        <f>"CUAUTEPEC DE HINOJOSA"</f>
        <v>CUAUTEPEC DE HINOJOSA</v>
      </c>
      <c r="D358" s="2">
        <v>5</v>
      </c>
      <c r="E358" s="3">
        <v>2.9999999999999997E-4</v>
      </c>
    </row>
    <row r="359" spans="2:5">
      <c r="B359" s="31"/>
      <c r="C359" s="1" t="str">
        <f>"EL ARENAL"</f>
        <v>EL ARENAL</v>
      </c>
      <c r="D359" s="2">
        <v>7</v>
      </c>
      <c r="E359" s="3">
        <v>4.0000000000000002E-4</v>
      </c>
    </row>
    <row r="360" spans="2:5">
      <c r="B360" s="31"/>
      <c r="C360" s="1" t="str">
        <f>"ELOXOCHITLAN"</f>
        <v>ELOXOCHITLAN</v>
      </c>
      <c r="D360" s="2">
        <v>2</v>
      </c>
      <c r="E360" s="3">
        <v>1E-4</v>
      </c>
    </row>
    <row r="361" spans="2:5">
      <c r="B361" s="31"/>
      <c r="C361" s="1" t="str">
        <f>"EMILIANO ZAPATA"</f>
        <v>EMILIANO ZAPATA</v>
      </c>
      <c r="D361" s="2">
        <v>1</v>
      </c>
      <c r="E361" s="3">
        <v>1E-4</v>
      </c>
    </row>
    <row r="362" spans="2:5">
      <c r="B362" s="31"/>
      <c r="C362" s="1" t="str">
        <f>"EPAZOYUCAN"</f>
        <v>EPAZOYUCAN</v>
      </c>
      <c r="D362" s="2">
        <v>1</v>
      </c>
      <c r="E362" s="3">
        <v>1E-4</v>
      </c>
    </row>
    <row r="363" spans="2:5">
      <c r="B363" s="31"/>
      <c r="C363" s="1" t="str">
        <f>"FRANCISCO I. MADERO"</f>
        <v>FRANCISCO I. MADERO</v>
      </c>
      <c r="D363" s="2">
        <v>2</v>
      </c>
      <c r="E363" s="3">
        <v>1E-4</v>
      </c>
    </row>
    <row r="364" spans="2:5">
      <c r="B364" s="31"/>
      <c r="C364" s="1" t="str">
        <f>"HUASCA DE OCAMPO"</f>
        <v>HUASCA DE OCAMPO</v>
      </c>
      <c r="D364" s="2">
        <v>1</v>
      </c>
      <c r="E364" s="3">
        <v>1E-4</v>
      </c>
    </row>
    <row r="365" spans="2:5">
      <c r="B365" s="31"/>
      <c r="C365" s="1" t="str">
        <f>"HUEHUETLA"</f>
        <v>HUEHUETLA</v>
      </c>
      <c r="D365" s="2">
        <v>1</v>
      </c>
      <c r="E365" s="3">
        <v>1E-4</v>
      </c>
    </row>
    <row r="366" spans="2:5">
      <c r="B366" s="31"/>
      <c r="C366" s="1" t="str">
        <f>"HUEJUTLA DE REYES"</f>
        <v>HUEJUTLA DE REYES</v>
      </c>
      <c r="D366" s="2">
        <v>1</v>
      </c>
      <c r="E366" s="3">
        <v>1E-4</v>
      </c>
    </row>
    <row r="367" spans="2:5">
      <c r="B367" s="31"/>
      <c r="C367" s="1" t="str">
        <f>"HUICHAPAN"</f>
        <v>HUICHAPAN</v>
      </c>
      <c r="D367" s="2">
        <v>5</v>
      </c>
      <c r="E367" s="3">
        <v>2.9999999999999997E-4</v>
      </c>
    </row>
    <row r="368" spans="2:5">
      <c r="B368" s="31"/>
      <c r="C368" s="1" t="str">
        <f>"IXMIQUILPAN"</f>
        <v>IXMIQUILPAN</v>
      </c>
      <c r="D368" s="2">
        <v>17</v>
      </c>
      <c r="E368" s="3">
        <v>8.9999999999999998E-4</v>
      </c>
    </row>
    <row r="369" spans="2:5">
      <c r="B369" s="31"/>
      <c r="C369" s="1" t="str">
        <f>"JACALA DE LEDEZMA"</f>
        <v>JACALA DE LEDEZMA</v>
      </c>
      <c r="D369" s="2">
        <v>1</v>
      </c>
      <c r="E369" s="3">
        <v>1E-4</v>
      </c>
    </row>
    <row r="370" spans="2:5">
      <c r="B370" s="31"/>
      <c r="C370" s="1" t="str">
        <f>"LA MISION"</f>
        <v>LA MISION</v>
      </c>
      <c r="D370" s="2">
        <v>3</v>
      </c>
      <c r="E370" s="3">
        <v>2.0000000000000001E-4</v>
      </c>
    </row>
    <row r="371" spans="2:5">
      <c r="B371" s="31"/>
      <c r="C371" s="1" t="str">
        <f>"LOLOTLA"</f>
        <v>LOLOTLA</v>
      </c>
      <c r="D371" s="2">
        <v>1</v>
      </c>
      <c r="E371" s="3">
        <v>1E-4</v>
      </c>
    </row>
    <row r="372" spans="2:5">
      <c r="B372" s="31"/>
      <c r="C372" s="1" t="str">
        <f>"METZTITLAN"</f>
        <v>METZTITLAN</v>
      </c>
      <c r="D372" s="2">
        <v>1</v>
      </c>
      <c r="E372" s="3">
        <v>1E-4</v>
      </c>
    </row>
    <row r="373" spans="2:5">
      <c r="B373" s="31"/>
      <c r="C373" s="1" t="str">
        <f>"MINERAL DEL CHICO"</f>
        <v>MINERAL DEL CHICO</v>
      </c>
      <c r="D373" s="2">
        <v>1</v>
      </c>
      <c r="E373" s="3">
        <v>1E-4</v>
      </c>
    </row>
    <row r="374" spans="2:5">
      <c r="B374" s="31"/>
      <c r="C374" s="1" t="str">
        <f>"MINERAL DEL MONTE"</f>
        <v>MINERAL DEL MONTE</v>
      </c>
      <c r="D374" s="2">
        <v>1</v>
      </c>
      <c r="E374" s="3">
        <v>1E-4</v>
      </c>
    </row>
    <row r="375" spans="2:5">
      <c r="B375" s="31"/>
      <c r="C375" s="1" t="str">
        <f>"MIXQUIAHUALA DE JUAREZ"</f>
        <v>MIXQUIAHUALA DE JUAREZ</v>
      </c>
      <c r="D375" s="2">
        <v>11</v>
      </c>
      <c r="E375" s="3">
        <v>5.9999999999999995E-4</v>
      </c>
    </row>
    <row r="376" spans="2:5">
      <c r="B376" s="31"/>
      <c r="C376" s="1" t="str">
        <f>"MOLANGO DE ESCAMILLA"</f>
        <v>MOLANGO DE ESCAMILLA</v>
      </c>
      <c r="D376" s="2">
        <v>1</v>
      </c>
      <c r="E376" s="3">
        <v>1E-4</v>
      </c>
    </row>
    <row r="377" spans="2:5">
      <c r="B377" s="31"/>
      <c r="C377" s="1" t="str">
        <f>"NOPALA DE VILLAGRAN"</f>
        <v>NOPALA DE VILLAGRAN</v>
      </c>
      <c r="D377" s="2">
        <v>1</v>
      </c>
      <c r="E377" s="3">
        <v>1E-4</v>
      </c>
    </row>
    <row r="378" spans="2:5">
      <c r="B378" s="31"/>
      <c r="C378" s="1" t="str">
        <f>"PACHUCA DE SOTO"</f>
        <v>PACHUCA DE SOTO</v>
      </c>
      <c r="D378" s="2">
        <v>12</v>
      </c>
      <c r="E378" s="3">
        <v>5.9999999999999995E-4</v>
      </c>
    </row>
    <row r="379" spans="2:5">
      <c r="B379" s="31"/>
      <c r="C379" s="1" t="str">
        <f>"PISAFLORES"</f>
        <v>PISAFLORES</v>
      </c>
      <c r="D379" s="2">
        <v>1</v>
      </c>
      <c r="E379" s="3">
        <v>1E-4</v>
      </c>
    </row>
    <row r="380" spans="2:5">
      <c r="B380" s="31"/>
      <c r="C380" s="1" t="str">
        <f>"PROGRESO DE OBREGON"</f>
        <v>PROGRESO DE OBREGON</v>
      </c>
      <c r="D380" s="2">
        <v>3</v>
      </c>
      <c r="E380" s="3">
        <v>2.0000000000000001E-4</v>
      </c>
    </row>
    <row r="381" spans="2:5">
      <c r="B381" s="31"/>
      <c r="C381" s="1" t="str">
        <f>"SAN AGUSTIN TLAXIACA"</f>
        <v>SAN AGUSTIN TLAXIACA</v>
      </c>
      <c r="D381" s="2">
        <v>1</v>
      </c>
      <c r="E381" s="3">
        <v>1E-4</v>
      </c>
    </row>
    <row r="382" spans="2:5">
      <c r="B382" s="31"/>
      <c r="C382" s="1" t="str">
        <f>"SAN SALVADOR"</f>
        <v>SAN SALVADOR</v>
      </c>
      <c r="D382" s="2">
        <v>3</v>
      </c>
      <c r="E382" s="3">
        <v>2.0000000000000001E-4</v>
      </c>
    </row>
    <row r="383" spans="2:5">
      <c r="B383" s="31"/>
      <c r="C383" s="1" t="str">
        <f>"SANTIAGO DE ANAYA"</f>
        <v>SANTIAGO DE ANAYA</v>
      </c>
      <c r="D383" s="2">
        <v>1</v>
      </c>
      <c r="E383" s="3">
        <v>1E-4</v>
      </c>
    </row>
    <row r="384" spans="2:5">
      <c r="B384" s="31"/>
      <c r="C384" s="1" t="str">
        <f>"TASQUILLO"</f>
        <v>TASQUILLO</v>
      </c>
      <c r="D384" s="2">
        <v>2</v>
      </c>
      <c r="E384" s="3">
        <v>1E-4</v>
      </c>
    </row>
    <row r="385" spans="2:5">
      <c r="B385" s="31"/>
      <c r="C385" s="1" t="str">
        <f>"TECOZAUTLA"</f>
        <v>TECOZAUTLA</v>
      </c>
      <c r="D385" s="2">
        <v>1</v>
      </c>
      <c r="E385" s="3">
        <v>1E-4</v>
      </c>
    </row>
    <row r="386" spans="2:5">
      <c r="B386" s="31"/>
      <c r="C386" s="1" t="str">
        <f>"TEPEAPULCO"</f>
        <v>TEPEAPULCO</v>
      </c>
      <c r="D386" s="2">
        <v>6</v>
      </c>
      <c r="E386" s="3">
        <v>2.9999999999999997E-4</v>
      </c>
    </row>
    <row r="387" spans="2:5">
      <c r="B387" s="31"/>
      <c r="C387" s="1" t="str">
        <f>"TEPEHUACAN DE GUERRERO"</f>
        <v>TEPEHUACAN DE GUERRERO</v>
      </c>
      <c r="D387" s="2">
        <v>2</v>
      </c>
      <c r="E387" s="3">
        <v>1E-4</v>
      </c>
    </row>
    <row r="388" spans="2:5">
      <c r="B388" s="31"/>
      <c r="C388" s="1" t="str">
        <f>"TEPEJI DEL RIO DE OCAMPO"</f>
        <v>TEPEJI DEL RIO DE OCAMPO</v>
      </c>
      <c r="D388" s="2">
        <v>2</v>
      </c>
      <c r="E388" s="3">
        <v>1E-4</v>
      </c>
    </row>
    <row r="389" spans="2:5">
      <c r="B389" s="31"/>
      <c r="C389" s="1" t="str">
        <f>"TEZONTEPEC DE ALDAMA"</f>
        <v>TEZONTEPEC DE ALDAMA</v>
      </c>
      <c r="D389" s="2">
        <v>6</v>
      </c>
      <c r="E389" s="3">
        <v>2.9999999999999997E-4</v>
      </c>
    </row>
    <row r="390" spans="2:5">
      <c r="B390" s="31"/>
      <c r="C390" s="1" t="str">
        <f>"TIZAYUCA"</f>
        <v>TIZAYUCA</v>
      </c>
      <c r="D390" s="2">
        <v>1</v>
      </c>
      <c r="E390" s="3">
        <v>1E-4</v>
      </c>
    </row>
    <row r="391" spans="2:5">
      <c r="B391" s="31"/>
      <c r="C391" s="1" t="str">
        <f>"TLAHUILTEPA"</f>
        <v>TLAHUILTEPA</v>
      </c>
      <c r="D391" s="2">
        <v>9</v>
      </c>
      <c r="E391" s="3">
        <v>5.0000000000000001E-4</v>
      </c>
    </row>
    <row r="392" spans="2:5">
      <c r="B392" s="31"/>
      <c r="C392" s="1" t="str">
        <f>"TULA DE ALLENDE"</f>
        <v>TULA DE ALLENDE</v>
      </c>
      <c r="D392" s="2">
        <v>6</v>
      </c>
      <c r="E392" s="3">
        <v>2.9999999999999997E-4</v>
      </c>
    </row>
    <row r="393" spans="2:5">
      <c r="B393" s="31"/>
      <c r="C393" s="1" t="str">
        <f>"TULANCINGO DE BRAVO"</f>
        <v>TULANCINGO DE BRAVO</v>
      </c>
      <c r="D393" s="2">
        <v>10</v>
      </c>
      <c r="E393" s="3">
        <v>5.0000000000000001E-4</v>
      </c>
    </row>
    <row r="394" spans="2:5">
      <c r="B394" s="31"/>
      <c r="C394" s="1" t="str">
        <f>"VILLA DE TEZONTEPEC"</f>
        <v>VILLA DE TEZONTEPEC</v>
      </c>
      <c r="D394" s="2">
        <v>1</v>
      </c>
      <c r="E394" s="3">
        <v>1E-4</v>
      </c>
    </row>
    <row r="395" spans="2:5">
      <c r="B395" s="31"/>
      <c r="C395" s="1" t="str">
        <f>"ZAPOTLAN DE JUAREZ"</f>
        <v>ZAPOTLAN DE JUAREZ</v>
      </c>
      <c r="D395" s="2">
        <v>2</v>
      </c>
      <c r="E395" s="3">
        <v>1E-4</v>
      </c>
    </row>
    <row r="396" spans="2:5">
      <c r="B396" s="31"/>
      <c r="C396" s="1" t="str">
        <f>"ZEMPOALA"</f>
        <v>ZEMPOALA</v>
      </c>
      <c r="D396" s="2">
        <v>4</v>
      </c>
      <c r="E396" s="3">
        <v>2.0000000000000001E-4</v>
      </c>
    </row>
    <row r="397" spans="2:5">
      <c r="B397" s="31"/>
      <c r="C397" s="1" t="str">
        <f>"ZIMAPAN"</f>
        <v>ZIMAPAN</v>
      </c>
      <c r="D397" s="2">
        <v>8</v>
      </c>
      <c r="E397" s="3">
        <v>4.0000000000000002E-4</v>
      </c>
    </row>
    <row r="398" spans="2:5">
      <c r="B398" s="32"/>
      <c r="C398" s="14" t="str">
        <f>"Total"</f>
        <v>Total</v>
      </c>
      <c r="D398" s="15">
        <v>202</v>
      </c>
      <c r="E398" s="21">
        <v>1.03E-2</v>
      </c>
    </row>
    <row r="399" spans="2:5">
      <c r="B399" s="30" t="str">
        <f t="shared" ref="B399" si="10">"JALISCO"</f>
        <v>JALISCO</v>
      </c>
      <c r="C399" s="1" t="str">
        <f>"ACATIC"</f>
        <v>ACATIC</v>
      </c>
      <c r="D399" s="2">
        <v>3</v>
      </c>
      <c r="E399" s="3">
        <v>2.0000000000000001E-4</v>
      </c>
    </row>
    <row r="400" spans="2:5">
      <c r="B400" s="31"/>
      <c r="C400" s="1" t="str">
        <f>"ACATLAN DE JUAREZ"</f>
        <v>ACATLAN DE JUAREZ</v>
      </c>
      <c r="D400" s="2">
        <v>2</v>
      </c>
      <c r="E400" s="3">
        <v>1E-4</v>
      </c>
    </row>
    <row r="401" spans="2:5" ht="15" customHeight="1">
      <c r="B401" s="31"/>
      <c r="C401" s="1" t="str">
        <f>"AHUALULCO DE MERCADO"</f>
        <v>AHUALULCO DE MERCADO</v>
      </c>
      <c r="D401" s="2">
        <v>2</v>
      </c>
      <c r="E401" s="3">
        <v>1E-4</v>
      </c>
    </row>
    <row r="402" spans="2:5">
      <c r="B402" s="31"/>
      <c r="C402" s="1" t="str">
        <f>"AMATITAN"</f>
        <v>AMATITAN</v>
      </c>
      <c r="D402" s="2">
        <v>1</v>
      </c>
      <c r="E402" s="3">
        <v>1E-4</v>
      </c>
    </row>
    <row r="403" spans="2:5">
      <c r="B403" s="31"/>
      <c r="C403" s="1" t="str">
        <f>"AMECA"</f>
        <v>AMECA</v>
      </c>
      <c r="D403" s="2">
        <v>5</v>
      </c>
      <c r="E403" s="3">
        <v>2.9999999999999997E-4</v>
      </c>
    </row>
    <row r="404" spans="2:5">
      <c r="B404" s="31"/>
      <c r="C404" s="1" t="str">
        <f>"ARANDAS"</f>
        <v>ARANDAS</v>
      </c>
      <c r="D404" s="2">
        <v>61</v>
      </c>
      <c r="E404" s="3">
        <v>3.0999999999999999E-3</v>
      </c>
    </row>
    <row r="405" spans="2:5">
      <c r="B405" s="31"/>
      <c r="C405" s="1" t="str">
        <f>"ATEMAJAC DE BRIZUELA"</f>
        <v>ATEMAJAC DE BRIZUELA</v>
      </c>
      <c r="D405" s="2">
        <v>2</v>
      </c>
      <c r="E405" s="3">
        <v>1E-4</v>
      </c>
    </row>
    <row r="406" spans="2:5">
      <c r="B406" s="31"/>
      <c r="C406" s="1" t="str">
        <f>"ATENGO"</f>
        <v>ATENGO</v>
      </c>
      <c r="D406" s="2">
        <v>2</v>
      </c>
      <c r="E406" s="3">
        <v>1E-4</v>
      </c>
    </row>
    <row r="407" spans="2:5">
      <c r="B407" s="31"/>
      <c r="C407" s="1" t="str">
        <f>"ATENGUILLO"</f>
        <v>ATENGUILLO</v>
      </c>
      <c r="D407" s="2">
        <v>2</v>
      </c>
      <c r="E407" s="3">
        <v>1E-4</v>
      </c>
    </row>
    <row r="408" spans="2:5">
      <c r="B408" s="31"/>
      <c r="C408" s="1" t="str">
        <f>"ATOTONILCO EL ALTO"</f>
        <v>ATOTONILCO EL ALTO</v>
      </c>
      <c r="D408" s="2">
        <v>2</v>
      </c>
      <c r="E408" s="3">
        <v>1E-4</v>
      </c>
    </row>
    <row r="409" spans="2:5">
      <c r="B409" s="31"/>
      <c r="C409" s="1" t="str">
        <f>"ATOYAC"</f>
        <v>ATOYAC</v>
      </c>
      <c r="D409" s="2">
        <v>1</v>
      </c>
      <c r="E409" s="3">
        <v>1E-4</v>
      </c>
    </row>
    <row r="410" spans="2:5">
      <c r="B410" s="31"/>
      <c r="C410" s="1" t="str">
        <f>"AUTLAN DE NAVARRO"</f>
        <v>AUTLAN DE NAVARRO</v>
      </c>
      <c r="D410" s="2">
        <v>20</v>
      </c>
      <c r="E410" s="3">
        <v>1E-3</v>
      </c>
    </row>
    <row r="411" spans="2:5">
      <c r="B411" s="31"/>
      <c r="C411" s="1" t="str">
        <f>"AYOTLAN"</f>
        <v>AYOTLAN</v>
      </c>
      <c r="D411" s="2">
        <v>3</v>
      </c>
      <c r="E411" s="3">
        <v>2.0000000000000001E-4</v>
      </c>
    </row>
    <row r="412" spans="2:5">
      <c r="B412" s="31"/>
      <c r="C412" s="1" t="str">
        <f>"AYUTLA"</f>
        <v>AYUTLA</v>
      </c>
      <c r="D412" s="2">
        <v>8</v>
      </c>
      <c r="E412" s="3">
        <v>4.0000000000000002E-4</v>
      </c>
    </row>
    <row r="413" spans="2:5">
      <c r="B413" s="31"/>
      <c r="C413" s="1" t="str">
        <f>"BOLAÑOS"</f>
        <v>BOLAÑOS</v>
      </c>
      <c r="D413" s="2">
        <v>3</v>
      </c>
      <c r="E413" s="3">
        <v>2.0000000000000001E-4</v>
      </c>
    </row>
    <row r="414" spans="2:5">
      <c r="B414" s="31"/>
      <c r="C414" s="1" t="str">
        <f>"CABO CORRIENTES"</f>
        <v>CABO CORRIENTES</v>
      </c>
      <c r="D414" s="2">
        <v>3</v>
      </c>
      <c r="E414" s="3">
        <v>2.0000000000000001E-4</v>
      </c>
    </row>
    <row r="415" spans="2:5">
      <c r="B415" s="31"/>
      <c r="C415" s="1" t="str">
        <f>"CASIMIRO CASTILLO"</f>
        <v>CASIMIRO CASTILLO</v>
      </c>
      <c r="D415" s="2">
        <v>11</v>
      </c>
      <c r="E415" s="3">
        <v>5.9999999999999995E-4</v>
      </c>
    </row>
    <row r="416" spans="2:5">
      <c r="B416" s="31"/>
      <c r="C416" s="1" t="str">
        <f>"CAÑADAS DE OBREGON"</f>
        <v>CAÑADAS DE OBREGON</v>
      </c>
      <c r="D416" s="2">
        <v>4</v>
      </c>
      <c r="E416" s="3">
        <v>2.0000000000000001E-4</v>
      </c>
    </row>
    <row r="417" spans="2:5">
      <c r="B417" s="31"/>
      <c r="C417" s="1" t="str">
        <f>"CHAPALA"</f>
        <v>CHAPALA</v>
      </c>
      <c r="D417" s="2">
        <v>4</v>
      </c>
      <c r="E417" s="3">
        <v>2.0000000000000001E-4</v>
      </c>
    </row>
    <row r="418" spans="2:5">
      <c r="B418" s="31"/>
      <c r="C418" s="1" t="str">
        <f>"CIHUATLAN"</f>
        <v>CIHUATLAN</v>
      </c>
      <c r="D418" s="2">
        <v>12</v>
      </c>
      <c r="E418" s="3">
        <v>5.9999999999999995E-4</v>
      </c>
    </row>
    <row r="419" spans="2:5">
      <c r="B419" s="31"/>
      <c r="C419" s="1" t="str">
        <f>"COCULA"</f>
        <v>COCULA</v>
      </c>
      <c r="D419" s="2">
        <v>12</v>
      </c>
      <c r="E419" s="3">
        <v>5.9999999999999995E-4</v>
      </c>
    </row>
    <row r="420" spans="2:5">
      <c r="B420" s="31"/>
      <c r="C420" s="1" t="str">
        <f>"COLOTLAN"</f>
        <v>COLOTLAN</v>
      </c>
      <c r="D420" s="2">
        <v>5</v>
      </c>
      <c r="E420" s="3">
        <v>2.9999999999999997E-4</v>
      </c>
    </row>
    <row r="421" spans="2:5" ht="30">
      <c r="B421" s="31"/>
      <c r="C421" s="1" t="str">
        <f>"CUAUTITLAN DE GARCIA BARRAGAN"</f>
        <v>CUAUTITLAN DE GARCIA BARRAGAN</v>
      </c>
      <c r="D421" s="2">
        <v>7</v>
      </c>
      <c r="E421" s="3">
        <v>4.0000000000000002E-4</v>
      </c>
    </row>
    <row r="422" spans="2:5">
      <c r="B422" s="31"/>
      <c r="C422" s="1" t="str">
        <f>"CUAUTLA"</f>
        <v>CUAUTLA</v>
      </c>
      <c r="D422" s="2">
        <v>2</v>
      </c>
      <c r="E422" s="3">
        <v>1E-4</v>
      </c>
    </row>
    <row r="423" spans="2:5">
      <c r="B423" s="31"/>
      <c r="C423" s="1" t="str">
        <f>"DEGOLLADO"</f>
        <v>DEGOLLADO</v>
      </c>
      <c r="D423" s="2">
        <v>1</v>
      </c>
      <c r="E423" s="3">
        <v>1E-4</v>
      </c>
    </row>
    <row r="424" spans="2:5">
      <c r="B424" s="31"/>
      <c r="C424" s="1" t="str">
        <f>"EL ARENAL"</f>
        <v>EL ARENAL</v>
      </c>
      <c r="D424" s="2">
        <v>1</v>
      </c>
      <c r="E424" s="3">
        <v>1E-4</v>
      </c>
    </row>
    <row r="425" spans="2:5">
      <c r="B425" s="31"/>
      <c r="C425" s="1" t="str">
        <f>"EL GRULLO"</f>
        <v>EL GRULLO</v>
      </c>
      <c r="D425" s="2">
        <v>1</v>
      </c>
      <c r="E425" s="3">
        <v>1E-4</v>
      </c>
    </row>
    <row r="426" spans="2:5">
      <c r="B426" s="31"/>
      <c r="C426" s="1" t="str">
        <f>"EL LIMON"</f>
        <v>EL LIMON</v>
      </c>
      <c r="D426" s="2">
        <v>1</v>
      </c>
      <c r="E426" s="3">
        <v>1E-4</v>
      </c>
    </row>
    <row r="427" spans="2:5">
      <c r="B427" s="31"/>
      <c r="C427" s="1" t="str">
        <f>"ENCARNACION DE DIAZ"</f>
        <v>ENCARNACION DE DIAZ</v>
      </c>
      <c r="D427" s="2">
        <v>5</v>
      </c>
      <c r="E427" s="3">
        <v>2.9999999999999997E-4</v>
      </c>
    </row>
    <row r="428" spans="2:5">
      <c r="B428" s="31"/>
      <c r="C428" s="1" t="str">
        <f>"ETZATLAN"</f>
        <v>ETZATLAN</v>
      </c>
      <c r="D428" s="2">
        <v>1</v>
      </c>
      <c r="E428" s="3">
        <v>1E-4</v>
      </c>
    </row>
    <row r="429" spans="2:5">
      <c r="B429" s="31"/>
      <c r="C429" s="1" t="str">
        <f>"GUADALAJARA"</f>
        <v>GUADALAJARA</v>
      </c>
      <c r="D429" s="2">
        <v>385</v>
      </c>
      <c r="E429" s="3">
        <v>1.9699999999999999E-2</v>
      </c>
    </row>
    <row r="430" spans="2:5">
      <c r="B430" s="31"/>
      <c r="C430" s="1" t="str">
        <f>"HOSTOTIPAQUILLO"</f>
        <v>HOSTOTIPAQUILLO</v>
      </c>
      <c r="D430" s="2">
        <v>5</v>
      </c>
      <c r="E430" s="3">
        <v>2.9999999999999997E-4</v>
      </c>
    </row>
    <row r="431" spans="2:5">
      <c r="B431" s="31"/>
      <c r="C431" s="1" t="str">
        <f>"HUEJUCAR"</f>
        <v>HUEJUCAR</v>
      </c>
      <c r="D431" s="2">
        <v>7</v>
      </c>
      <c r="E431" s="3">
        <v>4.0000000000000002E-4</v>
      </c>
    </row>
    <row r="432" spans="2:5">
      <c r="B432" s="31"/>
      <c r="C432" s="1" t="str">
        <f>"HUEJUQUILLA EL ALTO"</f>
        <v>HUEJUQUILLA EL ALTO</v>
      </c>
      <c r="D432" s="2">
        <v>36</v>
      </c>
      <c r="E432" s="3">
        <v>1.8E-3</v>
      </c>
    </row>
    <row r="433" spans="2:5">
      <c r="B433" s="31"/>
      <c r="C433" s="1" t="str">
        <f>"IXTLAHUACAN DEL RIO"</f>
        <v>IXTLAHUACAN DEL RIO</v>
      </c>
      <c r="D433" s="2">
        <v>10</v>
      </c>
      <c r="E433" s="3">
        <v>5.0000000000000001E-4</v>
      </c>
    </row>
    <row r="434" spans="2:5">
      <c r="B434" s="31"/>
      <c r="C434" s="1" t="str">
        <f>"JALOSTOTITLAN"</f>
        <v>JALOSTOTITLAN</v>
      </c>
      <c r="D434" s="2">
        <v>6</v>
      </c>
      <c r="E434" s="3">
        <v>2.9999999999999997E-4</v>
      </c>
    </row>
    <row r="435" spans="2:5">
      <c r="B435" s="31"/>
      <c r="C435" s="1" t="str">
        <f>"JAMAY"</f>
        <v>JAMAY</v>
      </c>
      <c r="D435" s="2">
        <v>3</v>
      </c>
      <c r="E435" s="3">
        <v>2.0000000000000001E-4</v>
      </c>
    </row>
    <row r="436" spans="2:5">
      <c r="B436" s="31"/>
      <c r="C436" s="1" t="str">
        <f>"JESUS MARIA"</f>
        <v>JESUS MARIA</v>
      </c>
      <c r="D436" s="2">
        <v>5</v>
      </c>
      <c r="E436" s="3">
        <v>2.9999999999999997E-4</v>
      </c>
    </row>
    <row r="437" spans="2:5" ht="15.75" customHeight="1">
      <c r="B437" s="31"/>
      <c r="C437" s="1" t="str">
        <f>"JILOTLAN DE LOS DOLORES"</f>
        <v>JILOTLAN DE LOS DOLORES</v>
      </c>
      <c r="D437" s="2">
        <v>2</v>
      </c>
      <c r="E437" s="3">
        <v>1E-4</v>
      </c>
    </row>
    <row r="438" spans="2:5">
      <c r="B438" s="31"/>
      <c r="C438" s="1" t="str">
        <f>"JOCOTEPEC"</f>
        <v>JOCOTEPEC</v>
      </c>
      <c r="D438" s="2">
        <v>2</v>
      </c>
      <c r="E438" s="3">
        <v>1E-4</v>
      </c>
    </row>
    <row r="439" spans="2:5">
      <c r="B439" s="31"/>
      <c r="C439" s="1" t="str">
        <f>"JUANACATLAN"</f>
        <v>JUANACATLAN</v>
      </c>
      <c r="D439" s="2">
        <v>1</v>
      </c>
      <c r="E439" s="3">
        <v>1E-4</v>
      </c>
    </row>
    <row r="440" spans="2:5">
      <c r="B440" s="31"/>
      <c r="C440" s="1" t="str">
        <f>"JUCHITLAN"</f>
        <v>JUCHITLAN</v>
      </c>
      <c r="D440" s="2">
        <v>1</v>
      </c>
      <c r="E440" s="3">
        <v>1E-4</v>
      </c>
    </row>
    <row r="441" spans="2:5">
      <c r="B441" s="31"/>
      <c r="C441" s="1" t="str">
        <f>"LA BARCA"</f>
        <v>LA BARCA</v>
      </c>
      <c r="D441" s="2">
        <v>10</v>
      </c>
      <c r="E441" s="3">
        <v>5.0000000000000001E-4</v>
      </c>
    </row>
    <row r="442" spans="2:5">
      <c r="B442" s="31"/>
      <c r="C442" s="1" t="str">
        <f>"LA HUERTA"</f>
        <v>LA HUERTA</v>
      </c>
      <c r="D442" s="2">
        <v>10</v>
      </c>
      <c r="E442" s="3">
        <v>5.0000000000000001E-4</v>
      </c>
    </row>
    <row r="443" spans="2:5">
      <c r="B443" s="31"/>
      <c r="C443" s="1" t="str">
        <f>"LAGOS DE MORENO"</f>
        <v>LAGOS DE MORENO</v>
      </c>
      <c r="D443" s="2">
        <v>22</v>
      </c>
      <c r="E443" s="3">
        <v>1.1000000000000001E-3</v>
      </c>
    </row>
    <row r="444" spans="2:5">
      <c r="B444" s="31"/>
      <c r="C444" s="1" t="str">
        <f>"MAGDALENA"</f>
        <v>MAGDALENA</v>
      </c>
      <c r="D444" s="2">
        <v>7</v>
      </c>
      <c r="E444" s="3">
        <v>4.0000000000000002E-4</v>
      </c>
    </row>
    <row r="445" spans="2:5">
      <c r="B445" s="31"/>
      <c r="C445" s="1" t="str">
        <f>"MAZAMITLA"</f>
        <v>MAZAMITLA</v>
      </c>
      <c r="D445" s="2">
        <v>2</v>
      </c>
      <c r="E445" s="3">
        <v>1E-4</v>
      </c>
    </row>
    <row r="446" spans="2:5">
      <c r="B446" s="31"/>
      <c r="C446" s="1" t="str">
        <f>"MEZQUITIC"</f>
        <v>MEZQUITIC</v>
      </c>
      <c r="D446" s="2">
        <v>70</v>
      </c>
      <c r="E446" s="3">
        <v>3.5999999999999999E-3</v>
      </c>
    </row>
    <row r="447" spans="2:5">
      <c r="B447" s="31"/>
      <c r="C447" s="1" t="str">
        <f>"OCOTLAN"</f>
        <v>OCOTLAN</v>
      </c>
      <c r="D447" s="2">
        <v>11</v>
      </c>
      <c r="E447" s="3">
        <v>5.9999999999999995E-4</v>
      </c>
    </row>
    <row r="448" spans="2:5">
      <c r="B448" s="31"/>
      <c r="C448" s="1" t="str">
        <f>"OJUELOS DE JALISCO"</f>
        <v>OJUELOS DE JALISCO</v>
      </c>
      <c r="D448" s="2">
        <v>1</v>
      </c>
      <c r="E448" s="3">
        <v>1E-4</v>
      </c>
    </row>
    <row r="449" spans="2:5">
      <c r="B449" s="31"/>
      <c r="C449" s="1" t="str">
        <f>"PIHUAMO"</f>
        <v>PIHUAMO</v>
      </c>
      <c r="D449" s="2">
        <v>3</v>
      </c>
      <c r="E449" s="3">
        <v>2.0000000000000001E-4</v>
      </c>
    </row>
    <row r="450" spans="2:5">
      <c r="B450" s="31"/>
      <c r="C450" s="1" t="str">
        <f>"PUERTO VALLARTA"</f>
        <v>PUERTO VALLARTA</v>
      </c>
      <c r="D450" s="2">
        <v>32</v>
      </c>
      <c r="E450" s="3">
        <v>1.6000000000000001E-3</v>
      </c>
    </row>
    <row r="451" spans="2:5">
      <c r="B451" s="31"/>
      <c r="C451" s="1" t="str">
        <f>"QUITUPAN"</f>
        <v>QUITUPAN</v>
      </c>
      <c r="D451" s="2">
        <v>4</v>
      </c>
      <c r="E451" s="3">
        <v>2.0000000000000001E-4</v>
      </c>
    </row>
    <row r="452" spans="2:5">
      <c r="B452" s="31"/>
      <c r="C452" s="1" t="str">
        <f>"SAN DIEGO DE ALEJANDRIA"</f>
        <v>SAN DIEGO DE ALEJANDRIA</v>
      </c>
      <c r="D452" s="2">
        <v>4</v>
      </c>
      <c r="E452" s="3">
        <v>2.0000000000000001E-4</v>
      </c>
    </row>
    <row r="453" spans="2:5">
      <c r="B453" s="31"/>
      <c r="C453" s="1" t="str">
        <f>"SAN JUAN DE LOS LAGOS"</f>
        <v>SAN JUAN DE LOS LAGOS</v>
      </c>
      <c r="D453" s="2">
        <v>16</v>
      </c>
      <c r="E453" s="3">
        <v>8.0000000000000004E-4</v>
      </c>
    </row>
    <row r="454" spans="2:5">
      <c r="B454" s="31"/>
      <c r="C454" s="1" t="str">
        <f>"SAN JULIAN"</f>
        <v>SAN JULIAN</v>
      </c>
      <c r="D454" s="2">
        <v>7</v>
      </c>
      <c r="E454" s="3">
        <v>4.0000000000000002E-4</v>
      </c>
    </row>
    <row r="455" spans="2:5" ht="15" customHeight="1">
      <c r="B455" s="31"/>
      <c r="C455" s="1" t="str">
        <f>"SAN MARTIN DE BOLAÑOS"</f>
        <v>SAN MARTIN DE BOLAÑOS</v>
      </c>
      <c r="D455" s="2">
        <v>2</v>
      </c>
      <c r="E455" s="3">
        <v>1E-4</v>
      </c>
    </row>
    <row r="456" spans="2:5">
      <c r="B456" s="31"/>
      <c r="C456" s="1" t="str">
        <f>"SAN MARTIN DE HIDALGO"</f>
        <v>SAN MARTIN DE HIDALGO</v>
      </c>
      <c r="D456" s="2">
        <v>7</v>
      </c>
      <c r="E456" s="3">
        <v>4.0000000000000002E-4</v>
      </c>
    </row>
    <row r="457" spans="2:5">
      <c r="B457" s="31"/>
      <c r="C457" s="1" t="str">
        <f>"SAN MIGUEL EL ALTO"</f>
        <v>SAN MIGUEL EL ALTO</v>
      </c>
      <c r="D457" s="2">
        <v>15</v>
      </c>
      <c r="E457" s="3">
        <v>8.0000000000000004E-4</v>
      </c>
    </row>
    <row r="458" spans="2:5" ht="15.75" customHeight="1">
      <c r="B458" s="31"/>
      <c r="C458" s="1" t="str">
        <f>"SAN SEBASTIAN DEL OESTE"</f>
        <v>SAN SEBASTIAN DEL OESTE</v>
      </c>
      <c r="D458" s="2">
        <v>1</v>
      </c>
      <c r="E458" s="3">
        <v>1E-4</v>
      </c>
    </row>
    <row r="459" spans="2:5" ht="30">
      <c r="B459" s="31"/>
      <c r="C459" s="1" t="str">
        <f>"SANTA MARIA DE LOS ANGELES"</f>
        <v>SANTA MARIA DE LOS ANGELES</v>
      </c>
      <c r="D459" s="2">
        <v>3</v>
      </c>
      <c r="E459" s="3">
        <v>2.0000000000000001E-4</v>
      </c>
    </row>
    <row r="460" spans="2:5">
      <c r="B460" s="31"/>
      <c r="C460" s="1" t="str">
        <f>"SAYULA"</f>
        <v>SAYULA</v>
      </c>
      <c r="D460" s="2">
        <v>3</v>
      </c>
      <c r="E460" s="3">
        <v>2.0000000000000001E-4</v>
      </c>
    </row>
    <row r="461" spans="2:5">
      <c r="B461" s="31"/>
      <c r="C461" s="1" t="str">
        <f>"TALA"</f>
        <v>TALA</v>
      </c>
      <c r="D461" s="2">
        <v>18</v>
      </c>
      <c r="E461" s="3">
        <v>8.9999999999999998E-4</v>
      </c>
    </row>
    <row r="462" spans="2:5">
      <c r="B462" s="31"/>
      <c r="C462" s="1" t="str">
        <f>"TAMAZULA DE GORDIANO"</f>
        <v>TAMAZULA DE GORDIANO</v>
      </c>
      <c r="D462" s="2">
        <v>22</v>
      </c>
      <c r="E462" s="3">
        <v>1.1000000000000001E-3</v>
      </c>
    </row>
    <row r="463" spans="2:5">
      <c r="B463" s="31"/>
      <c r="C463" s="1" t="str">
        <f>"TAPALPA"</f>
        <v>TAPALPA</v>
      </c>
      <c r="D463" s="2">
        <v>2</v>
      </c>
      <c r="E463" s="3">
        <v>1E-4</v>
      </c>
    </row>
    <row r="464" spans="2:5">
      <c r="B464" s="31"/>
      <c r="C464" s="1" t="str">
        <f>"TECALITLAN"</f>
        <v>TECALITLAN</v>
      </c>
      <c r="D464" s="2">
        <v>9</v>
      </c>
      <c r="E464" s="3">
        <v>5.0000000000000001E-4</v>
      </c>
    </row>
    <row r="465" spans="2:5">
      <c r="B465" s="31"/>
      <c r="C465" s="1" t="str">
        <f>"TECOLOTLAN"</f>
        <v>TECOLOTLAN</v>
      </c>
      <c r="D465" s="2">
        <v>4</v>
      </c>
      <c r="E465" s="3">
        <v>2.0000000000000001E-4</v>
      </c>
    </row>
    <row r="466" spans="2:5">
      <c r="B466" s="31"/>
      <c r="C466" s="1" t="str">
        <f>"TENAMAXTLAN"</f>
        <v>TENAMAXTLAN</v>
      </c>
      <c r="D466" s="2">
        <v>1</v>
      </c>
      <c r="E466" s="3">
        <v>1E-4</v>
      </c>
    </row>
    <row r="467" spans="2:5">
      <c r="B467" s="31"/>
      <c r="C467" s="1" t="str">
        <f>"TEOCALTICHE"</f>
        <v>TEOCALTICHE</v>
      </c>
      <c r="D467" s="2">
        <v>12</v>
      </c>
      <c r="E467" s="3">
        <v>5.9999999999999995E-4</v>
      </c>
    </row>
    <row r="468" spans="2:5">
      <c r="B468" s="31"/>
      <c r="C468" s="1" t="str">
        <f>"TEOCUITATLAN DE CORONA"</f>
        <v>TEOCUITATLAN DE CORONA</v>
      </c>
      <c r="D468" s="2">
        <v>2</v>
      </c>
      <c r="E468" s="3">
        <v>1E-4</v>
      </c>
    </row>
    <row r="469" spans="2:5">
      <c r="B469" s="31"/>
      <c r="C469" s="1" t="str">
        <f>"TEPATITLAN DE MORELOS"</f>
        <v>TEPATITLAN DE MORELOS</v>
      </c>
      <c r="D469" s="2">
        <v>81</v>
      </c>
      <c r="E469" s="3">
        <v>4.1000000000000003E-3</v>
      </c>
    </row>
    <row r="470" spans="2:5">
      <c r="B470" s="31"/>
      <c r="C470" s="1" t="str">
        <f>"TEQUILA"</f>
        <v>TEQUILA</v>
      </c>
      <c r="D470" s="2">
        <v>8</v>
      </c>
      <c r="E470" s="3">
        <v>4.0000000000000002E-4</v>
      </c>
    </row>
    <row r="471" spans="2:5">
      <c r="B471" s="31"/>
      <c r="C471" s="1" t="str">
        <f>"TEUCHITLAN"</f>
        <v>TEUCHITLAN</v>
      </c>
      <c r="D471" s="2">
        <v>1</v>
      </c>
      <c r="E471" s="3">
        <v>1E-4</v>
      </c>
    </row>
    <row r="472" spans="2:5">
      <c r="B472" s="31"/>
      <c r="C472" s="1" t="str">
        <f>"TIZAPAN EL ALTO"</f>
        <v>TIZAPAN EL ALTO</v>
      </c>
      <c r="D472" s="2">
        <v>3</v>
      </c>
      <c r="E472" s="3">
        <v>2.0000000000000001E-4</v>
      </c>
    </row>
    <row r="473" spans="2:5">
      <c r="B473" s="31"/>
      <c r="C473" s="1" t="str">
        <f>"TLAJOMULCO DE ZUÑIGA"</f>
        <v>TLAJOMULCO DE ZUÑIGA</v>
      </c>
      <c r="D473" s="2">
        <v>8</v>
      </c>
      <c r="E473" s="3">
        <v>4.0000000000000002E-4</v>
      </c>
    </row>
    <row r="474" spans="2:5">
      <c r="B474" s="31"/>
      <c r="C474" s="1" t="str">
        <f>"TLAQUEPAQUE"</f>
        <v>TLAQUEPAQUE</v>
      </c>
      <c r="D474" s="2">
        <v>6</v>
      </c>
      <c r="E474" s="3">
        <v>2.9999999999999997E-4</v>
      </c>
    </row>
    <row r="475" spans="2:5">
      <c r="B475" s="31"/>
      <c r="C475" s="1" t="str">
        <f>"TOMATLAN"</f>
        <v>TOMATLAN</v>
      </c>
      <c r="D475" s="2">
        <v>7</v>
      </c>
      <c r="E475" s="3">
        <v>4.0000000000000002E-4</v>
      </c>
    </row>
    <row r="476" spans="2:5">
      <c r="B476" s="31"/>
      <c r="C476" s="1" t="str">
        <f>"TONALA"</f>
        <v>TONALA</v>
      </c>
      <c r="D476" s="2">
        <v>4</v>
      </c>
      <c r="E476" s="3">
        <v>2.0000000000000001E-4</v>
      </c>
    </row>
    <row r="477" spans="2:5">
      <c r="B477" s="31"/>
      <c r="C477" s="1" t="str">
        <f>"TONAYA"</f>
        <v>TONAYA</v>
      </c>
      <c r="D477" s="2">
        <v>1</v>
      </c>
      <c r="E477" s="3">
        <v>1E-4</v>
      </c>
    </row>
    <row r="478" spans="2:5">
      <c r="B478" s="31"/>
      <c r="C478" s="1" t="str">
        <f>"TOTATICHE"</f>
        <v>TOTATICHE</v>
      </c>
      <c r="D478" s="2">
        <v>5</v>
      </c>
      <c r="E478" s="3">
        <v>2.9999999999999997E-4</v>
      </c>
    </row>
    <row r="479" spans="2:5">
      <c r="B479" s="31"/>
      <c r="C479" s="1" t="str">
        <f>"TOTOTLAN"</f>
        <v>TOTOTLAN</v>
      </c>
      <c r="D479" s="2">
        <v>3</v>
      </c>
      <c r="E479" s="3">
        <v>2.0000000000000001E-4</v>
      </c>
    </row>
    <row r="480" spans="2:5">
      <c r="B480" s="31"/>
      <c r="C480" s="1" t="str">
        <f>"TUXCACUESCO"</f>
        <v>TUXCACUESCO</v>
      </c>
      <c r="D480" s="2">
        <v>3</v>
      </c>
      <c r="E480" s="3">
        <v>2.0000000000000001E-4</v>
      </c>
    </row>
    <row r="481" spans="2:5">
      <c r="B481" s="31"/>
      <c r="C481" s="1" t="str">
        <f>"TUXCUECA"</f>
        <v>TUXCUECA</v>
      </c>
      <c r="D481" s="2">
        <v>1</v>
      </c>
      <c r="E481" s="3">
        <v>1E-4</v>
      </c>
    </row>
    <row r="482" spans="2:5">
      <c r="B482" s="31"/>
      <c r="C482" s="1" t="str">
        <f>"TUXPAN"</f>
        <v>TUXPAN</v>
      </c>
      <c r="D482" s="2">
        <v>6</v>
      </c>
      <c r="E482" s="3">
        <v>2.9999999999999997E-4</v>
      </c>
    </row>
    <row r="483" spans="2:5">
      <c r="B483" s="31"/>
      <c r="C483" s="1" t="str">
        <f>"UNION DE TULA"</f>
        <v>UNION DE TULA</v>
      </c>
      <c r="D483" s="2">
        <v>7</v>
      </c>
      <c r="E483" s="3">
        <v>4.0000000000000002E-4</v>
      </c>
    </row>
    <row r="484" spans="2:5">
      <c r="B484" s="31"/>
      <c r="C484" s="1" t="str">
        <f>"VALLE DE JUAREZ"</f>
        <v>VALLE DE JUAREZ</v>
      </c>
      <c r="D484" s="2">
        <v>3</v>
      </c>
      <c r="E484" s="3">
        <v>2.0000000000000001E-4</v>
      </c>
    </row>
    <row r="485" spans="2:5">
      <c r="B485" s="31"/>
      <c r="C485" s="1" t="str">
        <f>"VILLA CORONA"</f>
        <v>VILLA CORONA</v>
      </c>
      <c r="D485" s="2">
        <v>1</v>
      </c>
      <c r="E485" s="3">
        <v>1E-4</v>
      </c>
    </row>
    <row r="486" spans="2:5">
      <c r="B486" s="31"/>
      <c r="C486" s="1" t="str">
        <f>"VILLA GUERRERO"</f>
        <v>VILLA GUERRERO</v>
      </c>
      <c r="D486" s="2">
        <v>4</v>
      </c>
      <c r="E486" s="3">
        <v>2.0000000000000001E-4</v>
      </c>
    </row>
    <row r="487" spans="2:5">
      <c r="B487" s="31"/>
      <c r="C487" s="1" t="str">
        <f>"VILLA HIDALGO"</f>
        <v>VILLA HIDALGO</v>
      </c>
      <c r="D487" s="2">
        <v>4</v>
      </c>
      <c r="E487" s="3">
        <v>2.0000000000000001E-4</v>
      </c>
    </row>
    <row r="488" spans="2:5">
      <c r="B488" s="31"/>
      <c r="C488" s="1" t="str">
        <f>"VILLA PURIFICACION"</f>
        <v>VILLA PURIFICACION</v>
      </c>
      <c r="D488" s="2">
        <v>15</v>
      </c>
      <c r="E488" s="3">
        <v>8.0000000000000004E-4</v>
      </c>
    </row>
    <row r="489" spans="2:5" ht="30">
      <c r="B489" s="31"/>
      <c r="C489" s="1" t="str">
        <f>"YAHUALICA DE GONZALEZ GALLO"</f>
        <v>YAHUALICA DE GONZALEZ GALLO</v>
      </c>
      <c r="D489" s="2">
        <v>7</v>
      </c>
      <c r="E489" s="3">
        <v>4.0000000000000002E-4</v>
      </c>
    </row>
    <row r="490" spans="2:5">
      <c r="B490" s="31"/>
      <c r="C490" s="1" t="str">
        <f>"ZACOALCO DE TORRES"</f>
        <v>ZACOALCO DE TORRES</v>
      </c>
      <c r="D490" s="2">
        <v>7</v>
      </c>
      <c r="E490" s="3">
        <v>4.0000000000000002E-4</v>
      </c>
    </row>
    <row r="491" spans="2:5">
      <c r="B491" s="31"/>
      <c r="C491" s="1" t="str">
        <f>"ZAPOPAN"</f>
        <v>ZAPOPAN</v>
      </c>
      <c r="D491" s="2">
        <v>29</v>
      </c>
      <c r="E491" s="3">
        <v>1.5E-3</v>
      </c>
    </row>
    <row r="492" spans="2:5">
      <c r="B492" s="31"/>
      <c r="C492" s="1" t="str">
        <f>"ZAPOTILTIC"</f>
        <v>ZAPOTILTIC</v>
      </c>
      <c r="D492" s="2">
        <v>5</v>
      </c>
      <c r="E492" s="3">
        <v>2.9999999999999997E-4</v>
      </c>
    </row>
    <row r="493" spans="2:5">
      <c r="B493" s="31"/>
      <c r="C493" s="1" t="str">
        <f>"ZAPOTLAN DEL REY"</f>
        <v>ZAPOTLAN DEL REY</v>
      </c>
      <c r="D493" s="2">
        <v>2</v>
      </c>
      <c r="E493" s="3">
        <v>1E-4</v>
      </c>
    </row>
    <row r="494" spans="2:5">
      <c r="B494" s="31"/>
      <c r="C494" s="1" t="str">
        <f>"ZAPOTLAN EL GRANDE"</f>
        <v>ZAPOTLAN EL GRANDE</v>
      </c>
      <c r="D494" s="2">
        <v>9</v>
      </c>
      <c r="E494" s="3">
        <v>5.0000000000000001E-4</v>
      </c>
    </row>
    <row r="495" spans="2:5">
      <c r="B495" s="31"/>
      <c r="C495" s="1" t="str">
        <f>"ZAPOTLANEJO"</f>
        <v>ZAPOTLANEJO</v>
      </c>
      <c r="D495" s="2">
        <v>4</v>
      </c>
      <c r="E495" s="3">
        <v>2.0000000000000001E-4</v>
      </c>
    </row>
    <row r="496" spans="2:5">
      <c r="B496" s="32"/>
      <c r="C496" s="14" t="str">
        <f>"Total"</f>
        <v>Total</v>
      </c>
      <c r="D496" s="20">
        <v>1184</v>
      </c>
      <c r="E496" s="21">
        <v>6.0600000000000001E-2</v>
      </c>
    </row>
    <row r="497" spans="2:5">
      <c r="B497" s="30" t="str">
        <f t="shared" ref="B497" si="11">"MEXICO"</f>
        <v>MEXICO</v>
      </c>
      <c r="C497" s="1" t="str">
        <f>"ACAMBAY"</f>
        <v>ACAMBAY</v>
      </c>
      <c r="D497" s="2">
        <v>11</v>
      </c>
      <c r="E497" s="3">
        <v>5.9999999999999995E-4</v>
      </c>
    </row>
    <row r="498" spans="2:5">
      <c r="B498" s="31"/>
      <c r="C498" s="1" t="str">
        <f>"ACULCO"</f>
        <v>ACULCO</v>
      </c>
      <c r="D498" s="2">
        <v>3</v>
      </c>
      <c r="E498" s="3">
        <v>2.0000000000000001E-4</v>
      </c>
    </row>
    <row r="499" spans="2:5">
      <c r="B499" s="31"/>
      <c r="C499" s="1" t="str">
        <f>"ALMOLOYA DE ALQUISIRAS"</f>
        <v>ALMOLOYA DE ALQUISIRAS</v>
      </c>
      <c r="D499" s="2">
        <v>5</v>
      </c>
      <c r="E499" s="3">
        <v>2.9999999999999997E-4</v>
      </c>
    </row>
    <row r="500" spans="2:5">
      <c r="B500" s="31"/>
      <c r="C500" s="1" t="str">
        <f>"ALMOLOYA DE JUAREZ"</f>
        <v>ALMOLOYA DE JUAREZ</v>
      </c>
      <c r="D500" s="2">
        <v>7</v>
      </c>
      <c r="E500" s="3">
        <v>4.0000000000000002E-4</v>
      </c>
    </row>
    <row r="501" spans="2:5">
      <c r="B501" s="31"/>
      <c r="C501" s="1" t="str">
        <f>"AMATEPEC"</f>
        <v>AMATEPEC</v>
      </c>
      <c r="D501" s="2">
        <v>5</v>
      </c>
      <c r="E501" s="3">
        <v>2.9999999999999997E-4</v>
      </c>
    </row>
    <row r="502" spans="2:5">
      <c r="B502" s="31"/>
      <c r="C502" s="1" t="str">
        <f>"AMECAMECA"</f>
        <v>AMECAMECA</v>
      </c>
      <c r="D502" s="2">
        <v>1</v>
      </c>
      <c r="E502" s="3">
        <v>1E-4</v>
      </c>
    </row>
    <row r="503" spans="2:5">
      <c r="B503" s="31"/>
      <c r="C503" s="1" t="str">
        <f>"ATIZAPAN"</f>
        <v>ATIZAPAN</v>
      </c>
      <c r="D503" s="2">
        <v>4</v>
      </c>
      <c r="E503" s="3">
        <v>2.0000000000000001E-4</v>
      </c>
    </row>
    <row r="504" spans="2:5">
      <c r="B504" s="31"/>
      <c r="C504" s="1" t="str">
        <f>"ATIZAPAN DE ZARAGOZA"</f>
        <v>ATIZAPAN DE ZARAGOZA</v>
      </c>
      <c r="D504" s="2">
        <v>4</v>
      </c>
      <c r="E504" s="3">
        <v>2.0000000000000001E-4</v>
      </c>
    </row>
    <row r="505" spans="2:5">
      <c r="B505" s="31"/>
      <c r="C505" s="1" t="str">
        <f>"ATLACOMULCO"</f>
        <v>ATLACOMULCO</v>
      </c>
      <c r="D505" s="2">
        <v>5</v>
      </c>
      <c r="E505" s="3">
        <v>2.9999999999999997E-4</v>
      </c>
    </row>
    <row r="506" spans="2:5">
      <c r="B506" s="31"/>
      <c r="C506" s="1" t="str">
        <f>"ATLAUTLA"</f>
        <v>ATLAUTLA</v>
      </c>
      <c r="D506" s="2">
        <v>1</v>
      </c>
      <c r="E506" s="3">
        <v>1E-4</v>
      </c>
    </row>
    <row r="507" spans="2:5">
      <c r="B507" s="31"/>
      <c r="C507" s="1" t="str">
        <f>"CALIMAYA"</f>
        <v>CALIMAYA</v>
      </c>
      <c r="D507" s="2">
        <v>5</v>
      </c>
      <c r="E507" s="3">
        <v>2.9999999999999997E-4</v>
      </c>
    </row>
    <row r="508" spans="2:5">
      <c r="B508" s="31"/>
      <c r="C508" s="1" t="str">
        <f>"CHALCO"</f>
        <v>CHALCO</v>
      </c>
      <c r="D508" s="2">
        <v>9</v>
      </c>
      <c r="E508" s="3">
        <v>5.0000000000000001E-4</v>
      </c>
    </row>
    <row r="509" spans="2:5">
      <c r="B509" s="31"/>
      <c r="C509" s="1" t="str">
        <f>"CHICOLOAPAN"</f>
        <v>CHICOLOAPAN</v>
      </c>
      <c r="D509" s="2">
        <v>4</v>
      </c>
      <c r="E509" s="3">
        <v>2.0000000000000001E-4</v>
      </c>
    </row>
    <row r="510" spans="2:5">
      <c r="B510" s="31"/>
      <c r="C510" s="1" t="str">
        <f>"CHIMALHUACAN"</f>
        <v>CHIMALHUACAN</v>
      </c>
      <c r="D510" s="2">
        <v>8</v>
      </c>
      <c r="E510" s="3">
        <v>4.0000000000000002E-4</v>
      </c>
    </row>
    <row r="511" spans="2:5">
      <c r="B511" s="31"/>
      <c r="C511" s="1" t="str">
        <f>"COACALCO DE BERRIOZABAL"</f>
        <v>COACALCO DE BERRIOZABAL</v>
      </c>
      <c r="D511" s="2">
        <v>3</v>
      </c>
      <c r="E511" s="3">
        <v>2.0000000000000001E-4</v>
      </c>
    </row>
    <row r="512" spans="2:5">
      <c r="B512" s="31"/>
      <c r="C512" s="1" t="str">
        <f>"COATEPEC HARINAS"</f>
        <v>COATEPEC HARINAS</v>
      </c>
      <c r="D512" s="2">
        <v>54</v>
      </c>
      <c r="E512" s="3">
        <v>2.8E-3</v>
      </c>
    </row>
    <row r="513" spans="2:5">
      <c r="B513" s="31"/>
      <c r="C513" s="1" t="str">
        <f>"CUAUTITLAN"</f>
        <v>CUAUTITLAN</v>
      </c>
      <c r="D513" s="2">
        <v>5</v>
      </c>
      <c r="E513" s="3">
        <v>2.9999999999999997E-4</v>
      </c>
    </row>
    <row r="514" spans="2:5">
      <c r="B514" s="31"/>
      <c r="C514" s="1" t="str">
        <f>"CUAUTITLAN IZCALLI"</f>
        <v>CUAUTITLAN IZCALLI</v>
      </c>
      <c r="D514" s="2">
        <v>4</v>
      </c>
      <c r="E514" s="3">
        <v>2.0000000000000001E-4</v>
      </c>
    </row>
    <row r="515" spans="2:5">
      <c r="B515" s="31"/>
      <c r="C515" s="1" t="str">
        <f>"DONATO GUERRA"</f>
        <v>DONATO GUERRA</v>
      </c>
      <c r="D515" s="2">
        <v>1</v>
      </c>
      <c r="E515" s="3">
        <v>1E-4</v>
      </c>
    </row>
    <row r="516" spans="2:5">
      <c r="B516" s="31"/>
      <c r="C516" s="1" t="str">
        <f>"ECATEPEC DE MORELOS"</f>
        <v>ECATEPEC DE MORELOS</v>
      </c>
      <c r="D516" s="2">
        <v>42</v>
      </c>
      <c r="E516" s="3">
        <v>2.0999999999999999E-3</v>
      </c>
    </row>
    <row r="517" spans="2:5">
      <c r="B517" s="31"/>
      <c r="C517" s="1" t="str">
        <f>"EL ORO"</f>
        <v>EL ORO</v>
      </c>
      <c r="D517" s="2">
        <v>5</v>
      </c>
      <c r="E517" s="3">
        <v>2.9999999999999997E-4</v>
      </c>
    </row>
    <row r="518" spans="2:5">
      <c r="B518" s="31"/>
      <c r="C518" s="1" t="str">
        <f>"HUIXQUILUCAN"</f>
        <v>HUIXQUILUCAN</v>
      </c>
      <c r="D518" s="2">
        <v>1</v>
      </c>
      <c r="E518" s="3">
        <v>1E-4</v>
      </c>
    </row>
    <row r="519" spans="2:5">
      <c r="B519" s="31"/>
      <c r="C519" s="1" t="str">
        <f>"IXTAPAN DE LA SAL"</f>
        <v>IXTAPAN DE LA SAL</v>
      </c>
      <c r="D519" s="2">
        <v>6</v>
      </c>
      <c r="E519" s="3">
        <v>2.9999999999999997E-4</v>
      </c>
    </row>
    <row r="520" spans="2:5">
      <c r="B520" s="31"/>
      <c r="C520" s="1" t="str">
        <f>"IXTAPAN DEL ORO"</f>
        <v>IXTAPAN DEL ORO</v>
      </c>
      <c r="D520" s="2">
        <v>1</v>
      </c>
      <c r="E520" s="3">
        <v>1E-4</v>
      </c>
    </row>
    <row r="521" spans="2:5">
      <c r="B521" s="31"/>
      <c r="C521" s="1" t="str">
        <f>"IXTLAHUACA"</f>
        <v>IXTLAHUACA</v>
      </c>
      <c r="D521" s="2">
        <v>5</v>
      </c>
      <c r="E521" s="3">
        <v>2.9999999999999997E-4</v>
      </c>
    </row>
    <row r="522" spans="2:5">
      <c r="B522" s="31"/>
      <c r="C522" s="1" t="str">
        <f>"JILOTEPEC"</f>
        <v>JILOTEPEC</v>
      </c>
      <c r="D522" s="2">
        <v>2</v>
      </c>
      <c r="E522" s="3">
        <v>1E-4</v>
      </c>
    </row>
    <row r="523" spans="2:5">
      <c r="B523" s="31"/>
      <c r="C523" s="1" t="str">
        <f>"JIQUIPILCO"</f>
        <v>JIQUIPILCO</v>
      </c>
      <c r="D523" s="2">
        <v>4</v>
      </c>
      <c r="E523" s="3">
        <v>2.0000000000000001E-4</v>
      </c>
    </row>
    <row r="524" spans="2:5">
      <c r="B524" s="31"/>
      <c r="C524" s="1" t="str">
        <f>"JOCOTITLAN"</f>
        <v>JOCOTITLAN</v>
      </c>
      <c r="D524" s="2">
        <v>3</v>
      </c>
      <c r="E524" s="3">
        <v>2.0000000000000001E-4</v>
      </c>
    </row>
    <row r="525" spans="2:5">
      <c r="B525" s="31"/>
      <c r="C525" s="1" t="str">
        <f>"LA PAZ"</f>
        <v>LA PAZ</v>
      </c>
      <c r="D525" s="2">
        <v>11</v>
      </c>
      <c r="E525" s="3">
        <v>5.9999999999999995E-4</v>
      </c>
    </row>
    <row r="526" spans="2:5">
      <c r="B526" s="31"/>
      <c r="C526" s="1" t="str">
        <f>"LERMA"</f>
        <v>LERMA</v>
      </c>
      <c r="D526" s="2">
        <v>1</v>
      </c>
      <c r="E526" s="3">
        <v>1E-4</v>
      </c>
    </row>
    <row r="527" spans="2:5">
      <c r="B527" s="31"/>
      <c r="C527" s="1" t="str">
        <f>"LUVIANOS"</f>
        <v>LUVIANOS</v>
      </c>
      <c r="D527" s="2">
        <v>1</v>
      </c>
      <c r="E527" s="3">
        <v>1E-4</v>
      </c>
    </row>
    <row r="528" spans="2:5">
      <c r="B528" s="31"/>
      <c r="C528" s="1" t="str">
        <f>"MALINALCO"</f>
        <v>MALINALCO</v>
      </c>
      <c r="D528" s="2">
        <v>2</v>
      </c>
      <c r="E528" s="3">
        <v>1E-4</v>
      </c>
    </row>
    <row r="529" spans="2:5">
      <c r="B529" s="31"/>
      <c r="C529" s="1" t="str">
        <f>"MELCHOR OCAMPO"</f>
        <v>MELCHOR OCAMPO</v>
      </c>
      <c r="D529" s="2">
        <v>1</v>
      </c>
      <c r="E529" s="3">
        <v>1E-4</v>
      </c>
    </row>
    <row r="530" spans="2:5">
      <c r="B530" s="31"/>
      <c r="C530" s="1" t="str">
        <f>"METEPEC"</f>
        <v>METEPEC</v>
      </c>
      <c r="D530" s="2">
        <v>2</v>
      </c>
      <c r="E530" s="3">
        <v>1E-4</v>
      </c>
    </row>
    <row r="531" spans="2:5">
      <c r="B531" s="31"/>
      <c r="C531" s="1" t="str">
        <f>"MORELOS"</f>
        <v>MORELOS</v>
      </c>
      <c r="D531" s="2">
        <v>5</v>
      </c>
      <c r="E531" s="3">
        <v>2.9999999999999997E-4</v>
      </c>
    </row>
    <row r="532" spans="2:5">
      <c r="B532" s="31"/>
      <c r="C532" s="1" t="str">
        <f>"NAUCALPAN DE JUAREZ"</f>
        <v>NAUCALPAN DE JUAREZ</v>
      </c>
      <c r="D532" s="2">
        <v>27</v>
      </c>
      <c r="E532" s="3">
        <v>1.4E-3</v>
      </c>
    </row>
    <row r="533" spans="2:5">
      <c r="B533" s="31"/>
      <c r="C533" s="1" t="str">
        <f>"NEZAHUALCOYOTL"</f>
        <v>NEZAHUALCOYOTL</v>
      </c>
      <c r="D533" s="2">
        <v>95</v>
      </c>
      <c r="E533" s="3">
        <v>4.8999999999999998E-3</v>
      </c>
    </row>
    <row r="534" spans="2:5">
      <c r="B534" s="31"/>
      <c r="C534" s="1" t="str">
        <f>"NICOLAS ROMERO"</f>
        <v>NICOLAS ROMERO</v>
      </c>
      <c r="D534" s="2">
        <v>5</v>
      </c>
      <c r="E534" s="3">
        <v>2.9999999999999997E-4</v>
      </c>
    </row>
    <row r="535" spans="2:5">
      <c r="B535" s="31"/>
      <c r="C535" s="1" t="str">
        <f>"OCOYOACAC"</f>
        <v>OCOYOACAC</v>
      </c>
      <c r="D535" s="2">
        <v>1</v>
      </c>
      <c r="E535" s="3">
        <v>1E-4</v>
      </c>
    </row>
    <row r="536" spans="2:5">
      <c r="B536" s="31"/>
      <c r="C536" s="1" t="str">
        <f>"OCUILAN"</f>
        <v>OCUILAN</v>
      </c>
      <c r="D536" s="2">
        <v>6</v>
      </c>
      <c r="E536" s="3">
        <v>2.9999999999999997E-4</v>
      </c>
    </row>
    <row r="537" spans="2:5">
      <c r="B537" s="31"/>
      <c r="C537" s="1" t="str">
        <f>"OTZOLOAPAN"</f>
        <v>OTZOLOAPAN</v>
      </c>
      <c r="D537" s="2">
        <v>1</v>
      </c>
      <c r="E537" s="3">
        <v>1E-4</v>
      </c>
    </row>
    <row r="538" spans="2:5">
      <c r="B538" s="31"/>
      <c r="C538" s="1" t="str">
        <f>"OZUMBA"</f>
        <v>OZUMBA</v>
      </c>
      <c r="D538" s="2">
        <v>2</v>
      </c>
      <c r="E538" s="3">
        <v>1E-4</v>
      </c>
    </row>
    <row r="539" spans="2:5" ht="15.75" customHeight="1">
      <c r="B539" s="31"/>
      <c r="C539" s="1" t="str">
        <f>"SAN FELIPE DEL PROGRESO"</f>
        <v>SAN FELIPE DEL PROGRESO</v>
      </c>
      <c r="D539" s="2">
        <v>14</v>
      </c>
      <c r="E539" s="3">
        <v>6.9999999999999999E-4</v>
      </c>
    </row>
    <row r="540" spans="2:5">
      <c r="B540" s="31"/>
      <c r="C540" s="1" t="str">
        <f>"SAN MATEO ATENCO"</f>
        <v>SAN MATEO ATENCO</v>
      </c>
      <c r="D540" s="2">
        <v>2</v>
      </c>
      <c r="E540" s="3">
        <v>1E-4</v>
      </c>
    </row>
    <row r="541" spans="2:5">
      <c r="B541" s="31"/>
      <c r="C541" s="1" t="str">
        <f>"SANTO TOMAS"</f>
        <v>SANTO TOMAS</v>
      </c>
      <c r="D541" s="2">
        <v>1</v>
      </c>
      <c r="E541" s="3">
        <v>1E-4</v>
      </c>
    </row>
    <row r="542" spans="2:5">
      <c r="B542" s="31"/>
      <c r="C542" s="1" t="str">
        <f>"SULTEPEC"</f>
        <v>SULTEPEC</v>
      </c>
      <c r="D542" s="2">
        <v>4</v>
      </c>
      <c r="E542" s="3">
        <v>2.0000000000000001E-4</v>
      </c>
    </row>
    <row r="543" spans="2:5">
      <c r="B543" s="31"/>
      <c r="C543" s="1" t="str">
        <f>"TECAMAC"</f>
        <v>TECAMAC</v>
      </c>
      <c r="D543" s="2">
        <v>2</v>
      </c>
      <c r="E543" s="3">
        <v>1E-4</v>
      </c>
    </row>
    <row r="544" spans="2:5">
      <c r="B544" s="31"/>
      <c r="C544" s="1" t="str">
        <f>"TEJUPILCO"</f>
        <v>TEJUPILCO</v>
      </c>
      <c r="D544" s="2">
        <v>4</v>
      </c>
      <c r="E544" s="3">
        <v>2.0000000000000001E-4</v>
      </c>
    </row>
    <row r="545" spans="2:5">
      <c r="B545" s="31"/>
      <c r="C545" s="1" t="str">
        <f>"TEMASCALCINGO"</f>
        <v>TEMASCALCINGO</v>
      </c>
      <c r="D545" s="2">
        <v>4</v>
      </c>
      <c r="E545" s="3">
        <v>2.0000000000000001E-4</v>
      </c>
    </row>
    <row r="546" spans="2:5">
      <c r="B546" s="31"/>
      <c r="C546" s="1" t="str">
        <f>"TEMASCALTEPEC"</f>
        <v>TEMASCALTEPEC</v>
      </c>
      <c r="D546" s="2">
        <v>25</v>
      </c>
      <c r="E546" s="3">
        <v>1.2999999999999999E-3</v>
      </c>
    </row>
    <row r="547" spans="2:5">
      <c r="B547" s="31"/>
      <c r="C547" s="1" t="str">
        <f>"TENANCINGO"</f>
        <v>TENANCINGO</v>
      </c>
      <c r="D547" s="2">
        <v>3</v>
      </c>
      <c r="E547" s="3">
        <v>2.0000000000000001E-4</v>
      </c>
    </row>
    <row r="548" spans="2:5">
      <c r="B548" s="31"/>
      <c r="C548" s="1" t="str">
        <f>"TENANGO DEL VALLE"</f>
        <v>TENANGO DEL VALLE</v>
      </c>
      <c r="D548" s="2">
        <v>14</v>
      </c>
      <c r="E548" s="3">
        <v>6.9999999999999999E-4</v>
      </c>
    </row>
    <row r="549" spans="2:5">
      <c r="B549" s="31"/>
      <c r="C549" s="1" t="str">
        <f>"TEOLOYUCAN"</f>
        <v>TEOLOYUCAN</v>
      </c>
      <c r="D549" s="2">
        <v>3</v>
      </c>
      <c r="E549" s="3">
        <v>2.0000000000000001E-4</v>
      </c>
    </row>
    <row r="550" spans="2:5">
      <c r="B550" s="31"/>
      <c r="C550" s="1" t="str">
        <f>"TEOTIHUACAN"</f>
        <v>TEOTIHUACAN</v>
      </c>
      <c r="D550" s="2">
        <v>2</v>
      </c>
      <c r="E550" s="3">
        <v>1E-4</v>
      </c>
    </row>
    <row r="551" spans="2:5">
      <c r="B551" s="31"/>
      <c r="C551" s="1" t="str">
        <f>"TEPETLAOXTOC"</f>
        <v>TEPETLAOXTOC</v>
      </c>
      <c r="D551" s="2">
        <v>1</v>
      </c>
      <c r="E551" s="3">
        <v>1E-4</v>
      </c>
    </row>
    <row r="552" spans="2:5">
      <c r="B552" s="31"/>
      <c r="C552" s="1" t="str">
        <f>"TEPETLIXPA"</f>
        <v>TEPETLIXPA</v>
      </c>
      <c r="D552" s="2">
        <v>1</v>
      </c>
      <c r="E552" s="3">
        <v>1E-4</v>
      </c>
    </row>
    <row r="553" spans="2:5">
      <c r="B553" s="31"/>
      <c r="C553" s="1" t="str">
        <f>"TEPOTZOTLAN"</f>
        <v>TEPOTZOTLAN</v>
      </c>
      <c r="D553" s="2">
        <v>1</v>
      </c>
      <c r="E553" s="3">
        <v>1E-4</v>
      </c>
    </row>
    <row r="554" spans="2:5">
      <c r="B554" s="31"/>
      <c r="C554" s="1" t="str">
        <f>"TEQUIXQUIAC"</f>
        <v>TEQUIXQUIAC</v>
      </c>
      <c r="D554" s="2">
        <v>1</v>
      </c>
      <c r="E554" s="3">
        <v>1E-4</v>
      </c>
    </row>
    <row r="555" spans="2:5">
      <c r="B555" s="31"/>
      <c r="C555" s="1" t="str">
        <f>"TEXCALTITLAN"</f>
        <v>TEXCALTITLAN</v>
      </c>
      <c r="D555" s="2">
        <v>66</v>
      </c>
      <c r="E555" s="3">
        <v>3.3999999999999998E-3</v>
      </c>
    </row>
    <row r="556" spans="2:5">
      <c r="B556" s="31"/>
      <c r="C556" s="1" t="str">
        <f>"TEXCOCO"</f>
        <v>TEXCOCO</v>
      </c>
      <c r="D556" s="2">
        <v>4</v>
      </c>
      <c r="E556" s="3">
        <v>2.0000000000000001E-4</v>
      </c>
    </row>
    <row r="557" spans="2:5">
      <c r="B557" s="31"/>
      <c r="C557" s="1" t="str">
        <f>"TIANGUISTENCO"</f>
        <v>TIANGUISTENCO</v>
      </c>
      <c r="D557" s="2">
        <v>3</v>
      </c>
      <c r="E557" s="3">
        <v>2.0000000000000001E-4</v>
      </c>
    </row>
    <row r="558" spans="2:5">
      <c r="B558" s="31"/>
      <c r="C558" s="1" t="str">
        <f>"TIMILPAN"</f>
        <v>TIMILPAN</v>
      </c>
      <c r="D558" s="2">
        <v>5</v>
      </c>
      <c r="E558" s="3">
        <v>2.9999999999999997E-4</v>
      </c>
    </row>
    <row r="559" spans="2:5">
      <c r="B559" s="31"/>
      <c r="C559" s="1" t="str">
        <f>"TLALNEPANTLA DE BAZ"</f>
        <v>TLALNEPANTLA DE BAZ</v>
      </c>
      <c r="D559" s="2">
        <v>48</v>
      </c>
      <c r="E559" s="3">
        <v>2.5000000000000001E-3</v>
      </c>
    </row>
    <row r="560" spans="2:5">
      <c r="B560" s="31"/>
      <c r="C560" s="1" t="str">
        <f>"TLATLAYA"</f>
        <v>TLATLAYA</v>
      </c>
      <c r="D560" s="2">
        <v>15</v>
      </c>
      <c r="E560" s="3">
        <v>8.0000000000000004E-4</v>
      </c>
    </row>
    <row r="561" spans="2:5">
      <c r="B561" s="31"/>
      <c r="C561" s="1" t="str">
        <f>"TOLUCA"</f>
        <v>TOLUCA</v>
      </c>
      <c r="D561" s="2">
        <v>38</v>
      </c>
      <c r="E561" s="3">
        <v>1.9E-3</v>
      </c>
    </row>
    <row r="562" spans="2:5">
      <c r="B562" s="31"/>
      <c r="C562" s="1" t="str">
        <f>"TULTEPEC"</f>
        <v>TULTEPEC</v>
      </c>
      <c r="D562" s="2">
        <v>1</v>
      </c>
      <c r="E562" s="3">
        <v>1E-4</v>
      </c>
    </row>
    <row r="563" spans="2:5">
      <c r="B563" s="31"/>
      <c r="C563" s="1" t="str">
        <f>"TULTITLAN"</f>
        <v>TULTITLAN</v>
      </c>
      <c r="D563" s="2">
        <v>2</v>
      </c>
      <c r="E563" s="3">
        <v>1E-4</v>
      </c>
    </row>
    <row r="564" spans="2:5">
      <c r="B564" s="31"/>
      <c r="C564" s="1" t="str">
        <f>"VILLA DE ALLENDE"</f>
        <v>VILLA DE ALLENDE</v>
      </c>
      <c r="D564" s="2">
        <v>13</v>
      </c>
      <c r="E564" s="3">
        <v>6.9999999999999999E-4</v>
      </c>
    </row>
    <row r="565" spans="2:5">
      <c r="B565" s="31"/>
      <c r="C565" s="1" t="str">
        <f>"VILLA GUERRERO"</f>
        <v>VILLA GUERRERO</v>
      </c>
      <c r="D565" s="2">
        <v>29</v>
      </c>
      <c r="E565" s="3">
        <v>1.5E-3</v>
      </c>
    </row>
    <row r="566" spans="2:5">
      <c r="B566" s="31"/>
      <c r="C566" s="1" t="str">
        <f>"VILLA VICTORIA"</f>
        <v>VILLA VICTORIA</v>
      </c>
      <c r="D566" s="2">
        <v>8</v>
      </c>
      <c r="E566" s="3">
        <v>4.0000000000000002E-4</v>
      </c>
    </row>
    <row r="567" spans="2:5">
      <c r="B567" s="31"/>
      <c r="C567" s="1" t="str">
        <f>"ZACUALPAN"</f>
        <v>ZACUALPAN</v>
      </c>
      <c r="D567" s="2">
        <v>2</v>
      </c>
      <c r="E567" s="3">
        <v>1E-4</v>
      </c>
    </row>
    <row r="568" spans="2:5">
      <c r="B568" s="31"/>
      <c r="C568" s="1" t="str">
        <f>"ZINACANTEPEC"</f>
        <v>ZINACANTEPEC</v>
      </c>
      <c r="D568" s="2">
        <v>3</v>
      </c>
      <c r="E568" s="3">
        <v>2.0000000000000001E-4</v>
      </c>
    </row>
    <row r="569" spans="2:5">
      <c r="B569" s="31"/>
      <c r="C569" s="1" t="str">
        <f>"ZUMPANGO"</f>
        <v>ZUMPANGO</v>
      </c>
      <c r="D569" s="2">
        <v>6</v>
      </c>
      <c r="E569" s="3">
        <v>2.9999999999999997E-4</v>
      </c>
    </row>
    <row r="570" spans="2:5">
      <c r="B570" s="32"/>
      <c r="C570" s="14" t="str">
        <f>"Total"</f>
        <v>Total</v>
      </c>
      <c r="D570" s="15">
        <v>693</v>
      </c>
      <c r="E570" s="21">
        <v>3.5499999999999997E-2</v>
      </c>
    </row>
    <row r="571" spans="2:5">
      <c r="B571" s="30" t="str">
        <f t="shared" ref="B571" si="12">"MICHOACAN DE OCAMPO"</f>
        <v>MICHOACAN DE OCAMPO</v>
      </c>
      <c r="C571" s="1" t="str">
        <f>"ACUITZIO"</f>
        <v>ACUITZIO</v>
      </c>
      <c r="D571" s="2">
        <v>4</v>
      </c>
      <c r="E571" s="3">
        <v>2.0000000000000001E-4</v>
      </c>
    </row>
    <row r="572" spans="2:5">
      <c r="B572" s="31"/>
      <c r="C572" s="1" t="str">
        <f>"AGUILILLA"</f>
        <v>AGUILILLA</v>
      </c>
      <c r="D572" s="2">
        <v>6</v>
      </c>
      <c r="E572" s="3">
        <v>2.9999999999999997E-4</v>
      </c>
    </row>
    <row r="573" spans="2:5">
      <c r="B573" s="31"/>
      <c r="C573" s="1" t="str">
        <f>"ALVARO OBREGON"</f>
        <v>ALVARO OBREGON</v>
      </c>
      <c r="D573" s="2">
        <v>1</v>
      </c>
      <c r="E573" s="3">
        <v>1E-4</v>
      </c>
    </row>
    <row r="574" spans="2:5">
      <c r="B574" s="31"/>
      <c r="C574" s="1" t="str">
        <f>"ANGAMACUTIRO"</f>
        <v>ANGAMACUTIRO</v>
      </c>
      <c r="D574" s="2">
        <v>3</v>
      </c>
      <c r="E574" s="3">
        <v>2.0000000000000001E-4</v>
      </c>
    </row>
    <row r="575" spans="2:5">
      <c r="B575" s="31"/>
      <c r="C575" s="1" t="str">
        <f>"ANGANGUEO"</f>
        <v>ANGANGUEO</v>
      </c>
      <c r="D575" s="2">
        <v>1</v>
      </c>
      <c r="E575" s="3">
        <v>1E-4</v>
      </c>
    </row>
    <row r="576" spans="2:5">
      <c r="B576" s="31"/>
      <c r="C576" s="1" t="str">
        <f>"APATZINGAN"</f>
        <v>APATZINGAN</v>
      </c>
      <c r="D576" s="2">
        <v>63</v>
      </c>
      <c r="E576" s="3">
        <v>3.2000000000000002E-3</v>
      </c>
    </row>
    <row r="577" spans="2:5">
      <c r="B577" s="31"/>
      <c r="C577" s="1" t="str">
        <f>"AQUILA"</f>
        <v>AQUILA</v>
      </c>
      <c r="D577" s="2">
        <v>8</v>
      </c>
      <c r="E577" s="3">
        <v>4.0000000000000002E-4</v>
      </c>
    </row>
    <row r="578" spans="2:5">
      <c r="B578" s="31"/>
      <c r="C578" s="1" t="str">
        <f>"ARIO"</f>
        <v>ARIO</v>
      </c>
      <c r="D578" s="2">
        <v>6</v>
      </c>
      <c r="E578" s="3">
        <v>2.9999999999999997E-4</v>
      </c>
    </row>
    <row r="579" spans="2:5">
      <c r="B579" s="31"/>
      <c r="C579" s="1" t="str">
        <f>"ARTEAGA"</f>
        <v>ARTEAGA</v>
      </c>
      <c r="D579" s="2">
        <v>4</v>
      </c>
      <c r="E579" s="3">
        <v>2.0000000000000001E-4</v>
      </c>
    </row>
    <row r="580" spans="2:5">
      <c r="B580" s="31"/>
      <c r="C580" s="1" t="str">
        <f>"BRISEÑAS"</f>
        <v>BRISEÑAS</v>
      </c>
      <c r="D580" s="2">
        <v>1</v>
      </c>
      <c r="E580" s="3">
        <v>1E-4</v>
      </c>
    </row>
    <row r="581" spans="2:5">
      <c r="B581" s="31"/>
      <c r="C581" s="1" t="str">
        <f>"BUENAVISTA"</f>
        <v>BUENAVISTA</v>
      </c>
      <c r="D581" s="2">
        <v>7</v>
      </c>
      <c r="E581" s="3">
        <v>4.0000000000000002E-4</v>
      </c>
    </row>
    <row r="582" spans="2:5">
      <c r="B582" s="31"/>
      <c r="C582" s="1" t="str">
        <f>"CARACUARO"</f>
        <v>CARACUARO</v>
      </c>
      <c r="D582" s="2">
        <v>3</v>
      </c>
      <c r="E582" s="3">
        <v>2.0000000000000001E-4</v>
      </c>
    </row>
    <row r="583" spans="2:5">
      <c r="B583" s="31"/>
      <c r="C583" s="1" t="str">
        <f>"CHARO"</f>
        <v>CHARO</v>
      </c>
      <c r="D583" s="2">
        <v>3</v>
      </c>
      <c r="E583" s="3">
        <v>2.0000000000000001E-4</v>
      </c>
    </row>
    <row r="584" spans="2:5">
      <c r="B584" s="31"/>
      <c r="C584" s="1" t="str">
        <f>"CHAVINDA"</f>
        <v>CHAVINDA</v>
      </c>
      <c r="D584" s="2">
        <v>1</v>
      </c>
      <c r="E584" s="3">
        <v>1E-4</v>
      </c>
    </row>
    <row r="585" spans="2:5">
      <c r="B585" s="31"/>
      <c r="C585" s="1" t="str">
        <f>"CHERAN"</f>
        <v>CHERAN</v>
      </c>
      <c r="D585" s="2">
        <v>2</v>
      </c>
      <c r="E585" s="3">
        <v>1E-4</v>
      </c>
    </row>
    <row r="586" spans="2:5">
      <c r="B586" s="31"/>
      <c r="C586" s="1" t="str">
        <f>"CHINICUILA"</f>
        <v>CHINICUILA</v>
      </c>
      <c r="D586" s="2">
        <v>3</v>
      </c>
      <c r="E586" s="3">
        <v>2.0000000000000001E-4</v>
      </c>
    </row>
    <row r="587" spans="2:5">
      <c r="B587" s="31"/>
      <c r="C587" s="1" t="str">
        <f>"CHURUMUCO"</f>
        <v>CHURUMUCO</v>
      </c>
      <c r="D587" s="2">
        <v>2</v>
      </c>
      <c r="E587" s="3">
        <v>1E-4</v>
      </c>
    </row>
    <row r="588" spans="2:5">
      <c r="B588" s="31"/>
      <c r="C588" s="1" t="str">
        <f>"COAHUAYANA"</f>
        <v>COAHUAYANA</v>
      </c>
      <c r="D588" s="2">
        <v>1</v>
      </c>
      <c r="E588" s="3">
        <v>1E-4</v>
      </c>
    </row>
    <row r="589" spans="2:5" ht="30">
      <c r="B589" s="31"/>
      <c r="C589" s="1" t="str">
        <f>"COALCOMAN DE VAZQUEZ PALLARES"</f>
        <v>COALCOMAN DE VAZQUEZ PALLARES</v>
      </c>
      <c r="D589" s="2">
        <v>3</v>
      </c>
      <c r="E589" s="3">
        <v>2.0000000000000001E-4</v>
      </c>
    </row>
    <row r="590" spans="2:5">
      <c r="B590" s="31"/>
      <c r="C590" s="1" t="str">
        <f>"COENEO"</f>
        <v>COENEO</v>
      </c>
      <c r="D590" s="2">
        <v>2</v>
      </c>
      <c r="E590" s="3">
        <v>1E-4</v>
      </c>
    </row>
    <row r="591" spans="2:5" ht="15" customHeight="1">
      <c r="B591" s="31"/>
      <c r="C591" s="1" t="str">
        <f>"COJUMATLAN DE REGULES"</f>
        <v>COJUMATLAN DE REGULES</v>
      </c>
      <c r="D591" s="2">
        <v>2</v>
      </c>
      <c r="E591" s="3">
        <v>1E-4</v>
      </c>
    </row>
    <row r="592" spans="2:5">
      <c r="B592" s="31"/>
      <c r="C592" s="1" t="str">
        <f>"CONTEPEC"</f>
        <v>CONTEPEC</v>
      </c>
      <c r="D592" s="2">
        <v>2</v>
      </c>
      <c r="E592" s="3">
        <v>1E-4</v>
      </c>
    </row>
    <row r="593" spans="2:5">
      <c r="B593" s="31"/>
      <c r="C593" s="1" t="str">
        <f>"COTIJA"</f>
        <v>COTIJA</v>
      </c>
      <c r="D593" s="2">
        <v>9</v>
      </c>
      <c r="E593" s="3">
        <v>5.0000000000000001E-4</v>
      </c>
    </row>
    <row r="594" spans="2:5">
      <c r="B594" s="31"/>
      <c r="C594" s="1" t="str">
        <f>"CUITZEO"</f>
        <v>CUITZEO</v>
      </c>
      <c r="D594" s="2">
        <v>5</v>
      </c>
      <c r="E594" s="3">
        <v>2.9999999999999997E-4</v>
      </c>
    </row>
    <row r="595" spans="2:5">
      <c r="B595" s="31"/>
      <c r="C595" s="1" t="str">
        <f>"ECUANDUREO"</f>
        <v>ECUANDUREO</v>
      </c>
      <c r="D595" s="2">
        <v>2</v>
      </c>
      <c r="E595" s="3">
        <v>1E-4</v>
      </c>
    </row>
    <row r="596" spans="2:5">
      <c r="B596" s="31"/>
      <c r="C596" s="1" t="str">
        <f>"EPITACIO HUERTA"</f>
        <v>EPITACIO HUERTA</v>
      </c>
      <c r="D596" s="2">
        <v>3</v>
      </c>
      <c r="E596" s="3">
        <v>2.0000000000000001E-4</v>
      </c>
    </row>
    <row r="597" spans="2:5">
      <c r="B597" s="31"/>
      <c r="C597" s="1" t="str">
        <f>"ERONGARICUARO"</f>
        <v>ERONGARICUARO</v>
      </c>
      <c r="D597" s="2">
        <v>5</v>
      </c>
      <c r="E597" s="3">
        <v>2.9999999999999997E-4</v>
      </c>
    </row>
    <row r="598" spans="2:5">
      <c r="B598" s="31"/>
      <c r="C598" s="1" t="str">
        <f>"GABRIEL ZAMORA"</f>
        <v>GABRIEL ZAMORA</v>
      </c>
      <c r="D598" s="2">
        <v>3</v>
      </c>
      <c r="E598" s="3">
        <v>2.0000000000000001E-4</v>
      </c>
    </row>
    <row r="599" spans="2:5">
      <c r="B599" s="31"/>
      <c r="C599" s="1" t="str">
        <f>"HIDALGO"</f>
        <v>HIDALGO</v>
      </c>
      <c r="D599" s="2">
        <v>8</v>
      </c>
      <c r="E599" s="3">
        <v>4.0000000000000002E-4</v>
      </c>
    </row>
    <row r="600" spans="2:5">
      <c r="B600" s="31"/>
      <c r="C600" s="1" t="str">
        <f>"HUANDACAREO"</f>
        <v>HUANDACAREO</v>
      </c>
      <c r="D600" s="2">
        <v>1</v>
      </c>
      <c r="E600" s="3">
        <v>1E-4</v>
      </c>
    </row>
    <row r="601" spans="2:5">
      <c r="B601" s="31"/>
      <c r="C601" s="1" t="str">
        <f>"HUANIQUEO"</f>
        <v>HUANIQUEO</v>
      </c>
      <c r="D601" s="2">
        <v>8</v>
      </c>
      <c r="E601" s="3">
        <v>4.0000000000000002E-4</v>
      </c>
    </row>
    <row r="602" spans="2:5">
      <c r="B602" s="31"/>
      <c r="C602" s="1" t="str">
        <f>"HUETAMO"</f>
        <v>HUETAMO</v>
      </c>
      <c r="D602" s="2">
        <v>11</v>
      </c>
      <c r="E602" s="3">
        <v>5.9999999999999995E-4</v>
      </c>
    </row>
    <row r="603" spans="2:5">
      <c r="B603" s="31"/>
      <c r="C603" s="1" t="str">
        <f>"HUIRAMBA"</f>
        <v>HUIRAMBA</v>
      </c>
      <c r="D603" s="2">
        <v>1</v>
      </c>
      <c r="E603" s="3">
        <v>1E-4</v>
      </c>
    </row>
    <row r="604" spans="2:5">
      <c r="B604" s="31"/>
      <c r="C604" s="1" t="str">
        <f>"INDAPARAPEO"</f>
        <v>INDAPARAPEO</v>
      </c>
      <c r="D604" s="2">
        <v>1</v>
      </c>
      <c r="E604" s="3">
        <v>1E-4</v>
      </c>
    </row>
    <row r="605" spans="2:5">
      <c r="B605" s="31"/>
      <c r="C605" s="1" t="str">
        <f>"IRIMBO"</f>
        <v>IRIMBO</v>
      </c>
      <c r="D605" s="2">
        <v>1</v>
      </c>
      <c r="E605" s="3">
        <v>1E-4</v>
      </c>
    </row>
    <row r="606" spans="2:5">
      <c r="B606" s="31"/>
      <c r="C606" s="1" t="str">
        <f>"JACONA"</f>
        <v>JACONA</v>
      </c>
      <c r="D606" s="2">
        <v>4</v>
      </c>
      <c r="E606" s="3">
        <v>2.0000000000000001E-4</v>
      </c>
    </row>
    <row r="607" spans="2:5">
      <c r="B607" s="31"/>
      <c r="C607" s="1" t="str">
        <f>"JIMENEZ"</f>
        <v>JIMENEZ</v>
      </c>
      <c r="D607" s="2">
        <v>3</v>
      </c>
      <c r="E607" s="3">
        <v>2.0000000000000001E-4</v>
      </c>
    </row>
    <row r="608" spans="2:5">
      <c r="B608" s="31"/>
      <c r="C608" s="1" t="str">
        <f>"JIQUILPAN"</f>
        <v>JIQUILPAN</v>
      </c>
      <c r="D608" s="2">
        <v>12</v>
      </c>
      <c r="E608" s="3">
        <v>5.9999999999999995E-4</v>
      </c>
    </row>
    <row r="609" spans="2:5">
      <c r="B609" s="31"/>
      <c r="C609" s="1" t="str">
        <f>"JOSE SIXTO VERDUZCO"</f>
        <v>JOSE SIXTO VERDUZCO</v>
      </c>
      <c r="D609" s="2">
        <v>7</v>
      </c>
      <c r="E609" s="3">
        <v>4.0000000000000002E-4</v>
      </c>
    </row>
    <row r="610" spans="2:5">
      <c r="B610" s="31"/>
      <c r="C610" s="1" t="str">
        <f>"JUAREZ"</f>
        <v>JUAREZ</v>
      </c>
      <c r="D610" s="2">
        <v>2</v>
      </c>
      <c r="E610" s="3">
        <v>1E-4</v>
      </c>
    </row>
    <row r="611" spans="2:5">
      <c r="B611" s="31"/>
      <c r="C611" s="1" t="str">
        <f>"JUNGAPEO"</f>
        <v>JUNGAPEO</v>
      </c>
      <c r="D611" s="2">
        <v>5</v>
      </c>
      <c r="E611" s="3">
        <v>2.9999999999999997E-4</v>
      </c>
    </row>
    <row r="612" spans="2:5">
      <c r="B612" s="31"/>
      <c r="C612" s="1" t="str">
        <f>"LA HUACANA"</f>
        <v>LA HUACANA</v>
      </c>
      <c r="D612" s="2">
        <v>12</v>
      </c>
      <c r="E612" s="3">
        <v>5.9999999999999995E-4</v>
      </c>
    </row>
    <row r="613" spans="2:5">
      <c r="B613" s="31"/>
      <c r="C613" s="1" t="str">
        <f>"LA PIEDAD"</f>
        <v>LA PIEDAD</v>
      </c>
      <c r="D613" s="2">
        <v>10</v>
      </c>
      <c r="E613" s="3">
        <v>5.0000000000000001E-4</v>
      </c>
    </row>
    <row r="614" spans="2:5">
      <c r="B614" s="31"/>
      <c r="C614" s="1" t="str">
        <f>"LAZARO CARDENAS"</f>
        <v>LAZARO CARDENAS</v>
      </c>
      <c r="D614" s="2">
        <v>34</v>
      </c>
      <c r="E614" s="3">
        <v>1.6999999999999999E-3</v>
      </c>
    </row>
    <row r="615" spans="2:5">
      <c r="B615" s="31"/>
      <c r="C615" s="1" t="str">
        <f>"LOS REYES"</f>
        <v>LOS REYES</v>
      </c>
      <c r="D615" s="2">
        <v>55</v>
      </c>
      <c r="E615" s="3">
        <v>2.8E-3</v>
      </c>
    </row>
    <row r="616" spans="2:5">
      <c r="B616" s="31"/>
      <c r="C616" s="1" t="str">
        <f>"MADERO"</f>
        <v>MADERO</v>
      </c>
      <c r="D616" s="2">
        <v>3</v>
      </c>
      <c r="E616" s="3">
        <v>2.0000000000000001E-4</v>
      </c>
    </row>
    <row r="617" spans="2:5">
      <c r="B617" s="31"/>
      <c r="C617" s="1" t="str">
        <f>"MARAVATIO"</f>
        <v>MARAVATIO</v>
      </c>
      <c r="D617" s="2">
        <v>13</v>
      </c>
      <c r="E617" s="3">
        <v>6.9999999999999999E-4</v>
      </c>
    </row>
    <row r="618" spans="2:5">
      <c r="B618" s="31"/>
      <c r="C618" s="1" t="str">
        <f>"MARCOS CASTELLANOS"</f>
        <v>MARCOS CASTELLANOS</v>
      </c>
      <c r="D618" s="2">
        <v>2</v>
      </c>
      <c r="E618" s="3">
        <v>1E-4</v>
      </c>
    </row>
    <row r="619" spans="2:5">
      <c r="B619" s="31"/>
      <c r="C619" s="1" t="str">
        <f>"MORELIA"</f>
        <v>MORELIA</v>
      </c>
      <c r="D619" s="2">
        <v>63</v>
      </c>
      <c r="E619" s="3">
        <v>3.2000000000000002E-3</v>
      </c>
    </row>
    <row r="620" spans="2:5">
      <c r="B620" s="31"/>
      <c r="C620" s="1" t="str">
        <f>"MORELOS"</f>
        <v>MORELOS</v>
      </c>
      <c r="D620" s="2">
        <v>14</v>
      </c>
      <c r="E620" s="3">
        <v>6.9999999999999999E-4</v>
      </c>
    </row>
    <row r="621" spans="2:5">
      <c r="B621" s="31"/>
      <c r="C621" s="1" t="str">
        <f>"MUGICA"</f>
        <v>MUGICA</v>
      </c>
      <c r="D621" s="2">
        <v>10</v>
      </c>
      <c r="E621" s="3">
        <v>5.0000000000000001E-4</v>
      </c>
    </row>
    <row r="622" spans="2:5">
      <c r="B622" s="31"/>
      <c r="C622" s="1" t="str">
        <f>"NAHUATZEN"</f>
        <v>NAHUATZEN</v>
      </c>
      <c r="D622" s="2">
        <v>2</v>
      </c>
      <c r="E622" s="3">
        <v>1E-4</v>
      </c>
    </row>
    <row r="623" spans="2:5">
      <c r="B623" s="31"/>
      <c r="C623" s="1" t="str">
        <f>"NOCUPETARO"</f>
        <v>NOCUPETARO</v>
      </c>
      <c r="D623" s="2">
        <v>6</v>
      </c>
      <c r="E623" s="3">
        <v>2.9999999999999997E-4</v>
      </c>
    </row>
    <row r="624" spans="2:5">
      <c r="B624" s="31"/>
      <c r="C624" s="1" t="str">
        <f>"NUEVO PARANGARICUTIRO"</f>
        <v>NUEVO PARANGARICUTIRO</v>
      </c>
      <c r="D624" s="2">
        <v>6</v>
      </c>
      <c r="E624" s="3">
        <v>2.9999999999999997E-4</v>
      </c>
    </row>
    <row r="625" spans="2:5">
      <c r="B625" s="31"/>
      <c r="C625" s="1" t="str">
        <f>"NUEVO URECHO"</f>
        <v>NUEVO URECHO</v>
      </c>
      <c r="D625" s="2">
        <v>1</v>
      </c>
      <c r="E625" s="3">
        <v>1E-4</v>
      </c>
    </row>
    <row r="626" spans="2:5">
      <c r="B626" s="31"/>
      <c r="C626" s="1" t="str">
        <f>"PANINDICUARO"</f>
        <v>PANINDICUARO</v>
      </c>
      <c r="D626" s="2">
        <v>6</v>
      </c>
      <c r="E626" s="3">
        <v>2.9999999999999997E-4</v>
      </c>
    </row>
    <row r="627" spans="2:5">
      <c r="B627" s="31"/>
      <c r="C627" s="1" t="str">
        <f>"PARACHO"</f>
        <v>PARACHO</v>
      </c>
      <c r="D627" s="2">
        <v>3</v>
      </c>
      <c r="E627" s="3">
        <v>2.0000000000000001E-4</v>
      </c>
    </row>
    <row r="628" spans="2:5">
      <c r="B628" s="31"/>
      <c r="C628" s="1" t="str">
        <f>"PARACUARO"</f>
        <v>PARACUARO</v>
      </c>
      <c r="D628" s="2">
        <v>8</v>
      </c>
      <c r="E628" s="3">
        <v>4.0000000000000002E-4</v>
      </c>
    </row>
    <row r="629" spans="2:5">
      <c r="B629" s="31"/>
      <c r="C629" s="1" t="str">
        <f>"PATZCUARO"</f>
        <v>PATZCUARO</v>
      </c>
      <c r="D629" s="2">
        <v>14</v>
      </c>
      <c r="E629" s="3">
        <v>6.9999999999999999E-4</v>
      </c>
    </row>
    <row r="630" spans="2:5">
      <c r="B630" s="31"/>
      <c r="C630" s="1" t="str">
        <f>"PENJAMILLO"</f>
        <v>PENJAMILLO</v>
      </c>
      <c r="D630" s="2">
        <v>1</v>
      </c>
      <c r="E630" s="3">
        <v>1E-4</v>
      </c>
    </row>
    <row r="631" spans="2:5">
      <c r="B631" s="31"/>
      <c r="C631" s="1" t="str">
        <f>"PERIBAN"</f>
        <v>PERIBAN</v>
      </c>
      <c r="D631" s="2">
        <v>6</v>
      </c>
      <c r="E631" s="3">
        <v>2.9999999999999997E-4</v>
      </c>
    </row>
    <row r="632" spans="2:5">
      <c r="B632" s="31"/>
      <c r="C632" s="1" t="str">
        <f>"PUREPERO"</f>
        <v>PUREPERO</v>
      </c>
      <c r="D632" s="2">
        <v>5</v>
      </c>
      <c r="E632" s="3">
        <v>2.9999999999999997E-4</v>
      </c>
    </row>
    <row r="633" spans="2:5">
      <c r="B633" s="31"/>
      <c r="C633" s="1" t="str">
        <f>"PURUANDIRO"</f>
        <v>PURUANDIRO</v>
      </c>
      <c r="D633" s="2">
        <v>36</v>
      </c>
      <c r="E633" s="3">
        <v>1.8E-3</v>
      </c>
    </row>
    <row r="634" spans="2:5">
      <c r="B634" s="31"/>
      <c r="C634" s="1" t="str">
        <f>"QUIROGA"</f>
        <v>QUIROGA</v>
      </c>
      <c r="D634" s="2">
        <v>4</v>
      </c>
      <c r="E634" s="3">
        <v>2.0000000000000001E-4</v>
      </c>
    </row>
    <row r="635" spans="2:5">
      <c r="B635" s="31"/>
      <c r="C635" s="1" t="str">
        <f>"SAHUAYO"</f>
        <v>SAHUAYO</v>
      </c>
      <c r="D635" s="2">
        <v>13</v>
      </c>
      <c r="E635" s="3">
        <v>6.9999999999999999E-4</v>
      </c>
    </row>
    <row r="636" spans="2:5">
      <c r="B636" s="31"/>
      <c r="C636" s="1" t="str">
        <f>"SALVADOR ESCALANTE"</f>
        <v>SALVADOR ESCALANTE</v>
      </c>
      <c r="D636" s="2">
        <v>10</v>
      </c>
      <c r="E636" s="3">
        <v>5.0000000000000001E-4</v>
      </c>
    </row>
    <row r="637" spans="2:5">
      <c r="B637" s="31"/>
      <c r="C637" s="1" t="str">
        <f>"SAN LUCAS"</f>
        <v>SAN LUCAS</v>
      </c>
      <c r="D637" s="2">
        <v>3</v>
      </c>
      <c r="E637" s="3">
        <v>2.0000000000000001E-4</v>
      </c>
    </row>
    <row r="638" spans="2:5">
      <c r="B638" s="31"/>
      <c r="C638" s="1" t="str">
        <f>"SANTA ANA MAYA"</f>
        <v>SANTA ANA MAYA</v>
      </c>
      <c r="D638" s="2">
        <v>2</v>
      </c>
      <c r="E638" s="3">
        <v>1E-4</v>
      </c>
    </row>
    <row r="639" spans="2:5">
      <c r="B639" s="31"/>
      <c r="C639" s="1" t="str">
        <f>"SENGUIO"</f>
        <v>SENGUIO</v>
      </c>
      <c r="D639" s="2">
        <v>1</v>
      </c>
      <c r="E639" s="3">
        <v>1E-4</v>
      </c>
    </row>
    <row r="640" spans="2:5">
      <c r="B640" s="31"/>
      <c r="C640" s="1" t="str">
        <f>"SUSUPUATO"</f>
        <v>SUSUPUATO</v>
      </c>
      <c r="D640" s="2">
        <v>1</v>
      </c>
      <c r="E640" s="3">
        <v>1E-4</v>
      </c>
    </row>
    <row r="641" spans="2:5">
      <c r="B641" s="31"/>
      <c r="C641" s="1" t="str">
        <f>"TACAMBARO"</f>
        <v>TACAMBARO</v>
      </c>
      <c r="D641" s="2">
        <v>9</v>
      </c>
      <c r="E641" s="3">
        <v>5.0000000000000001E-4</v>
      </c>
    </row>
    <row r="642" spans="2:5">
      <c r="B642" s="31"/>
      <c r="C642" s="1" t="str">
        <f>"TANCITARO"</f>
        <v>TANCITARO</v>
      </c>
      <c r="D642" s="2">
        <v>18</v>
      </c>
      <c r="E642" s="3">
        <v>8.9999999999999998E-4</v>
      </c>
    </row>
    <row r="643" spans="2:5">
      <c r="B643" s="31"/>
      <c r="C643" s="1" t="str">
        <f>"TANGAMANDAPIO"</f>
        <v>TANGAMANDAPIO</v>
      </c>
      <c r="D643" s="2">
        <v>9</v>
      </c>
      <c r="E643" s="3">
        <v>5.0000000000000001E-4</v>
      </c>
    </row>
    <row r="644" spans="2:5">
      <c r="B644" s="31"/>
      <c r="C644" s="1" t="str">
        <f>"TANGANCICUARO"</f>
        <v>TANGANCICUARO</v>
      </c>
      <c r="D644" s="2">
        <v>11</v>
      </c>
      <c r="E644" s="3">
        <v>5.9999999999999995E-4</v>
      </c>
    </row>
    <row r="645" spans="2:5">
      <c r="B645" s="31"/>
      <c r="C645" s="1" t="str">
        <f>"TANHUATO"</f>
        <v>TANHUATO</v>
      </c>
      <c r="D645" s="2">
        <v>3</v>
      </c>
      <c r="E645" s="3">
        <v>2.0000000000000001E-4</v>
      </c>
    </row>
    <row r="646" spans="2:5">
      <c r="B646" s="31"/>
      <c r="C646" s="1" t="str">
        <f>"TARETAN"</f>
        <v>TARETAN</v>
      </c>
      <c r="D646" s="2">
        <v>6</v>
      </c>
      <c r="E646" s="3">
        <v>2.9999999999999997E-4</v>
      </c>
    </row>
    <row r="647" spans="2:5">
      <c r="B647" s="31"/>
      <c r="C647" s="1" t="str">
        <f>"TARIMBARO"</f>
        <v>TARIMBARO</v>
      </c>
      <c r="D647" s="2">
        <v>2</v>
      </c>
      <c r="E647" s="3">
        <v>1E-4</v>
      </c>
    </row>
    <row r="648" spans="2:5">
      <c r="B648" s="31"/>
      <c r="C648" s="1" t="str">
        <f>"TEPALCATEPEC"</f>
        <v>TEPALCATEPEC</v>
      </c>
      <c r="D648" s="2">
        <v>17</v>
      </c>
      <c r="E648" s="3">
        <v>8.9999999999999998E-4</v>
      </c>
    </row>
    <row r="649" spans="2:5">
      <c r="B649" s="31"/>
      <c r="C649" s="1" t="str">
        <f>"TINGAMBATO"</f>
        <v>TINGAMBATO</v>
      </c>
      <c r="D649" s="2">
        <v>2</v>
      </c>
      <c r="E649" s="3">
        <v>1E-4</v>
      </c>
    </row>
    <row r="650" spans="2:5">
      <c r="B650" s="31"/>
      <c r="C650" s="1" t="str">
        <f>"TINGUINDIN"</f>
        <v>TINGUINDIN</v>
      </c>
      <c r="D650" s="2">
        <v>1</v>
      </c>
      <c r="E650" s="3">
        <v>1E-4</v>
      </c>
    </row>
    <row r="651" spans="2:5" ht="30">
      <c r="B651" s="31"/>
      <c r="C651" s="1" t="str">
        <f>"TIQUICHEO DE NICOLAS ROMERO"</f>
        <v>TIQUICHEO DE NICOLAS ROMERO</v>
      </c>
      <c r="D651" s="2">
        <v>9</v>
      </c>
      <c r="E651" s="3">
        <v>5.0000000000000001E-4</v>
      </c>
    </row>
    <row r="652" spans="2:5">
      <c r="B652" s="31"/>
      <c r="C652" s="1" t="str">
        <f>"TLALPUJAHUA"</f>
        <v>TLALPUJAHUA</v>
      </c>
      <c r="D652" s="2">
        <v>3</v>
      </c>
      <c r="E652" s="3">
        <v>2.0000000000000001E-4</v>
      </c>
    </row>
    <row r="653" spans="2:5">
      <c r="B653" s="31"/>
      <c r="C653" s="1" t="str">
        <f>"TLAZAZALCA"</f>
        <v>TLAZAZALCA</v>
      </c>
      <c r="D653" s="2">
        <v>7</v>
      </c>
      <c r="E653" s="3">
        <v>4.0000000000000002E-4</v>
      </c>
    </row>
    <row r="654" spans="2:5">
      <c r="B654" s="31"/>
      <c r="C654" s="1" t="str">
        <f>"TOCUMBO"</f>
        <v>TOCUMBO</v>
      </c>
      <c r="D654" s="2">
        <v>2</v>
      </c>
      <c r="E654" s="3">
        <v>1E-4</v>
      </c>
    </row>
    <row r="655" spans="2:5">
      <c r="B655" s="31"/>
      <c r="C655" s="1" t="str">
        <f>"TUMBISCATIO"</f>
        <v>TUMBISCATIO</v>
      </c>
      <c r="D655" s="2">
        <v>5</v>
      </c>
      <c r="E655" s="3">
        <v>2.9999999999999997E-4</v>
      </c>
    </row>
    <row r="656" spans="2:5">
      <c r="B656" s="31"/>
      <c r="C656" s="1" t="str">
        <f>"TURICATO"</f>
        <v>TURICATO</v>
      </c>
      <c r="D656" s="2">
        <v>11</v>
      </c>
      <c r="E656" s="3">
        <v>5.9999999999999995E-4</v>
      </c>
    </row>
    <row r="657" spans="2:5">
      <c r="B657" s="31"/>
      <c r="C657" s="1" t="str">
        <f>"TUXPAN"</f>
        <v>TUXPAN</v>
      </c>
      <c r="D657" s="2">
        <v>4</v>
      </c>
      <c r="E657" s="3">
        <v>2.0000000000000001E-4</v>
      </c>
    </row>
    <row r="658" spans="2:5">
      <c r="B658" s="31"/>
      <c r="C658" s="1" t="str">
        <f>"TUZANTLA"</f>
        <v>TUZANTLA</v>
      </c>
      <c r="D658" s="2">
        <v>5</v>
      </c>
      <c r="E658" s="3">
        <v>2.9999999999999997E-4</v>
      </c>
    </row>
    <row r="659" spans="2:5">
      <c r="B659" s="31"/>
      <c r="C659" s="1" t="str">
        <f>"TZITZIO"</f>
        <v>TZITZIO</v>
      </c>
      <c r="D659" s="2">
        <v>1</v>
      </c>
      <c r="E659" s="3">
        <v>1E-4</v>
      </c>
    </row>
    <row r="660" spans="2:5">
      <c r="B660" s="31"/>
      <c r="C660" s="1" t="str">
        <f>"URUAPAN"</f>
        <v>URUAPAN</v>
      </c>
      <c r="D660" s="2">
        <v>36</v>
      </c>
      <c r="E660" s="3">
        <v>1.8E-3</v>
      </c>
    </row>
    <row r="661" spans="2:5">
      <c r="B661" s="31"/>
      <c r="C661" s="1" t="str">
        <f>"VISTA HERMOSA"</f>
        <v>VISTA HERMOSA</v>
      </c>
      <c r="D661" s="2">
        <v>1</v>
      </c>
      <c r="E661" s="3">
        <v>1E-4</v>
      </c>
    </row>
    <row r="662" spans="2:5">
      <c r="B662" s="31"/>
      <c r="C662" s="1" t="str">
        <f>"YURECUARO"</f>
        <v>YURECUARO</v>
      </c>
      <c r="D662" s="2">
        <v>3</v>
      </c>
      <c r="E662" s="3">
        <v>2.0000000000000001E-4</v>
      </c>
    </row>
    <row r="663" spans="2:5">
      <c r="B663" s="31"/>
      <c r="C663" s="1" t="str">
        <f>"ZACAPU"</f>
        <v>ZACAPU</v>
      </c>
      <c r="D663" s="2">
        <v>18</v>
      </c>
      <c r="E663" s="3">
        <v>8.9999999999999998E-4</v>
      </c>
    </row>
    <row r="664" spans="2:5">
      <c r="B664" s="31"/>
      <c r="C664" s="1" t="str">
        <f>"ZAMORA"</f>
        <v>ZAMORA</v>
      </c>
      <c r="D664" s="2">
        <v>24</v>
      </c>
      <c r="E664" s="3">
        <v>1.1999999999999999E-3</v>
      </c>
    </row>
    <row r="665" spans="2:5">
      <c r="B665" s="31"/>
      <c r="C665" s="1" t="str">
        <f>"ZINAPARO"</f>
        <v>ZINAPARO</v>
      </c>
      <c r="D665" s="2">
        <v>1</v>
      </c>
      <c r="E665" s="3">
        <v>1E-4</v>
      </c>
    </row>
    <row r="666" spans="2:5">
      <c r="B666" s="31"/>
      <c r="C666" s="1" t="str">
        <f>"ZINAPECUARO"</f>
        <v>ZINAPECUARO</v>
      </c>
      <c r="D666" s="2">
        <v>1</v>
      </c>
      <c r="E666" s="3">
        <v>1E-4</v>
      </c>
    </row>
    <row r="667" spans="2:5">
      <c r="B667" s="31"/>
      <c r="C667" s="1" t="str">
        <f>"ZITACUARO"</f>
        <v>ZITACUARO</v>
      </c>
      <c r="D667" s="2">
        <v>16</v>
      </c>
      <c r="E667" s="3">
        <v>8.0000000000000004E-4</v>
      </c>
    </row>
    <row r="668" spans="2:5">
      <c r="B668" s="32"/>
      <c r="C668" s="14" t="str">
        <f>"Total"</f>
        <v>Total</v>
      </c>
      <c r="D668" s="15">
        <v>788</v>
      </c>
      <c r="E668" s="21">
        <v>4.0300000000000002E-2</v>
      </c>
    </row>
    <row r="669" spans="2:5">
      <c r="B669" s="30" t="str">
        <f t="shared" ref="B669" si="13">"MORELOS"</f>
        <v>MORELOS</v>
      </c>
      <c r="C669" s="22" t="str">
        <f>"AMACUZAC"</f>
        <v>AMACUZAC</v>
      </c>
      <c r="D669" s="2">
        <v>4</v>
      </c>
      <c r="E669" s="3">
        <v>2.0000000000000001E-4</v>
      </c>
    </row>
    <row r="670" spans="2:5">
      <c r="B670" s="31"/>
      <c r="C670" s="1" t="str">
        <f>"AXOCHIAPAN"</f>
        <v>AXOCHIAPAN</v>
      </c>
      <c r="D670" s="2">
        <v>2</v>
      </c>
      <c r="E670" s="3">
        <v>1E-4</v>
      </c>
    </row>
    <row r="671" spans="2:5">
      <c r="B671" s="31"/>
      <c r="C671" s="1" t="str">
        <f>"AYALA"</f>
        <v>AYALA</v>
      </c>
      <c r="D671" s="2">
        <v>12</v>
      </c>
      <c r="E671" s="3">
        <v>5.9999999999999995E-4</v>
      </c>
    </row>
    <row r="672" spans="2:5">
      <c r="B672" s="31"/>
      <c r="C672" s="1" t="str">
        <f>"COATLAN DEL RIO"</f>
        <v>COATLAN DEL RIO</v>
      </c>
      <c r="D672" s="2">
        <v>3</v>
      </c>
      <c r="E672" s="3">
        <v>2.0000000000000001E-4</v>
      </c>
    </row>
    <row r="673" spans="2:5">
      <c r="B673" s="31"/>
      <c r="C673" s="1" t="str">
        <f>"CUAUTLA"</f>
        <v>CUAUTLA</v>
      </c>
      <c r="D673" s="2">
        <v>19</v>
      </c>
      <c r="E673" s="3">
        <v>1E-3</v>
      </c>
    </row>
    <row r="674" spans="2:5">
      <c r="B674" s="31"/>
      <c r="C674" s="1" t="str">
        <f>"CUERNAVACA"</f>
        <v>CUERNAVACA</v>
      </c>
      <c r="D674" s="2">
        <v>92</v>
      </c>
      <c r="E674" s="3">
        <v>4.7000000000000002E-3</v>
      </c>
    </row>
    <row r="675" spans="2:5">
      <c r="B675" s="31"/>
      <c r="C675" s="1" t="str">
        <f>"EMILIANO ZAPATA"</f>
        <v>EMILIANO ZAPATA</v>
      </c>
      <c r="D675" s="2">
        <v>8</v>
      </c>
      <c r="E675" s="3">
        <v>4.0000000000000002E-4</v>
      </c>
    </row>
    <row r="676" spans="2:5">
      <c r="B676" s="31"/>
      <c r="C676" s="1" t="str">
        <f>"JIUTEPEC"</f>
        <v>JIUTEPEC</v>
      </c>
      <c r="D676" s="2">
        <v>8</v>
      </c>
      <c r="E676" s="3">
        <v>4.0000000000000002E-4</v>
      </c>
    </row>
    <row r="677" spans="2:5">
      <c r="B677" s="31"/>
      <c r="C677" s="1" t="str">
        <f>"JOJUTLA"</f>
        <v>JOJUTLA</v>
      </c>
      <c r="D677" s="2">
        <v>57</v>
      </c>
      <c r="E677" s="3">
        <v>2.8999999999999998E-3</v>
      </c>
    </row>
    <row r="678" spans="2:5">
      <c r="B678" s="31"/>
      <c r="C678" s="1" t="str">
        <f>"MIACATLAN"</f>
        <v>MIACATLAN</v>
      </c>
      <c r="D678" s="2">
        <v>2</v>
      </c>
      <c r="E678" s="3">
        <v>1E-4</v>
      </c>
    </row>
    <row r="679" spans="2:5">
      <c r="B679" s="31"/>
      <c r="C679" s="1" t="str">
        <f>"OCUITUCO"</f>
        <v>OCUITUCO</v>
      </c>
      <c r="D679" s="2">
        <v>4</v>
      </c>
      <c r="E679" s="3">
        <v>2.0000000000000001E-4</v>
      </c>
    </row>
    <row r="680" spans="2:5">
      <c r="B680" s="31"/>
      <c r="C680" s="1" t="str">
        <f>"PUENTE DE IXTLA"</f>
        <v>PUENTE DE IXTLA</v>
      </c>
      <c r="D680" s="2">
        <v>11</v>
      </c>
      <c r="E680" s="3">
        <v>5.9999999999999995E-4</v>
      </c>
    </row>
    <row r="681" spans="2:5">
      <c r="B681" s="31"/>
      <c r="C681" s="1" t="str">
        <f>"TEMIXCO"</f>
        <v>TEMIXCO</v>
      </c>
      <c r="D681" s="2">
        <v>11</v>
      </c>
      <c r="E681" s="3">
        <v>5.9999999999999995E-4</v>
      </c>
    </row>
    <row r="682" spans="2:5">
      <c r="B682" s="31"/>
      <c r="C682" s="1" t="str">
        <f>"TEMOAC"</f>
        <v>TEMOAC</v>
      </c>
      <c r="D682" s="2">
        <v>1</v>
      </c>
      <c r="E682" s="3">
        <v>1E-4</v>
      </c>
    </row>
    <row r="683" spans="2:5">
      <c r="B683" s="31"/>
      <c r="C683" s="1" t="str">
        <f>"TEPALCINGO"</f>
        <v>TEPALCINGO</v>
      </c>
      <c r="D683" s="2">
        <v>12</v>
      </c>
      <c r="E683" s="3">
        <v>5.9999999999999995E-4</v>
      </c>
    </row>
    <row r="684" spans="2:5">
      <c r="B684" s="31"/>
      <c r="C684" s="1" t="str">
        <f>"TEPOZTLAN"</f>
        <v>TEPOZTLAN</v>
      </c>
      <c r="D684" s="2">
        <v>1</v>
      </c>
      <c r="E684" s="3">
        <v>1E-4</v>
      </c>
    </row>
    <row r="685" spans="2:5">
      <c r="B685" s="31"/>
      <c r="C685" s="1" t="str">
        <f>"TETECALA"</f>
        <v>TETECALA</v>
      </c>
      <c r="D685" s="2">
        <v>1</v>
      </c>
      <c r="E685" s="3">
        <v>1E-4</v>
      </c>
    </row>
    <row r="686" spans="2:5">
      <c r="B686" s="31"/>
      <c r="C686" s="1" t="str">
        <f>"TLALTIZAPAN"</f>
        <v>TLALTIZAPAN</v>
      </c>
      <c r="D686" s="2">
        <v>35</v>
      </c>
      <c r="E686" s="3">
        <v>1.8E-3</v>
      </c>
    </row>
    <row r="687" spans="2:5">
      <c r="B687" s="31"/>
      <c r="C687" s="1" t="str">
        <f>"TLAQUILTENANGO"</f>
        <v>TLAQUILTENANGO</v>
      </c>
      <c r="D687" s="2">
        <v>48</v>
      </c>
      <c r="E687" s="3">
        <v>2.5000000000000001E-3</v>
      </c>
    </row>
    <row r="688" spans="2:5">
      <c r="B688" s="31"/>
      <c r="C688" s="1" t="str">
        <f>"XOCHITEPEC"</f>
        <v>XOCHITEPEC</v>
      </c>
      <c r="D688" s="2">
        <v>3</v>
      </c>
      <c r="E688" s="3">
        <v>2.0000000000000001E-4</v>
      </c>
    </row>
    <row r="689" spans="2:5">
      <c r="B689" s="31"/>
      <c r="C689" s="1" t="str">
        <f>"YAUTEPEC"</f>
        <v>YAUTEPEC</v>
      </c>
      <c r="D689" s="2">
        <v>11</v>
      </c>
      <c r="E689" s="3">
        <v>5.9999999999999995E-4</v>
      </c>
    </row>
    <row r="690" spans="2:5">
      <c r="B690" s="31"/>
      <c r="C690" s="1" t="str">
        <f>"YECAPIXTLA"</f>
        <v>YECAPIXTLA</v>
      </c>
      <c r="D690" s="2">
        <v>2</v>
      </c>
      <c r="E690" s="3">
        <v>1E-4</v>
      </c>
    </row>
    <row r="691" spans="2:5">
      <c r="B691" s="31"/>
      <c r="C691" s="1" t="str">
        <f>"ZACATEPEC DE HIDALGO"</f>
        <v>ZACATEPEC DE HIDALGO</v>
      </c>
      <c r="D691" s="2">
        <v>52</v>
      </c>
      <c r="E691" s="3">
        <v>2.7000000000000001E-3</v>
      </c>
    </row>
    <row r="692" spans="2:5">
      <c r="B692" s="31"/>
      <c r="C692" s="1" t="str">
        <f>"ZACUALPAN DE AMILPAS"</f>
        <v>ZACUALPAN DE AMILPAS</v>
      </c>
      <c r="D692" s="2">
        <v>2</v>
      </c>
      <c r="E692" s="3">
        <v>1E-4</v>
      </c>
    </row>
    <row r="693" spans="2:5">
      <c r="B693" s="32"/>
      <c r="C693" s="14" t="str">
        <f>"Total"</f>
        <v>Total</v>
      </c>
      <c r="D693" s="15">
        <v>401</v>
      </c>
      <c r="E693" s="21">
        <v>2.0500000000000001E-2</v>
      </c>
    </row>
    <row r="694" spans="2:5">
      <c r="B694" s="30" t="str">
        <f t="shared" ref="B694" si="14">"NAYARIT"</f>
        <v>NAYARIT</v>
      </c>
      <c r="C694" s="1" t="str">
        <f>"ACAPONETA"</f>
        <v>ACAPONETA</v>
      </c>
      <c r="D694" s="2">
        <v>5</v>
      </c>
      <c r="E694" s="3">
        <v>2.9999999999999997E-4</v>
      </c>
    </row>
    <row r="695" spans="2:5">
      <c r="B695" s="31"/>
      <c r="C695" s="1" t="str">
        <f>"AHUACATLAN"</f>
        <v>AHUACATLAN</v>
      </c>
      <c r="D695" s="2">
        <v>1</v>
      </c>
      <c r="E695" s="3">
        <v>1E-4</v>
      </c>
    </row>
    <row r="696" spans="2:5">
      <c r="B696" s="31"/>
      <c r="C696" s="1" t="str">
        <f>"AMATLAN DE CAÑAS"</f>
        <v>AMATLAN DE CAÑAS</v>
      </c>
      <c r="D696" s="2">
        <v>2</v>
      </c>
      <c r="E696" s="3">
        <v>1E-4</v>
      </c>
    </row>
    <row r="697" spans="2:5">
      <c r="B697" s="31"/>
      <c r="C697" s="1" t="str">
        <f>"BAHIA DE BANDERAS"</f>
        <v>BAHIA DE BANDERAS</v>
      </c>
      <c r="D697" s="2">
        <v>6</v>
      </c>
      <c r="E697" s="3">
        <v>2.9999999999999997E-4</v>
      </c>
    </row>
    <row r="698" spans="2:5">
      <c r="B698" s="31"/>
      <c r="C698" s="1" t="str">
        <f>"COMPOSTELA"</f>
        <v>COMPOSTELA</v>
      </c>
      <c r="D698" s="2">
        <v>36</v>
      </c>
      <c r="E698" s="3">
        <v>1.8E-3</v>
      </c>
    </row>
    <row r="699" spans="2:5">
      <c r="B699" s="31"/>
      <c r="C699" s="1" t="str">
        <f>"DEL NAYAR"</f>
        <v>DEL NAYAR</v>
      </c>
      <c r="D699" s="2">
        <v>32</v>
      </c>
      <c r="E699" s="3">
        <v>1.6000000000000001E-3</v>
      </c>
    </row>
    <row r="700" spans="2:5">
      <c r="B700" s="31"/>
      <c r="C700" s="1" t="str">
        <f>"HUAJICORI"</f>
        <v>HUAJICORI</v>
      </c>
      <c r="D700" s="2">
        <v>2</v>
      </c>
      <c r="E700" s="3">
        <v>1E-4</v>
      </c>
    </row>
    <row r="701" spans="2:5">
      <c r="B701" s="31"/>
      <c r="C701" s="1" t="str">
        <f>"IXTLAN DEL RIO"</f>
        <v>IXTLAN DEL RIO</v>
      </c>
      <c r="D701" s="2">
        <v>6</v>
      </c>
      <c r="E701" s="3">
        <v>2.9999999999999997E-4</v>
      </c>
    </row>
    <row r="702" spans="2:5">
      <c r="B702" s="31"/>
      <c r="C702" s="1" t="str">
        <f>"JALA"</f>
        <v>JALA</v>
      </c>
      <c r="D702" s="2">
        <v>2</v>
      </c>
      <c r="E702" s="3">
        <v>1E-4</v>
      </c>
    </row>
    <row r="703" spans="2:5">
      <c r="B703" s="31"/>
      <c r="C703" s="1" t="str">
        <f>"LA YESCA"</f>
        <v>LA YESCA</v>
      </c>
      <c r="D703" s="2">
        <v>4</v>
      </c>
      <c r="E703" s="3">
        <v>2.0000000000000001E-4</v>
      </c>
    </row>
    <row r="704" spans="2:5">
      <c r="B704" s="31"/>
      <c r="C704" s="1" t="str">
        <f>"ROSAMORADA"</f>
        <v>ROSAMORADA</v>
      </c>
      <c r="D704" s="2">
        <v>6</v>
      </c>
      <c r="E704" s="3">
        <v>2.9999999999999997E-4</v>
      </c>
    </row>
    <row r="705" spans="2:5">
      <c r="B705" s="31"/>
      <c r="C705" s="1" t="str">
        <f>"RUIZ"</f>
        <v>RUIZ</v>
      </c>
      <c r="D705" s="2">
        <v>3</v>
      </c>
      <c r="E705" s="3">
        <v>2.0000000000000001E-4</v>
      </c>
    </row>
    <row r="706" spans="2:5">
      <c r="B706" s="31"/>
      <c r="C706" s="1" t="str">
        <f>"SAN BLAS"</f>
        <v>SAN BLAS</v>
      </c>
      <c r="D706" s="2">
        <v>20</v>
      </c>
      <c r="E706" s="3">
        <v>1E-3</v>
      </c>
    </row>
    <row r="707" spans="2:5">
      <c r="B707" s="31"/>
      <c r="C707" s="1" t="str">
        <f>"SAN PEDRO LAGUNILLAS"</f>
        <v>SAN PEDRO LAGUNILLAS</v>
      </c>
      <c r="D707" s="2">
        <v>1</v>
      </c>
      <c r="E707" s="3">
        <v>1E-4</v>
      </c>
    </row>
    <row r="708" spans="2:5">
      <c r="B708" s="31"/>
      <c r="C708" s="1" t="str">
        <f>"SANTA MARIA DEL ORO"</f>
        <v>SANTA MARIA DEL ORO</v>
      </c>
      <c r="D708" s="2">
        <v>4</v>
      </c>
      <c r="E708" s="3">
        <v>2.0000000000000001E-4</v>
      </c>
    </row>
    <row r="709" spans="2:5">
      <c r="B709" s="31"/>
      <c r="C709" s="1" t="str">
        <f>"SANTIAGO IXCUINTLA"</f>
        <v>SANTIAGO IXCUINTLA</v>
      </c>
      <c r="D709" s="2">
        <v>53</v>
      </c>
      <c r="E709" s="3">
        <v>2.7000000000000001E-3</v>
      </c>
    </row>
    <row r="710" spans="2:5">
      <c r="B710" s="31"/>
      <c r="C710" s="1" t="str">
        <f>"TECUALA"</f>
        <v>TECUALA</v>
      </c>
      <c r="D710" s="2">
        <v>10</v>
      </c>
      <c r="E710" s="3">
        <v>5.0000000000000001E-4</v>
      </c>
    </row>
    <row r="711" spans="2:5">
      <c r="B711" s="31"/>
      <c r="C711" s="1" t="str">
        <f>"TEPIC"</f>
        <v>TEPIC</v>
      </c>
      <c r="D711" s="2">
        <v>74</v>
      </c>
      <c r="E711" s="3">
        <v>3.8E-3</v>
      </c>
    </row>
    <row r="712" spans="2:5">
      <c r="B712" s="31"/>
      <c r="C712" s="1" t="str">
        <f>"TUXPAN"</f>
        <v>TUXPAN</v>
      </c>
      <c r="D712" s="2">
        <v>5</v>
      </c>
      <c r="E712" s="3">
        <v>2.9999999999999997E-4</v>
      </c>
    </row>
    <row r="713" spans="2:5">
      <c r="B713" s="31"/>
      <c r="C713" s="1" t="str">
        <f>"XALISCO"</f>
        <v>XALISCO</v>
      </c>
      <c r="D713" s="2">
        <v>4</v>
      </c>
      <c r="E713" s="3">
        <v>2.0000000000000001E-4</v>
      </c>
    </row>
    <row r="714" spans="2:5">
      <c r="B714" s="32"/>
      <c r="C714" s="14" t="str">
        <f>"Total"</f>
        <v>Total</v>
      </c>
      <c r="D714" s="15">
        <v>276</v>
      </c>
      <c r="E714" s="21">
        <v>1.41E-2</v>
      </c>
    </row>
    <row r="715" spans="2:5">
      <c r="B715" s="30" t="str">
        <f t="shared" ref="B715" si="15">"NUEVO LEON"</f>
        <v>NUEVO LEON</v>
      </c>
      <c r="C715" s="1" t="str">
        <f>"ABASOLO"</f>
        <v>ABASOLO</v>
      </c>
      <c r="D715" s="2">
        <v>2</v>
      </c>
      <c r="E715" s="3">
        <v>1E-4</v>
      </c>
    </row>
    <row r="716" spans="2:5">
      <c r="B716" s="31"/>
      <c r="C716" s="1" t="str">
        <f>"ARAMBERRI"</f>
        <v>ARAMBERRI</v>
      </c>
      <c r="D716" s="2">
        <v>1</v>
      </c>
      <c r="E716" s="3">
        <v>1E-4</v>
      </c>
    </row>
    <row r="717" spans="2:5">
      <c r="B717" s="31"/>
      <c r="C717" s="1" t="str">
        <f>"CADEREYTA JIMENEZ"</f>
        <v>CADEREYTA JIMENEZ</v>
      </c>
      <c r="D717" s="2">
        <v>1</v>
      </c>
      <c r="E717" s="3">
        <v>1E-4</v>
      </c>
    </row>
    <row r="718" spans="2:5">
      <c r="B718" s="31"/>
      <c r="C718" s="1" t="str">
        <f>"CIENEGA DE FLORES"</f>
        <v>CIENEGA DE FLORES</v>
      </c>
      <c r="D718" s="2">
        <v>1</v>
      </c>
      <c r="E718" s="3">
        <v>1E-4</v>
      </c>
    </row>
    <row r="719" spans="2:5">
      <c r="B719" s="31"/>
      <c r="C719" s="1" t="str">
        <f>"DR. ARROYO"</f>
        <v>DR. ARROYO</v>
      </c>
      <c r="D719" s="2">
        <v>4</v>
      </c>
      <c r="E719" s="3">
        <v>2.0000000000000001E-4</v>
      </c>
    </row>
    <row r="720" spans="2:5">
      <c r="B720" s="31"/>
      <c r="C720" s="1" t="str">
        <f>"GALEANA"</f>
        <v>GALEANA</v>
      </c>
      <c r="D720" s="2">
        <v>1</v>
      </c>
      <c r="E720" s="3">
        <v>1E-4</v>
      </c>
    </row>
    <row r="721" spans="2:5">
      <c r="B721" s="31"/>
      <c r="C721" s="1" t="str">
        <f>"GRAL. TERAN"</f>
        <v>GRAL. TERAN</v>
      </c>
      <c r="D721" s="2">
        <v>1</v>
      </c>
      <c r="E721" s="3">
        <v>1E-4</v>
      </c>
    </row>
    <row r="722" spans="2:5">
      <c r="B722" s="31"/>
      <c r="C722" s="1" t="str">
        <f>"GUADALUPE"</f>
        <v>GUADALUPE</v>
      </c>
      <c r="D722" s="2">
        <v>7</v>
      </c>
      <c r="E722" s="3">
        <v>4.0000000000000002E-4</v>
      </c>
    </row>
    <row r="723" spans="2:5">
      <c r="B723" s="31"/>
      <c r="C723" s="1" t="str">
        <f>"HIDALGO"</f>
        <v>HIDALGO</v>
      </c>
      <c r="D723" s="2">
        <v>1</v>
      </c>
      <c r="E723" s="3">
        <v>1E-4</v>
      </c>
    </row>
    <row r="724" spans="2:5">
      <c r="B724" s="31"/>
      <c r="C724" s="1" t="str">
        <f>"LAMPAZOS DE NARANJO"</f>
        <v>LAMPAZOS DE NARANJO</v>
      </c>
      <c r="D724" s="2">
        <v>2</v>
      </c>
      <c r="E724" s="3">
        <v>1E-4</v>
      </c>
    </row>
    <row r="725" spans="2:5">
      <c r="B725" s="31"/>
      <c r="C725" s="1" t="str">
        <f>"LINARES"</f>
        <v>LINARES</v>
      </c>
      <c r="D725" s="2">
        <v>6</v>
      </c>
      <c r="E725" s="3">
        <v>2.9999999999999997E-4</v>
      </c>
    </row>
    <row r="726" spans="2:5">
      <c r="B726" s="31"/>
      <c r="C726" s="1" t="str">
        <f>"LOS ALDAMAS"</f>
        <v>LOS ALDAMAS</v>
      </c>
      <c r="D726" s="2">
        <v>1</v>
      </c>
      <c r="E726" s="3">
        <v>1E-4</v>
      </c>
    </row>
    <row r="727" spans="2:5">
      <c r="B727" s="31"/>
      <c r="C727" s="1" t="str">
        <f>"LOS HERRERAS"</f>
        <v>LOS HERRERAS</v>
      </c>
      <c r="D727" s="2">
        <v>1</v>
      </c>
      <c r="E727" s="3">
        <v>1E-4</v>
      </c>
    </row>
    <row r="728" spans="2:5">
      <c r="B728" s="31"/>
      <c r="C728" s="1" t="str">
        <f>"MIER Y NORIEGA"</f>
        <v>MIER Y NORIEGA</v>
      </c>
      <c r="D728" s="2">
        <v>3</v>
      </c>
      <c r="E728" s="3">
        <v>2.0000000000000001E-4</v>
      </c>
    </row>
    <row r="729" spans="2:5">
      <c r="B729" s="31"/>
      <c r="C729" s="1" t="str">
        <f>"MONTEMORELOS"</f>
        <v>MONTEMORELOS</v>
      </c>
      <c r="D729" s="2">
        <v>2</v>
      </c>
      <c r="E729" s="3">
        <v>1E-4</v>
      </c>
    </row>
    <row r="730" spans="2:5">
      <c r="B730" s="31"/>
      <c r="C730" s="1" t="str">
        <f>"MONTERREY"</f>
        <v>MONTERREY</v>
      </c>
      <c r="D730" s="2">
        <v>40</v>
      </c>
      <c r="E730" s="3">
        <v>2E-3</v>
      </c>
    </row>
    <row r="731" spans="2:5">
      <c r="B731" s="31"/>
      <c r="C731" s="1" t="str">
        <f>"SAN NICOLAS DE LOS GARZA"</f>
        <v>SAN NICOLAS DE LOS GARZA</v>
      </c>
      <c r="D731" s="2">
        <v>5</v>
      </c>
      <c r="E731" s="3">
        <v>2.9999999999999997E-4</v>
      </c>
    </row>
    <row r="732" spans="2:5">
      <c r="B732" s="32"/>
      <c r="C732" s="14" t="str">
        <f>"Total"</f>
        <v>Total</v>
      </c>
      <c r="D732" s="15">
        <v>79</v>
      </c>
      <c r="E732" s="21">
        <v>4.0000000000000001E-3</v>
      </c>
    </row>
    <row r="733" spans="2:5" ht="30">
      <c r="B733" s="30" t="str">
        <f t="shared" ref="B733" si="16">"OAXACA"</f>
        <v>OAXACA</v>
      </c>
      <c r="C733" s="1" t="str">
        <f>"ACATLAN DE PEREZ FIGUEROA"</f>
        <v>ACATLAN DE PEREZ FIGUEROA</v>
      </c>
      <c r="D733" s="2">
        <v>1</v>
      </c>
      <c r="E733" s="3">
        <v>1E-4</v>
      </c>
    </row>
    <row r="734" spans="2:5">
      <c r="B734" s="31"/>
      <c r="C734" s="1" t="str">
        <f>"ASUNCION NOCHIXTLAN"</f>
        <v>ASUNCION NOCHIXTLAN</v>
      </c>
      <c r="D734" s="2">
        <v>4</v>
      </c>
      <c r="E734" s="3">
        <v>2.0000000000000001E-4</v>
      </c>
    </row>
    <row r="735" spans="2:5">
      <c r="B735" s="31"/>
      <c r="C735" s="1" t="str">
        <f>"AYOTZINTEPEC"</f>
        <v>AYOTZINTEPEC</v>
      </c>
      <c r="D735" s="2">
        <v>1</v>
      </c>
      <c r="E735" s="3">
        <v>1E-4</v>
      </c>
    </row>
    <row r="736" spans="2:5">
      <c r="B736" s="31"/>
      <c r="C736" s="1" t="str">
        <f>"CHALCATONGO DE HIDALGO"</f>
        <v>CHALCATONGO DE HIDALGO</v>
      </c>
      <c r="D736" s="2">
        <v>1</v>
      </c>
      <c r="E736" s="3">
        <v>1E-4</v>
      </c>
    </row>
    <row r="737" spans="2:5">
      <c r="B737" s="31"/>
      <c r="C737" s="1" t="str">
        <f>"COSOLAPA"</f>
        <v>COSOLAPA</v>
      </c>
      <c r="D737" s="2">
        <v>1</v>
      </c>
      <c r="E737" s="3">
        <v>1E-4</v>
      </c>
    </row>
    <row r="738" spans="2:5">
      <c r="B738" s="31"/>
      <c r="C738" s="1" t="str">
        <f>"GUADALUPE ETLA"</f>
        <v>GUADALUPE ETLA</v>
      </c>
      <c r="D738" s="2">
        <v>1</v>
      </c>
      <c r="E738" s="3">
        <v>1E-4</v>
      </c>
    </row>
    <row r="739" spans="2:5" ht="30">
      <c r="B739" s="31"/>
      <c r="C739" s="1" t="str">
        <f>"HEROICA CIUDAD DE EJUTLA DE CRESPO"</f>
        <v>HEROICA CIUDAD DE EJUTLA DE CRESPO</v>
      </c>
      <c r="D739" s="2">
        <v>1</v>
      </c>
      <c r="E739" s="3">
        <v>1E-4</v>
      </c>
    </row>
    <row r="740" spans="2:5" ht="30">
      <c r="B740" s="31"/>
      <c r="C740" s="1" t="str">
        <f>"HEROICA CIUDAD DE HUAJUAPAN DE LEON"</f>
        <v>HEROICA CIUDAD DE HUAJUAPAN DE LEON</v>
      </c>
      <c r="D740" s="2">
        <v>3</v>
      </c>
      <c r="E740" s="3">
        <v>2.0000000000000001E-4</v>
      </c>
    </row>
    <row r="741" spans="2:5" ht="30">
      <c r="B741" s="31"/>
      <c r="C741" s="1" t="str">
        <f>"HEROICA CIUDAD DE TLAXIACO"</f>
        <v>HEROICA CIUDAD DE TLAXIACO</v>
      </c>
      <c r="D741" s="2">
        <v>3</v>
      </c>
      <c r="E741" s="3">
        <v>2.0000000000000001E-4</v>
      </c>
    </row>
    <row r="742" spans="2:5">
      <c r="B742" s="31"/>
      <c r="C742" s="1" t="str">
        <f>"IXTLAN DE JUAREZ"</f>
        <v>IXTLAN DE JUAREZ</v>
      </c>
      <c r="D742" s="2">
        <v>4</v>
      </c>
      <c r="E742" s="3">
        <v>2.0000000000000001E-4</v>
      </c>
    </row>
    <row r="743" spans="2:5">
      <c r="B743" s="31"/>
      <c r="C743" s="1" t="str">
        <f>"JUCHITAN DE ZARAGOZA"</f>
        <v>JUCHITAN DE ZARAGOZA</v>
      </c>
      <c r="D743" s="2">
        <v>8</v>
      </c>
      <c r="E743" s="3">
        <v>4.0000000000000002E-4</v>
      </c>
    </row>
    <row r="744" spans="2:5">
      <c r="B744" s="31"/>
      <c r="C744" s="1" t="str">
        <f>"LA COMPAÑIA"</f>
        <v>LA COMPAÑIA</v>
      </c>
      <c r="D744" s="2">
        <v>1</v>
      </c>
      <c r="E744" s="3">
        <v>1E-4</v>
      </c>
    </row>
    <row r="745" spans="2:5">
      <c r="B745" s="31"/>
      <c r="C745" s="1" t="str">
        <f>"LOMA BONITA"</f>
        <v>LOMA BONITA</v>
      </c>
      <c r="D745" s="2">
        <v>35</v>
      </c>
      <c r="E745" s="3">
        <v>1.8E-3</v>
      </c>
    </row>
    <row r="746" spans="2:5">
      <c r="B746" s="31"/>
      <c r="C746" s="1" t="str">
        <f>"MAGDALENA TEQUISISTLAN"</f>
        <v>MAGDALENA TEQUISISTLAN</v>
      </c>
      <c r="D746" s="2">
        <v>1</v>
      </c>
      <c r="E746" s="3">
        <v>1E-4</v>
      </c>
    </row>
    <row r="747" spans="2:5">
      <c r="B747" s="31"/>
      <c r="C747" s="1" t="str">
        <f>"MARISCALA DE JUAREZ"</f>
        <v>MARISCALA DE JUAREZ</v>
      </c>
      <c r="D747" s="2">
        <v>1</v>
      </c>
      <c r="E747" s="3">
        <v>1E-4</v>
      </c>
    </row>
    <row r="748" spans="2:5" ht="30">
      <c r="B748" s="31"/>
      <c r="C748" s="1" t="str">
        <f>"MATIAS ROMERO AVENDAÑO"</f>
        <v>MATIAS ROMERO AVENDAÑO</v>
      </c>
      <c r="D748" s="2">
        <v>1</v>
      </c>
      <c r="E748" s="3">
        <v>1E-4</v>
      </c>
    </row>
    <row r="749" spans="2:5" ht="30">
      <c r="B749" s="31"/>
      <c r="C749" s="1" t="str">
        <f>"MIAHUATLAN DE PORFIRIO DIAZ"</f>
        <v>MIAHUATLAN DE PORFIRIO DIAZ</v>
      </c>
      <c r="D749" s="2">
        <v>6</v>
      </c>
      <c r="E749" s="3">
        <v>2.9999999999999997E-4</v>
      </c>
    </row>
    <row r="750" spans="2:5">
      <c r="B750" s="31"/>
      <c r="C750" s="1" t="str">
        <f>"OAXACA DE JUAREZ"</f>
        <v>OAXACA DE JUAREZ</v>
      </c>
      <c r="D750" s="2">
        <v>122</v>
      </c>
      <c r="E750" s="3">
        <v>6.1999999999999998E-3</v>
      </c>
    </row>
    <row r="751" spans="2:5">
      <c r="B751" s="31"/>
      <c r="C751" s="1" t="str">
        <f>"OCOTLAN DE MORELOS"</f>
        <v>OCOTLAN DE MORELOS</v>
      </c>
      <c r="D751" s="2">
        <v>14</v>
      </c>
      <c r="E751" s="3">
        <v>6.9999999999999999E-4</v>
      </c>
    </row>
    <row r="752" spans="2:5">
      <c r="B752" s="31"/>
      <c r="C752" s="1" t="str">
        <f>"PUTLA VILLA DE GUERRERO"</f>
        <v>PUTLA VILLA DE GUERRERO</v>
      </c>
      <c r="D752" s="2">
        <v>1</v>
      </c>
      <c r="E752" s="3">
        <v>1E-4</v>
      </c>
    </row>
    <row r="753" spans="2:5">
      <c r="B753" s="31"/>
      <c r="C753" s="1" t="str">
        <f>"SALINA CRUZ"</f>
        <v>SALINA CRUZ</v>
      </c>
      <c r="D753" s="2">
        <v>4</v>
      </c>
      <c r="E753" s="3">
        <v>2.0000000000000001E-4</v>
      </c>
    </row>
    <row r="754" spans="2:5">
      <c r="B754" s="31"/>
      <c r="C754" s="1" t="str">
        <f>"SAN AGUSTIN LOXICHA"</f>
        <v>SAN AGUSTIN LOXICHA</v>
      </c>
      <c r="D754" s="2">
        <v>1</v>
      </c>
      <c r="E754" s="3">
        <v>1E-4</v>
      </c>
    </row>
    <row r="755" spans="2:5">
      <c r="B755" s="31"/>
      <c r="C755" s="1" t="str">
        <f>"SAN ANDRES ZABACHE"</f>
        <v>SAN ANDRES ZABACHE</v>
      </c>
      <c r="D755" s="2">
        <v>1</v>
      </c>
      <c r="E755" s="3">
        <v>1E-4</v>
      </c>
    </row>
    <row r="756" spans="2:5" ht="30">
      <c r="B756" s="31"/>
      <c r="C756" s="1" t="str">
        <f>"SAN ANTONIO NANAHUATIPAM"</f>
        <v>SAN ANTONIO NANAHUATIPAM</v>
      </c>
      <c r="D756" s="2">
        <v>1</v>
      </c>
      <c r="E756" s="3">
        <v>1E-4</v>
      </c>
    </row>
    <row r="757" spans="2:5">
      <c r="B757" s="31"/>
      <c r="C757" s="1" t="str">
        <f>"SAN BALTAZAR LOXICHA"</f>
        <v>SAN BALTAZAR LOXICHA</v>
      </c>
      <c r="D757" s="2">
        <v>2</v>
      </c>
      <c r="E757" s="3">
        <v>1E-4</v>
      </c>
    </row>
    <row r="758" spans="2:5">
      <c r="B758" s="31"/>
      <c r="C758" s="1" t="str">
        <f>"SAN CARLOS YAUTEPEC"</f>
        <v>SAN CARLOS YAUTEPEC</v>
      </c>
      <c r="D758" s="2">
        <v>1</v>
      </c>
      <c r="E758" s="3">
        <v>1E-4</v>
      </c>
    </row>
    <row r="759" spans="2:5" ht="15.75" customHeight="1">
      <c r="B759" s="31"/>
      <c r="C759" s="1" t="str">
        <f>"SAN CRISTOBAL AMATLAN"</f>
        <v>SAN CRISTOBAL AMATLAN</v>
      </c>
      <c r="D759" s="2">
        <v>1</v>
      </c>
      <c r="E759" s="3">
        <v>1E-4</v>
      </c>
    </row>
    <row r="760" spans="2:5">
      <c r="B760" s="31"/>
      <c r="C760" s="1" t="str">
        <f>"SAN ESTEBAN ATATLAHUCA"</f>
        <v>SAN ESTEBAN ATATLAHUCA</v>
      </c>
      <c r="D760" s="2">
        <v>1</v>
      </c>
      <c r="E760" s="3">
        <v>1E-4</v>
      </c>
    </row>
    <row r="761" spans="2:5">
      <c r="B761" s="31"/>
      <c r="C761" s="1" t="str">
        <f>"SAN FRANCISCO IXHUATAN"</f>
        <v>SAN FRANCISCO IXHUATAN</v>
      </c>
      <c r="D761" s="2">
        <v>1</v>
      </c>
      <c r="E761" s="3">
        <v>1E-4</v>
      </c>
    </row>
    <row r="762" spans="2:5">
      <c r="B762" s="31"/>
      <c r="C762" s="1" t="str">
        <f>"SAN ILDEFONSO AMATLAN"</f>
        <v>SAN ILDEFONSO AMATLAN</v>
      </c>
      <c r="D762" s="2">
        <v>2</v>
      </c>
      <c r="E762" s="3">
        <v>1E-4</v>
      </c>
    </row>
    <row r="763" spans="2:5">
      <c r="B763" s="31"/>
      <c r="C763" s="1" t="str">
        <f>"SAN JORGE NUCHITA"</f>
        <v>SAN JORGE NUCHITA</v>
      </c>
      <c r="D763" s="2">
        <v>1</v>
      </c>
      <c r="E763" s="3">
        <v>1E-4</v>
      </c>
    </row>
    <row r="764" spans="2:5" ht="30">
      <c r="B764" s="31"/>
      <c r="C764" s="1" t="str">
        <f>"SAN JUAN BAUTISTA CUICATLAN"</f>
        <v>SAN JUAN BAUTISTA CUICATLAN</v>
      </c>
      <c r="D764" s="2">
        <v>1</v>
      </c>
      <c r="E764" s="3">
        <v>1E-4</v>
      </c>
    </row>
    <row r="765" spans="2:5" ht="30">
      <c r="B765" s="31"/>
      <c r="C765" s="1" t="str">
        <f>"SAN JUAN BAUTISTA TUXTEPEC"</f>
        <v>SAN JUAN BAUTISTA TUXTEPEC</v>
      </c>
      <c r="D765" s="2">
        <v>20</v>
      </c>
      <c r="E765" s="3">
        <v>1E-3</v>
      </c>
    </row>
    <row r="766" spans="2:5" ht="30">
      <c r="B766" s="31"/>
      <c r="C766" s="1" t="str">
        <f>"SAN JUAN BAUTISTA VALLE NACIONAL"</f>
        <v>SAN JUAN BAUTISTA VALLE NACIONAL</v>
      </c>
      <c r="D766" s="2">
        <v>1</v>
      </c>
      <c r="E766" s="3">
        <v>1E-4</v>
      </c>
    </row>
    <row r="767" spans="2:5" ht="15" customHeight="1">
      <c r="B767" s="31"/>
      <c r="C767" s="1" t="str">
        <f>"SAN JUAN CACAHUATEPEC"</f>
        <v>SAN JUAN CACAHUATEPEC</v>
      </c>
      <c r="D767" s="2">
        <v>1</v>
      </c>
      <c r="E767" s="3">
        <v>1E-4</v>
      </c>
    </row>
    <row r="768" spans="2:5">
      <c r="B768" s="31"/>
      <c r="C768" s="1" t="str">
        <f>"SAN JUAN COTZOCON"</f>
        <v>SAN JUAN COTZOCON</v>
      </c>
      <c r="D768" s="2">
        <v>1</v>
      </c>
      <c r="E768" s="3">
        <v>1E-4</v>
      </c>
    </row>
    <row r="769" spans="2:5">
      <c r="B769" s="31"/>
      <c r="C769" s="1" t="str">
        <f>"SAN JUAN JUQUILA MIXES"</f>
        <v>SAN JUAN JUQUILA MIXES</v>
      </c>
      <c r="D769" s="2">
        <v>3</v>
      </c>
      <c r="E769" s="3">
        <v>2.0000000000000001E-4</v>
      </c>
    </row>
    <row r="770" spans="2:5">
      <c r="B770" s="31"/>
      <c r="C770" s="1" t="str">
        <f>"SAN JUAN LACHAO"</f>
        <v>SAN JUAN LACHAO</v>
      </c>
      <c r="D770" s="2">
        <v>1</v>
      </c>
      <c r="E770" s="3">
        <v>1E-4</v>
      </c>
    </row>
    <row r="771" spans="2:5">
      <c r="B771" s="31"/>
      <c r="C771" s="1" t="str">
        <f>"SAN JUAN SAYULTEPEC"</f>
        <v>SAN JUAN SAYULTEPEC</v>
      </c>
      <c r="D771" s="2">
        <v>1</v>
      </c>
      <c r="E771" s="3">
        <v>1E-4</v>
      </c>
    </row>
    <row r="772" spans="2:5">
      <c r="B772" s="31"/>
      <c r="C772" s="1" t="str">
        <f>"SAN JUAN TAMAZOLA"</f>
        <v>SAN JUAN TAMAZOLA</v>
      </c>
      <c r="D772" s="2">
        <v>1</v>
      </c>
      <c r="E772" s="3">
        <v>1E-4</v>
      </c>
    </row>
    <row r="773" spans="2:5">
      <c r="B773" s="31"/>
      <c r="C773" s="1" t="str">
        <f>"SAN LORENZO ALBARRADAS"</f>
        <v>SAN LORENZO ALBARRADAS</v>
      </c>
      <c r="D773" s="2">
        <v>6</v>
      </c>
      <c r="E773" s="3">
        <v>2.9999999999999997E-4</v>
      </c>
    </row>
    <row r="774" spans="2:5">
      <c r="B774" s="31"/>
      <c r="C774" s="1" t="str">
        <f>"SAN LUCAS OJITLAN"</f>
        <v>SAN LUCAS OJITLAN</v>
      </c>
      <c r="D774" s="2">
        <v>1</v>
      </c>
      <c r="E774" s="3">
        <v>1E-4</v>
      </c>
    </row>
    <row r="775" spans="2:5">
      <c r="B775" s="31"/>
      <c r="C775" s="1" t="str">
        <f>"SAN LUIS AMATLAN"</f>
        <v>SAN LUIS AMATLAN</v>
      </c>
      <c r="D775" s="2">
        <v>1</v>
      </c>
      <c r="E775" s="3">
        <v>1E-4</v>
      </c>
    </row>
    <row r="776" spans="2:5">
      <c r="B776" s="31"/>
      <c r="C776" s="1" t="str">
        <f>"SAN MIGUEL CHICAHUA"</f>
        <v>SAN MIGUEL CHICAHUA</v>
      </c>
      <c r="D776" s="2">
        <v>1</v>
      </c>
      <c r="E776" s="3">
        <v>1E-4</v>
      </c>
    </row>
    <row r="777" spans="2:5">
      <c r="B777" s="31"/>
      <c r="C777" s="1" t="str">
        <f>"SAN MIGUEL DEL PUERTO"</f>
        <v>SAN MIGUEL DEL PUERTO</v>
      </c>
      <c r="D777" s="2">
        <v>3</v>
      </c>
      <c r="E777" s="3">
        <v>2.0000000000000001E-4</v>
      </c>
    </row>
    <row r="778" spans="2:5">
      <c r="B778" s="31"/>
      <c r="C778" s="1" t="str">
        <f>"SAN MIGUEL EJUTLA"</f>
        <v>SAN MIGUEL EJUTLA</v>
      </c>
      <c r="D778" s="2">
        <v>1</v>
      </c>
      <c r="E778" s="3">
        <v>1E-4</v>
      </c>
    </row>
    <row r="779" spans="2:5">
      <c r="B779" s="31"/>
      <c r="C779" s="1" t="str">
        <f>"SAN MIGUEL TENANGO"</f>
        <v>SAN MIGUEL TENANGO</v>
      </c>
      <c r="D779" s="2">
        <v>1</v>
      </c>
      <c r="E779" s="3">
        <v>1E-4</v>
      </c>
    </row>
    <row r="780" spans="2:5">
      <c r="B780" s="31"/>
      <c r="C780" s="1" t="str">
        <f>"SAN PABLO MACUILTIANGUIS"</f>
        <v>SAN PABLO MACUILTIANGUIS</v>
      </c>
      <c r="D780" s="2">
        <v>1</v>
      </c>
      <c r="E780" s="3">
        <v>1E-4</v>
      </c>
    </row>
    <row r="781" spans="2:5">
      <c r="B781" s="31"/>
      <c r="C781" s="1" t="str">
        <f>"SAN PABLO YAGANIZA"</f>
        <v>SAN PABLO YAGANIZA</v>
      </c>
      <c r="D781" s="2">
        <v>2</v>
      </c>
      <c r="E781" s="3">
        <v>1E-4</v>
      </c>
    </row>
    <row r="782" spans="2:5">
      <c r="B782" s="31"/>
      <c r="C782" s="1" t="str">
        <f>"SAN PEDRO MARTIR"</f>
        <v>SAN PEDRO MARTIR</v>
      </c>
      <c r="D782" s="2">
        <v>1</v>
      </c>
      <c r="E782" s="3">
        <v>1E-4</v>
      </c>
    </row>
    <row r="783" spans="2:5">
      <c r="B783" s="31"/>
      <c r="C783" s="1" t="str">
        <f>"SAN PEDRO POCHUTLA"</f>
        <v>SAN PEDRO POCHUTLA</v>
      </c>
      <c r="D783" s="2">
        <v>11</v>
      </c>
      <c r="E783" s="3">
        <v>5.9999999999999995E-4</v>
      </c>
    </row>
    <row r="784" spans="2:5">
      <c r="B784" s="31"/>
      <c r="C784" s="1" t="str">
        <f>"SAN PEDRO QUIATONI"</f>
        <v>SAN PEDRO QUIATONI</v>
      </c>
      <c r="D784" s="2">
        <v>8</v>
      </c>
      <c r="E784" s="3">
        <v>4.0000000000000002E-4</v>
      </c>
    </row>
    <row r="785" spans="2:5" ht="15.75" customHeight="1">
      <c r="B785" s="31"/>
      <c r="C785" s="1" t="str">
        <f>"SAN PEDRO TAPANATEPEC"</f>
        <v>SAN PEDRO TAPANATEPEC</v>
      </c>
      <c r="D785" s="2">
        <v>1</v>
      </c>
      <c r="E785" s="3">
        <v>1E-4</v>
      </c>
    </row>
    <row r="786" spans="2:5">
      <c r="B786" s="31"/>
      <c r="C786" s="1" t="str">
        <f>"SAN PEDRO TOTOLAPA"</f>
        <v>SAN PEDRO TOTOLAPA</v>
      </c>
      <c r="D786" s="2">
        <v>2</v>
      </c>
      <c r="E786" s="3">
        <v>1E-4</v>
      </c>
    </row>
    <row r="787" spans="2:5">
      <c r="B787" s="31"/>
      <c r="C787" s="1" t="str">
        <f>"SAN SEBASTIAN COATLAN"</f>
        <v>SAN SEBASTIAN COATLAN</v>
      </c>
      <c r="D787" s="2">
        <v>1</v>
      </c>
      <c r="E787" s="3">
        <v>1E-4</v>
      </c>
    </row>
    <row r="788" spans="2:5">
      <c r="B788" s="31"/>
      <c r="C788" s="1" t="str">
        <f>"SANTA CATARINA LOXICHA"</f>
        <v>SANTA CATARINA LOXICHA</v>
      </c>
      <c r="D788" s="2">
        <v>1</v>
      </c>
      <c r="E788" s="3">
        <v>1E-4</v>
      </c>
    </row>
    <row r="789" spans="2:5">
      <c r="B789" s="31"/>
      <c r="C789" s="1" t="str">
        <f>"SANTA CRUZ NUNDACO"</f>
        <v>SANTA CRUZ NUNDACO</v>
      </c>
      <c r="D789" s="2">
        <v>9</v>
      </c>
      <c r="E789" s="3">
        <v>5.0000000000000001E-4</v>
      </c>
    </row>
    <row r="790" spans="2:5">
      <c r="B790" s="31"/>
      <c r="C790" s="1" t="str">
        <f>"SANTA CRUZ XOXOCOTLAN"</f>
        <v>SANTA CRUZ XOXOCOTLAN</v>
      </c>
      <c r="D790" s="2">
        <v>1</v>
      </c>
      <c r="E790" s="3">
        <v>1E-4</v>
      </c>
    </row>
    <row r="791" spans="2:5">
      <c r="B791" s="31"/>
      <c r="C791" s="1" t="str">
        <f>"SANTA CRUZ ZENZONTEPEC"</f>
        <v>SANTA CRUZ ZENZONTEPEC</v>
      </c>
      <c r="D791" s="2">
        <v>1</v>
      </c>
      <c r="E791" s="3">
        <v>1E-4</v>
      </c>
    </row>
    <row r="792" spans="2:5" ht="15" customHeight="1">
      <c r="B792" s="31"/>
      <c r="C792" s="1" t="str">
        <f>"SANTA MARIA COLOTEPEC"</f>
        <v>SANTA MARIA COLOTEPEC</v>
      </c>
      <c r="D792" s="2">
        <v>6</v>
      </c>
      <c r="E792" s="3">
        <v>2.9999999999999997E-4</v>
      </c>
    </row>
    <row r="793" spans="2:5">
      <c r="B793" s="31"/>
      <c r="C793" s="1" t="str">
        <f>"SANTA MARIA DEL TULE"</f>
        <v>SANTA MARIA DEL TULE</v>
      </c>
      <c r="D793" s="2">
        <v>1</v>
      </c>
      <c r="E793" s="3">
        <v>1E-4</v>
      </c>
    </row>
    <row r="794" spans="2:5">
      <c r="B794" s="31"/>
      <c r="C794" s="1" t="str">
        <f>"SANTA MARIA ECATEPEC"</f>
        <v>SANTA MARIA ECATEPEC</v>
      </c>
      <c r="D794" s="2">
        <v>1</v>
      </c>
      <c r="E794" s="3">
        <v>1E-4</v>
      </c>
    </row>
    <row r="795" spans="2:5">
      <c r="B795" s="31"/>
      <c r="C795" s="1" t="str">
        <f>"SANTA MARIA HUATULCO"</f>
        <v>SANTA MARIA HUATULCO</v>
      </c>
      <c r="D795" s="2">
        <v>2</v>
      </c>
      <c r="E795" s="3">
        <v>1E-4</v>
      </c>
    </row>
    <row r="796" spans="2:5" ht="30">
      <c r="B796" s="31"/>
      <c r="C796" s="1" t="str">
        <f>"SANTA MARIA HUAZOLOTITLAN"</f>
        <v>SANTA MARIA HUAZOLOTITLAN</v>
      </c>
      <c r="D796" s="2">
        <v>2</v>
      </c>
      <c r="E796" s="3">
        <v>1E-4</v>
      </c>
    </row>
    <row r="797" spans="2:5">
      <c r="B797" s="31"/>
      <c r="C797" s="1" t="str">
        <f>"SANTA MARIA MIXTEQUILLA"</f>
        <v>SANTA MARIA MIXTEQUILLA</v>
      </c>
      <c r="D797" s="2">
        <v>1</v>
      </c>
      <c r="E797" s="3">
        <v>1E-4</v>
      </c>
    </row>
    <row r="798" spans="2:5">
      <c r="B798" s="31"/>
      <c r="C798" s="1" t="str">
        <f>"SANTA MARIA PEÑOLES"</f>
        <v>SANTA MARIA PEÑOLES</v>
      </c>
      <c r="D798" s="2">
        <v>1</v>
      </c>
      <c r="E798" s="3">
        <v>1E-4</v>
      </c>
    </row>
    <row r="799" spans="2:5" ht="30">
      <c r="B799" s="31"/>
      <c r="C799" s="1" t="str">
        <f>"SANTA MARIA TLAHUITOLTEPEC"</f>
        <v>SANTA MARIA TLAHUITOLTEPEC</v>
      </c>
      <c r="D799" s="2">
        <v>1</v>
      </c>
      <c r="E799" s="3">
        <v>1E-4</v>
      </c>
    </row>
    <row r="800" spans="2:5" ht="15.75" customHeight="1">
      <c r="B800" s="31"/>
      <c r="C800" s="1" t="str">
        <f>"SANTA MARIA TONAMECA"</f>
        <v>SANTA MARIA TONAMECA</v>
      </c>
      <c r="D800" s="2">
        <v>1</v>
      </c>
      <c r="E800" s="3">
        <v>1E-4</v>
      </c>
    </row>
    <row r="801" spans="2:5" ht="15" customHeight="1">
      <c r="B801" s="31"/>
      <c r="C801" s="1" t="str">
        <f>"SANTA MARIA ZACATEPEC"</f>
        <v>SANTA MARIA ZACATEPEC</v>
      </c>
      <c r="D801" s="2">
        <v>1</v>
      </c>
      <c r="E801" s="3">
        <v>1E-4</v>
      </c>
    </row>
    <row r="802" spans="2:5">
      <c r="B802" s="31"/>
      <c r="C802" s="1" t="str">
        <f>"SANTIAGO DEL RIO"</f>
        <v>SANTIAGO DEL RIO</v>
      </c>
      <c r="D802" s="2">
        <v>1</v>
      </c>
      <c r="E802" s="3">
        <v>1E-4</v>
      </c>
    </row>
    <row r="803" spans="2:5">
      <c r="B803" s="31"/>
      <c r="C803" s="1" t="str">
        <f>"SANTIAGO JAMILTEPEC"</f>
        <v>SANTIAGO JAMILTEPEC</v>
      </c>
      <c r="D803" s="2">
        <v>6</v>
      </c>
      <c r="E803" s="3">
        <v>2.9999999999999997E-4</v>
      </c>
    </row>
    <row r="804" spans="2:5">
      <c r="B804" s="31"/>
      <c r="C804" s="1" t="str">
        <f>"SANTIAGO JUXTLAHUACA"</f>
        <v>SANTIAGO JUXTLAHUACA</v>
      </c>
      <c r="D804" s="2">
        <v>4</v>
      </c>
      <c r="E804" s="3">
        <v>2.0000000000000001E-4</v>
      </c>
    </row>
    <row r="805" spans="2:5">
      <c r="B805" s="31"/>
      <c r="C805" s="1" t="str">
        <f>"SANTIAGO LLANO GRANDE"</f>
        <v>SANTIAGO LLANO GRANDE</v>
      </c>
      <c r="D805" s="2">
        <v>2</v>
      </c>
      <c r="E805" s="3">
        <v>1E-4</v>
      </c>
    </row>
    <row r="806" spans="2:5">
      <c r="B806" s="31"/>
      <c r="C806" s="1" t="str">
        <f>"SANTIAGO NUYOO"</f>
        <v>SANTIAGO NUYOO</v>
      </c>
      <c r="D806" s="2">
        <v>1</v>
      </c>
      <c r="E806" s="3">
        <v>1E-4</v>
      </c>
    </row>
    <row r="807" spans="2:5" ht="30">
      <c r="B807" s="31"/>
      <c r="C807" s="1" t="str">
        <f>"SANTIAGO PINOTEPA NACIONAL"</f>
        <v>SANTIAGO PINOTEPA NACIONAL</v>
      </c>
      <c r="D807" s="2">
        <v>11</v>
      </c>
      <c r="E807" s="3">
        <v>5.9999999999999995E-4</v>
      </c>
    </row>
    <row r="808" spans="2:5">
      <c r="B808" s="31"/>
      <c r="C808" s="1" t="str">
        <f>"SANTIAGO TAMAZOLA"</f>
        <v>SANTIAGO TAMAZOLA</v>
      </c>
      <c r="D808" s="2">
        <v>1</v>
      </c>
      <c r="E808" s="3">
        <v>1E-4</v>
      </c>
    </row>
    <row r="809" spans="2:5">
      <c r="B809" s="31"/>
      <c r="C809" s="1" t="str">
        <f>"SANTIAGO XANICA"</f>
        <v>SANTIAGO XANICA</v>
      </c>
      <c r="D809" s="2">
        <v>1</v>
      </c>
      <c r="E809" s="3">
        <v>1E-4</v>
      </c>
    </row>
    <row r="810" spans="2:5">
      <c r="B810" s="31"/>
      <c r="C810" s="1" t="str">
        <f>"SANTIAGO YOSONDUA"</f>
        <v>SANTIAGO YOSONDUA</v>
      </c>
      <c r="D810" s="2">
        <v>1</v>
      </c>
      <c r="E810" s="3">
        <v>1E-4</v>
      </c>
    </row>
    <row r="811" spans="2:5" ht="30">
      <c r="B811" s="31"/>
      <c r="C811" s="1" t="str">
        <f>"SANTO DOMINGO TEHUANTEPEC"</f>
        <v>SANTO DOMINGO TEHUANTEPEC</v>
      </c>
      <c r="D811" s="2">
        <v>1</v>
      </c>
      <c r="E811" s="3">
        <v>1E-4</v>
      </c>
    </row>
    <row r="812" spans="2:5">
      <c r="B812" s="31"/>
      <c r="C812" s="1" t="str">
        <f>"SANTOS REYES NOPALA"</f>
        <v>SANTOS REYES NOPALA</v>
      </c>
      <c r="D812" s="2">
        <v>1</v>
      </c>
      <c r="E812" s="3">
        <v>1E-4</v>
      </c>
    </row>
    <row r="813" spans="2:5">
      <c r="B813" s="31"/>
      <c r="C813" s="1" t="str">
        <f>"SILACAYOAPAM"</f>
        <v>SILACAYOAPAM</v>
      </c>
      <c r="D813" s="2">
        <v>2</v>
      </c>
      <c r="E813" s="3">
        <v>1E-4</v>
      </c>
    </row>
    <row r="814" spans="2:5">
      <c r="B814" s="31"/>
      <c r="C814" s="1" t="str">
        <f>"TANICHE"</f>
        <v>TANICHE</v>
      </c>
      <c r="D814" s="2">
        <v>1</v>
      </c>
      <c r="E814" s="3">
        <v>1E-4</v>
      </c>
    </row>
    <row r="815" spans="2:5" ht="30">
      <c r="B815" s="31"/>
      <c r="C815" s="1" t="str">
        <f>"TEOTITLAN DE FLORES MAGON"</f>
        <v>TEOTITLAN DE FLORES MAGON</v>
      </c>
      <c r="D815" s="2">
        <v>5</v>
      </c>
      <c r="E815" s="3">
        <v>2.9999999999999997E-4</v>
      </c>
    </row>
    <row r="816" spans="2:5">
      <c r="B816" s="31"/>
      <c r="C816" s="1" t="str">
        <f>"TLACOLULA DE MATAMOROS"</f>
        <v>TLACOLULA DE MATAMOROS</v>
      </c>
      <c r="D816" s="2">
        <v>19</v>
      </c>
      <c r="E816" s="3">
        <v>1E-3</v>
      </c>
    </row>
    <row r="817" spans="2:5" ht="30">
      <c r="B817" s="31"/>
      <c r="C817" s="1" t="str">
        <f>"TOTONTEPEC VILLA DE MORELOS"</f>
        <v>TOTONTEPEC VILLA DE MORELOS</v>
      </c>
      <c r="D817" s="2">
        <v>1</v>
      </c>
      <c r="E817" s="3">
        <v>1E-4</v>
      </c>
    </row>
    <row r="818" spans="2:5">
      <c r="B818" s="31"/>
      <c r="C818" s="1" t="str">
        <f>"VILLA DE ETLA"</f>
        <v>VILLA DE ETLA</v>
      </c>
      <c r="D818" s="2">
        <v>1</v>
      </c>
      <c r="E818" s="3">
        <v>1E-4</v>
      </c>
    </row>
    <row r="819" spans="2:5">
      <c r="B819" s="31"/>
      <c r="C819" s="1" t="str">
        <f>"ZIMATLAN DE ALVAREZ"</f>
        <v>ZIMATLAN DE ALVAREZ</v>
      </c>
      <c r="D819" s="2">
        <v>9</v>
      </c>
      <c r="E819" s="3">
        <v>5.0000000000000001E-4</v>
      </c>
    </row>
    <row r="820" spans="2:5">
      <c r="B820" s="32"/>
      <c r="C820" s="14" t="str">
        <f>"Total"</f>
        <v>Total</v>
      </c>
      <c r="D820" s="15">
        <v>394</v>
      </c>
      <c r="E820" s="21">
        <v>2.0199999999999999E-2</v>
      </c>
    </row>
    <row r="821" spans="2:5">
      <c r="B821" s="30" t="str">
        <f t="shared" ref="B821" si="17">"PUEBLA"</f>
        <v>PUEBLA</v>
      </c>
      <c r="C821" s="1" t="str">
        <f>"ACAJETE"</f>
        <v>ACAJETE</v>
      </c>
      <c r="D821" s="2">
        <v>77</v>
      </c>
      <c r="E821" s="3">
        <v>3.8999999999999998E-3</v>
      </c>
    </row>
    <row r="822" spans="2:5">
      <c r="B822" s="31"/>
      <c r="C822" s="1" t="str">
        <f>"ACATLAN"</f>
        <v>ACATLAN</v>
      </c>
      <c r="D822" s="2">
        <v>3</v>
      </c>
      <c r="E822" s="3">
        <v>2.0000000000000001E-4</v>
      </c>
    </row>
    <row r="823" spans="2:5">
      <c r="B823" s="31"/>
      <c r="C823" s="1" t="str">
        <f>"ACATZINGO"</f>
        <v>ACATZINGO</v>
      </c>
      <c r="D823" s="2">
        <v>2</v>
      </c>
      <c r="E823" s="3">
        <v>1E-4</v>
      </c>
    </row>
    <row r="824" spans="2:5">
      <c r="B824" s="31"/>
      <c r="C824" s="1" t="str">
        <f>"AHUACATLAN"</f>
        <v>AHUACATLAN</v>
      </c>
      <c r="D824" s="2">
        <v>1</v>
      </c>
      <c r="E824" s="3">
        <v>1E-4</v>
      </c>
    </row>
    <row r="825" spans="2:5">
      <c r="B825" s="31"/>
      <c r="C825" s="1" t="str">
        <f>"AHUATLAN"</f>
        <v>AHUATLAN</v>
      </c>
      <c r="D825" s="2">
        <v>6</v>
      </c>
      <c r="E825" s="3">
        <v>2.9999999999999997E-4</v>
      </c>
    </row>
    <row r="826" spans="2:5">
      <c r="B826" s="31"/>
      <c r="C826" s="1" t="str">
        <f>"AJALPAN"</f>
        <v>AJALPAN</v>
      </c>
      <c r="D826" s="2">
        <v>5</v>
      </c>
      <c r="E826" s="3">
        <v>2.9999999999999997E-4</v>
      </c>
    </row>
    <row r="827" spans="2:5">
      <c r="B827" s="31"/>
      <c r="C827" s="1" t="str">
        <f>"ALJOJUCA"</f>
        <v>ALJOJUCA</v>
      </c>
      <c r="D827" s="2">
        <v>14</v>
      </c>
      <c r="E827" s="3">
        <v>6.9999999999999999E-4</v>
      </c>
    </row>
    <row r="828" spans="2:5">
      <c r="B828" s="31"/>
      <c r="C828" s="1" t="str">
        <f>"ALTEPEXI"</f>
        <v>ALTEPEXI</v>
      </c>
      <c r="D828" s="2">
        <v>1</v>
      </c>
      <c r="E828" s="3">
        <v>1E-4</v>
      </c>
    </row>
    <row r="829" spans="2:5">
      <c r="B829" s="31"/>
      <c r="C829" s="1" t="str">
        <f>"AMOZOC"</f>
        <v>AMOZOC</v>
      </c>
      <c r="D829" s="2">
        <v>3</v>
      </c>
      <c r="E829" s="3">
        <v>2.0000000000000001E-4</v>
      </c>
    </row>
    <row r="830" spans="2:5">
      <c r="B830" s="31"/>
      <c r="C830" s="1" t="str">
        <f>"ATEXCAL"</f>
        <v>ATEXCAL</v>
      </c>
      <c r="D830" s="2">
        <v>1</v>
      </c>
      <c r="E830" s="3">
        <v>1E-4</v>
      </c>
    </row>
    <row r="831" spans="2:5">
      <c r="B831" s="31"/>
      <c r="C831" s="1" t="str">
        <f>"ATLIXCO"</f>
        <v>ATLIXCO</v>
      </c>
      <c r="D831" s="2">
        <v>67</v>
      </c>
      <c r="E831" s="3">
        <v>3.3999999999999998E-3</v>
      </c>
    </row>
    <row r="832" spans="2:5">
      <c r="B832" s="31"/>
      <c r="C832" s="1" t="str">
        <f>"ATOYATEMPAN"</f>
        <v>ATOYATEMPAN</v>
      </c>
      <c r="D832" s="2">
        <v>2</v>
      </c>
      <c r="E832" s="3">
        <v>1E-4</v>
      </c>
    </row>
    <row r="833" spans="2:5">
      <c r="B833" s="31"/>
      <c r="C833" s="1" t="str">
        <f>"ATZITZINTLA"</f>
        <v>ATZITZINTLA</v>
      </c>
      <c r="D833" s="2">
        <v>1</v>
      </c>
      <c r="E833" s="3">
        <v>1E-4</v>
      </c>
    </row>
    <row r="834" spans="2:5">
      <c r="B834" s="31"/>
      <c r="C834" s="1" t="str">
        <f>"CALTEPEC"</f>
        <v>CALTEPEC</v>
      </c>
      <c r="D834" s="2">
        <v>2</v>
      </c>
      <c r="E834" s="3">
        <v>1E-4</v>
      </c>
    </row>
    <row r="835" spans="2:5">
      <c r="B835" s="31"/>
      <c r="C835" s="1" t="str">
        <f>"CAÑADA MORELOS"</f>
        <v>CAÑADA MORELOS</v>
      </c>
      <c r="D835" s="2">
        <v>7</v>
      </c>
      <c r="E835" s="3">
        <v>4.0000000000000002E-4</v>
      </c>
    </row>
    <row r="836" spans="2:5">
      <c r="B836" s="31"/>
      <c r="C836" s="1" t="str">
        <f>"CHALCHICOMULA DE SESMA"</f>
        <v>CHALCHICOMULA DE SESMA</v>
      </c>
      <c r="D836" s="2">
        <v>4</v>
      </c>
      <c r="E836" s="3">
        <v>2.0000000000000001E-4</v>
      </c>
    </row>
    <row r="837" spans="2:5">
      <c r="B837" s="31"/>
      <c r="C837" s="1" t="str">
        <f>"CHIAUTLA"</f>
        <v>CHIAUTLA</v>
      </c>
      <c r="D837" s="2">
        <v>2</v>
      </c>
      <c r="E837" s="3">
        <v>1E-4</v>
      </c>
    </row>
    <row r="838" spans="2:5">
      <c r="B838" s="31"/>
      <c r="C838" s="1" t="str">
        <f>"CHICHIQUILA"</f>
        <v>CHICHIQUILA</v>
      </c>
      <c r="D838" s="2">
        <v>3</v>
      </c>
      <c r="E838" s="3">
        <v>2.0000000000000001E-4</v>
      </c>
    </row>
    <row r="839" spans="2:5">
      <c r="B839" s="31"/>
      <c r="C839" s="1" t="str">
        <f>"CHICONCUAUTLA"</f>
        <v>CHICONCUAUTLA</v>
      </c>
      <c r="D839" s="2">
        <v>3</v>
      </c>
      <c r="E839" s="3">
        <v>2.0000000000000001E-4</v>
      </c>
    </row>
    <row r="840" spans="2:5">
      <c r="B840" s="31"/>
      <c r="C840" s="1" t="str">
        <f>"CHIETLA"</f>
        <v>CHIETLA</v>
      </c>
      <c r="D840" s="2">
        <v>3</v>
      </c>
      <c r="E840" s="3">
        <v>2.0000000000000001E-4</v>
      </c>
    </row>
    <row r="841" spans="2:5">
      <c r="B841" s="31"/>
      <c r="C841" s="1" t="str">
        <f>"CHIGNAHUAPAN"</f>
        <v>CHIGNAHUAPAN</v>
      </c>
      <c r="D841" s="2">
        <v>3</v>
      </c>
      <c r="E841" s="3">
        <v>2.0000000000000001E-4</v>
      </c>
    </row>
    <row r="842" spans="2:5">
      <c r="B842" s="31"/>
      <c r="C842" s="1" t="str">
        <f>"COATZINGO"</f>
        <v>COATZINGO</v>
      </c>
      <c r="D842" s="2">
        <v>2</v>
      </c>
      <c r="E842" s="3">
        <v>1E-4</v>
      </c>
    </row>
    <row r="843" spans="2:5">
      <c r="B843" s="31"/>
      <c r="C843" s="1" t="str">
        <f>"COYOTEPEC"</f>
        <v>COYOTEPEC</v>
      </c>
      <c r="D843" s="2">
        <v>1</v>
      </c>
      <c r="E843" s="3">
        <v>1E-4</v>
      </c>
    </row>
    <row r="844" spans="2:5">
      <c r="B844" s="31"/>
      <c r="C844" s="1" t="str">
        <f>"CUAUTEMPAN"</f>
        <v>CUAUTEMPAN</v>
      </c>
      <c r="D844" s="2">
        <v>2</v>
      </c>
      <c r="E844" s="3">
        <v>1E-4</v>
      </c>
    </row>
    <row r="845" spans="2:5">
      <c r="B845" s="31"/>
      <c r="C845" s="1" t="str">
        <f>"CUAUTINCHAN"</f>
        <v>CUAUTINCHAN</v>
      </c>
      <c r="D845" s="2">
        <v>2</v>
      </c>
      <c r="E845" s="3">
        <v>1E-4</v>
      </c>
    </row>
    <row r="846" spans="2:5">
      <c r="B846" s="31"/>
      <c r="C846" s="1" t="str">
        <f>"CUAUTLANCINGO"</f>
        <v>CUAUTLANCINGO</v>
      </c>
      <c r="D846" s="2">
        <v>5</v>
      </c>
      <c r="E846" s="3">
        <v>2.9999999999999997E-4</v>
      </c>
    </row>
    <row r="847" spans="2:5">
      <c r="B847" s="31"/>
      <c r="C847" s="1" t="str">
        <f>"CUAYUCA DE ANDRADE"</f>
        <v>CUAYUCA DE ANDRADE</v>
      </c>
      <c r="D847" s="2">
        <v>2</v>
      </c>
      <c r="E847" s="3">
        <v>1E-4</v>
      </c>
    </row>
    <row r="848" spans="2:5">
      <c r="B848" s="31"/>
      <c r="C848" s="1" t="str">
        <f>"ESPERANZA"</f>
        <v>ESPERANZA</v>
      </c>
      <c r="D848" s="2">
        <v>6</v>
      </c>
      <c r="E848" s="3">
        <v>2.9999999999999997E-4</v>
      </c>
    </row>
    <row r="849" spans="2:5">
      <c r="B849" s="31"/>
      <c r="C849" s="1" t="str">
        <f>"GUADALUPE VICTORIA"</f>
        <v>GUADALUPE VICTORIA</v>
      </c>
      <c r="D849" s="2">
        <v>2</v>
      </c>
      <c r="E849" s="3">
        <v>1E-4</v>
      </c>
    </row>
    <row r="850" spans="2:5">
      <c r="B850" s="31"/>
      <c r="C850" s="1" t="str">
        <f>"HONEY"</f>
        <v>HONEY</v>
      </c>
      <c r="D850" s="2">
        <v>2</v>
      </c>
      <c r="E850" s="3">
        <v>1E-4</v>
      </c>
    </row>
    <row r="851" spans="2:5">
      <c r="B851" s="31"/>
      <c r="C851" s="1" t="str">
        <f>"HUAQUECHULA"</f>
        <v>HUAQUECHULA</v>
      </c>
      <c r="D851" s="2">
        <v>7</v>
      </c>
      <c r="E851" s="3">
        <v>4.0000000000000002E-4</v>
      </c>
    </row>
    <row r="852" spans="2:5">
      <c r="B852" s="31"/>
      <c r="C852" s="1" t="str">
        <f>"HUAUCHINANGO"</f>
        <v>HUAUCHINANGO</v>
      </c>
      <c r="D852" s="2">
        <v>2</v>
      </c>
      <c r="E852" s="3">
        <v>1E-4</v>
      </c>
    </row>
    <row r="853" spans="2:5">
      <c r="B853" s="31"/>
      <c r="C853" s="1" t="str">
        <f>"HUEHUETLA"</f>
        <v>HUEHUETLA</v>
      </c>
      <c r="D853" s="2">
        <v>1</v>
      </c>
      <c r="E853" s="3">
        <v>1E-4</v>
      </c>
    </row>
    <row r="854" spans="2:5">
      <c r="B854" s="31"/>
      <c r="C854" s="1" t="str">
        <f>"HUEHUETLAN EL CHICO"</f>
        <v>HUEHUETLAN EL CHICO</v>
      </c>
      <c r="D854" s="2">
        <v>5</v>
      </c>
      <c r="E854" s="3">
        <v>2.9999999999999997E-4</v>
      </c>
    </row>
    <row r="855" spans="2:5">
      <c r="B855" s="31"/>
      <c r="C855" s="1" t="str">
        <f>"HUEHUETLAN EL GRANDE"</f>
        <v>HUEHUETLAN EL GRANDE</v>
      </c>
      <c r="D855" s="2">
        <v>1</v>
      </c>
      <c r="E855" s="3">
        <v>1E-4</v>
      </c>
    </row>
    <row r="856" spans="2:5">
      <c r="B856" s="31"/>
      <c r="C856" s="1" t="str">
        <f>"HUEJOTZINGO"</f>
        <v>HUEJOTZINGO</v>
      </c>
      <c r="D856" s="2">
        <v>2</v>
      </c>
      <c r="E856" s="3">
        <v>1E-4</v>
      </c>
    </row>
    <row r="857" spans="2:5">
      <c r="B857" s="31"/>
      <c r="C857" s="1" t="str">
        <f>"HUEYAPAN"</f>
        <v>HUEYAPAN</v>
      </c>
      <c r="D857" s="2">
        <v>1</v>
      </c>
      <c r="E857" s="3">
        <v>1E-4</v>
      </c>
    </row>
    <row r="858" spans="2:5">
      <c r="B858" s="31"/>
      <c r="C858" s="1" t="str">
        <f>"HUEYTAMALCO"</f>
        <v>HUEYTAMALCO</v>
      </c>
      <c r="D858" s="2">
        <v>2</v>
      </c>
      <c r="E858" s="3">
        <v>1E-4</v>
      </c>
    </row>
    <row r="859" spans="2:5">
      <c r="B859" s="31"/>
      <c r="C859" s="1" t="str">
        <f>"IXCAQUIXTLA"</f>
        <v>IXCAQUIXTLA</v>
      </c>
      <c r="D859" s="2">
        <v>8</v>
      </c>
      <c r="E859" s="3">
        <v>4.0000000000000002E-4</v>
      </c>
    </row>
    <row r="860" spans="2:5">
      <c r="B860" s="31"/>
      <c r="C860" s="1" t="str">
        <f>"IXTACAMAXTITLAN"</f>
        <v>IXTACAMAXTITLAN</v>
      </c>
      <c r="D860" s="2">
        <v>4</v>
      </c>
      <c r="E860" s="3">
        <v>2.0000000000000001E-4</v>
      </c>
    </row>
    <row r="861" spans="2:5">
      <c r="B861" s="31"/>
      <c r="C861" s="1" t="str">
        <f>"IZUCAR DE MATAMOROS"</f>
        <v>IZUCAR DE MATAMOROS</v>
      </c>
      <c r="D861" s="2">
        <v>5</v>
      </c>
      <c r="E861" s="3">
        <v>2.9999999999999997E-4</v>
      </c>
    </row>
    <row r="862" spans="2:5">
      <c r="B862" s="31"/>
      <c r="C862" s="1" t="str">
        <f>"JOLALPAN"</f>
        <v>JOLALPAN</v>
      </c>
      <c r="D862" s="2">
        <v>27</v>
      </c>
      <c r="E862" s="3">
        <v>1.4E-3</v>
      </c>
    </row>
    <row r="863" spans="2:5">
      <c r="B863" s="31"/>
      <c r="C863" s="1" t="str">
        <f>"JONOTLA"</f>
        <v>JONOTLA</v>
      </c>
      <c r="D863" s="2">
        <v>1</v>
      </c>
      <c r="E863" s="3">
        <v>1E-4</v>
      </c>
    </row>
    <row r="864" spans="2:5">
      <c r="B864" s="31"/>
      <c r="C864" s="1" t="str">
        <f>"JOPALA"</f>
        <v>JOPALA</v>
      </c>
      <c r="D864" s="2">
        <v>1</v>
      </c>
      <c r="E864" s="3">
        <v>1E-4</v>
      </c>
    </row>
    <row r="865" spans="2:5">
      <c r="B865" s="31"/>
      <c r="C865" s="1" t="str">
        <f>"JUAN N. MENDEZ"</f>
        <v>JUAN N. MENDEZ</v>
      </c>
      <c r="D865" s="2">
        <v>2</v>
      </c>
      <c r="E865" s="3">
        <v>1E-4</v>
      </c>
    </row>
    <row r="866" spans="2:5">
      <c r="B866" s="31"/>
      <c r="C866" s="1" t="str">
        <f>"LAFRAGUA"</f>
        <v>LAFRAGUA</v>
      </c>
      <c r="D866" s="2">
        <v>1</v>
      </c>
      <c r="E866" s="3">
        <v>1E-4</v>
      </c>
    </row>
    <row r="867" spans="2:5">
      <c r="B867" s="31"/>
      <c r="C867" s="1" t="str">
        <f>"LIBRES"</f>
        <v>LIBRES</v>
      </c>
      <c r="D867" s="2">
        <v>4</v>
      </c>
      <c r="E867" s="3">
        <v>2.0000000000000001E-4</v>
      </c>
    </row>
    <row r="868" spans="2:5">
      <c r="B868" s="31"/>
      <c r="C868" s="1" t="str">
        <f>"LOS REYES DE JUAREZ"</f>
        <v>LOS REYES DE JUAREZ</v>
      </c>
      <c r="D868" s="2">
        <v>1</v>
      </c>
      <c r="E868" s="3">
        <v>1E-4</v>
      </c>
    </row>
    <row r="869" spans="2:5">
      <c r="B869" s="31"/>
      <c r="C869" s="1" t="str">
        <f>"NICOLAS BRAVO"</f>
        <v>NICOLAS BRAVO</v>
      </c>
      <c r="D869" s="2">
        <v>1</v>
      </c>
      <c r="E869" s="3">
        <v>1E-4</v>
      </c>
    </row>
    <row r="870" spans="2:5">
      <c r="B870" s="31"/>
      <c r="C870" s="1" t="str">
        <f>"NOPALUCAN"</f>
        <v>NOPALUCAN</v>
      </c>
      <c r="D870" s="2">
        <v>1</v>
      </c>
      <c r="E870" s="3">
        <v>1E-4</v>
      </c>
    </row>
    <row r="871" spans="2:5">
      <c r="B871" s="31"/>
      <c r="C871" s="1" t="str">
        <f>"OCOYUCAN"</f>
        <v>OCOYUCAN</v>
      </c>
      <c r="D871" s="2">
        <v>4</v>
      </c>
      <c r="E871" s="3">
        <v>2.0000000000000001E-4</v>
      </c>
    </row>
    <row r="872" spans="2:5">
      <c r="B872" s="31"/>
      <c r="C872" s="1" t="str">
        <f>"ORIENTAL"</f>
        <v>ORIENTAL</v>
      </c>
      <c r="D872" s="2">
        <v>1</v>
      </c>
      <c r="E872" s="3">
        <v>1E-4</v>
      </c>
    </row>
    <row r="873" spans="2:5">
      <c r="B873" s="31"/>
      <c r="C873" s="1" t="str">
        <f>"PALMAR DE BRAVO"</f>
        <v>PALMAR DE BRAVO</v>
      </c>
      <c r="D873" s="2">
        <v>13</v>
      </c>
      <c r="E873" s="3">
        <v>6.9999999999999999E-4</v>
      </c>
    </row>
    <row r="874" spans="2:5">
      <c r="B874" s="31"/>
      <c r="C874" s="1" t="str">
        <f>"PUEBLA"</f>
        <v>PUEBLA</v>
      </c>
      <c r="D874" s="2">
        <v>54</v>
      </c>
      <c r="E874" s="3">
        <v>2.8E-3</v>
      </c>
    </row>
    <row r="875" spans="2:5">
      <c r="B875" s="31"/>
      <c r="C875" s="1" t="str">
        <f>"QUECHOLAC"</f>
        <v>QUECHOLAC</v>
      </c>
      <c r="D875" s="2">
        <v>3</v>
      </c>
      <c r="E875" s="3">
        <v>2.0000000000000001E-4</v>
      </c>
    </row>
    <row r="876" spans="2:5">
      <c r="B876" s="31"/>
      <c r="C876" s="1" t="str">
        <f>"QUIMIXTLAN"</f>
        <v>QUIMIXTLAN</v>
      </c>
      <c r="D876" s="2">
        <v>5</v>
      </c>
      <c r="E876" s="3">
        <v>2.9999999999999997E-4</v>
      </c>
    </row>
    <row r="877" spans="2:5">
      <c r="B877" s="31"/>
      <c r="C877" s="1" t="str">
        <f>"RAFAEL LARA GRAJALES"</f>
        <v>RAFAEL LARA GRAJALES</v>
      </c>
      <c r="D877" s="2">
        <v>1</v>
      </c>
      <c r="E877" s="3">
        <v>1E-4</v>
      </c>
    </row>
    <row r="878" spans="2:5">
      <c r="B878" s="31"/>
      <c r="C878" s="1" t="str">
        <f>"SAN ANDRES CHOLULA"</f>
        <v>SAN ANDRES CHOLULA</v>
      </c>
      <c r="D878" s="2">
        <v>1</v>
      </c>
      <c r="E878" s="3">
        <v>1E-4</v>
      </c>
    </row>
    <row r="879" spans="2:5">
      <c r="B879" s="31"/>
      <c r="C879" s="1" t="str">
        <f>"SAN FELIPE TEOTLALCINGO"</f>
        <v>SAN FELIPE TEOTLALCINGO</v>
      </c>
      <c r="D879" s="2">
        <v>1</v>
      </c>
      <c r="E879" s="3">
        <v>1E-4</v>
      </c>
    </row>
    <row r="880" spans="2:5">
      <c r="B880" s="31"/>
      <c r="C880" s="1" t="str">
        <f>"SAN JERONIMO TECUANIPAN"</f>
        <v>SAN JERONIMO TECUANIPAN</v>
      </c>
      <c r="D880" s="2">
        <v>1</v>
      </c>
      <c r="E880" s="3">
        <v>1E-4</v>
      </c>
    </row>
    <row r="881" spans="2:5">
      <c r="B881" s="31"/>
      <c r="C881" s="1" t="str">
        <f>"SAN JUAN ATENCO"</f>
        <v>SAN JUAN ATENCO</v>
      </c>
      <c r="D881" s="2">
        <v>2</v>
      </c>
      <c r="E881" s="3">
        <v>1E-4</v>
      </c>
    </row>
    <row r="882" spans="2:5">
      <c r="B882" s="31"/>
      <c r="C882" s="1" t="str">
        <f>"SAN NICOLAS BUENOS AIRES"</f>
        <v>SAN NICOLAS BUENOS AIRES</v>
      </c>
      <c r="D882" s="2">
        <v>1</v>
      </c>
      <c r="E882" s="3">
        <v>1E-4</v>
      </c>
    </row>
    <row r="883" spans="2:5">
      <c r="B883" s="31"/>
      <c r="C883" s="1" t="str">
        <f>"SAN PABLO ANICANO"</f>
        <v>SAN PABLO ANICANO</v>
      </c>
      <c r="D883" s="2">
        <v>1</v>
      </c>
      <c r="E883" s="3">
        <v>1E-4</v>
      </c>
    </row>
    <row r="884" spans="2:5">
      <c r="B884" s="31"/>
      <c r="C884" s="1" t="str">
        <f>"SAN PEDRO CHOLULA"</f>
        <v>SAN PEDRO CHOLULA</v>
      </c>
      <c r="D884" s="2">
        <v>15</v>
      </c>
      <c r="E884" s="3">
        <v>8.0000000000000004E-4</v>
      </c>
    </row>
    <row r="885" spans="2:5">
      <c r="B885" s="31"/>
      <c r="C885" s="1" t="str">
        <f>"SAN SALVADOR EL SECO"</f>
        <v>SAN SALVADOR EL SECO</v>
      </c>
      <c r="D885" s="2">
        <v>22</v>
      </c>
      <c r="E885" s="3">
        <v>1.1000000000000001E-3</v>
      </c>
    </row>
    <row r="886" spans="2:5" ht="30">
      <c r="B886" s="31"/>
      <c r="C886" s="1" t="str">
        <f>"SAN SALVADOR HUIXCOLOTLA"</f>
        <v>SAN SALVADOR HUIXCOLOTLA</v>
      </c>
      <c r="D886" s="2">
        <v>3</v>
      </c>
      <c r="E886" s="3">
        <v>2.0000000000000001E-4</v>
      </c>
    </row>
    <row r="887" spans="2:5">
      <c r="B887" s="31"/>
      <c r="C887" s="1" t="str">
        <f>"SANTA ISABEL CHOLULA"</f>
        <v>SANTA ISABEL CHOLULA</v>
      </c>
      <c r="D887" s="2">
        <v>1</v>
      </c>
      <c r="E887" s="3">
        <v>1E-4</v>
      </c>
    </row>
    <row r="888" spans="2:5">
      <c r="B888" s="31"/>
      <c r="C888" s="1" t="str">
        <f>"SOLTEPEC"</f>
        <v>SOLTEPEC</v>
      </c>
      <c r="D888" s="2">
        <v>5</v>
      </c>
      <c r="E888" s="3">
        <v>2.9999999999999997E-4</v>
      </c>
    </row>
    <row r="889" spans="2:5">
      <c r="B889" s="31"/>
      <c r="C889" s="1" t="str">
        <f>"TECALI DE HERRERA"</f>
        <v>TECALI DE HERRERA</v>
      </c>
      <c r="D889" s="2">
        <v>1</v>
      </c>
      <c r="E889" s="3">
        <v>1E-4</v>
      </c>
    </row>
    <row r="890" spans="2:5">
      <c r="B890" s="31"/>
      <c r="C890" s="1" t="str">
        <f>"TECAMACHALCO"</f>
        <v>TECAMACHALCO</v>
      </c>
      <c r="D890" s="2">
        <v>7</v>
      </c>
      <c r="E890" s="3">
        <v>4.0000000000000002E-4</v>
      </c>
    </row>
    <row r="891" spans="2:5">
      <c r="B891" s="31"/>
      <c r="C891" s="1" t="str">
        <f>"TEHUACAN"</f>
        <v>TEHUACAN</v>
      </c>
      <c r="D891" s="2">
        <v>20</v>
      </c>
      <c r="E891" s="3">
        <v>1E-3</v>
      </c>
    </row>
    <row r="892" spans="2:5">
      <c r="B892" s="31"/>
      <c r="C892" s="1" t="str">
        <f>"TEHUITZINGO"</f>
        <v>TEHUITZINGO</v>
      </c>
      <c r="D892" s="2">
        <v>5</v>
      </c>
      <c r="E892" s="3">
        <v>2.9999999999999997E-4</v>
      </c>
    </row>
    <row r="893" spans="2:5">
      <c r="B893" s="31"/>
      <c r="C893" s="1" t="str">
        <f>"TENAMPULCO"</f>
        <v>TENAMPULCO</v>
      </c>
      <c r="D893" s="2">
        <v>1</v>
      </c>
      <c r="E893" s="3">
        <v>1E-4</v>
      </c>
    </row>
    <row r="894" spans="2:5">
      <c r="B894" s="31"/>
      <c r="C894" s="1" t="str">
        <f>"TEOTLALCO"</f>
        <v>TEOTLALCO</v>
      </c>
      <c r="D894" s="2">
        <v>2</v>
      </c>
      <c r="E894" s="3">
        <v>1E-4</v>
      </c>
    </row>
    <row r="895" spans="2:5">
      <c r="B895" s="31"/>
      <c r="C895" s="1" t="str">
        <f>"TEPANCO DE LOPEZ"</f>
        <v>TEPANCO DE LOPEZ</v>
      </c>
      <c r="D895" s="2">
        <v>3</v>
      </c>
      <c r="E895" s="3">
        <v>2.0000000000000001E-4</v>
      </c>
    </row>
    <row r="896" spans="2:5">
      <c r="B896" s="31"/>
      <c r="C896" s="1" t="str">
        <f>"TEPATLAXCO DE HIDALGO"</f>
        <v>TEPATLAXCO DE HIDALGO</v>
      </c>
      <c r="D896" s="2">
        <v>1</v>
      </c>
      <c r="E896" s="3">
        <v>1E-4</v>
      </c>
    </row>
    <row r="897" spans="2:5">
      <c r="B897" s="31"/>
      <c r="C897" s="1" t="str">
        <f>"TEPEACA"</f>
        <v>TEPEACA</v>
      </c>
      <c r="D897" s="2">
        <v>8</v>
      </c>
      <c r="E897" s="3">
        <v>4.0000000000000002E-4</v>
      </c>
    </row>
    <row r="898" spans="2:5">
      <c r="B898" s="31"/>
      <c r="C898" s="1" t="str">
        <f>"TEPEXCO"</f>
        <v>TEPEXCO</v>
      </c>
      <c r="D898" s="2">
        <v>2</v>
      </c>
      <c r="E898" s="3">
        <v>1E-4</v>
      </c>
    </row>
    <row r="899" spans="2:5">
      <c r="B899" s="31"/>
      <c r="C899" s="1" t="str">
        <f>"TEPEXI DE RODRIGUEZ"</f>
        <v>TEPEXI DE RODRIGUEZ</v>
      </c>
      <c r="D899" s="2">
        <v>14</v>
      </c>
      <c r="E899" s="3">
        <v>6.9999999999999999E-4</v>
      </c>
    </row>
    <row r="900" spans="2:5">
      <c r="B900" s="31"/>
      <c r="C900" s="1" t="str">
        <f>"TEPEYAHUALCO"</f>
        <v>TEPEYAHUALCO</v>
      </c>
      <c r="D900" s="2">
        <v>3</v>
      </c>
      <c r="E900" s="3">
        <v>2.0000000000000001E-4</v>
      </c>
    </row>
    <row r="901" spans="2:5" ht="30">
      <c r="B901" s="31"/>
      <c r="C901" s="1" t="str">
        <f>"TEPEYAHUALCO DE CUAUHTEMOC"</f>
        <v>TEPEYAHUALCO DE CUAUHTEMOC</v>
      </c>
      <c r="D901" s="2">
        <v>1</v>
      </c>
      <c r="E901" s="3">
        <v>1E-4</v>
      </c>
    </row>
    <row r="902" spans="2:5">
      <c r="B902" s="31"/>
      <c r="C902" s="1" t="str">
        <f>"TETELA DE OCAMPO"</f>
        <v>TETELA DE OCAMPO</v>
      </c>
      <c r="D902" s="2">
        <v>5</v>
      </c>
      <c r="E902" s="3">
        <v>2.9999999999999997E-4</v>
      </c>
    </row>
    <row r="903" spans="2:5">
      <c r="B903" s="31"/>
      <c r="C903" s="1" t="str">
        <f>"TEZIUTLAN"</f>
        <v>TEZIUTLAN</v>
      </c>
      <c r="D903" s="2">
        <v>4</v>
      </c>
      <c r="E903" s="3">
        <v>2.0000000000000001E-4</v>
      </c>
    </row>
    <row r="904" spans="2:5">
      <c r="B904" s="31"/>
      <c r="C904" s="1" t="str">
        <f>"TILAPA"</f>
        <v>TILAPA</v>
      </c>
      <c r="D904" s="2">
        <v>1</v>
      </c>
      <c r="E904" s="3">
        <v>1E-4</v>
      </c>
    </row>
    <row r="905" spans="2:5">
      <c r="B905" s="31"/>
      <c r="C905" s="1" t="str">
        <f>"TLACHICHUCA"</f>
        <v>TLACHICHUCA</v>
      </c>
      <c r="D905" s="2">
        <v>10</v>
      </c>
      <c r="E905" s="3">
        <v>5.0000000000000001E-4</v>
      </c>
    </row>
    <row r="906" spans="2:5" ht="30">
      <c r="B906" s="31"/>
      <c r="C906" s="1" t="str">
        <f>"TLACOTEPEC DE BENITO JUAREZ"</f>
        <v>TLACOTEPEC DE BENITO JUAREZ</v>
      </c>
      <c r="D906" s="2">
        <v>12</v>
      </c>
      <c r="E906" s="3">
        <v>5.9999999999999995E-4</v>
      </c>
    </row>
    <row r="907" spans="2:5">
      <c r="B907" s="31"/>
      <c r="C907" s="1" t="str">
        <f>"TLACUILOTEPEC"</f>
        <v>TLACUILOTEPEC</v>
      </c>
      <c r="D907" s="2">
        <v>2</v>
      </c>
      <c r="E907" s="3">
        <v>1E-4</v>
      </c>
    </row>
    <row r="908" spans="2:5">
      <c r="B908" s="31"/>
      <c r="C908" s="1" t="str">
        <f>"TLAHUAPAN"</f>
        <v>TLAHUAPAN</v>
      </c>
      <c r="D908" s="2">
        <v>1</v>
      </c>
      <c r="E908" s="3">
        <v>1E-4</v>
      </c>
    </row>
    <row r="909" spans="2:5">
      <c r="B909" s="31"/>
      <c r="C909" s="1" t="str">
        <f>"TLANEPANTLA"</f>
        <v>TLANEPANTLA</v>
      </c>
      <c r="D909" s="2">
        <v>2</v>
      </c>
      <c r="E909" s="3">
        <v>1E-4</v>
      </c>
    </row>
    <row r="910" spans="2:5">
      <c r="B910" s="31"/>
      <c r="C910" s="1" t="str">
        <f>"TLAOLA"</f>
        <v>TLAOLA</v>
      </c>
      <c r="D910" s="2">
        <v>1</v>
      </c>
      <c r="E910" s="3">
        <v>1E-4</v>
      </c>
    </row>
    <row r="911" spans="2:5">
      <c r="B911" s="31"/>
      <c r="C911" s="1" t="str">
        <f>"TLAPACOYA"</f>
        <v>TLAPACOYA</v>
      </c>
      <c r="D911" s="2">
        <v>10</v>
      </c>
      <c r="E911" s="3">
        <v>5.0000000000000001E-4</v>
      </c>
    </row>
    <row r="912" spans="2:5">
      <c r="B912" s="31"/>
      <c r="C912" s="1" t="str">
        <f>"TLAPANALA"</f>
        <v>TLAPANALA</v>
      </c>
      <c r="D912" s="2">
        <v>1</v>
      </c>
      <c r="E912" s="3">
        <v>1E-4</v>
      </c>
    </row>
    <row r="913" spans="2:5">
      <c r="B913" s="31"/>
      <c r="C913" s="1" t="str">
        <f>"TLATLAUQUITEPEC"</f>
        <v>TLATLAUQUITEPEC</v>
      </c>
      <c r="D913" s="2">
        <v>29</v>
      </c>
      <c r="E913" s="3">
        <v>1.5E-3</v>
      </c>
    </row>
    <row r="914" spans="2:5">
      <c r="B914" s="31"/>
      <c r="C914" s="1" t="str">
        <f>"TOCHIMILCO"</f>
        <v>TOCHIMILCO</v>
      </c>
      <c r="D914" s="2">
        <v>1</v>
      </c>
      <c r="E914" s="3">
        <v>1E-4</v>
      </c>
    </row>
    <row r="915" spans="2:5">
      <c r="B915" s="31"/>
      <c r="C915" s="1" t="str">
        <f>"VENUSTIANO CARRANZA"</f>
        <v>VENUSTIANO CARRANZA</v>
      </c>
      <c r="D915" s="2">
        <v>1</v>
      </c>
      <c r="E915" s="3">
        <v>1E-4</v>
      </c>
    </row>
    <row r="916" spans="2:5">
      <c r="B916" s="31"/>
      <c r="C916" s="1" t="str">
        <f>"VICENTE GUERRERO"</f>
        <v>VICENTE GUERRERO</v>
      </c>
      <c r="D916" s="2">
        <v>21</v>
      </c>
      <c r="E916" s="3">
        <v>1.1000000000000001E-3</v>
      </c>
    </row>
    <row r="917" spans="2:5">
      <c r="B917" s="31"/>
      <c r="C917" s="1" t="str">
        <f>"XICOTEPEC"</f>
        <v>XICOTEPEC</v>
      </c>
      <c r="D917" s="2">
        <v>2</v>
      </c>
      <c r="E917" s="3">
        <v>1E-4</v>
      </c>
    </row>
    <row r="918" spans="2:5">
      <c r="B918" s="31"/>
      <c r="C918" s="1" t="str">
        <f>"XOCHITLAN TODOS SANTOS"</f>
        <v>XOCHITLAN TODOS SANTOS</v>
      </c>
      <c r="D918" s="2">
        <v>1</v>
      </c>
      <c r="E918" s="3">
        <v>1E-4</v>
      </c>
    </row>
    <row r="919" spans="2:5">
      <c r="B919" s="31"/>
      <c r="C919" s="1" t="str">
        <f>"YEHUALTEPEC"</f>
        <v>YEHUALTEPEC</v>
      </c>
      <c r="D919" s="2">
        <v>3</v>
      </c>
      <c r="E919" s="3">
        <v>2.0000000000000001E-4</v>
      </c>
    </row>
    <row r="920" spans="2:5">
      <c r="B920" s="31"/>
      <c r="C920" s="1" t="str">
        <f>"ZACAPALA"</f>
        <v>ZACAPALA</v>
      </c>
      <c r="D920" s="2">
        <v>2</v>
      </c>
      <c r="E920" s="3">
        <v>1E-4</v>
      </c>
    </row>
    <row r="921" spans="2:5">
      <c r="B921" s="31"/>
      <c r="C921" s="1" t="str">
        <f>"ZACAPOAXTLA"</f>
        <v>ZACAPOAXTLA</v>
      </c>
      <c r="D921" s="2">
        <v>3</v>
      </c>
      <c r="E921" s="3">
        <v>2.0000000000000001E-4</v>
      </c>
    </row>
    <row r="922" spans="2:5">
      <c r="B922" s="31"/>
      <c r="C922" s="1" t="str">
        <f>"ZACATLAN"</f>
        <v>ZACATLAN</v>
      </c>
      <c r="D922" s="2">
        <v>4</v>
      </c>
      <c r="E922" s="3">
        <v>2.0000000000000001E-4</v>
      </c>
    </row>
    <row r="923" spans="2:5">
      <c r="B923" s="31"/>
      <c r="C923" s="1" t="str">
        <f>"ZAPOTITLAN"</f>
        <v>ZAPOTITLAN</v>
      </c>
      <c r="D923" s="2">
        <v>1</v>
      </c>
      <c r="E923" s="3">
        <v>1E-4</v>
      </c>
    </row>
    <row r="924" spans="2:5">
      <c r="B924" s="31"/>
      <c r="C924" s="1" t="str">
        <f>"ZARAGOZA"</f>
        <v>ZARAGOZA</v>
      </c>
      <c r="D924" s="2">
        <v>2</v>
      </c>
      <c r="E924" s="3">
        <v>1E-4</v>
      </c>
    </row>
    <row r="925" spans="2:5">
      <c r="B925" s="32"/>
      <c r="C925" s="14" t="str">
        <f>"Total"</f>
        <v>Total</v>
      </c>
      <c r="D925" s="15">
        <v>632</v>
      </c>
      <c r="E925" s="21">
        <v>3.2300000000000002E-2</v>
      </c>
    </row>
    <row r="926" spans="2:5">
      <c r="B926" s="30" t="str">
        <f t="shared" ref="B926" si="18">"QUERETARO DE ARTEAGA"</f>
        <v>QUERETARO DE ARTEAGA</v>
      </c>
      <c r="C926" s="1" t="str">
        <f>"AMEALCO DE BONFIL"</f>
        <v>AMEALCO DE BONFIL</v>
      </c>
      <c r="D926" s="2">
        <v>4</v>
      </c>
      <c r="E926" s="3">
        <v>2.0000000000000001E-4</v>
      </c>
    </row>
    <row r="927" spans="2:5">
      <c r="B927" s="31"/>
      <c r="C927" s="1" t="str">
        <f>"ARROYO SECO"</f>
        <v>ARROYO SECO</v>
      </c>
      <c r="D927" s="2">
        <v>1</v>
      </c>
      <c r="E927" s="3">
        <v>1E-4</v>
      </c>
    </row>
    <row r="928" spans="2:5">
      <c r="B928" s="31"/>
      <c r="C928" s="1" t="str">
        <f>"CADEREYTA DE MONTES"</f>
        <v>CADEREYTA DE MONTES</v>
      </c>
      <c r="D928" s="2">
        <v>2</v>
      </c>
      <c r="E928" s="3">
        <v>1E-4</v>
      </c>
    </row>
    <row r="929" spans="2:5">
      <c r="B929" s="31"/>
      <c r="C929" s="1" t="str">
        <f>"COLON"</f>
        <v>COLON</v>
      </c>
      <c r="D929" s="2">
        <v>2</v>
      </c>
      <c r="E929" s="3">
        <v>1E-4</v>
      </c>
    </row>
    <row r="930" spans="2:5">
      <c r="B930" s="31"/>
      <c r="C930" s="1" t="str">
        <f>"EL MARQUES"</f>
        <v>EL MARQUES</v>
      </c>
      <c r="D930" s="2">
        <v>4</v>
      </c>
      <c r="E930" s="3">
        <v>2.0000000000000001E-4</v>
      </c>
    </row>
    <row r="931" spans="2:5">
      <c r="B931" s="31"/>
      <c r="C931" s="1" t="str">
        <f>"JALPAN DE SERRA"</f>
        <v>JALPAN DE SERRA</v>
      </c>
      <c r="D931" s="2">
        <v>2</v>
      </c>
      <c r="E931" s="3">
        <v>1E-4</v>
      </c>
    </row>
    <row r="932" spans="2:5">
      <c r="B932" s="31"/>
      <c r="C932" s="1" t="str">
        <f>"LANDA DE MATAMOROS"</f>
        <v>LANDA DE MATAMOROS</v>
      </c>
      <c r="D932" s="2">
        <v>25</v>
      </c>
      <c r="E932" s="3">
        <v>1.2999999999999999E-3</v>
      </c>
    </row>
    <row r="933" spans="2:5">
      <c r="B933" s="31"/>
      <c r="C933" s="1" t="str">
        <f>"PEDRO ESCOBEDO"</f>
        <v>PEDRO ESCOBEDO</v>
      </c>
      <c r="D933" s="2">
        <v>7</v>
      </c>
      <c r="E933" s="3">
        <v>4.0000000000000002E-4</v>
      </c>
    </row>
    <row r="934" spans="2:5">
      <c r="B934" s="31"/>
      <c r="C934" s="1" t="str">
        <f>"PINAL DE AMOLES"</f>
        <v>PINAL DE AMOLES</v>
      </c>
      <c r="D934" s="2">
        <v>6</v>
      </c>
      <c r="E934" s="3">
        <v>2.9999999999999997E-4</v>
      </c>
    </row>
    <row r="935" spans="2:5">
      <c r="B935" s="31"/>
      <c r="C935" s="1" t="str">
        <f>"QUERETARO"</f>
        <v>QUERETARO</v>
      </c>
      <c r="D935" s="2">
        <v>20</v>
      </c>
      <c r="E935" s="3">
        <v>1E-3</v>
      </c>
    </row>
    <row r="936" spans="2:5">
      <c r="B936" s="31"/>
      <c r="C936" s="1" t="str">
        <f>"SAN JOAQUIN"</f>
        <v>SAN JOAQUIN</v>
      </c>
      <c r="D936" s="2">
        <v>1</v>
      </c>
      <c r="E936" s="3">
        <v>1E-4</v>
      </c>
    </row>
    <row r="937" spans="2:5">
      <c r="B937" s="31"/>
      <c r="C937" s="1" t="str">
        <f>"SAN JUAN DEL RIO"</f>
        <v>SAN JUAN DEL RIO</v>
      </c>
      <c r="D937" s="2">
        <v>11</v>
      </c>
      <c r="E937" s="3">
        <v>5.9999999999999995E-4</v>
      </c>
    </row>
    <row r="938" spans="2:5">
      <c r="B938" s="31"/>
      <c r="C938" s="1" t="str">
        <f>"TEQUISQUIAPAN"</f>
        <v>TEQUISQUIAPAN</v>
      </c>
      <c r="D938" s="2">
        <v>9</v>
      </c>
      <c r="E938" s="3">
        <v>5.0000000000000001E-4</v>
      </c>
    </row>
    <row r="939" spans="2:5">
      <c r="B939" s="31"/>
      <c r="C939" s="1" t="str">
        <f>"TOLIMAN"</f>
        <v>TOLIMAN</v>
      </c>
      <c r="D939" s="2">
        <v>4</v>
      </c>
      <c r="E939" s="3">
        <v>2.0000000000000001E-4</v>
      </c>
    </row>
    <row r="940" spans="2:5">
      <c r="B940" s="32"/>
      <c r="C940" s="14" t="str">
        <f>"Total"</f>
        <v>Total</v>
      </c>
      <c r="D940" s="15">
        <v>98</v>
      </c>
      <c r="E940" s="21">
        <v>5.0000000000000001E-3</v>
      </c>
    </row>
    <row r="941" spans="2:5">
      <c r="B941" s="30" t="str">
        <f>"QUINTANA ROO"</f>
        <v>QUINTANA ROO</v>
      </c>
      <c r="C941" s="1" t="str">
        <f>"BENITO JUAREZ"</f>
        <v>BENITO JUAREZ</v>
      </c>
      <c r="D941" s="2">
        <v>3</v>
      </c>
      <c r="E941" s="3">
        <v>2.0000000000000001E-4</v>
      </c>
    </row>
    <row r="942" spans="2:5">
      <c r="B942" s="31"/>
      <c r="C942" s="1" t="str">
        <f>"OTHON P. BLANCO"</f>
        <v>OTHON P. BLANCO</v>
      </c>
      <c r="D942" s="2">
        <v>13</v>
      </c>
      <c r="E942" s="3">
        <v>6.9999999999999999E-4</v>
      </c>
    </row>
    <row r="943" spans="2:5">
      <c r="B943" s="32"/>
      <c r="C943" s="14" t="str">
        <f>"Total"</f>
        <v>Total</v>
      </c>
      <c r="D943" s="15">
        <v>16</v>
      </c>
      <c r="E943" s="21">
        <v>8.0000000000000004E-4</v>
      </c>
    </row>
    <row r="944" spans="2:5">
      <c r="B944" s="30" t="str">
        <f t="shared" ref="B944" si="19">"SAN LUIS POTOSI"</f>
        <v>SAN LUIS POTOSI</v>
      </c>
      <c r="C944" s="1" t="str">
        <f>"ARMADILLO DE LOS INFANTE"</f>
        <v>ARMADILLO DE LOS INFANTE</v>
      </c>
      <c r="D944" s="2">
        <v>1</v>
      </c>
      <c r="E944" s="3">
        <v>1E-4</v>
      </c>
    </row>
    <row r="945" spans="2:5">
      <c r="B945" s="31"/>
      <c r="C945" s="1" t="str">
        <f>"AXTLA DE TERRAZAS"</f>
        <v>AXTLA DE TERRAZAS</v>
      </c>
      <c r="D945" s="2">
        <v>1</v>
      </c>
      <c r="E945" s="3">
        <v>1E-4</v>
      </c>
    </row>
    <row r="946" spans="2:5">
      <c r="B946" s="31"/>
      <c r="C946" s="1" t="str">
        <f>"CEDRAL"</f>
        <v>CEDRAL</v>
      </c>
      <c r="D946" s="2">
        <v>1</v>
      </c>
      <c r="E946" s="3">
        <v>1E-4</v>
      </c>
    </row>
    <row r="947" spans="2:5">
      <c r="B947" s="31"/>
      <c r="C947" s="1" t="str">
        <f>"CERRITOS"</f>
        <v>CERRITOS</v>
      </c>
      <c r="D947" s="2">
        <v>14</v>
      </c>
      <c r="E947" s="3">
        <v>6.9999999999999999E-4</v>
      </c>
    </row>
    <row r="948" spans="2:5">
      <c r="B948" s="31"/>
      <c r="C948" s="1" t="str">
        <f>"CHARCAS"</f>
        <v>CHARCAS</v>
      </c>
      <c r="D948" s="2">
        <v>5</v>
      </c>
      <c r="E948" s="3">
        <v>2.9999999999999997E-4</v>
      </c>
    </row>
    <row r="949" spans="2:5">
      <c r="B949" s="31"/>
      <c r="C949" s="1" t="str">
        <f>"CIUDAD DEL MAIZ"</f>
        <v>CIUDAD DEL MAIZ</v>
      </c>
      <c r="D949" s="2">
        <v>1</v>
      </c>
      <c r="E949" s="3">
        <v>1E-4</v>
      </c>
    </row>
    <row r="950" spans="2:5">
      <c r="B950" s="31"/>
      <c r="C950" s="1" t="str">
        <f>"CIUDAD FERNANDEZ"</f>
        <v>CIUDAD FERNANDEZ</v>
      </c>
      <c r="D950" s="2">
        <v>4</v>
      </c>
      <c r="E950" s="3">
        <v>2.0000000000000001E-4</v>
      </c>
    </row>
    <row r="951" spans="2:5">
      <c r="B951" s="31"/>
      <c r="C951" s="1" t="str">
        <f>"CIUDAD VALLES"</f>
        <v>CIUDAD VALLES</v>
      </c>
      <c r="D951" s="2">
        <v>8</v>
      </c>
      <c r="E951" s="3">
        <v>4.0000000000000002E-4</v>
      </c>
    </row>
    <row r="952" spans="2:5">
      <c r="B952" s="31"/>
      <c r="C952" s="1" t="str">
        <f>"COXCATLAN"</f>
        <v>COXCATLAN</v>
      </c>
      <c r="D952" s="2">
        <v>1</v>
      </c>
      <c r="E952" s="3">
        <v>1E-4</v>
      </c>
    </row>
    <row r="953" spans="2:5">
      <c r="B953" s="31"/>
      <c r="C953" s="1" t="str">
        <f>"EBANO"</f>
        <v>EBANO</v>
      </c>
      <c r="D953" s="2">
        <v>7</v>
      </c>
      <c r="E953" s="3">
        <v>4.0000000000000002E-4</v>
      </c>
    </row>
    <row r="954" spans="2:5">
      <c r="B954" s="31"/>
      <c r="C954" s="1" t="str">
        <f>"HUEHUETLAN"</f>
        <v>HUEHUETLAN</v>
      </c>
      <c r="D954" s="2">
        <v>1</v>
      </c>
      <c r="E954" s="3">
        <v>1E-4</v>
      </c>
    </row>
    <row r="955" spans="2:5">
      <c r="B955" s="31"/>
      <c r="C955" s="1" t="str">
        <f>"LAGUNILLAS"</f>
        <v>LAGUNILLAS</v>
      </c>
      <c r="D955" s="2">
        <v>1</v>
      </c>
      <c r="E955" s="3">
        <v>1E-4</v>
      </c>
    </row>
    <row r="956" spans="2:5">
      <c r="B956" s="31"/>
      <c r="C956" s="1" t="str">
        <f>"MATEHUALA"</f>
        <v>MATEHUALA</v>
      </c>
      <c r="D956" s="2">
        <v>6</v>
      </c>
      <c r="E956" s="3">
        <v>2.9999999999999997E-4</v>
      </c>
    </row>
    <row r="957" spans="2:5">
      <c r="B957" s="31"/>
      <c r="C957" s="1" t="str">
        <f>"MEXQUITIC DE CARMONA"</f>
        <v>MEXQUITIC DE CARMONA</v>
      </c>
      <c r="D957" s="2">
        <v>11</v>
      </c>
      <c r="E957" s="3">
        <v>5.9999999999999995E-4</v>
      </c>
    </row>
    <row r="958" spans="2:5">
      <c r="B958" s="31"/>
      <c r="C958" s="1" t="str">
        <f>"MOCTEZUMA"</f>
        <v>MOCTEZUMA</v>
      </c>
      <c r="D958" s="2">
        <v>1</v>
      </c>
      <c r="E958" s="3">
        <v>1E-4</v>
      </c>
    </row>
    <row r="959" spans="2:5">
      <c r="B959" s="31"/>
      <c r="C959" s="1" t="str">
        <f>"RAYON"</f>
        <v>RAYON</v>
      </c>
      <c r="D959" s="2">
        <v>1</v>
      </c>
      <c r="E959" s="3">
        <v>1E-4</v>
      </c>
    </row>
    <row r="960" spans="2:5">
      <c r="B960" s="31"/>
      <c r="C960" s="1" t="str">
        <f>"RIOVERDE"</f>
        <v>RIOVERDE</v>
      </c>
      <c r="D960" s="2">
        <v>24</v>
      </c>
      <c r="E960" s="3">
        <v>1.1999999999999999E-3</v>
      </c>
    </row>
    <row r="961" spans="2:5">
      <c r="B961" s="31"/>
      <c r="C961" s="1" t="str">
        <f>"SALINAS"</f>
        <v>SALINAS</v>
      </c>
      <c r="D961" s="2">
        <v>1</v>
      </c>
      <c r="E961" s="3">
        <v>1E-4</v>
      </c>
    </row>
    <row r="962" spans="2:5">
      <c r="B962" s="31"/>
      <c r="C962" s="1" t="str">
        <f>"SAN LUIS POTOSI"</f>
        <v>SAN LUIS POTOSI</v>
      </c>
      <c r="D962" s="2">
        <v>51</v>
      </c>
      <c r="E962" s="3">
        <v>2.5999999999999999E-3</v>
      </c>
    </row>
    <row r="963" spans="2:5" ht="30">
      <c r="B963" s="31"/>
      <c r="C963" s="1" t="str">
        <f>"SAN MARTIN CHALCHICUAUTLA"</f>
        <v>SAN MARTIN CHALCHICUAUTLA</v>
      </c>
      <c r="D963" s="2">
        <v>2</v>
      </c>
      <c r="E963" s="3">
        <v>1E-4</v>
      </c>
    </row>
    <row r="964" spans="2:5">
      <c r="B964" s="31"/>
      <c r="C964" s="1" t="str">
        <f>"SANTA MARIA DEL RIO"</f>
        <v>SANTA MARIA DEL RIO</v>
      </c>
      <c r="D964" s="2">
        <v>2</v>
      </c>
      <c r="E964" s="3">
        <v>1E-4</v>
      </c>
    </row>
    <row r="965" spans="2:5">
      <c r="B965" s="31"/>
      <c r="C965" s="1" t="str">
        <f>"SANTO DOMINGO"</f>
        <v>SANTO DOMINGO</v>
      </c>
      <c r="D965" s="2">
        <v>23</v>
      </c>
      <c r="E965" s="3">
        <v>1.1999999999999999E-3</v>
      </c>
    </row>
    <row r="966" spans="2:5">
      <c r="B966" s="31"/>
      <c r="C966" s="1" t="str">
        <f>"TAMASOPO"</f>
        <v>TAMASOPO</v>
      </c>
      <c r="D966" s="2">
        <v>3</v>
      </c>
      <c r="E966" s="3">
        <v>2.0000000000000001E-4</v>
      </c>
    </row>
    <row r="967" spans="2:5">
      <c r="B967" s="31"/>
      <c r="C967" s="1" t="str">
        <f>"TAMAZUNCHALE"</f>
        <v>TAMAZUNCHALE</v>
      </c>
      <c r="D967" s="2">
        <v>2</v>
      </c>
      <c r="E967" s="3">
        <v>1E-4</v>
      </c>
    </row>
    <row r="968" spans="2:5">
      <c r="B968" s="31"/>
      <c r="C968" s="1" t="str">
        <f>"TAMUIN"</f>
        <v>TAMUIN</v>
      </c>
      <c r="D968" s="2">
        <v>1</v>
      </c>
      <c r="E968" s="3">
        <v>1E-4</v>
      </c>
    </row>
    <row r="969" spans="2:5">
      <c r="B969" s="31"/>
      <c r="C969" s="1" t="str">
        <f>"TIERRA NUEVA"</f>
        <v>TIERRA NUEVA</v>
      </c>
      <c r="D969" s="2">
        <v>4</v>
      </c>
      <c r="E969" s="3">
        <v>2.0000000000000001E-4</v>
      </c>
    </row>
    <row r="970" spans="2:5">
      <c r="B970" s="31"/>
      <c r="C970" s="1" t="str">
        <f>"VENADO"</f>
        <v>VENADO</v>
      </c>
      <c r="D970" s="2">
        <v>1</v>
      </c>
      <c r="E970" s="3">
        <v>1E-4</v>
      </c>
    </row>
    <row r="971" spans="2:5">
      <c r="B971" s="31"/>
      <c r="C971" s="1" t="str">
        <f>"VILLA DE ARRIAGA"</f>
        <v>VILLA DE ARRIAGA</v>
      </c>
      <c r="D971" s="2">
        <v>2</v>
      </c>
      <c r="E971" s="3">
        <v>1E-4</v>
      </c>
    </row>
    <row r="972" spans="2:5">
      <c r="B972" s="31"/>
      <c r="C972" s="1" t="str">
        <f>"VILLA DE GUADALUPE"</f>
        <v>VILLA DE GUADALUPE</v>
      </c>
      <c r="D972" s="2">
        <v>1</v>
      </c>
      <c r="E972" s="3">
        <v>1E-4</v>
      </c>
    </row>
    <row r="973" spans="2:5">
      <c r="B973" s="31"/>
      <c r="C973" s="1" t="str">
        <f>"VILLA DE RAMOS"</f>
        <v>VILLA DE RAMOS</v>
      </c>
      <c r="D973" s="2">
        <v>17</v>
      </c>
      <c r="E973" s="3">
        <v>8.9999999999999998E-4</v>
      </c>
    </row>
    <row r="974" spans="2:5">
      <c r="B974" s="31"/>
      <c r="C974" s="1" t="str">
        <f>"VILLA HIDALGO"</f>
        <v>VILLA HIDALGO</v>
      </c>
      <c r="D974" s="2">
        <v>2</v>
      </c>
      <c r="E974" s="3">
        <v>1E-4</v>
      </c>
    </row>
    <row r="975" spans="2:5">
      <c r="B975" s="31"/>
      <c r="C975" s="1" t="str">
        <f>"VILLA JUAREZ"</f>
        <v>VILLA JUAREZ</v>
      </c>
      <c r="D975" s="2">
        <v>35</v>
      </c>
      <c r="E975" s="3">
        <v>1.8E-3</v>
      </c>
    </row>
    <row r="976" spans="2:5">
      <c r="B976" s="31"/>
      <c r="C976" s="1" t="str">
        <f>"XILITLA"</f>
        <v>XILITLA</v>
      </c>
      <c r="D976" s="2">
        <v>7</v>
      </c>
      <c r="E976" s="3">
        <v>4.0000000000000002E-4</v>
      </c>
    </row>
    <row r="977" spans="2:5">
      <c r="B977" s="31"/>
      <c r="C977" s="1" t="str">
        <f>"ZARAGOZA"</f>
        <v>ZARAGOZA</v>
      </c>
      <c r="D977" s="2">
        <v>2</v>
      </c>
      <c r="E977" s="3">
        <v>1E-4</v>
      </c>
    </row>
    <row r="978" spans="2:5">
      <c r="B978" s="32"/>
      <c r="C978" s="14" t="str">
        <f>"Total"</f>
        <v>Total</v>
      </c>
      <c r="D978" s="15">
        <v>244</v>
      </c>
      <c r="E978" s="21">
        <v>1.2500000000000001E-2</v>
      </c>
    </row>
    <row r="979" spans="2:5">
      <c r="B979" s="30" t="str">
        <f t="shared" ref="B979" si="20">"SINALOA"</f>
        <v>SINALOA</v>
      </c>
      <c r="C979" s="1" t="str">
        <f>"AHOME"</f>
        <v>AHOME</v>
      </c>
      <c r="D979" s="2">
        <v>44</v>
      </c>
      <c r="E979" s="3">
        <v>2.3E-3</v>
      </c>
    </row>
    <row r="980" spans="2:5">
      <c r="B980" s="31"/>
      <c r="C980" s="1" t="str">
        <f>"ANGOSTURA"</f>
        <v>ANGOSTURA</v>
      </c>
      <c r="D980" s="2">
        <v>3</v>
      </c>
      <c r="E980" s="3">
        <v>2.0000000000000001E-4</v>
      </c>
    </row>
    <row r="981" spans="2:5">
      <c r="B981" s="31"/>
      <c r="C981" s="1" t="str">
        <f>"BADIRAGUATO"</f>
        <v>BADIRAGUATO</v>
      </c>
      <c r="D981" s="2">
        <v>13</v>
      </c>
      <c r="E981" s="3">
        <v>6.9999999999999999E-4</v>
      </c>
    </row>
    <row r="982" spans="2:5">
      <c r="B982" s="31"/>
      <c r="C982" s="1" t="str">
        <f>"CHOIX"</f>
        <v>CHOIX</v>
      </c>
      <c r="D982" s="2">
        <v>12</v>
      </c>
      <c r="E982" s="3">
        <v>5.9999999999999995E-4</v>
      </c>
    </row>
    <row r="983" spans="2:5">
      <c r="B983" s="31"/>
      <c r="C983" s="1" t="str">
        <f>"CONCORDIA"</f>
        <v>CONCORDIA</v>
      </c>
      <c r="D983" s="2">
        <v>4</v>
      </c>
      <c r="E983" s="3">
        <v>2.0000000000000001E-4</v>
      </c>
    </row>
    <row r="984" spans="2:5">
      <c r="B984" s="31"/>
      <c r="C984" s="1" t="str">
        <f>"COSALA"</f>
        <v>COSALA</v>
      </c>
      <c r="D984" s="2">
        <v>1</v>
      </c>
      <c r="E984" s="3">
        <v>1E-4</v>
      </c>
    </row>
    <row r="985" spans="2:5">
      <c r="B985" s="31"/>
      <c r="C985" s="1" t="str">
        <f>"CULIACAN"</f>
        <v>CULIACAN</v>
      </c>
      <c r="D985" s="2">
        <v>61</v>
      </c>
      <c r="E985" s="3">
        <v>3.0999999999999999E-3</v>
      </c>
    </row>
    <row r="986" spans="2:5">
      <c r="B986" s="31"/>
      <c r="C986" s="1" t="str">
        <f>"EL FUERTE"</f>
        <v>EL FUERTE</v>
      </c>
      <c r="D986" s="2">
        <v>13</v>
      </c>
      <c r="E986" s="3">
        <v>6.9999999999999999E-4</v>
      </c>
    </row>
    <row r="987" spans="2:5">
      <c r="B987" s="31"/>
      <c r="C987" s="1" t="str">
        <f>"ELOTA"</f>
        <v>ELOTA</v>
      </c>
      <c r="D987" s="2">
        <v>3</v>
      </c>
      <c r="E987" s="3">
        <v>2.0000000000000001E-4</v>
      </c>
    </row>
    <row r="988" spans="2:5">
      <c r="B988" s="31"/>
      <c r="C988" s="1" t="str">
        <f>"ESCUINAPA"</f>
        <v>ESCUINAPA</v>
      </c>
      <c r="D988" s="2">
        <v>4</v>
      </c>
      <c r="E988" s="3">
        <v>2.0000000000000001E-4</v>
      </c>
    </row>
    <row r="989" spans="2:5">
      <c r="B989" s="31"/>
      <c r="C989" s="1" t="str">
        <f>"GUASAVE"</f>
        <v>GUASAVE</v>
      </c>
      <c r="D989" s="2">
        <v>32</v>
      </c>
      <c r="E989" s="3">
        <v>1.6000000000000001E-3</v>
      </c>
    </row>
    <row r="990" spans="2:5">
      <c r="B990" s="31"/>
      <c r="C990" s="1" t="str">
        <f>"MAZATLAN"</f>
        <v>MAZATLAN</v>
      </c>
      <c r="D990" s="2">
        <v>37</v>
      </c>
      <c r="E990" s="3">
        <v>1.9E-3</v>
      </c>
    </row>
    <row r="991" spans="2:5">
      <c r="B991" s="31"/>
      <c r="C991" s="1" t="str">
        <f>"MOCORITO"</f>
        <v>MOCORITO</v>
      </c>
      <c r="D991" s="2">
        <v>10</v>
      </c>
      <c r="E991" s="3">
        <v>5.0000000000000001E-4</v>
      </c>
    </row>
    <row r="992" spans="2:5">
      <c r="B992" s="31"/>
      <c r="C992" s="1" t="str">
        <f>"NAVOLATO"</f>
        <v>NAVOLATO</v>
      </c>
      <c r="D992" s="2">
        <v>5</v>
      </c>
      <c r="E992" s="3">
        <v>2.9999999999999997E-4</v>
      </c>
    </row>
    <row r="993" spans="2:5">
      <c r="B993" s="31"/>
      <c r="C993" s="1" t="str">
        <f>"ROSARIO"</f>
        <v>ROSARIO</v>
      </c>
      <c r="D993" s="2">
        <v>1</v>
      </c>
      <c r="E993" s="3">
        <v>1E-4</v>
      </c>
    </row>
    <row r="994" spans="2:5">
      <c r="B994" s="31"/>
      <c r="C994" s="1" t="str">
        <f>"SALVADOR ALVARADO"</f>
        <v>SALVADOR ALVARADO</v>
      </c>
      <c r="D994" s="2">
        <v>3</v>
      </c>
      <c r="E994" s="3">
        <v>2.0000000000000001E-4</v>
      </c>
    </row>
    <row r="995" spans="2:5">
      <c r="B995" s="31"/>
      <c r="C995" s="1" t="str">
        <f>"SAN IGNACIO"</f>
        <v>SAN IGNACIO</v>
      </c>
      <c r="D995" s="2">
        <v>3</v>
      </c>
      <c r="E995" s="3">
        <v>2.0000000000000001E-4</v>
      </c>
    </row>
    <row r="996" spans="2:5">
      <c r="B996" s="31"/>
      <c r="C996" s="1" t="str">
        <f>"SINALOA"</f>
        <v>SINALOA</v>
      </c>
      <c r="D996" s="2">
        <v>7</v>
      </c>
      <c r="E996" s="3">
        <v>4.0000000000000002E-4</v>
      </c>
    </row>
    <row r="997" spans="2:5">
      <c r="B997" s="32"/>
      <c r="C997" s="14" t="str">
        <f>"Total"</f>
        <v>Total</v>
      </c>
      <c r="D997" s="15">
        <v>256</v>
      </c>
      <c r="E997" s="21">
        <v>1.3100000000000001E-2</v>
      </c>
    </row>
    <row r="998" spans="2:5">
      <c r="B998" s="30" t="str">
        <f t="shared" ref="B998" si="21">"SONORA"</f>
        <v>SONORA</v>
      </c>
      <c r="C998" s="1" t="str">
        <f>"AGUA PRIETA"</f>
        <v>AGUA PRIETA</v>
      </c>
      <c r="D998" s="2">
        <v>8</v>
      </c>
      <c r="E998" s="3">
        <v>4.0000000000000002E-4</v>
      </c>
    </row>
    <row r="999" spans="2:5">
      <c r="B999" s="31"/>
      <c r="C999" s="1" t="str">
        <f>"ALAMOS"</f>
        <v>ALAMOS</v>
      </c>
      <c r="D999" s="2">
        <v>2</v>
      </c>
      <c r="E999" s="3">
        <v>1E-4</v>
      </c>
    </row>
    <row r="1000" spans="2:5">
      <c r="B1000" s="31"/>
      <c r="C1000" s="1" t="str">
        <f>"ARIVECHI"</f>
        <v>ARIVECHI</v>
      </c>
      <c r="D1000" s="2">
        <v>2</v>
      </c>
      <c r="E1000" s="3">
        <v>1E-4</v>
      </c>
    </row>
    <row r="1001" spans="2:5">
      <c r="B1001" s="31"/>
      <c r="C1001" s="1" t="str">
        <f>"BACERAC"</f>
        <v>BACERAC</v>
      </c>
      <c r="D1001" s="2">
        <v>2</v>
      </c>
      <c r="E1001" s="3">
        <v>1E-4</v>
      </c>
    </row>
    <row r="1002" spans="2:5">
      <c r="B1002" s="31"/>
      <c r="C1002" s="1" t="str">
        <f>"BACUM"</f>
        <v>BACUM</v>
      </c>
      <c r="D1002" s="2">
        <v>2</v>
      </c>
      <c r="E1002" s="3">
        <v>1E-4</v>
      </c>
    </row>
    <row r="1003" spans="2:5">
      <c r="B1003" s="31"/>
      <c r="C1003" s="1" t="str">
        <f>"CABORCA"</f>
        <v>CABORCA</v>
      </c>
      <c r="D1003" s="2">
        <v>3</v>
      </c>
      <c r="E1003" s="3">
        <v>2.0000000000000001E-4</v>
      </c>
    </row>
    <row r="1004" spans="2:5">
      <c r="B1004" s="31"/>
      <c r="C1004" s="1" t="str">
        <f>"CAJEME"</f>
        <v>CAJEME</v>
      </c>
      <c r="D1004" s="2">
        <v>36</v>
      </c>
      <c r="E1004" s="3">
        <v>1.8E-3</v>
      </c>
    </row>
    <row r="1005" spans="2:5">
      <c r="B1005" s="31"/>
      <c r="C1005" s="1" t="str">
        <f>"CANANEA"</f>
        <v>CANANEA</v>
      </c>
      <c r="D1005" s="2">
        <v>3</v>
      </c>
      <c r="E1005" s="3">
        <v>2.0000000000000001E-4</v>
      </c>
    </row>
    <row r="1006" spans="2:5">
      <c r="B1006" s="31"/>
      <c r="C1006" s="1" t="str">
        <f>"CUMPAS"</f>
        <v>CUMPAS</v>
      </c>
      <c r="D1006" s="2">
        <v>1</v>
      </c>
      <c r="E1006" s="3">
        <v>1E-4</v>
      </c>
    </row>
    <row r="1007" spans="2:5">
      <c r="B1007" s="31"/>
      <c r="C1007" s="1" t="str">
        <f>"EMPALME"</f>
        <v>EMPALME</v>
      </c>
      <c r="D1007" s="2">
        <v>2</v>
      </c>
      <c r="E1007" s="3">
        <v>1E-4</v>
      </c>
    </row>
    <row r="1008" spans="2:5">
      <c r="B1008" s="31"/>
      <c r="C1008" s="1" t="str">
        <f>"ETCHOJOA"</f>
        <v>ETCHOJOA</v>
      </c>
      <c r="D1008" s="2">
        <v>2</v>
      </c>
      <c r="E1008" s="3">
        <v>1E-4</v>
      </c>
    </row>
    <row r="1009" spans="2:5">
      <c r="B1009" s="31"/>
      <c r="C1009" s="1" t="str">
        <f>"GUAYMAS"</f>
        <v>GUAYMAS</v>
      </c>
      <c r="D1009" s="2">
        <v>5</v>
      </c>
      <c r="E1009" s="3">
        <v>2.9999999999999997E-4</v>
      </c>
    </row>
    <row r="1010" spans="2:5">
      <c r="B1010" s="31"/>
      <c r="C1010" s="1" t="str">
        <f>"HERMOSILLO"</f>
        <v>HERMOSILLO</v>
      </c>
      <c r="D1010" s="2">
        <v>29</v>
      </c>
      <c r="E1010" s="3">
        <v>1.5E-3</v>
      </c>
    </row>
    <row r="1011" spans="2:5">
      <c r="B1011" s="31"/>
      <c r="C1011" s="1" t="str">
        <f>"HUATABAMPO"</f>
        <v>HUATABAMPO</v>
      </c>
      <c r="D1011" s="2">
        <v>3</v>
      </c>
      <c r="E1011" s="3">
        <v>2.0000000000000001E-4</v>
      </c>
    </row>
    <row r="1012" spans="2:5">
      <c r="B1012" s="31"/>
      <c r="C1012" s="1" t="str">
        <f>"MAGDALENA"</f>
        <v>MAGDALENA</v>
      </c>
      <c r="D1012" s="2">
        <v>1</v>
      </c>
      <c r="E1012" s="3">
        <v>1E-4</v>
      </c>
    </row>
    <row r="1013" spans="2:5">
      <c r="B1013" s="31"/>
      <c r="C1013" s="1" t="str">
        <f>"NACORI CHICO"</f>
        <v>NACORI CHICO</v>
      </c>
      <c r="D1013" s="2">
        <v>3</v>
      </c>
      <c r="E1013" s="3">
        <v>2.0000000000000001E-4</v>
      </c>
    </row>
    <row r="1014" spans="2:5">
      <c r="B1014" s="31"/>
      <c r="C1014" s="1" t="str">
        <f>"NACOZARI DE GARCIA"</f>
        <v>NACOZARI DE GARCIA</v>
      </c>
      <c r="D1014" s="2">
        <v>6</v>
      </c>
      <c r="E1014" s="3">
        <v>2.9999999999999997E-4</v>
      </c>
    </row>
    <row r="1015" spans="2:5">
      <c r="B1015" s="31"/>
      <c r="C1015" s="1" t="str">
        <f>"NAVOJOA"</f>
        <v>NAVOJOA</v>
      </c>
      <c r="D1015" s="2">
        <v>8</v>
      </c>
      <c r="E1015" s="3">
        <v>4.0000000000000002E-4</v>
      </c>
    </row>
    <row r="1016" spans="2:5">
      <c r="B1016" s="31"/>
      <c r="C1016" s="1" t="str">
        <f>"NOGALES"</f>
        <v>NOGALES</v>
      </c>
      <c r="D1016" s="2">
        <v>8</v>
      </c>
      <c r="E1016" s="3">
        <v>4.0000000000000002E-4</v>
      </c>
    </row>
    <row r="1017" spans="2:5">
      <c r="B1017" s="31"/>
      <c r="C1017" s="1" t="str">
        <f>"QUIRIEGO"</f>
        <v>QUIRIEGO</v>
      </c>
      <c r="D1017" s="2">
        <v>1</v>
      </c>
      <c r="E1017" s="3">
        <v>1E-4</v>
      </c>
    </row>
    <row r="1018" spans="2:5">
      <c r="B1018" s="31"/>
      <c r="C1018" s="1" t="str">
        <f>"SAHUARIPA"</f>
        <v>SAHUARIPA</v>
      </c>
      <c r="D1018" s="2">
        <v>10</v>
      </c>
      <c r="E1018" s="3">
        <v>5.0000000000000001E-4</v>
      </c>
    </row>
    <row r="1019" spans="2:5">
      <c r="B1019" s="31"/>
      <c r="C1019" s="1" t="str">
        <f>"SAN IGNACIO RIO MUERTO"</f>
        <v>SAN IGNACIO RIO MUERTO</v>
      </c>
      <c r="D1019" s="2">
        <v>1</v>
      </c>
      <c r="E1019" s="3">
        <v>1E-4</v>
      </c>
    </row>
    <row r="1020" spans="2:5">
      <c r="B1020" s="31"/>
      <c r="C1020" s="1" t="str">
        <f>"SAN LUIS RIO COLORADO"</f>
        <v>SAN LUIS RIO COLORADO</v>
      </c>
      <c r="D1020" s="2">
        <v>7</v>
      </c>
      <c r="E1020" s="3">
        <v>4.0000000000000002E-4</v>
      </c>
    </row>
    <row r="1021" spans="2:5">
      <c r="B1021" s="31"/>
      <c r="C1021" s="1" t="str">
        <f>"SAN MIGUEL DE HORCASITAS"</f>
        <v>SAN MIGUEL DE HORCASITAS</v>
      </c>
      <c r="D1021" s="2">
        <v>1</v>
      </c>
      <c r="E1021" s="3">
        <v>1E-4</v>
      </c>
    </row>
    <row r="1022" spans="2:5">
      <c r="B1022" s="31"/>
      <c r="C1022" s="1" t="str">
        <f>"TEPACHE"</f>
        <v>TEPACHE</v>
      </c>
      <c r="D1022" s="2">
        <v>1</v>
      </c>
      <c r="E1022" s="3">
        <v>1E-4</v>
      </c>
    </row>
    <row r="1023" spans="2:5">
      <c r="B1023" s="31"/>
      <c r="C1023" s="1" t="str">
        <f>"URES"</f>
        <v>URES</v>
      </c>
      <c r="D1023" s="2">
        <v>1</v>
      </c>
      <c r="E1023" s="3">
        <v>1E-4</v>
      </c>
    </row>
    <row r="1024" spans="2:5">
      <c r="B1024" s="32"/>
      <c r="C1024" s="14" t="str">
        <f>"Total"</f>
        <v>Total</v>
      </c>
      <c r="D1024" s="15">
        <v>148</v>
      </c>
      <c r="E1024" s="21">
        <v>7.6E-3</v>
      </c>
    </row>
    <row r="1025" spans="2:5">
      <c r="B1025" s="30" t="str">
        <f t="shared" ref="B1025" si="22">"TABASCO"</f>
        <v>TABASCO</v>
      </c>
      <c r="C1025" s="1" t="str">
        <f>"BALANCAN"</f>
        <v>BALANCAN</v>
      </c>
      <c r="D1025" s="2">
        <v>10</v>
      </c>
      <c r="E1025" s="3">
        <v>5.0000000000000001E-4</v>
      </c>
    </row>
    <row r="1026" spans="2:5">
      <c r="B1026" s="31"/>
      <c r="C1026" s="1" t="str">
        <f>"CARDENAS"</f>
        <v>CARDENAS</v>
      </c>
      <c r="D1026" s="2">
        <v>12</v>
      </c>
      <c r="E1026" s="3">
        <v>5.9999999999999995E-4</v>
      </c>
    </row>
    <row r="1027" spans="2:5">
      <c r="B1027" s="31"/>
      <c r="C1027" s="1" t="str">
        <f>"CENTRO"</f>
        <v>CENTRO</v>
      </c>
      <c r="D1027" s="2">
        <v>8</v>
      </c>
      <c r="E1027" s="3">
        <v>4.0000000000000002E-4</v>
      </c>
    </row>
    <row r="1028" spans="2:5">
      <c r="B1028" s="31"/>
      <c r="C1028" s="1" t="str">
        <f>"COMALCALCO"</f>
        <v>COMALCALCO</v>
      </c>
      <c r="D1028" s="2">
        <v>13</v>
      </c>
      <c r="E1028" s="3">
        <v>6.9999999999999999E-4</v>
      </c>
    </row>
    <row r="1029" spans="2:5">
      <c r="B1029" s="31"/>
      <c r="C1029" s="1" t="str">
        <f>"CUNDUACAN"</f>
        <v>CUNDUACAN</v>
      </c>
      <c r="D1029" s="2">
        <v>1</v>
      </c>
      <c r="E1029" s="3">
        <v>1E-4</v>
      </c>
    </row>
    <row r="1030" spans="2:5">
      <c r="B1030" s="31"/>
      <c r="C1030" s="1" t="str">
        <f>"EMILIANO ZAPATA"</f>
        <v>EMILIANO ZAPATA</v>
      </c>
      <c r="D1030" s="2">
        <v>1</v>
      </c>
      <c r="E1030" s="3">
        <v>1E-4</v>
      </c>
    </row>
    <row r="1031" spans="2:5">
      <c r="B1031" s="31"/>
      <c r="C1031" s="1" t="str">
        <f>"HUIMANGUILLO"</f>
        <v>HUIMANGUILLO</v>
      </c>
      <c r="D1031" s="2">
        <v>14</v>
      </c>
      <c r="E1031" s="3">
        <v>6.9999999999999999E-4</v>
      </c>
    </row>
    <row r="1032" spans="2:5">
      <c r="B1032" s="31"/>
      <c r="C1032" s="1" t="str">
        <f>"JALPA DE MENDEZ"</f>
        <v>JALPA DE MENDEZ</v>
      </c>
      <c r="D1032" s="2">
        <v>1</v>
      </c>
      <c r="E1032" s="3">
        <v>1E-4</v>
      </c>
    </row>
    <row r="1033" spans="2:5">
      <c r="B1033" s="31"/>
      <c r="C1033" s="1" t="str">
        <f>"JONUTA"</f>
        <v>JONUTA</v>
      </c>
      <c r="D1033" s="2">
        <v>1</v>
      </c>
      <c r="E1033" s="3">
        <v>1E-4</v>
      </c>
    </row>
    <row r="1034" spans="2:5">
      <c r="B1034" s="31"/>
      <c r="C1034" s="1" t="str">
        <f>"MACUSPANA"</f>
        <v>MACUSPANA</v>
      </c>
      <c r="D1034" s="2">
        <v>1</v>
      </c>
      <c r="E1034" s="3">
        <v>1E-4</v>
      </c>
    </row>
    <row r="1035" spans="2:5">
      <c r="B1035" s="31"/>
      <c r="C1035" s="1" t="str">
        <f>"NACAJUCA"</f>
        <v>NACAJUCA</v>
      </c>
      <c r="D1035" s="2">
        <v>2</v>
      </c>
      <c r="E1035" s="3">
        <v>1E-4</v>
      </c>
    </row>
    <row r="1036" spans="2:5">
      <c r="B1036" s="31"/>
      <c r="C1036" s="1" t="str">
        <f>"PARAISO"</f>
        <v>PARAISO</v>
      </c>
      <c r="D1036" s="2">
        <v>1</v>
      </c>
      <c r="E1036" s="3">
        <v>1E-4</v>
      </c>
    </row>
    <row r="1037" spans="2:5">
      <c r="B1037" s="31"/>
      <c r="C1037" s="1" t="str">
        <f>"TACOTALPA"</f>
        <v>TACOTALPA</v>
      </c>
      <c r="D1037" s="2">
        <v>1</v>
      </c>
      <c r="E1037" s="3">
        <v>1E-4</v>
      </c>
    </row>
    <row r="1038" spans="2:5">
      <c r="B1038" s="31"/>
      <c r="C1038" s="1" t="str">
        <f>"TEAPA"</f>
        <v>TEAPA</v>
      </c>
      <c r="D1038" s="2">
        <v>3</v>
      </c>
      <c r="E1038" s="3">
        <v>2.0000000000000001E-4</v>
      </c>
    </row>
    <row r="1039" spans="2:5">
      <c r="B1039" s="31"/>
      <c r="C1039" s="1" t="str">
        <f>"TENOSIQUE"</f>
        <v>TENOSIQUE</v>
      </c>
      <c r="D1039" s="2">
        <v>4</v>
      </c>
      <c r="E1039" s="3">
        <v>2.0000000000000001E-4</v>
      </c>
    </row>
    <row r="1040" spans="2:5">
      <c r="B1040" s="32"/>
      <c r="C1040" s="14" t="str">
        <f>"Total"</f>
        <v>Total</v>
      </c>
      <c r="D1040" s="15">
        <v>73</v>
      </c>
      <c r="E1040" s="21">
        <v>3.7000000000000002E-3</v>
      </c>
    </row>
    <row r="1041" spans="2:5">
      <c r="B1041" s="30" t="str">
        <f t="shared" ref="B1041" si="23">"TAMAULIPAS"</f>
        <v>TAMAULIPAS</v>
      </c>
      <c r="C1041" s="1" t="str">
        <f>"ALDAMA"</f>
        <v>ALDAMA</v>
      </c>
      <c r="D1041" s="2">
        <v>3</v>
      </c>
      <c r="E1041" s="3">
        <v>2.0000000000000001E-4</v>
      </c>
    </row>
    <row r="1042" spans="2:5">
      <c r="B1042" s="31"/>
      <c r="C1042" s="1" t="str">
        <f>"ALTAMIRA"</f>
        <v>ALTAMIRA</v>
      </c>
      <c r="D1042" s="2">
        <v>2</v>
      </c>
      <c r="E1042" s="3">
        <v>1E-4</v>
      </c>
    </row>
    <row r="1043" spans="2:5">
      <c r="B1043" s="31"/>
      <c r="C1043" s="1" t="str">
        <f>"ANTIGUO MORELOS"</f>
        <v>ANTIGUO MORELOS</v>
      </c>
      <c r="D1043" s="2">
        <v>1</v>
      </c>
      <c r="E1043" s="3">
        <v>1E-4</v>
      </c>
    </row>
    <row r="1044" spans="2:5">
      <c r="B1044" s="31"/>
      <c r="C1044" s="1" t="str">
        <f>"BUSTAMANTE"</f>
        <v>BUSTAMANTE</v>
      </c>
      <c r="D1044" s="2">
        <v>1</v>
      </c>
      <c r="E1044" s="3">
        <v>1E-4</v>
      </c>
    </row>
    <row r="1045" spans="2:5">
      <c r="B1045" s="31"/>
      <c r="C1045" s="1" t="str">
        <f>"CIUDAD MADERO"</f>
        <v>CIUDAD MADERO</v>
      </c>
      <c r="D1045" s="2">
        <v>2</v>
      </c>
      <c r="E1045" s="3">
        <v>1E-4</v>
      </c>
    </row>
    <row r="1046" spans="2:5">
      <c r="B1046" s="31"/>
      <c r="C1046" s="1" t="str">
        <f>"EL MANTE"</f>
        <v>EL MANTE</v>
      </c>
      <c r="D1046" s="2">
        <v>2</v>
      </c>
      <c r="E1046" s="3">
        <v>1E-4</v>
      </c>
    </row>
    <row r="1047" spans="2:5">
      <c r="B1047" s="31"/>
      <c r="C1047" s="1" t="str">
        <f>"GONZALEZ"</f>
        <v>GONZALEZ</v>
      </c>
      <c r="D1047" s="2">
        <v>4</v>
      </c>
      <c r="E1047" s="3">
        <v>2.0000000000000001E-4</v>
      </c>
    </row>
    <row r="1048" spans="2:5">
      <c r="B1048" s="31"/>
      <c r="C1048" s="1" t="str">
        <f>"GUEMEZ"</f>
        <v>GUEMEZ</v>
      </c>
      <c r="D1048" s="2">
        <v>1</v>
      </c>
      <c r="E1048" s="3">
        <v>1E-4</v>
      </c>
    </row>
    <row r="1049" spans="2:5">
      <c r="B1049" s="31"/>
      <c r="C1049" s="1" t="str">
        <f>"JAUMAVE"</f>
        <v>JAUMAVE</v>
      </c>
      <c r="D1049" s="2">
        <v>1</v>
      </c>
      <c r="E1049" s="3">
        <v>1E-4</v>
      </c>
    </row>
    <row r="1050" spans="2:5">
      <c r="B1050" s="31"/>
      <c r="C1050" s="1" t="str">
        <f>"MATAMOROS"</f>
        <v>MATAMOROS</v>
      </c>
      <c r="D1050" s="2">
        <v>18</v>
      </c>
      <c r="E1050" s="3">
        <v>8.9999999999999998E-4</v>
      </c>
    </row>
    <row r="1051" spans="2:5">
      <c r="B1051" s="31"/>
      <c r="C1051" s="1" t="str">
        <f>"MIER"</f>
        <v>MIER</v>
      </c>
      <c r="D1051" s="2">
        <v>1</v>
      </c>
      <c r="E1051" s="3">
        <v>1E-4</v>
      </c>
    </row>
    <row r="1052" spans="2:5">
      <c r="B1052" s="31"/>
      <c r="C1052" s="1" t="str">
        <f>"MIGUEL ALEMAN"</f>
        <v>MIGUEL ALEMAN</v>
      </c>
      <c r="D1052" s="2">
        <v>2</v>
      </c>
      <c r="E1052" s="3">
        <v>1E-4</v>
      </c>
    </row>
    <row r="1053" spans="2:5">
      <c r="B1053" s="31"/>
      <c r="C1053" s="1" t="str">
        <f>"NUEVO LAREDO"</f>
        <v>NUEVO LAREDO</v>
      </c>
      <c r="D1053" s="2">
        <v>6</v>
      </c>
      <c r="E1053" s="3">
        <v>2.9999999999999997E-4</v>
      </c>
    </row>
    <row r="1054" spans="2:5">
      <c r="B1054" s="31"/>
      <c r="C1054" s="1" t="str">
        <f>"PADILLA"</f>
        <v>PADILLA</v>
      </c>
      <c r="D1054" s="2">
        <v>1</v>
      </c>
      <c r="E1054" s="3">
        <v>1E-4</v>
      </c>
    </row>
    <row r="1055" spans="2:5">
      <c r="B1055" s="31"/>
      <c r="C1055" s="1" t="str">
        <f>"REYNOSA"</f>
        <v>REYNOSA</v>
      </c>
      <c r="D1055" s="2">
        <v>6</v>
      </c>
      <c r="E1055" s="3">
        <v>2.9999999999999997E-4</v>
      </c>
    </row>
    <row r="1056" spans="2:5">
      <c r="B1056" s="31"/>
      <c r="C1056" s="1" t="str">
        <f>"RIO BRAVO"</f>
        <v>RIO BRAVO</v>
      </c>
      <c r="D1056" s="2">
        <v>2</v>
      </c>
      <c r="E1056" s="3">
        <v>1E-4</v>
      </c>
    </row>
    <row r="1057" spans="2:5">
      <c r="B1057" s="31"/>
      <c r="C1057" s="1" t="str">
        <f>"SAN FERNANDO"</f>
        <v>SAN FERNANDO</v>
      </c>
      <c r="D1057" s="2">
        <v>4</v>
      </c>
      <c r="E1057" s="3">
        <v>2.0000000000000001E-4</v>
      </c>
    </row>
    <row r="1058" spans="2:5">
      <c r="B1058" s="31"/>
      <c r="C1058" s="1" t="str">
        <f>"SOTO LA MARINA"</f>
        <v>SOTO LA MARINA</v>
      </c>
      <c r="D1058" s="2">
        <v>2</v>
      </c>
      <c r="E1058" s="3">
        <v>1E-4</v>
      </c>
    </row>
    <row r="1059" spans="2:5">
      <c r="B1059" s="31"/>
      <c r="C1059" s="1" t="str">
        <f>"TAMPICO"</f>
        <v>TAMPICO</v>
      </c>
      <c r="D1059" s="2">
        <v>11</v>
      </c>
      <c r="E1059" s="3">
        <v>5.9999999999999995E-4</v>
      </c>
    </row>
    <row r="1060" spans="2:5">
      <c r="B1060" s="31"/>
      <c r="C1060" s="1" t="str">
        <f>"TULA"</f>
        <v>TULA</v>
      </c>
      <c r="D1060" s="2">
        <v>1</v>
      </c>
      <c r="E1060" s="3">
        <v>1E-4</v>
      </c>
    </row>
    <row r="1061" spans="2:5">
      <c r="B1061" s="31"/>
      <c r="C1061" s="1" t="str">
        <f>"VICTORIA"</f>
        <v>VICTORIA</v>
      </c>
      <c r="D1061" s="2">
        <v>7</v>
      </c>
      <c r="E1061" s="3">
        <v>4.0000000000000002E-4</v>
      </c>
    </row>
    <row r="1062" spans="2:5">
      <c r="B1062" s="32"/>
      <c r="C1062" s="14" t="str">
        <f>"Total"</f>
        <v>Total</v>
      </c>
      <c r="D1062" s="15">
        <v>78</v>
      </c>
      <c r="E1062" s="21">
        <v>4.0000000000000001E-3</v>
      </c>
    </row>
    <row r="1063" spans="2:5" ht="30">
      <c r="B1063" s="30" t="str">
        <f t="shared" ref="B1063" si="24">"TLAXCALA"</f>
        <v>TLAXCALA</v>
      </c>
      <c r="C1063" s="1" t="str">
        <f>"ACUAMANALA DE MIGUEL HIDALGO"</f>
        <v>ACUAMANALA DE MIGUEL HIDALGO</v>
      </c>
      <c r="D1063" s="2">
        <v>1</v>
      </c>
      <c r="E1063" s="3">
        <v>1E-4</v>
      </c>
    </row>
    <row r="1064" spans="2:5">
      <c r="B1064" s="31"/>
      <c r="C1064" s="1" t="str">
        <f>"APIZACO"</f>
        <v>APIZACO</v>
      </c>
      <c r="D1064" s="2">
        <v>11</v>
      </c>
      <c r="E1064" s="3">
        <v>5.9999999999999995E-4</v>
      </c>
    </row>
    <row r="1065" spans="2:5">
      <c r="B1065" s="31"/>
      <c r="C1065" s="1" t="str">
        <f>"CALPULALPAN"</f>
        <v>CALPULALPAN</v>
      </c>
      <c r="D1065" s="2">
        <v>6</v>
      </c>
      <c r="E1065" s="3">
        <v>2.9999999999999997E-4</v>
      </c>
    </row>
    <row r="1066" spans="2:5">
      <c r="B1066" s="31"/>
      <c r="C1066" s="1" t="str">
        <f>"CHIAUTEMPAN"</f>
        <v>CHIAUTEMPAN</v>
      </c>
      <c r="D1066" s="2">
        <v>16</v>
      </c>
      <c r="E1066" s="3">
        <v>8.0000000000000004E-4</v>
      </c>
    </row>
    <row r="1067" spans="2:5">
      <c r="B1067" s="31"/>
      <c r="C1067" s="1" t="str">
        <f>"HUAMANTLA"</f>
        <v>HUAMANTLA</v>
      </c>
      <c r="D1067" s="2">
        <v>2</v>
      </c>
      <c r="E1067" s="3">
        <v>1E-4</v>
      </c>
    </row>
    <row r="1068" spans="2:5">
      <c r="B1068" s="31"/>
      <c r="C1068" s="1" t="str">
        <f>"IXTENCO"</f>
        <v>IXTENCO</v>
      </c>
      <c r="D1068" s="2">
        <v>3</v>
      </c>
      <c r="E1068" s="3">
        <v>2.0000000000000001E-4</v>
      </c>
    </row>
    <row r="1069" spans="2:5" ht="30">
      <c r="B1069" s="31"/>
      <c r="C1069" s="1" t="str">
        <f>"NANACAMILPA DE MARIANO ARISTA"</f>
        <v>NANACAMILPA DE MARIANO ARISTA</v>
      </c>
      <c r="D1069" s="2">
        <v>2</v>
      </c>
      <c r="E1069" s="3">
        <v>1E-4</v>
      </c>
    </row>
    <row r="1070" spans="2:5">
      <c r="B1070" s="31"/>
      <c r="C1070" s="1" t="str">
        <f>"PANOTLA"</f>
        <v>PANOTLA</v>
      </c>
      <c r="D1070" s="2">
        <v>1</v>
      </c>
      <c r="E1070" s="3">
        <v>1E-4</v>
      </c>
    </row>
    <row r="1071" spans="2:5">
      <c r="B1071" s="31"/>
      <c r="C1071" s="1" t="str">
        <f>"TENANCINGO"</f>
        <v>TENANCINGO</v>
      </c>
      <c r="D1071" s="2">
        <v>1</v>
      </c>
      <c r="E1071" s="3">
        <v>1E-4</v>
      </c>
    </row>
    <row r="1072" spans="2:5">
      <c r="B1072" s="31"/>
      <c r="C1072" s="1" t="str">
        <f>"TEOLOCHOLCO"</f>
        <v>TEOLOCHOLCO</v>
      </c>
      <c r="D1072" s="2">
        <v>2</v>
      </c>
      <c r="E1072" s="3">
        <v>1E-4</v>
      </c>
    </row>
    <row r="1073" spans="2:5">
      <c r="B1073" s="31"/>
      <c r="C1073" s="1" t="str">
        <f>"TEPEYANCO"</f>
        <v>TEPEYANCO</v>
      </c>
      <c r="D1073" s="2">
        <v>1</v>
      </c>
      <c r="E1073" s="3">
        <v>1E-4</v>
      </c>
    </row>
    <row r="1074" spans="2:5">
      <c r="B1074" s="31"/>
      <c r="C1074" s="1" t="str">
        <f>"TERRENATE"</f>
        <v>TERRENATE</v>
      </c>
      <c r="D1074" s="2">
        <v>3</v>
      </c>
      <c r="E1074" s="3">
        <v>2.0000000000000001E-4</v>
      </c>
    </row>
    <row r="1075" spans="2:5">
      <c r="B1075" s="31"/>
      <c r="C1075" s="1" t="str">
        <f>"TETLATLAHUCA"</f>
        <v>TETLATLAHUCA</v>
      </c>
      <c r="D1075" s="2">
        <v>2</v>
      </c>
      <c r="E1075" s="3">
        <v>1E-4</v>
      </c>
    </row>
    <row r="1076" spans="2:5">
      <c r="B1076" s="31"/>
      <c r="C1076" s="1" t="str">
        <f>"TLAXCALA"</f>
        <v>TLAXCALA</v>
      </c>
      <c r="D1076" s="2">
        <v>19</v>
      </c>
      <c r="E1076" s="3">
        <v>1E-3</v>
      </c>
    </row>
    <row r="1077" spans="2:5">
      <c r="B1077" s="31"/>
      <c r="C1077" s="1" t="str">
        <f>"TLAXCO"</f>
        <v>TLAXCO</v>
      </c>
      <c r="D1077" s="2">
        <v>4</v>
      </c>
      <c r="E1077" s="3">
        <v>2.0000000000000001E-4</v>
      </c>
    </row>
    <row r="1078" spans="2:5">
      <c r="B1078" s="31"/>
      <c r="C1078" s="1" t="str">
        <f>"TZOMPANTEPEC"</f>
        <v>TZOMPANTEPEC</v>
      </c>
      <c r="D1078" s="2">
        <v>2</v>
      </c>
      <c r="E1078" s="3">
        <v>1E-4</v>
      </c>
    </row>
    <row r="1079" spans="2:5">
      <c r="B1079" s="31"/>
      <c r="C1079" s="1" t="str">
        <f>"XICOHTZINCO"</f>
        <v>XICOHTZINCO</v>
      </c>
      <c r="D1079" s="2">
        <v>1</v>
      </c>
      <c r="E1079" s="3">
        <v>1E-4</v>
      </c>
    </row>
    <row r="1080" spans="2:5">
      <c r="B1080" s="31"/>
      <c r="C1080" s="1" t="str">
        <f>"YAUHQUEMECAN"</f>
        <v>YAUHQUEMECAN</v>
      </c>
      <c r="D1080" s="2">
        <v>1</v>
      </c>
      <c r="E1080" s="3">
        <v>1E-4</v>
      </c>
    </row>
    <row r="1081" spans="2:5">
      <c r="B1081" s="31"/>
      <c r="C1081" s="1" t="str">
        <f>"ZACATELCO"</f>
        <v>ZACATELCO</v>
      </c>
      <c r="D1081" s="2">
        <v>6</v>
      </c>
      <c r="E1081" s="3">
        <v>2.9999999999999997E-4</v>
      </c>
    </row>
    <row r="1082" spans="2:5">
      <c r="B1082" s="32"/>
      <c r="C1082" s="14" t="str">
        <f>"Total"</f>
        <v>Total</v>
      </c>
      <c r="D1082" s="15">
        <v>84</v>
      </c>
      <c r="E1082" s="21">
        <v>4.3E-3</v>
      </c>
    </row>
    <row r="1083" spans="2:5">
      <c r="B1083" s="30" t="str">
        <f t="shared" ref="B1083" si="25">"VERACRUZ DE IGNACIO DE LA LLAVE"</f>
        <v>VERACRUZ DE IGNACIO DE LA LLAVE</v>
      </c>
      <c r="C1083" s="1" t="str">
        <f>"ACAJETE"</f>
        <v>ACAJETE</v>
      </c>
      <c r="D1083" s="2">
        <v>2</v>
      </c>
      <c r="E1083" s="3">
        <v>1E-4</v>
      </c>
    </row>
    <row r="1084" spans="2:5">
      <c r="B1084" s="31"/>
      <c r="C1084" s="1" t="str">
        <f>"ACAYUCAN"</f>
        <v>ACAYUCAN</v>
      </c>
      <c r="D1084" s="2">
        <v>19</v>
      </c>
      <c r="E1084" s="3">
        <v>1E-3</v>
      </c>
    </row>
    <row r="1085" spans="2:5">
      <c r="B1085" s="31"/>
      <c r="C1085" s="1" t="str">
        <f>"ACTOPAN"</f>
        <v>ACTOPAN</v>
      </c>
      <c r="D1085" s="2">
        <v>8</v>
      </c>
      <c r="E1085" s="3">
        <v>4.0000000000000002E-4</v>
      </c>
    </row>
    <row r="1086" spans="2:5">
      <c r="B1086" s="31"/>
      <c r="C1086" s="1" t="str">
        <f>"ACULA"</f>
        <v>ACULA</v>
      </c>
      <c r="D1086" s="2">
        <v>4</v>
      </c>
      <c r="E1086" s="3">
        <v>2.0000000000000001E-4</v>
      </c>
    </row>
    <row r="1087" spans="2:5">
      <c r="B1087" s="31"/>
      <c r="C1087" s="1" t="str">
        <f>"ACULTZINGO"</f>
        <v>ACULTZINGO</v>
      </c>
      <c r="D1087" s="2">
        <v>3</v>
      </c>
      <c r="E1087" s="3">
        <v>2.0000000000000001E-4</v>
      </c>
    </row>
    <row r="1088" spans="2:5">
      <c r="B1088" s="31"/>
      <c r="C1088" s="1" t="str">
        <f>"AGUA DULCE"</f>
        <v>AGUA DULCE</v>
      </c>
      <c r="D1088" s="2">
        <v>2</v>
      </c>
      <c r="E1088" s="3">
        <v>1E-4</v>
      </c>
    </row>
    <row r="1089" spans="2:5" ht="30">
      <c r="B1089" s="31"/>
      <c r="C1089" s="1" t="str">
        <f>"ALTO LUCERO DE GUTIERREZ BARRIOS"</f>
        <v>ALTO LUCERO DE GUTIERREZ BARRIOS</v>
      </c>
      <c r="D1089" s="2">
        <v>3</v>
      </c>
      <c r="E1089" s="3">
        <v>2.0000000000000001E-4</v>
      </c>
    </row>
    <row r="1090" spans="2:5">
      <c r="B1090" s="31"/>
      <c r="C1090" s="1" t="str">
        <f>"ALTOTONGA"</f>
        <v>ALTOTONGA</v>
      </c>
      <c r="D1090" s="2">
        <v>6</v>
      </c>
      <c r="E1090" s="3">
        <v>2.9999999999999997E-4</v>
      </c>
    </row>
    <row r="1091" spans="2:5">
      <c r="B1091" s="31"/>
      <c r="C1091" s="1" t="str">
        <f>"AMATITLAN"</f>
        <v>AMATITLAN</v>
      </c>
      <c r="D1091" s="2">
        <v>1</v>
      </c>
      <c r="E1091" s="3">
        <v>1E-4</v>
      </c>
    </row>
    <row r="1092" spans="2:5">
      <c r="B1092" s="31"/>
      <c r="C1092" s="1" t="str">
        <f>"AMATLAN DE LOS REYES"</f>
        <v>AMATLAN DE LOS REYES</v>
      </c>
      <c r="D1092" s="2">
        <v>10</v>
      </c>
      <c r="E1092" s="3">
        <v>5.0000000000000001E-4</v>
      </c>
    </row>
    <row r="1093" spans="2:5">
      <c r="B1093" s="31"/>
      <c r="C1093" s="1" t="str">
        <f>"ANGEL R. CABADA"</f>
        <v>ANGEL R. CABADA</v>
      </c>
      <c r="D1093" s="2">
        <v>1</v>
      </c>
      <c r="E1093" s="3">
        <v>1E-4</v>
      </c>
    </row>
    <row r="1094" spans="2:5">
      <c r="B1094" s="31"/>
      <c r="C1094" s="1" t="str">
        <f>"APAZAPAN"</f>
        <v>APAZAPAN</v>
      </c>
      <c r="D1094" s="2">
        <v>1</v>
      </c>
      <c r="E1094" s="3">
        <v>1E-4</v>
      </c>
    </row>
    <row r="1095" spans="2:5">
      <c r="B1095" s="31"/>
      <c r="C1095" s="1" t="str">
        <f>"ATOYAC"</f>
        <v>ATOYAC</v>
      </c>
      <c r="D1095" s="2">
        <v>3</v>
      </c>
      <c r="E1095" s="3">
        <v>2.0000000000000001E-4</v>
      </c>
    </row>
    <row r="1096" spans="2:5">
      <c r="B1096" s="31"/>
      <c r="C1096" s="1" t="str">
        <f>"ATZALAN"</f>
        <v>ATZALAN</v>
      </c>
      <c r="D1096" s="2">
        <v>2</v>
      </c>
      <c r="E1096" s="3">
        <v>1E-4</v>
      </c>
    </row>
    <row r="1097" spans="2:5">
      <c r="B1097" s="31"/>
      <c r="C1097" s="1" t="str">
        <f>"AYAHUALULCO"</f>
        <v>AYAHUALULCO</v>
      </c>
      <c r="D1097" s="2">
        <v>3</v>
      </c>
      <c r="E1097" s="3">
        <v>2.0000000000000001E-4</v>
      </c>
    </row>
    <row r="1098" spans="2:5">
      <c r="B1098" s="31"/>
      <c r="C1098" s="1" t="str">
        <f>"BOCA DEL RIO"</f>
        <v>BOCA DEL RIO</v>
      </c>
      <c r="D1098" s="2">
        <v>2</v>
      </c>
      <c r="E1098" s="3">
        <v>1E-4</v>
      </c>
    </row>
    <row r="1099" spans="2:5">
      <c r="B1099" s="31"/>
      <c r="C1099" s="1" t="str">
        <f>"CAMERINO Z. MENDOZA"</f>
        <v>CAMERINO Z. MENDOZA</v>
      </c>
      <c r="D1099" s="2">
        <v>1</v>
      </c>
      <c r="E1099" s="3">
        <v>1E-4</v>
      </c>
    </row>
    <row r="1100" spans="2:5">
      <c r="B1100" s="31"/>
      <c r="C1100" s="1" t="str">
        <f>"CARLOS A. CARRILLO"</f>
        <v>CARLOS A. CARRILLO</v>
      </c>
      <c r="D1100" s="2">
        <v>2</v>
      </c>
      <c r="E1100" s="3">
        <v>1E-4</v>
      </c>
    </row>
    <row r="1101" spans="2:5">
      <c r="B1101" s="31"/>
      <c r="C1101" s="1" t="str">
        <f>"CARRILLO PUERTO"</f>
        <v>CARRILLO PUERTO</v>
      </c>
      <c r="D1101" s="2">
        <v>2</v>
      </c>
      <c r="E1101" s="3">
        <v>1E-4</v>
      </c>
    </row>
    <row r="1102" spans="2:5">
      <c r="B1102" s="31"/>
      <c r="C1102" s="1" t="str">
        <f>"CASTILLO DE TEAYO"</f>
        <v>CASTILLO DE TEAYO</v>
      </c>
      <c r="D1102" s="2">
        <v>1</v>
      </c>
      <c r="E1102" s="3">
        <v>1E-4</v>
      </c>
    </row>
    <row r="1103" spans="2:5">
      <c r="B1103" s="31"/>
      <c r="C1103" s="1" t="str">
        <f>"CAZONES"</f>
        <v>CAZONES</v>
      </c>
      <c r="D1103" s="2">
        <v>1</v>
      </c>
      <c r="E1103" s="3">
        <v>1E-4</v>
      </c>
    </row>
    <row r="1104" spans="2:5">
      <c r="B1104" s="31"/>
      <c r="C1104" s="1" t="str">
        <f>"CERRO AZUL"</f>
        <v>CERRO AZUL</v>
      </c>
      <c r="D1104" s="2">
        <v>1</v>
      </c>
      <c r="E1104" s="3">
        <v>1E-4</v>
      </c>
    </row>
    <row r="1105" spans="2:5">
      <c r="B1105" s="31"/>
      <c r="C1105" s="1" t="str">
        <f>"CHACALTIANGUIS"</f>
        <v>CHACALTIANGUIS</v>
      </c>
      <c r="D1105" s="2">
        <v>1</v>
      </c>
      <c r="E1105" s="3">
        <v>1E-4</v>
      </c>
    </row>
    <row r="1106" spans="2:5">
      <c r="B1106" s="31"/>
      <c r="C1106" s="1" t="str">
        <f>"CHINAMECA"</f>
        <v>CHINAMECA</v>
      </c>
      <c r="D1106" s="2">
        <v>1</v>
      </c>
      <c r="E1106" s="3">
        <v>1E-4</v>
      </c>
    </row>
    <row r="1107" spans="2:5">
      <c r="B1107" s="31"/>
      <c r="C1107" s="1" t="str">
        <f>"CHOCAMAN"</f>
        <v>CHOCAMAN</v>
      </c>
      <c r="D1107" s="2">
        <v>1</v>
      </c>
      <c r="E1107" s="3">
        <v>1E-4</v>
      </c>
    </row>
    <row r="1108" spans="2:5">
      <c r="B1108" s="31"/>
      <c r="C1108" s="1" t="str">
        <f>"CITLALTEPETL"</f>
        <v>CITLALTEPETL</v>
      </c>
      <c r="D1108" s="2">
        <v>2</v>
      </c>
      <c r="E1108" s="3">
        <v>1E-4</v>
      </c>
    </row>
    <row r="1109" spans="2:5">
      <c r="B1109" s="31"/>
      <c r="C1109" s="1" t="str">
        <f>"COATEPEC"</f>
        <v>COATEPEC</v>
      </c>
      <c r="D1109" s="2">
        <v>1</v>
      </c>
      <c r="E1109" s="3">
        <v>1E-4</v>
      </c>
    </row>
    <row r="1110" spans="2:5">
      <c r="B1110" s="31"/>
      <c r="C1110" s="1" t="str">
        <f>"COATZACOALCOS"</f>
        <v>COATZACOALCOS</v>
      </c>
      <c r="D1110" s="2">
        <v>13</v>
      </c>
      <c r="E1110" s="3">
        <v>6.9999999999999999E-4</v>
      </c>
    </row>
    <row r="1111" spans="2:5">
      <c r="B1111" s="31"/>
      <c r="C1111" s="1" t="str">
        <f>"COATZINTLA"</f>
        <v>COATZINTLA</v>
      </c>
      <c r="D1111" s="2">
        <v>1</v>
      </c>
      <c r="E1111" s="3">
        <v>1E-4</v>
      </c>
    </row>
    <row r="1112" spans="2:5">
      <c r="B1112" s="31"/>
      <c r="C1112" s="1" t="str">
        <f>"CORDOBA"</f>
        <v>CORDOBA</v>
      </c>
      <c r="D1112" s="2">
        <v>35</v>
      </c>
      <c r="E1112" s="3">
        <v>1.8E-3</v>
      </c>
    </row>
    <row r="1113" spans="2:5">
      <c r="B1113" s="31"/>
      <c r="C1113" s="1" t="str">
        <f>"COSAMALOAPAN DE CARPIO"</f>
        <v>COSAMALOAPAN DE CARPIO</v>
      </c>
      <c r="D1113" s="2">
        <v>3</v>
      </c>
      <c r="E1113" s="3">
        <v>2.0000000000000001E-4</v>
      </c>
    </row>
    <row r="1114" spans="2:5">
      <c r="B1114" s="31"/>
      <c r="C1114" s="1" t="str">
        <f>"COSCOMATEPEC"</f>
        <v>COSCOMATEPEC</v>
      </c>
      <c r="D1114" s="2">
        <v>2</v>
      </c>
      <c r="E1114" s="3">
        <v>1E-4</v>
      </c>
    </row>
    <row r="1115" spans="2:5">
      <c r="B1115" s="31"/>
      <c r="C1115" s="1" t="str">
        <f>"COSOLEACAQUE"</f>
        <v>COSOLEACAQUE</v>
      </c>
      <c r="D1115" s="2">
        <v>1</v>
      </c>
      <c r="E1115" s="3">
        <v>1E-4</v>
      </c>
    </row>
    <row r="1116" spans="2:5">
      <c r="B1116" s="31"/>
      <c r="C1116" s="1" t="str">
        <f>"COXQUIHUI"</f>
        <v>COXQUIHUI</v>
      </c>
      <c r="D1116" s="2">
        <v>2</v>
      </c>
      <c r="E1116" s="3">
        <v>1E-4</v>
      </c>
    </row>
    <row r="1117" spans="2:5">
      <c r="B1117" s="31"/>
      <c r="C1117" s="1" t="str">
        <f>"COYUTLA"</f>
        <v>COYUTLA</v>
      </c>
      <c r="D1117" s="2">
        <v>2</v>
      </c>
      <c r="E1117" s="3">
        <v>1E-4</v>
      </c>
    </row>
    <row r="1118" spans="2:5">
      <c r="B1118" s="31"/>
      <c r="C1118" s="1" t="str">
        <f>"CUICHAPA"</f>
        <v>CUICHAPA</v>
      </c>
      <c r="D1118" s="2">
        <v>5</v>
      </c>
      <c r="E1118" s="3">
        <v>2.9999999999999997E-4</v>
      </c>
    </row>
    <row r="1119" spans="2:5">
      <c r="B1119" s="31"/>
      <c r="C1119" s="1" t="str">
        <f>"CUITLAHUAC"</f>
        <v>CUITLAHUAC</v>
      </c>
      <c r="D1119" s="2">
        <v>3</v>
      </c>
      <c r="E1119" s="3">
        <v>2.0000000000000001E-4</v>
      </c>
    </row>
    <row r="1120" spans="2:5">
      <c r="B1120" s="31"/>
      <c r="C1120" s="1" t="str">
        <f>"EMILIANO ZAPATA"</f>
        <v>EMILIANO ZAPATA</v>
      </c>
      <c r="D1120" s="2">
        <v>5</v>
      </c>
      <c r="E1120" s="3">
        <v>2.9999999999999997E-4</v>
      </c>
    </row>
    <row r="1121" spans="2:5">
      <c r="B1121" s="31"/>
      <c r="C1121" s="1" t="str">
        <f>"ESPINAL"</f>
        <v>ESPINAL</v>
      </c>
      <c r="D1121" s="2">
        <v>2</v>
      </c>
      <c r="E1121" s="3">
        <v>1E-4</v>
      </c>
    </row>
    <row r="1122" spans="2:5">
      <c r="B1122" s="31"/>
      <c r="C1122" s="1" t="str">
        <f>"FILOMENO MATA"</f>
        <v>FILOMENO MATA</v>
      </c>
      <c r="D1122" s="2">
        <v>1</v>
      </c>
      <c r="E1122" s="3">
        <v>1E-4</v>
      </c>
    </row>
    <row r="1123" spans="2:5">
      <c r="B1123" s="31"/>
      <c r="C1123" s="1" t="str">
        <f>"FORTIN"</f>
        <v>FORTIN</v>
      </c>
      <c r="D1123" s="2">
        <v>1</v>
      </c>
      <c r="E1123" s="3">
        <v>1E-4</v>
      </c>
    </row>
    <row r="1124" spans="2:5">
      <c r="B1124" s="31"/>
      <c r="C1124" s="1" t="str">
        <f>"GUTIERREZ ZAMORA"</f>
        <v>GUTIERREZ ZAMORA</v>
      </c>
      <c r="D1124" s="2">
        <v>1</v>
      </c>
      <c r="E1124" s="3">
        <v>1E-4</v>
      </c>
    </row>
    <row r="1125" spans="2:5">
      <c r="B1125" s="31"/>
      <c r="C1125" s="1" t="str">
        <f>"HIDALGOTITLAN"</f>
        <v>HIDALGOTITLAN</v>
      </c>
      <c r="D1125" s="2">
        <v>8</v>
      </c>
      <c r="E1125" s="3">
        <v>4.0000000000000002E-4</v>
      </c>
    </row>
    <row r="1126" spans="2:5">
      <c r="B1126" s="31"/>
      <c r="C1126" s="1" t="str">
        <f>"HUATUSCO"</f>
        <v>HUATUSCO</v>
      </c>
      <c r="D1126" s="2">
        <v>2</v>
      </c>
      <c r="E1126" s="3">
        <v>1E-4</v>
      </c>
    </row>
    <row r="1127" spans="2:5">
      <c r="B1127" s="31"/>
      <c r="C1127" s="1" t="str">
        <f>"HUEYAPAN DE OCAMPO"</f>
        <v>HUEYAPAN DE OCAMPO</v>
      </c>
      <c r="D1127" s="2">
        <v>4</v>
      </c>
      <c r="E1127" s="3">
        <v>2.0000000000000001E-4</v>
      </c>
    </row>
    <row r="1128" spans="2:5">
      <c r="B1128" s="31"/>
      <c r="C1128" s="1" t="str">
        <f>"HUILOAPAN"</f>
        <v>HUILOAPAN</v>
      </c>
      <c r="D1128" s="2">
        <v>1</v>
      </c>
      <c r="E1128" s="3">
        <v>1E-4</v>
      </c>
    </row>
    <row r="1129" spans="2:5">
      <c r="B1129" s="31"/>
      <c r="C1129" s="1" t="str">
        <f>"IGNACIO DE LA LLAVE"</f>
        <v>IGNACIO DE LA LLAVE</v>
      </c>
      <c r="D1129" s="2">
        <v>5</v>
      </c>
      <c r="E1129" s="3">
        <v>2.9999999999999997E-4</v>
      </c>
    </row>
    <row r="1130" spans="2:5">
      <c r="B1130" s="31"/>
      <c r="C1130" s="1" t="str">
        <f>"ISLA"</f>
        <v>ISLA</v>
      </c>
      <c r="D1130" s="2">
        <v>8</v>
      </c>
      <c r="E1130" s="3">
        <v>4.0000000000000002E-4</v>
      </c>
    </row>
    <row r="1131" spans="2:5">
      <c r="B1131" s="31"/>
      <c r="C1131" s="1" t="str">
        <f>"IXCATEPEC"</f>
        <v>IXCATEPEC</v>
      </c>
      <c r="D1131" s="2">
        <v>2</v>
      </c>
      <c r="E1131" s="3">
        <v>1E-4</v>
      </c>
    </row>
    <row r="1132" spans="2:5">
      <c r="B1132" s="31"/>
      <c r="C1132" s="1" t="str">
        <f>"IXHUATLAN DE MADERO"</f>
        <v>IXHUATLAN DE MADERO</v>
      </c>
      <c r="D1132" s="2">
        <v>2</v>
      </c>
      <c r="E1132" s="3">
        <v>1E-4</v>
      </c>
    </row>
    <row r="1133" spans="2:5">
      <c r="B1133" s="31"/>
      <c r="C1133" s="1" t="str">
        <f>"IXHUATLAN DEL SURESTE"</f>
        <v>IXHUATLAN DEL SURESTE</v>
      </c>
      <c r="D1133" s="2">
        <v>3</v>
      </c>
      <c r="E1133" s="3">
        <v>2.0000000000000001E-4</v>
      </c>
    </row>
    <row r="1134" spans="2:5">
      <c r="B1134" s="31"/>
      <c r="C1134" s="1" t="str">
        <f>"IXTACZOQUITLAN"</f>
        <v>IXTACZOQUITLAN</v>
      </c>
      <c r="D1134" s="2">
        <v>5</v>
      </c>
      <c r="E1134" s="3">
        <v>2.9999999999999997E-4</v>
      </c>
    </row>
    <row r="1135" spans="2:5">
      <c r="B1135" s="31"/>
      <c r="C1135" s="1" t="str">
        <f>"JALACINGO"</f>
        <v>JALACINGO</v>
      </c>
      <c r="D1135" s="2">
        <v>3</v>
      </c>
      <c r="E1135" s="3">
        <v>2.0000000000000001E-4</v>
      </c>
    </row>
    <row r="1136" spans="2:5">
      <c r="B1136" s="31"/>
      <c r="C1136" s="1" t="str">
        <f>"JAMAPA"</f>
        <v>JAMAPA</v>
      </c>
      <c r="D1136" s="2">
        <v>2</v>
      </c>
      <c r="E1136" s="3">
        <v>1E-4</v>
      </c>
    </row>
    <row r="1137" spans="2:5">
      <c r="B1137" s="31"/>
      <c r="C1137" s="1" t="str">
        <f>"JESUS CARRANZA"</f>
        <v>JESUS CARRANZA</v>
      </c>
      <c r="D1137" s="2">
        <v>11</v>
      </c>
      <c r="E1137" s="3">
        <v>5.9999999999999995E-4</v>
      </c>
    </row>
    <row r="1138" spans="2:5">
      <c r="B1138" s="31"/>
      <c r="C1138" s="1" t="str">
        <f>"JILOTEPEC"</f>
        <v>JILOTEPEC</v>
      </c>
      <c r="D1138" s="2">
        <v>2</v>
      </c>
      <c r="E1138" s="3">
        <v>1E-4</v>
      </c>
    </row>
    <row r="1139" spans="2:5">
      <c r="B1139" s="31"/>
      <c r="C1139" s="1" t="str">
        <f>"JOSE AZUETA"</f>
        <v>JOSE AZUETA</v>
      </c>
      <c r="D1139" s="2">
        <v>4</v>
      </c>
      <c r="E1139" s="3">
        <v>2.0000000000000001E-4</v>
      </c>
    </row>
    <row r="1140" spans="2:5">
      <c r="B1140" s="31"/>
      <c r="C1140" s="1" t="str">
        <f>"JUAN RODRIGUEZ CLARA"</f>
        <v>JUAN RODRIGUEZ CLARA</v>
      </c>
      <c r="D1140" s="2">
        <v>4</v>
      </c>
      <c r="E1140" s="3">
        <v>2.0000000000000001E-4</v>
      </c>
    </row>
    <row r="1141" spans="2:5">
      <c r="B1141" s="31"/>
      <c r="C1141" s="1" t="str">
        <f>"JUCHIQUE DE FERRER"</f>
        <v>JUCHIQUE DE FERRER</v>
      </c>
      <c r="D1141" s="2">
        <v>3</v>
      </c>
      <c r="E1141" s="3">
        <v>2.0000000000000001E-4</v>
      </c>
    </row>
    <row r="1142" spans="2:5">
      <c r="B1142" s="31"/>
      <c r="C1142" s="1" t="str">
        <f>"LA ANTIGUA"</f>
        <v>LA ANTIGUA</v>
      </c>
      <c r="D1142" s="2">
        <v>4</v>
      </c>
      <c r="E1142" s="3">
        <v>2.0000000000000001E-4</v>
      </c>
    </row>
    <row r="1143" spans="2:5">
      <c r="B1143" s="31"/>
      <c r="C1143" s="1" t="str">
        <f>"LAS CHOAPAS"</f>
        <v>LAS CHOAPAS</v>
      </c>
      <c r="D1143" s="2">
        <v>3</v>
      </c>
      <c r="E1143" s="3">
        <v>2.0000000000000001E-4</v>
      </c>
    </row>
    <row r="1144" spans="2:5">
      <c r="B1144" s="31"/>
      <c r="C1144" s="1" t="str">
        <f>"LAS MINAS"</f>
        <v>LAS MINAS</v>
      </c>
      <c r="D1144" s="2">
        <v>1</v>
      </c>
      <c r="E1144" s="3">
        <v>1E-4</v>
      </c>
    </row>
    <row r="1145" spans="2:5">
      <c r="B1145" s="31"/>
      <c r="C1145" s="1" t="str">
        <f>"LAS VIGAS DE RAMIREZ"</f>
        <v>LAS VIGAS DE RAMIREZ</v>
      </c>
      <c r="D1145" s="2">
        <v>1</v>
      </c>
      <c r="E1145" s="3">
        <v>1E-4</v>
      </c>
    </row>
    <row r="1146" spans="2:5">
      <c r="B1146" s="31"/>
      <c r="C1146" s="1" t="str">
        <f>"LERDO DE TEJADA"</f>
        <v>LERDO DE TEJADA</v>
      </c>
      <c r="D1146" s="2">
        <v>1</v>
      </c>
      <c r="E1146" s="3">
        <v>1E-4</v>
      </c>
    </row>
    <row r="1147" spans="2:5">
      <c r="B1147" s="31"/>
      <c r="C1147" s="1" t="str">
        <f>"LOS REYES"</f>
        <v>LOS REYES</v>
      </c>
      <c r="D1147" s="2">
        <v>1</v>
      </c>
      <c r="E1147" s="3">
        <v>1E-4</v>
      </c>
    </row>
    <row r="1148" spans="2:5">
      <c r="B1148" s="31"/>
      <c r="C1148" s="1" t="str">
        <f>"MALTRATA"</f>
        <v>MALTRATA</v>
      </c>
      <c r="D1148" s="2">
        <v>2</v>
      </c>
      <c r="E1148" s="3">
        <v>1E-4</v>
      </c>
    </row>
    <row r="1149" spans="2:5">
      <c r="B1149" s="31"/>
      <c r="C1149" s="1" t="str">
        <f>"MANLIO FABIO ALTAMIRANO"</f>
        <v>MANLIO FABIO ALTAMIRANO</v>
      </c>
      <c r="D1149" s="2">
        <v>4</v>
      </c>
      <c r="E1149" s="3">
        <v>2.0000000000000001E-4</v>
      </c>
    </row>
    <row r="1150" spans="2:5">
      <c r="B1150" s="31"/>
      <c r="C1150" s="1" t="str">
        <f>"MARTINEZ DE LA TORRE"</f>
        <v>MARTINEZ DE LA TORRE</v>
      </c>
      <c r="D1150" s="2">
        <v>22</v>
      </c>
      <c r="E1150" s="3">
        <v>1.1000000000000001E-3</v>
      </c>
    </row>
    <row r="1151" spans="2:5">
      <c r="B1151" s="31"/>
      <c r="C1151" s="1" t="str">
        <f>"MEDELLIN"</f>
        <v>MEDELLIN</v>
      </c>
      <c r="D1151" s="2">
        <v>4</v>
      </c>
      <c r="E1151" s="3">
        <v>2.0000000000000001E-4</v>
      </c>
    </row>
    <row r="1152" spans="2:5">
      <c r="B1152" s="31"/>
      <c r="C1152" s="1" t="str">
        <f>"MINATITLAN"</f>
        <v>MINATITLAN</v>
      </c>
      <c r="D1152" s="2">
        <v>12</v>
      </c>
      <c r="E1152" s="3">
        <v>5.9999999999999995E-4</v>
      </c>
    </row>
    <row r="1153" spans="2:5">
      <c r="B1153" s="31"/>
      <c r="C1153" s="1" t="str">
        <f>"MISANTLA"</f>
        <v>MISANTLA</v>
      </c>
      <c r="D1153" s="2">
        <v>4</v>
      </c>
      <c r="E1153" s="3">
        <v>2.0000000000000001E-4</v>
      </c>
    </row>
    <row r="1154" spans="2:5">
      <c r="B1154" s="31"/>
      <c r="C1154" s="1" t="str">
        <f>"MOLOACAN"</f>
        <v>MOLOACAN</v>
      </c>
      <c r="D1154" s="2">
        <v>2</v>
      </c>
      <c r="E1154" s="3">
        <v>1E-4</v>
      </c>
    </row>
    <row r="1155" spans="2:5" ht="30">
      <c r="B1155" s="31"/>
      <c r="C1155" s="1" t="str">
        <f>"NANCHITAL DE LAZARO CARDENAS DEL RIO"</f>
        <v>NANCHITAL DE LAZARO CARDENAS DEL RIO</v>
      </c>
      <c r="D1155" s="2">
        <v>1</v>
      </c>
      <c r="E1155" s="3">
        <v>1E-4</v>
      </c>
    </row>
    <row r="1156" spans="2:5">
      <c r="B1156" s="31"/>
      <c r="C1156" s="1" t="str">
        <f>"NAOLINCO"</f>
        <v>NAOLINCO</v>
      </c>
      <c r="D1156" s="2">
        <v>1</v>
      </c>
      <c r="E1156" s="3">
        <v>1E-4</v>
      </c>
    </row>
    <row r="1157" spans="2:5">
      <c r="B1157" s="31"/>
      <c r="C1157" s="1" t="str">
        <f>"OMEALCA"</f>
        <v>OMEALCA</v>
      </c>
      <c r="D1157" s="2">
        <v>18</v>
      </c>
      <c r="E1157" s="3">
        <v>8.9999999999999998E-4</v>
      </c>
    </row>
    <row r="1158" spans="2:5">
      <c r="B1158" s="31"/>
      <c r="C1158" s="1" t="str">
        <f>"ORIZABA"</f>
        <v>ORIZABA</v>
      </c>
      <c r="D1158" s="2">
        <v>11</v>
      </c>
      <c r="E1158" s="3">
        <v>5.9999999999999995E-4</v>
      </c>
    </row>
    <row r="1159" spans="2:5">
      <c r="B1159" s="31"/>
      <c r="C1159" s="1" t="str">
        <f>"OTATITLAN"</f>
        <v>OTATITLAN</v>
      </c>
      <c r="D1159" s="2">
        <v>1</v>
      </c>
      <c r="E1159" s="3">
        <v>1E-4</v>
      </c>
    </row>
    <row r="1160" spans="2:5">
      <c r="B1160" s="31"/>
      <c r="C1160" s="1" t="str">
        <f>"OTEAPAN"</f>
        <v>OTEAPAN</v>
      </c>
      <c r="D1160" s="2">
        <v>1</v>
      </c>
      <c r="E1160" s="3">
        <v>1E-4</v>
      </c>
    </row>
    <row r="1161" spans="2:5">
      <c r="B1161" s="31"/>
      <c r="C1161" s="1" t="str">
        <f>"OZULUAMA DE MASCAREÑAS"</f>
        <v>OZULUAMA DE MASCAREÑAS</v>
      </c>
      <c r="D1161" s="2">
        <v>1</v>
      </c>
      <c r="E1161" s="3">
        <v>1E-4</v>
      </c>
    </row>
    <row r="1162" spans="2:5">
      <c r="B1162" s="31"/>
      <c r="C1162" s="1" t="str">
        <f>"PANUCO"</f>
        <v>PANUCO</v>
      </c>
      <c r="D1162" s="2">
        <v>8</v>
      </c>
      <c r="E1162" s="3">
        <v>4.0000000000000002E-4</v>
      </c>
    </row>
    <row r="1163" spans="2:5">
      <c r="B1163" s="31"/>
      <c r="C1163" s="1" t="str">
        <f>"PAPANTLA"</f>
        <v>PAPANTLA</v>
      </c>
      <c r="D1163" s="2">
        <v>12</v>
      </c>
      <c r="E1163" s="3">
        <v>5.9999999999999995E-4</v>
      </c>
    </row>
    <row r="1164" spans="2:5">
      <c r="B1164" s="31"/>
      <c r="C1164" s="1" t="str">
        <f>"PASO DE OVEJAS"</f>
        <v>PASO DE OVEJAS</v>
      </c>
      <c r="D1164" s="2">
        <v>6</v>
      </c>
      <c r="E1164" s="3">
        <v>2.9999999999999997E-4</v>
      </c>
    </row>
    <row r="1165" spans="2:5">
      <c r="B1165" s="31"/>
      <c r="C1165" s="1" t="str">
        <f>"PASO DEL MACHO"</f>
        <v>PASO DEL MACHO</v>
      </c>
      <c r="D1165" s="2">
        <v>1</v>
      </c>
      <c r="E1165" s="3">
        <v>1E-4</v>
      </c>
    </row>
    <row r="1166" spans="2:5">
      <c r="B1166" s="31"/>
      <c r="C1166" s="1" t="str">
        <f>"PEROTE"</f>
        <v>PEROTE</v>
      </c>
      <c r="D1166" s="2">
        <v>10</v>
      </c>
      <c r="E1166" s="3">
        <v>5.0000000000000001E-4</v>
      </c>
    </row>
    <row r="1167" spans="2:5">
      <c r="B1167" s="31"/>
      <c r="C1167" s="1" t="str">
        <f>"PLAYA VICENTE"</f>
        <v>PLAYA VICENTE</v>
      </c>
      <c r="D1167" s="2">
        <v>25</v>
      </c>
      <c r="E1167" s="3">
        <v>1.2999999999999999E-3</v>
      </c>
    </row>
    <row r="1168" spans="2:5">
      <c r="B1168" s="31"/>
      <c r="C1168" s="1" t="str">
        <f>"POZA RICA DE HIDALGO"</f>
        <v>POZA RICA DE HIDALGO</v>
      </c>
      <c r="D1168" s="2">
        <v>5</v>
      </c>
      <c r="E1168" s="3">
        <v>2.9999999999999997E-4</v>
      </c>
    </row>
    <row r="1169" spans="2:5">
      <c r="B1169" s="31"/>
      <c r="C1169" s="1" t="str">
        <f>"RAFAEL LUCIO"</f>
        <v>RAFAEL LUCIO</v>
      </c>
      <c r="D1169" s="2">
        <v>1</v>
      </c>
      <c r="E1169" s="3">
        <v>1E-4</v>
      </c>
    </row>
    <row r="1170" spans="2:5">
      <c r="B1170" s="31"/>
      <c r="C1170" s="1" t="str">
        <f>"RIO BLANCO"</f>
        <v>RIO BLANCO</v>
      </c>
      <c r="D1170" s="2">
        <v>2</v>
      </c>
      <c r="E1170" s="3">
        <v>1E-4</v>
      </c>
    </row>
    <row r="1171" spans="2:5">
      <c r="B1171" s="31"/>
      <c r="C1171" s="1" t="str">
        <f>"SALTABARRANCA"</f>
        <v>SALTABARRANCA</v>
      </c>
      <c r="D1171" s="2">
        <v>1</v>
      </c>
      <c r="E1171" s="3">
        <v>1E-4</v>
      </c>
    </row>
    <row r="1172" spans="2:5">
      <c r="B1172" s="31"/>
      <c r="C1172" s="1" t="str">
        <f>"SAN ANDRES TUXTLA"</f>
        <v>SAN ANDRES TUXTLA</v>
      </c>
      <c r="D1172" s="2">
        <v>14</v>
      </c>
      <c r="E1172" s="3">
        <v>6.9999999999999999E-4</v>
      </c>
    </row>
    <row r="1173" spans="2:5">
      <c r="B1173" s="31"/>
      <c r="C1173" s="1" t="str">
        <f>"SAN JUAN EVANGELISTA"</f>
        <v>SAN JUAN EVANGELISTA</v>
      </c>
      <c r="D1173" s="2">
        <v>5</v>
      </c>
      <c r="E1173" s="3">
        <v>2.9999999999999997E-4</v>
      </c>
    </row>
    <row r="1174" spans="2:5">
      <c r="B1174" s="31"/>
      <c r="C1174" s="1" t="str">
        <f>"SANTIAGO TUXTLA"</f>
        <v>SANTIAGO TUXTLA</v>
      </c>
      <c r="D1174" s="2">
        <v>7</v>
      </c>
      <c r="E1174" s="3">
        <v>4.0000000000000002E-4</v>
      </c>
    </row>
    <row r="1175" spans="2:5">
      <c r="B1175" s="31"/>
      <c r="C1175" s="1" t="str">
        <f>"SAYULA DE ALEMAN"</f>
        <v>SAYULA DE ALEMAN</v>
      </c>
      <c r="D1175" s="2">
        <v>2</v>
      </c>
      <c r="E1175" s="3">
        <v>1E-4</v>
      </c>
    </row>
    <row r="1176" spans="2:5">
      <c r="B1176" s="31"/>
      <c r="C1176" s="1" t="str">
        <f>"SOCONUSCO"</f>
        <v>SOCONUSCO</v>
      </c>
      <c r="D1176" s="2">
        <v>1</v>
      </c>
      <c r="E1176" s="3">
        <v>1E-4</v>
      </c>
    </row>
    <row r="1177" spans="2:5">
      <c r="B1177" s="31"/>
      <c r="C1177" s="1" t="str">
        <f>"SOLEDAD ATZOMPA"</f>
        <v>SOLEDAD ATZOMPA</v>
      </c>
      <c r="D1177" s="2">
        <v>1</v>
      </c>
      <c r="E1177" s="3">
        <v>1E-4</v>
      </c>
    </row>
    <row r="1178" spans="2:5">
      <c r="B1178" s="31"/>
      <c r="C1178" s="1" t="str">
        <f>"SOLEDAD DE DOBLADO"</f>
        <v>SOLEDAD DE DOBLADO</v>
      </c>
      <c r="D1178" s="2">
        <v>7</v>
      </c>
      <c r="E1178" s="3">
        <v>4.0000000000000002E-4</v>
      </c>
    </row>
    <row r="1179" spans="2:5">
      <c r="B1179" s="31"/>
      <c r="C1179" s="1" t="str">
        <f>"SOTEAPAN"</f>
        <v>SOTEAPAN</v>
      </c>
      <c r="D1179" s="2">
        <v>1</v>
      </c>
      <c r="E1179" s="3">
        <v>1E-4</v>
      </c>
    </row>
    <row r="1180" spans="2:5">
      <c r="B1180" s="31"/>
      <c r="C1180" s="1" t="str">
        <f>"TANTOYUCA"</f>
        <v>TANTOYUCA</v>
      </c>
      <c r="D1180" s="2">
        <v>2</v>
      </c>
      <c r="E1180" s="3">
        <v>1E-4</v>
      </c>
    </row>
    <row r="1181" spans="2:5">
      <c r="B1181" s="31"/>
      <c r="C1181" s="1" t="str">
        <f>"TECOLUTLA"</f>
        <v>TECOLUTLA</v>
      </c>
      <c r="D1181" s="2">
        <v>1</v>
      </c>
      <c r="E1181" s="3">
        <v>1E-4</v>
      </c>
    </row>
    <row r="1182" spans="2:5">
      <c r="B1182" s="31"/>
      <c r="C1182" s="1" t="str">
        <f>"TEMAPACHE"</f>
        <v>TEMAPACHE</v>
      </c>
      <c r="D1182" s="2">
        <v>4</v>
      </c>
      <c r="E1182" s="3">
        <v>2.0000000000000001E-4</v>
      </c>
    </row>
    <row r="1183" spans="2:5">
      <c r="B1183" s="31"/>
      <c r="C1183" s="1" t="str">
        <f>"TEPATLAXCO"</f>
        <v>TEPATLAXCO</v>
      </c>
      <c r="D1183" s="2">
        <v>2</v>
      </c>
      <c r="E1183" s="3">
        <v>1E-4</v>
      </c>
    </row>
    <row r="1184" spans="2:5">
      <c r="B1184" s="31"/>
      <c r="C1184" s="1" t="str">
        <f>"TEPETZINTLA"</f>
        <v>TEPETZINTLA</v>
      </c>
      <c r="D1184" s="2">
        <v>1</v>
      </c>
      <c r="E1184" s="3">
        <v>1E-4</v>
      </c>
    </row>
    <row r="1185" spans="2:5">
      <c r="B1185" s="31"/>
      <c r="C1185" s="1" t="str">
        <f>"TEXISTEPEC"</f>
        <v>TEXISTEPEC</v>
      </c>
      <c r="D1185" s="2">
        <v>2</v>
      </c>
      <c r="E1185" s="3">
        <v>1E-4</v>
      </c>
    </row>
    <row r="1186" spans="2:5">
      <c r="B1186" s="31"/>
      <c r="C1186" s="1" t="str">
        <f>"TEZONAPA"</f>
        <v>TEZONAPA</v>
      </c>
      <c r="D1186" s="2">
        <v>6</v>
      </c>
      <c r="E1186" s="3">
        <v>2.9999999999999997E-4</v>
      </c>
    </row>
    <row r="1187" spans="2:5">
      <c r="B1187" s="31"/>
      <c r="C1187" s="1" t="str">
        <f>"TIERRA BLANCA"</f>
        <v>TIERRA BLANCA</v>
      </c>
      <c r="D1187" s="2">
        <v>19</v>
      </c>
      <c r="E1187" s="3">
        <v>1E-3</v>
      </c>
    </row>
    <row r="1188" spans="2:5">
      <c r="B1188" s="31"/>
      <c r="C1188" s="1" t="str">
        <f>"TIHUATLAN"</f>
        <v>TIHUATLAN</v>
      </c>
      <c r="D1188" s="2">
        <v>11</v>
      </c>
      <c r="E1188" s="3">
        <v>5.9999999999999995E-4</v>
      </c>
    </row>
    <row r="1189" spans="2:5">
      <c r="B1189" s="31"/>
      <c r="C1189" s="1" t="str">
        <f>"TLALIXCOYAN"</f>
        <v>TLALIXCOYAN</v>
      </c>
      <c r="D1189" s="2">
        <v>2</v>
      </c>
      <c r="E1189" s="3">
        <v>1E-4</v>
      </c>
    </row>
    <row r="1190" spans="2:5">
      <c r="B1190" s="31"/>
      <c r="C1190" s="1" t="str">
        <f>"TLAPACOYAN"</f>
        <v>TLAPACOYAN</v>
      </c>
      <c r="D1190" s="2">
        <v>4</v>
      </c>
      <c r="E1190" s="3">
        <v>2.0000000000000001E-4</v>
      </c>
    </row>
    <row r="1191" spans="2:5">
      <c r="B1191" s="31"/>
      <c r="C1191" s="1" t="str">
        <f>"TLAQUILPA"</f>
        <v>TLAQUILPA</v>
      </c>
      <c r="D1191" s="2">
        <v>3</v>
      </c>
      <c r="E1191" s="3">
        <v>2.0000000000000001E-4</v>
      </c>
    </row>
    <row r="1192" spans="2:5">
      <c r="B1192" s="31"/>
      <c r="C1192" s="1" t="str">
        <f>"TRES VALLES"</f>
        <v>TRES VALLES</v>
      </c>
      <c r="D1192" s="2">
        <v>1</v>
      </c>
      <c r="E1192" s="3">
        <v>1E-4</v>
      </c>
    </row>
    <row r="1193" spans="2:5">
      <c r="B1193" s="31"/>
      <c r="C1193" s="1" t="str">
        <f>"TUXPAM"</f>
        <v>TUXPAM</v>
      </c>
      <c r="D1193" s="2">
        <v>5</v>
      </c>
      <c r="E1193" s="3">
        <v>2.9999999999999997E-4</v>
      </c>
    </row>
    <row r="1194" spans="2:5">
      <c r="B1194" s="31"/>
      <c r="C1194" s="1" t="str">
        <f>"UXPANAPA"</f>
        <v>UXPANAPA</v>
      </c>
      <c r="D1194" s="2">
        <v>1</v>
      </c>
      <c r="E1194" s="3">
        <v>1E-4</v>
      </c>
    </row>
    <row r="1195" spans="2:5">
      <c r="B1195" s="31"/>
      <c r="C1195" s="1" t="str">
        <f>"VEGA DE ALATORRE"</f>
        <v>VEGA DE ALATORRE</v>
      </c>
      <c r="D1195" s="2">
        <v>4</v>
      </c>
      <c r="E1195" s="3">
        <v>2.0000000000000001E-4</v>
      </c>
    </row>
    <row r="1196" spans="2:5">
      <c r="B1196" s="31"/>
      <c r="C1196" s="1" t="str">
        <f>"VERACRUZ"</f>
        <v>VERACRUZ</v>
      </c>
      <c r="D1196" s="2">
        <v>30</v>
      </c>
      <c r="E1196" s="3">
        <v>1.5E-3</v>
      </c>
    </row>
    <row r="1197" spans="2:5">
      <c r="B1197" s="31"/>
      <c r="C1197" s="1" t="str">
        <f>"XALAPA"</f>
        <v>XALAPA</v>
      </c>
      <c r="D1197" s="2">
        <v>15</v>
      </c>
      <c r="E1197" s="3">
        <v>8.0000000000000004E-4</v>
      </c>
    </row>
    <row r="1198" spans="2:5">
      <c r="B1198" s="31"/>
      <c r="C1198" s="1" t="str">
        <f>"YANGA"</f>
        <v>YANGA</v>
      </c>
      <c r="D1198" s="2">
        <v>2</v>
      </c>
      <c r="E1198" s="3">
        <v>1E-4</v>
      </c>
    </row>
    <row r="1199" spans="2:5">
      <c r="B1199" s="31"/>
      <c r="C1199" s="1" t="str">
        <f>"YECUATLA"</f>
        <v>YECUATLA</v>
      </c>
      <c r="D1199" s="2">
        <v>1</v>
      </c>
      <c r="E1199" s="3">
        <v>1E-4</v>
      </c>
    </row>
    <row r="1200" spans="2:5">
      <c r="B1200" s="31"/>
      <c r="C1200" s="1" t="str">
        <f>"ZACUALPAN"</f>
        <v>ZACUALPAN</v>
      </c>
      <c r="D1200" s="2">
        <v>1</v>
      </c>
      <c r="E1200" s="3">
        <v>1E-4</v>
      </c>
    </row>
    <row r="1201" spans="2:5">
      <c r="B1201" s="31"/>
      <c r="C1201" s="1" t="str">
        <f>"ZONGOLICA"</f>
        <v>ZONGOLICA</v>
      </c>
      <c r="D1201" s="2">
        <v>1</v>
      </c>
      <c r="E1201" s="3">
        <v>1E-4</v>
      </c>
    </row>
    <row r="1202" spans="2:5" ht="30">
      <c r="B1202" s="31"/>
      <c r="C1202" s="1" t="str">
        <f>"ZONTECOMATLAN DE LOPEZ Y FUENTES"</f>
        <v>ZONTECOMATLAN DE LOPEZ Y FUENTES</v>
      </c>
      <c r="D1202" s="2">
        <v>1</v>
      </c>
      <c r="E1202" s="3">
        <v>1E-4</v>
      </c>
    </row>
    <row r="1203" spans="2:5">
      <c r="B1203" s="32"/>
      <c r="C1203" s="14" t="str">
        <f>"Total"</f>
        <v>Total</v>
      </c>
      <c r="D1203" s="15">
        <v>553</v>
      </c>
      <c r="E1203" s="21">
        <v>2.8299999999999999E-2</v>
      </c>
    </row>
    <row r="1204" spans="2:5">
      <c r="B1204" s="30" t="str">
        <f t="shared" ref="B1204" si="26">"YUCATAN"</f>
        <v>YUCATAN</v>
      </c>
      <c r="C1204" s="1" t="str">
        <f>"ABALA"</f>
        <v>ABALA</v>
      </c>
      <c r="D1204" s="2">
        <v>2</v>
      </c>
      <c r="E1204" s="3">
        <v>1E-4</v>
      </c>
    </row>
    <row r="1205" spans="2:5">
      <c r="B1205" s="31"/>
      <c r="C1205" s="1" t="str">
        <f>"AKIL"</f>
        <v>AKIL</v>
      </c>
      <c r="D1205" s="2">
        <v>1</v>
      </c>
      <c r="E1205" s="3">
        <v>1E-4</v>
      </c>
    </row>
    <row r="1206" spans="2:5">
      <c r="B1206" s="31"/>
      <c r="C1206" s="1" t="str">
        <f>"BUCTZOTZ"</f>
        <v>BUCTZOTZ</v>
      </c>
      <c r="D1206" s="2">
        <v>8</v>
      </c>
      <c r="E1206" s="3">
        <v>4.0000000000000002E-4</v>
      </c>
    </row>
    <row r="1207" spans="2:5">
      <c r="B1207" s="31"/>
      <c r="C1207" s="1" t="str">
        <f>"CACALCHEN"</f>
        <v>CACALCHEN</v>
      </c>
      <c r="D1207" s="2">
        <v>1</v>
      </c>
      <c r="E1207" s="3">
        <v>1E-4</v>
      </c>
    </row>
    <row r="1208" spans="2:5">
      <c r="B1208" s="31"/>
      <c r="C1208" s="1" t="str">
        <f>"CENOTILLO"</f>
        <v>CENOTILLO</v>
      </c>
      <c r="D1208" s="2">
        <v>45</v>
      </c>
      <c r="E1208" s="3">
        <v>2.3E-3</v>
      </c>
    </row>
    <row r="1209" spans="2:5">
      <c r="B1209" s="31"/>
      <c r="C1209" s="1" t="str">
        <f>"CUNCUNUL"</f>
        <v>CUNCUNUL</v>
      </c>
      <c r="D1209" s="2">
        <v>1</v>
      </c>
      <c r="E1209" s="3">
        <v>1E-4</v>
      </c>
    </row>
    <row r="1210" spans="2:5">
      <c r="B1210" s="31"/>
      <c r="C1210" s="1" t="str">
        <f>"DZITAS"</f>
        <v>DZITAS</v>
      </c>
      <c r="D1210" s="2">
        <v>1</v>
      </c>
      <c r="E1210" s="3">
        <v>1E-4</v>
      </c>
    </row>
    <row r="1211" spans="2:5">
      <c r="B1211" s="31"/>
      <c r="C1211" s="1" t="str">
        <f>"ESPITA"</f>
        <v>ESPITA</v>
      </c>
      <c r="D1211" s="2">
        <v>2</v>
      </c>
      <c r="E1211" s="3">
        <v>1E-4</v>
      </c>
    </row>
    <row r="1212" spans="2:5">
      <c r="B1212" s="31"/>
      <c r="C1212" s="1" t="str">
        <f>"HUNUCMA"</f>
        <v>HUNUCMA</v>
      </c>
      <c r="D1212" s="2">
        <v>1</v>
      </c>
      <c r="E1212" s="3">
        <v>1E-4</v>
      </c>
    </row>
    <row r="1213" spans="2:5">
      <c r="B1213" s="31"/>
      <c r="C1213" s="1" t="str">
        <f>"IZAMAL"</f>
        <v>IZAMAL</v>
      </c>
      <c r="D1213" s="2">
        <v>1</v>
      </c>
      <c r="E1213" s="3">
        <v>1E-4</v>
      </c>
    </row>
    <row r="1214" spans="2:5">
      <c r="B1214" s="31"/>
      <c r="C1214" s="1" t="str">
        <f>"KAUA"</f>
        <v>KAUA</v>
      </c>
      <c r="D1214" s="2">
        <v>1</v>
      </c>
      <c r="E1214" s="3">
        <v>1E-4</v>
      </c>
    </row>
    <row r="1215" spans="2:5">
      <c r="B1215" s="31"/>
      <c r="C1215" s="1" t="str">
        <f>"MERIDA"</f>
        <v>MERIDA</v>
      </c>
      <c r="D1215" s="2">
        <v>23</v>
      </c>
      <c r="E1215" s="3">
        <v>1.1999999999999999E-3</v>
      </c>
    </row>
    <row r="1216" spans="2:5">
      <c r="B1216" s="31"/>
      <c r="C1216" s="1" t="str">
        <f>"OXKUTZCAB"</f>
        <v>OXKUTZCAB</v>
      </c>
      <c r="D1216" s="2">
        <v>1</v>
      </c>
      <c r="E1216" s="3">
        <v>1E-4</v>
      </c>
    </row>
    <row r="1217" spans="2:5">
      <c r="B1217" s="31"/>
      <c r="C1217" s="1" t="str">
        <f>"TEKAX"</f>
        <v>TEKAX</v>
      </c>
      <c r="D1217" s="2">
        <v>21</v>
      </c>
      <c r="E1217" s="3">
        <v>1.1000000000000001E-3</v>
      </c>
    </row>
    <row r="1218" spans="2:5">
      <c r="B1218" s="31"/>
      <c r="C1218" s="1" t="str">
        <f>"TELCHAC PUEBLO"</f>
        <v>TELCHAC PUEBLO</v>
      </c>
      <c r="D1218" s="2">
        <v>1</v>
      </c>
      <c r="E1218" s="3">
        <v>1E-4</v>
      </c>
    </row>
    <row r="1219" spans="2:5">
      <c r="B1219" s="31"/>
      <c r="C1219" s="1" t="str">
        <f>"TEPAKAN"</f>
        <v>TEPAKAN</v>
      </c>
      <c r="D1219" s="2">
        <v>2</v>
      </c>
      <c r="E1219" s="3">
        <v>1E-4</v>
      </c>
    </row>
    <row r="1220" spans="2:5">
      <c r="B1220" s="31"/>
      <c r="C1220" s="1" t="str">
        <f>"TETIZ"</f>
        <v>TETIZ</v>
      </c>
      <c r="D1220" s="2">
        <v>1</v>
      </c>
      <c r="E1220" s="3">
        <v>1E-4</v>
      </c>
    </row>
    <row r="1221" spans="2:5">
      <c r="B1221" s="31"/>
      <c r="C1221" s="1" t="str">
        <f>"TICUL"</f>
        <v>TICUL</v>
      </c>
      <c r="D1221" s="2">
        <v>1</v>
      </c>
      <c r="E1221" s="3">
        <v>1E-4</v>
      </c>
    </row>
    <row r="1222" spans="2:5">
      <c r="B1222" s="31"/>
      <c r="C1222" s="1" t="str">
        <f>"TIZIMIN"</f>
        <v>TIZIMIN</v>
      </c>
      <c r="D1222" s="2">
        <v>4</v>
      </c>
      <c r="E1222" s="3">
        <v>2.0000000000000001E-4</v>
      </c>
    </row>
    <row r="1223" spans="2:5">
      <c r="B1223" s="32"/>
      <c r="C1223" s="14" t="str">
        <f>"Total"</f>
        <v>Total</v>
      </c>
      <c r="D1223" s="15">
        <v>118</v>
      </c>
      <c r="E1223" s="21">
        <v>6.0000000000000001E-3</v>
      </c>
    </row>
    <row r="1224" spans="2:5">
      <c r="B1224" s="30" t="str">
        <f t="shared" ref="B1224" si="27">"ZACATECAS"</f>
        <v>ZACATECAS</v>
      </c>
      <c r="C1224" s="1" t="str">
        <f>"APOZOL"</f>
        <v>APOZOL</v>
      </c>
      <c r="D1224" s="2">
        <v>8</v>
      </c>
      <c r="E1224" s="3">
        <v>4.0000000000000002E-4</v>
      </c>
    </row>
    <row r="1225" spans="2:5">
      <c r="B1225" s="31"/>
      <c r="C1225" s="1" t="str">
        <f>"ATOLINGA"</f>
        <v>ATOLINGA</v>
      </c>
      <c r="D1225" s="2">
        <v>2</v>
      </c>
      <c r="E1225" s="3">
        <v>1E-4</v>
      </c>
    </row>
    <row r="1226" spans="2:5">
      <c r="B1226" s="31"/>
      <c r="C1226" s="1" t="str">
        <f>"BENITO JUAREZ"</f>
        <v>BENITO JUAREZ</v>
      </c>
      <c r="D1226" s="2">
        <v>4</v>
      </c>
      <c r="E1226" s="3">
        <v>2.0000000000000001E-4</v>
      </c>
    </row>
    <row r="1227" spans="2:5">
      <c r="B1227" s="31"/>
      <c r="C1227" s="1" t="str">
        <f>"CALERA"</f>
        <v>CALERA</v>
      </c>
      <c r="D1227" s="2">
        <v>10</v>
      </c>
      <c r="E1227" s="3">
        <v>5.0000000000000001E-4</v>
      </c>
    </row>
    <row r="1228" spans="2:5" ht="30">
      <c r="B1228" s="31"/>
      <c r="C1228" s="1" t="str">
        <f>"CAÑITAS DE FELIPE PESCADOR"</f>
        <v>CAÑITAS DE FELIPE PESCADOR</v>
      </c>
      <c r="D1228" s="2">
        <v>4</v>
      </c>
      <c r="E1228" s="3">
        <v>2.0000000000000001E-4</v>
      </c>
    </row>
    <row r="1229" spans="2:5">
      <c r="B1229" s="31"/>
      <c r="C1229" s="1" t="str">
        <f>"CHALCHIHUITES"</f>
        <v>CHALCHIHUITES</v>
      </c>
      <c r="D1229" s="2">
        <v>150</v>
      </c>
      <c r="E1229" s="3">
        <v>7.7000000000000002E-3</v>
      </c>
    </row>
    <row r="1230" spans="2:5">
      <c r="B1230" s="31"/>
      <c r="C1230" s="1" t="str">
        <f>"CONCEPCION DEL ORO"</f>
        <v>CONCEPCION DEL ORO</v>
      </c>
      <c r="D1230" s="2">
        <v>2</v>
      </c>
      <c r="E1230" s="3">
        <v>1E-4</v>
      </c>
    </row>
    <row r="1231" spans="2:5">
      <c r="B1231" s="31"/>
      <c r="C1231" s="1" t="str">
        <f>"CUAUHTEMOC"</f>
        <v>CUAUHTEMOC</v>
      </c>
      <c r="D1231" s="2">
        <v>7</v>
      </c>
      <c r="E1231" s="3">
        <v>4.0000000000000002E-4</v>
      </c>
    </row>
    <row r="1232" spans="2:5">
      <c r="B1232" s="31"/>
      <c r="C1232" s="1" t="str">
        <f>"FRESNILLO"</f>
        <v>FRESNILLO</v>
      </c>
      <c r="D1232" s="2">
        <v>624</v>
      </c>
      <c r="E1232" s="3">
        <v>3.1899999999999998E-2</v>
      </c>
    </row>
    <row r="1233" spans="2:5">
      <c r="B1233" s="31"/>
      <c r="C1233" s="1" t="str">
        <f>"GENARO CODINA"</f>
        <v>GENARO CODINA</v>
      </c>
      <c r="D1233" s="2">
        <v>11</v>
      </c>
      <c r="E1233" s="3">
        <v>5.9999999999999995E-4</v>
      </c>
    </row>
    <row r="1234" spans="2:5" ht="30">
      <c r="B1234" s="31"/>
      <c r="C1234" s="1" t="str">
        <f>"GENERAL FRANCISCO R. MURGUIA"</f>
        <v>GENERAL FRANCISCO R. MURGUIA</v>
      </c>
      <c r="D1234" s="2">
        <v>12</v>
      </c>
      <c r="E1234" s="3">
        <v>5.9999999999999995E-4</v>
      </c>
    </row>
    <row r="1235" spans="2:5">
      <c r="B1235" s="31"/>
      <c r="C1235" s="1" t="str">
        <f>"GENERAL PANFILO NATERA"</f>
        <v>GENERAL PANFILO NATERA</v>
      </c>
      <c r="D1235" s="2">
        <v>8</v>
      </c>
      <c r="E1235" s="3">
        <v>4.0000000000000002E-4</v>
      </c>
    </row>
    <row r="1236" spans="2:5">
      <c r="B1236" s="31"/>
      <c r="C1236" s="1" t="str">
        <f>"GUADALUPE"</f>
        <v>GUADALUPE</v>
      </c>
      <c r="D1236" s="2">
        <v>15</v>
      </c>
      <c r="E1236" s="3">
        <v>8.0000000000000004E-4</v>
      </c>
    </row>
    <row r="1237" spans="2:5">
      <c r="B1237" s="31"/>
      <c r="C1237" s="1" t="str">
        <f>"JALPA"</f>
        <v>JALPA</v>
      </c>
      <c r="D1237" s="2">
        <v>8</v>
      </c>
      <c r="E1237" s="3">
        <v>4.0000000000000002E-4</v>
      </c>
    </row>
    <row r="1238" spans="2:5">
      <c r="B1238" s="31"/>
      <c r="C1238" s="1" t="str">
        <f>"JEREZ"</f>
        <v>JEREZ</v>
      </c>
      <c r="D1238" s="2">
        <v>83</v>
      </c>
      <c r="E1238" s="3">
        <v>4.1999999999999997E-3</v>
      </c>
    </row>
    <row r="1239" spans="2:5">
      <c r="B1239" s="31"/>
      <c r="C1239" s="1" t="str">
        <f>"JIMENEZ DEL TEUL"</f>
        <v>JIMENEZ DEL TEUL</v>
      </c>
      <c r="D1239" s="2">
        <v>25</v>
      </c>
      <c r="E1239" s="3">
        <v>1.2999999999999999E-3</v>
      </c>
    </row>
    <row r="1240" spans="2:5">
      <c r="B1240" s="31"/>
      <c r="C1240" s="1" t="str">
        <f>"JUAN ALDAMA"</f>
        <v>JUAN ALDAMA</v>
      </c>
      <c r="D1240" s="2">
        <v>10</v>
      </c>
      <c r="E1240" s="3">
        <v>5.0000000000000001E-4</v>
      </c>
    </row>
    <row r="1241" spans="2:5">
      <c r="B1241" s="31"/>
      <c r="C1241" s="1" t="str">
        <f>"JUCHIPILA"</f>
        <v>JUCHIPILA</v>
      </c>
      <c r="D1241" s="2">
        <v>9</v>
      </c>
      <c r="E1241" s="3">
        <v>5.0000000000000001E-4</v>
      </c>
    </row>
    <row r="1242" spans="2:5">
      <c r="B1242" s="31"/>
      <c r="C1242" s="1" t="str">
        <f>"LORETO"</f>
        <v>LORETO</v>
      </c>
      <c r="D1242" s="2">
        <v>144</v>
      </c>
      <c r="E1242" s="3">
        <v>7.4000000000000003E-3</v>
      </c>
    </row>
    <row r="1243" spans="2:5">
      <c r="B1243" s="31"/>
      <c r="C1243" s="1" t="str">
        <f>"LUIS MOYA"</f>
        <v>LUIS MOYA</v>
      </c>
      <c r="D1243" s="2">
        <v>94</v>
      </c>
      <c r="E1243" s="3">
        <v>4.7999999999999996E-3</v>
      </c>
    </row>
    <row r="1244" spans="2:5">
      <c r="B1244" s="31"/>
      <c r="C1244" s="1" t="str">
        <f>"MAZAPIL"</f>
        <v>MAZAPIL</v>
      </c>
      <c r="D1244" s="2">
        <v>22</v>
      </c>
      <c r="E1244" s="3">
        <v>1.1000000000000001E-3</v>
      </c>
    </row>
    <row r="1245" spans="2:5">
      <c r="B1245" s="31"/>
      <c r="C1245" s="1" t="str">
        <f>"MELCHOR OCAMPO"</f>
        <v>MELCHOR OCAMPO</v>
      </c>
      <c r="D1245" s="2">
        <v>1</v>
      </c>
      <c r="E1245" s="3">
        <v>1E-4</v>
      </c>
    </row>
    <row r="1246" spans="2:5">
      <c r="B1246" s="31"/>
      <c r="C1246" s="1" t="str">
        <f>"MEZQUITAL DEL ORO"</f>
        <v>MEZQUITAL DEL ORO</v>
      </c>
      <c r="D1246" s="2">
        <v>3</v>
      </c>
      <c r="E1246" s="3">
        <v>2.0000000000000001E-4</v>
      </c>
    </row>
    <row r="1247" spans="2:5">
      <c r="B1247" s="31"/>
      <c r="C1247" s="1" t="str">
        <f>"MIGUEL AUZA"</f>
        <v>MIGUEL AUZA</v>
      </c>
      <c r="D1247" s="2">
        <v>24</v>
      </c>
      <c r="E1247" s="3">
        <v>1.1999999999999999E-3</v>
      </c>
    </row>
    <row r="1248" spans="2:5">
      <c r="B1248" s="31"/>
      <c r="C1248" s="1" t="str">
        <f>"MONTE ESCOBEDO"</f>
        <v>MONTE ESCOBEDO</v>
      </c>
      <c r="D1248" s="2">
        <v>23</v>
      </c>
      <c r="E1248" s="3">
        <v>1.1999999999999999E-3</v>
      </c>
    </row>
    <row r="1249" spans="2:5">
      <c r="B1249" s="31"/>
      <c r="C1249" s="1" t="str">
        <f>"MORELOS"</f>
        <v>MORELOS</v>
      </c>
      <c r="D1249" s="2">
        <v>6</v>
      </c>
      <c r="E1249" s="3">
        <v>2.9999999999999997E-4</v>
      </c>
    </row>
    <row r="1250" spans="2:5">
      <c r="B1250" s="31"/>
      <c r="C1250" s="1" t="str">
        <f>"MOYAHUA DE ESTRADA"</f>
        <v>MOYAHUA DE ESTRADA</v>
      </c>
      <c r="D1250" s="2">
        <v>1</v>
      </c>
      <c r="E1250" s="3">
        <v>1E-4</v>
      </c>
    </row>
    <row r="1251" spans="2:5">
      <c r="B1251" s="31"/>
      <c r="C1251" s="1" t="str">
        <f>"NOCHISTLAN DE MEJIA"</f>
        <v>NOCHISTLAN DE MEJIA</v>
      </c>
      <c r="D1251" s="2">
        <v>7</v>
      </c>
      <c r="E1251" s="3">
        <v>4.0000000000000002E-4</v>
      </c>
    </row>
    <row r="1252" spans="2:5">
      <c r="B1252" s="31"/>
      <c r="C1252" s="1" t="str">
        <f>"NORIA DE ANGELES"</f>
        <v>NORIA DE ANGELES</v>
      </c>
      <c r="D1252" s="2">
        <v>20</v>
      </c>
      <c r="E1252" s="3">
        <v>1E-3</v>
      </c>
    </row>
    <row r="1253" spans="2:5">
      <c r="B1253" s="31"/>
      <c r="C1253" s="1" t="str">
        <f>"OJOCALIENTE"</f>
        <v>OJOCALIENTE</v>
      </c>
      <c r="D1253" s="2">
        <v>81</v>
      </c>
      <c r="E1253" s="3">
        <v>4.1000000000000003E-3</v>
      </c>
    </row>
    <row r="1254" spans="2:5">
      <c r="B1254" s="31"/>
      <c r="C1254" s="1" t="str">
        <f>"PANUCO"</f>
        <v>PANUCO</v>
      </c>
      <c r="D1254" s="2">
        <v>3</v>
      </c>
      <c r="E1254" s="3">
        <v>2.0000000000000001E-4</v>
      </c>
    </row>
    <row r="1255" spans="2:5">
      <c r="B1255" s="31"/>
      <c r="C1255" s="1" t="str">
        <f>"PINOS"</f>
        <v>PINOS</v>
      </c>
      <c r="D1255" s="2">
        <v>9</v>
      </c>
      <c r="E1255" s="3">
        <v>5.0000000000000001E-4</v>
      </c>
    </row>
    <row r="1256" spans="2:5">
      <c r="B1256" s="31"/>
      <c r="C1256" s="1" t="str">
        <f>"RIO GRANDE"</f>
        <v>RIO GRANDE</v>
      </c>
      <c r="D1256" s="2">
        <v>38</v>
      </c>
      <c r="E1256" s="3">
        <v>1.9E-3</v>
      </c>
    </row>
    <row r="1257" spans="2:5">
      <c r="B1257" s="31"/>
      <c r="C1257" s="1" t="str">
        <f>"SAIN ALTO"</f>
        <v>SAIN ALTO</v>
      </c>
      <c r="D1257" s="2">
        <v>100</v>
      </c>
      <c r="E1257" s="3">
        <v>5.1000000000000004E-3</v>
      </c>
    </row>
    <row r="1258" spans="2:5">
      <c r="B1258" s="31"/>
      <c r="C1258" s="1" t="str">
        <f>"SOMBRERETE"</f>
        <v>SOMBRERETE</v>
      </c>
      <c r="D1258" s="2">
        <v>86</v>
      </c>
      <c r="E1258" s="3">
        <v>4.4000000000000003E-3</v>
      </c>
    </row>
    <row r="1259" spans="2:5">
      <c r="B1259" s="31"/>
      <c r="C1259" s="1" t="str">
        <f>"SUSTICACAN"</f>
        <v>SUSTICACAN</v>
      </c>
      <c r="D1259" s="2">
        <v>1</v>
      </c>
      <c r="E1259" s="3">
        <v>1E-4</v>
      </c>
    </row>
    <row r="1260" spans="2:5">
      <c r="B1260" s="31"/>
      <c r="C1260" s="1" t="str">
        <f>"TABASCO"</f>
        <v>TABASCO</v>
      </c>
      <c r="D1260" s="2">
        <v>6</v>
      </c>
      <c r="E1260" s="3">
        <v>2.9999999999999997E-4</v>
      </c>
    </row>
    <row r="1261" spans="2:5">
      <c r="B1261" s="31"/>
      <c r="C1261" s="1" t="str">
        <f>"TEPECHITLAN"</f>
        <v>TEPECHITLAN</v>
      </c>
      <c r="D1261" s="2">
        <v>7</v>
      </c>
      <c r="E1261" s="3">
        <v>4.0000000000000002E-4</v>
      </c>
    </row>
    <row r="1262" spans="2:5">
      <c r="B1262" s="31"/>
      <c r="C1262" s="1" t="str">
        <f>"TEPETONGO"</f>
        <v>TEPETONGO</v>
      </c>
      <c r="D1262" s="2">
        <v>3</v>
      </c>
      <c r="E1262" s="3">
        <v>2.0000000000000001E-4</v>
      </c>
    </row>
    <row r="1263" spans="2:5">
      <c r="B1263" s="31"/>
      <c r="C1263" s="1" t="str">
        <f>"TEUL DE GONZALEZ ORTEGA"</f>
        <v>TEUL DE GONZALEZ ORTEGA</v>
      </c>
      <c r="D1263" s="2">
        <v>4</v>
      </c>
      <c r="E1263" s="3">
        <v>2.0000000000000001E-4</v>
      </c>
    </row>
    <row r="1264" spans="2:5" ht="30">
      <c r="B1264" s="31"/>
      <c r="C1264" s="1" t="str">
        <f>"TLALTENANGO DE SANCHEZ ROMAN"</f>
        <v>TLALTENANGO DE SANCHEZ ROMAN</v>
      </c>
      <c r="D1264" s="2">
        <v>61</v>
      </c>
      <c r="E1264" s="3">
        <v>3.0999999999999999E-3</v>
      </c>
    </row>
    <row r="1265" spans="2:5">
      <c r="B1265" s="31"/>
      <c r="C1265" s="1" t="str">
        <f>"VALPARAISO"</f>
        <v>VALPARAISO</v>
      </c>
      <c r="D1265" s="2">
        <v>214</v>
      </c>
      <c r="E1265" s="3">
        <v>1.0999999999999999E-2</v>
      </c>
    </row>
    <row r="1266" spans="2:5">
      <c r="B1266" s="31"/>
      <c r="C1266" s="1" t="str">
        <f>"VILLA DE COS"</f>
        <v>VILLA DE COS</v>
      </c>
      <c r="D1266" s="2">
        <v>14</v>
      </c>
      <c r="E1266" s="3">
        <v>6.9999999999999999E-4</v>
      </c>
    </row>
    <row r="1267" spans="2:5">
      <c r="B1267" s="31"/>
      <c r="C1267" s="1" t="str">
        <f>"VILLA GARCIA"</f>
        <v>VILLA GARCIA</v>
      </c>
      <c r="D1267" s="2">
        <v>18</v>
      </c>
      <c r="E1267" s="3">
        <v>8.9999999999999998E-4</v>
      </c>
    </row>
    <row r="1268" spans="2:5">
      <c r="B1268" s="31"/>
      <c r="C1268" s="1" t="str">
        <f>"VILLA GONZALEZ ORTEGA"</f>
        <v>VILLA GONZALEZ ORTEGA</v>
      </c>
      <c r="D1268" s="2">
        <v>1</v>
      </c>
      <c r="E1268" s="3">
        <v>1E-4</v>
      </c>
    </row>
    <row r="1269" spans="2:5">
      <c r="B1269" s="31"/>
      <c r="C1269" s="1" t="str">
        <f>"VILLA HIDALGO"</f>
        <v>VILLA HIDALGO</v>
      </c>
      <c r="D1269" s="2">
        <v>3</v>
      </c>
      <c r="E1269" s="3">
        <v>2.0000000000000001E-4</v>
      </c>
    </row>
    <row r="1270" spans="2:5">
      <c r="B1270" s="31"/>
      <c r="C1270" s="1" t="str">
        <f>"VILLANUEVA"</f>
        <v>VILLANUEVA</v>
      </c>
      <c r="D1270" s="2">
        <v>33</v>
      </c>
      <c r="E1270" s="3">
        <v>1.6999999999999999E-3</v>
      </c>
    </row>
    <row r="1271" spans="2:5">
      <c r="B1271" s="31"/>
      <c r="C1271" s="1" t="str">
        <f>"ZACATECAS"</f>
        <v>ZACATECAS</v>
      </c>
      <c r="D1271" s="2">
        <v>69</v>
      </c>
      <c r="E1271" s="3">
        <v>3.5000000000000001E-3</v>
      </c>
    </row>
    <row r="1272" spans="2:5">
      <c r="B1272" s="32"/>
      <c r="C1272" s="14" t="str">
        <f>"Total"</f>
        <v>Total</v>
      </c>
      <c r="D1272" s="20">
        <v>2088</v>
      </c>
      <c r="E1272" s="21">
        <v>0.10680000000000001</v>
      </c>
    </row>
    <row r="1273" spans="2:5">
      <c r="B1273" s="16" t="s">
        <v>1</v>
      </c>
      <c r="C1273" s="17" t="str">
        <f>" "</f>
        <v> </v>
      </c>
      <c r="D1273" s="18">
        <v>19542</v>
      </c>
      <c r="E1273" s="19">
        <v>1</v>
      </c>
    </row>
    <row r="1275" spans="2:5" ht="16.5">
      <c r="B1275" s="4" t="s">
        <v>2</v>
      </c>
      <c r="C1275" s="5"/>
    </row>
    <row r="1276" spans="2:5" ht="16.5">
      <c r="B1276" s="4" t="s">
        <v>3</v>
      </c>
      <c r="C1276" s="5"/>
    </row>
    <row r="1277" spans="2:5" ht="16.5">
      <c r="B1277" s="4" t="s">
        <v>4</v>
      </c>
      <c r="C1277" s="5"/>
    </row>
    <row r="1278" spans="2:5" ht="16.5">
      <c r="B1278" s="4" t="s">
        <v>5</v>
      </c>
      <c r="C1278" s="5"/>
    </row>
    <row r="1279" spans="2:5">
      <c r="B1279" s="4" t="s">
        <v>10</v>
      </c>
    </row>
  </sheetData>
  <mergeCells count="37">
    <mergeCell ref="B1204:B1223"/>
    <mergeCell ref="B1224:B1272"/>
    <mergeCell ref="B998:B1024"/>
    <mergeCell ref="B1025:B1040"/>
    <mergeCell ref="B1041:B1062"/>
    <mergeCell ref="B1063:B1082"/>
    <mergeCell ref="B1083:B1203"/>
    <mergeCell ref="B821:B925"/>
    <mergeCell ref="B926:B940"/>
    <mergeCell ref="B941:B943"/>
    <mergeCell ref="B944:B978"/>
    <mergeCell ref="B979:B997"/>
    <mergeCell ref="B571:B668"/>
    <mergeCell ref="B669:B693"/>
    <mergeCell ref="B694:B714"/>
    <mergeCell ref="B715:B732"/>
    <mergeCell ref="B733:B820"/>
    <mergeCell ref="B242:B283"/>
    <mergeCell ref="B284:B346"/>
    <mergeCell ref="B347:B398"/>
    <mergeCell ref="B399:B496"/>
    <mergeCell ref="B497:B570"/>
    <mergeCell ref="B86:B151"/>
    <mergeCell ref="B152:B175"/>
    <mergeCell ref="B176:B186"/>
    <mergeCell ref="B187:B203"/>
    <mergeCell ref="B204:B241"/>
    <mergeCell ref="B10:B21"/>
    <mergeCell ref="B22:B26"/>
    <mergeCell ref="B27:B29"/>
    <mergeCell ref="B30:B38"/>
    <mergeCell ref="B39:B85"/>
    <mergeCell ref="B6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2012-03-01T19:52:16Z</dcterms:created>
  <dcterms:modified xsi:type="dcterms:W3CDTF">2012-03-15T20:18:41Z</dcterms:modified>
</cp:coreProperties>
</file>