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PEXQQR" sheetId="2" r:id="rId1"/>
  </sheets>
  <calcPr calcId="125725"/>
</workbook>
</file>

<file path=xl/calcChain.xml><?xml version="1.0" encoding="utf-8"?>
<calcChain xmlns="http://schemas.openxmlformats.org/spreadsheetml/2006/main">
  <c r="B29" i="2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<sst xmlns="http://schemas.openxmlformats.org/spreadsheetml/2006/main" count="11" uniqueCount="11">
  <si>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</si>
  <si>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</si>
  <si>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 xml:space="preserve">                                          (Tabla en orden descendente) </t>
  </si>
  <si>
    <t>Ocupación</t>
  </si>
  <si>
    <t>Porcentaje de Matrículas</t>
  </si>
  <si>
    <t>MATRÍCULAS CONSULARES EXPEDIDAS EN EE.UU. A MEXICANOS EN EL ESTADO DE OKLAHOMA POR PERFIL OCUPACIONAL, 2010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</si>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</sst>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Font="1" applyBorder="1" applyAlignment="1">
      <alignment wrapText="1"/>
    </xf>
    <xf numFmtId="3" fontId="0" fillId="0" borderId="10" xfId="0" applyNumberFormat="1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0" xfId="0" applyFont="1" applyBorder="1" applyAlignment="1">
      <alignment horizontal="right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/>
    <xf numFmtId="0" fontId="19" fillId="0" borderId="11" xfId="0" applyFont="1" applyBorder="1" applyAlignment="1">
      <alignment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2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E37"/>
  <sheetViews>
    <sheetView showGridLines="0" tabSelected="1" workbookViewId="0">
      <selection activeCell="B33" sqref="B33:E37"/>
    </sheetView>
  </sheetViews>
  <sheetFormatPr baseColWidth="10" defaultRowHeight="15"/>
  <cols>
    <col min="2" max="2" width="37.7109375" customWidth="1"/>
    <col min="3" max="4" width="16.140625" bestFit="1" customWidth="1"/>
  </cols>
  <sheetData>
    <row r="5" spans="2:5">
      <c r="B5" s="5" t="s">
        <v>5</v>
      </c>
      <c r="C5" s="5"/>
      <c r="D5" s="5"/>
      <c r="E5" s="6"/>
    </row>
    <row r="6" spans="2:5">
      <c r="B6" s="5"/>
      <c r="C6" s="5"/>
      <c r="D6" s="5"/>
      <c r="E6" s="6"/>
    </row>
    <row r="7" spans="2:5" ht="16.5">
      <c r="B7" s="7" t="s">
        <v>2</v>
      </c>
      <c r="C7" s="7"/>
      <c r="D7" s="7"/>
    </row>
    <row r="8" spans="2:5">
      <c r="B8" s="8" t="s">
        <v>3</v>
      </c>
      <c r="C8" s="8" t="s">
        <v>0</v>
      </c>
      <c r="D8" s="8" t="s">
        <v>4</v>
      </c>
    </row>
    <row r="9" spans="2:5">
      <c r="B9" s="9"/>
      <c r="C9" s="9"/>
      <c r="D9" s="9"/>
    </row>
    <row r="10" spans="2:5">
      <c r="B10" s="1" t="str">
        <f>"EMPLEADO(A)"</f>
        <v>EMPLEADO(A)</v>
      </c>
      <c r="C10" s="2">
        <v>2232</v>
      </c>
      <c r="D10" s="3">
        <v>0.44340000000000002</v>
      </c>
    </row>
    <row r="11" spans="2:5">
      <c r="B11" s="1" t="str">
        <f>"HOGAR"</f>
        <v>HOGAR</v>
      </c>
      <c r="C11" s="2">
        <v>1291</v>
      </c>
      <c r="D11" s="3">
        <v>0.25650000000000001</v>
      </c>
    </row>
    <row r="12" spans="2:5">
      <c r="B12" s="1" t="str">
        <f>"OBRERO(A)"</f>
        <v>OBRERO(A)</v>
      </c>
      <c r="C12" s="4">
        <v>569</v>
      </c>
      <c r="D12" s="3">
        <v>0.113</v>
      </c>
    </row>
    <row r="13" spans="2:5">
      <c r="B13" s="1" t="str">
        <f>"ESTUDIANTE"</f>
        <v>ESTUDIANTE</v>
      </c>
      <c r="C13" s="4">
        <v>295</v>
      </c>
      <c r="D13" s="3">
        <v>5.8599999999999999E-2</v>
      </c>
    </row>
    <row r="14" spans="2:5">
      <c r="B14" s="1" t="str">
        <f>"COCINERO(A)"</f>
        <v>COCINERO(A)</v>
      </c>
      <c r="C14" s="4">
        <v>196</v>
      </c>
      <c r="D14" s="3">
        <v>3.8899999999999997E-2</v>
      </c>
    </row>
    <row r="15" spans="2:5">
      <c r="B15" s="1" t="str">
        <f>"OTRO"</f>
        <v>OTRO</v>
      </c>
      <c r="C15" s="4">
        <v>112</v>
      </c>
      <c r="D15" s="3">
        <v>2.2200000000000001E-2</v>
      </c>
    </row>
    <row r="16" spans="2:5">
      <c r="B16" s="1" t="str">
        <f>"PINTOR(A)"</f>
        <v>PINTOR(A)</v>
      </c>
      <c r="C16" s="4">
        <v>81</v>
      </c>
      <c r="D16" s="3">
        <v>1.61E-2</v>
      </c>
    </row>
    <row r="17" spans="2:4">
      <c r="B17" s="1" t="str">
        <f>"MESERO(A)"</f>
        <v>MESERO(A)</v>
      </c>
      <c r="C17" s="4">
        <v>59</v>
      </c>
      <c r="D17" s="3">
        <v>1.17E-2</v>
      </c>
    </row>
    <row r="18" spans="2:4">
      <c r="B18" s="1" t="str">
        <f>"JARDINERO(A)"</f>
        <v>JARDINERO(A)</v>
      </c>
      <c r="C18" s="4">
        <v>57</v>
      </c>
      <c r="D18" s="3">
        <v>1.1299999999999999E-2</v>
      </c>
    </row>
    <row r="19" spans="2:4">
      <c r="B19" s="1" t="str">
        <f>"CAMPESINO(A)"</f>
        <v>CAMPESINO(A)</v>
      </c>
      <c r="C19" s="4">
        <v>40</v>
      </c>
      <c r="D19" s="3">
        <v>7.9000000000000008E-3</v>
      </c>
    </row>
    <row r="20" spans="2:4">
      <c r="B20" s="1" t="str">
        <f>"OPERARIO(A)"</f>
        <v>OPERARIO(A)</v>
      </c>
      <c r="C20" s="4">
        <v>39</v>
      </c>
      <c r="D20" s="3">
        <v>7.7000000000000002E-3</v>
      </c>
    </row>
    <row r="21" spans="2:4">
      <c r="B21" s="1" t="str">
        <f>"ALBANIL"</f>
        <v>ALBANIL</v>
      </c>
      <c r="C21" s="4">
        <v>18</v>
      </c>
      <c r="D21" s="3">
        <v>3.5999999999999999E-3</v>
      </c>
    </row>
    <row r="22" spans="2:4">
      <c r="B22" s="1" t="str">
        <f>"CAJERO(A)"</f>
        <v>CAJERO(A)</v>
      </c>
      <c r="C22" s="4">
        <v>10</v>
      </c>
      <c r="D22" s="3">
        <v>2E-3</v>
      </c>
    </row>
    <row r="23" spans="2:4">
      <c r="B23" s="1" t="str">
        <f>"COMERCIANTE"</f>
        <v>COMERCIANTE</v>
      </c>
      <c r="C23" s="4">
        <v>9</v>
      </c>
      <c r="D23" s="3">
        <v>1.8E-3</v>
      </c>
    </row>
    <row r="24" spans="2:4">
      <c r="B24" s="1" t="str">
        <f>"CHOFER"</f>
        <v>CHOFER</v>
      </c>
      <c r="C24" s="4">
        <v>8</v>
      </c>
      <c r="D24" s="3">
        <v>1.6000000000000001E-3</v>
      </c>
    </row>
    <row r="25" spans="2:4">
      <c r="B25" s="1" t="str">
        <f>"CARNICERO"</f>
        <v>CARNICERO</v>
      </c>
      <c r="C25" s="4">
        <v>8</v>
      </c>
      <c r="D25" s="3">
        <v>1.6000000000000001E-3</v>
      </c>
    </row>
    <row r="26" spans="2:4">
      <c r="B26" s="1" t="str">
        <f>"PANADERO(A)"</f>
        <v>PANADERO(A)</v>
      </c>
      <c r="C26" s="4">
        <v>3</v>
      </c>
      <c r="D26" s="3">
        <v>5.9999999999999995E-4</v>
      </c>
    </row>
    <row r="27" spans="2:4">
      <c r="B27" s="1" t="str">
        <f>"JUBILADO(A)"</f>
        <v>JUBILADO(A)</v>
      </c>
      <c r="C27" s="4">
        <v>3</v>
      </c>
      <c r="D27" s="3">
        <v>5.9999999999999995E-4</v>
      </c>
    </row>
    <row r="28" spans="2:4">
      <c r="B28" s="1" t="str">
        <f>"PROFESIONISTA"</f>
        <v>PROFESIONISTA</v>
      </c>
      <c r="C28" s="4">
        <v>3</v>
      </c>
      <c r="D28" s="3">
        <v>5.9999999999999995E-4</v>
      </c>
    </row>
    <row r="29" spans="2:4">
      <c r="B29" s="1" t="str">
        <f>"MISIONERO(A)"</f>
        <v>MISIONERO(A)</v>
      </c>
      <c r="C29" s="4">
        <v>1</v>
      </c>
      <c r="D29" s="3">
        <v>2.0000000000000001E-4</v>
      </c>
    </row>
    <row r="30" spans="2:4">
      <c r="B30" s="10" t="s">
        <v>1</v>
      </c>
      <c r="C30" s="11">
        <v>5034</v>
      </c>
      <c r="D30" s="12">
        <v>1</v>
      </c>
    </row>
    <row r="33" spans="2:2">
      <c r="B33" s="13" t="s">
        <v>6</v>
      </c>
    </row>
    <row r="34" spans="2:2">
      <c r="B34" s="13" t="s">
        <v>7</v>
      </c>
    </row>
    <row r="35" spans="2:2">
      <c r="B35" s="13" t="s">
        <v>8</v>
      </c>
    </row>
    <row r="36" spans="2:2">
      <c r="B36" s="13" t="s">
        <v>9</v>
      </c>
    </row>
    <row r="37" spans="2:2">
      <c r="B37" s="13" t="s">
        <v>10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easCAPEXQQR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2012-03-06T23:11:49Z</dcterms:created>
  <dcterms:modified xsi:type="dcterms:W3CDTF">2012-03-06T23:33:35Z</dcterms:modified>
</cp:coreProperties>
</file>