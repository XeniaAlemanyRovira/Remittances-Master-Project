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1PCYK2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<sst xmlns="http://schemas.openxmlformats.org/spreadsheetml/2006/main" count="12" uniqueCount="12">
  <si>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</si>
  <si>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</si>
  <si>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</si>
  <si>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</si>
  <si>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</si>
  <si>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</si>
  <si>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</si>
  <si>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</si>
  <si>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</si>
  <si>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</si>
  <si>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</si>
  <si>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OKLAHOMA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</si>
</sst>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4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0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8" t="s">
        <v>6</v>
      </c>
      <c r="B6" s="8"/>
      <c r="C6" s="8"/>
      <c r="D6" s="8"/>
      <c r="E6" s="8"/>
    </row>
    <row r="7" spans="1:7" ht="16.5">
      <c r="A7" s="8" t="s">
        <v>11</v>
      </c>
      <c r="B7" s="8"/>
      <c r="C7" s="8"/>
      <c r="D7" s="8"/>
      <c r="E7" s="8"/>
    </row>
    <row r="8" spans="1:7" ht="12.75"/>
    <row r="9" spans="1:7" ht="16.5">
      <c r="B9" s="9" t="s">
        <v>7</v>
      </c>
      <c r="C9" s="10"/>
      <c r="D9" s="10"/>
      <c r="E9" s="11"/>
    </row>
    <row r="10" spans="1:7" ht="33">
      <c r="A10" s="12"/>
      <c r="B10" s="13" t="s">
        <v>8</v>
      </c>
      <c r="C10" s="13" t="s">
        <v>9</v>
      </c>
      <c r="D10" s="13" t="s">
        <v>10</v>
      </c>
      <c r="E10" s="14"/>
      <c r="F10" s="15"/>
      <c r="G10" s="15"/>
    </row>
    <row r="11" spans="1:7">
      <c r="B11" s="1" t="str">
        <f>"ZACATECAS"</f>
        <v>ZACATECAS</v>
      </c>
      <c r="C11" s="2">
        <v>655</v>
      </c>
      <c r="D11" s="3">
        <v>0.13009999999999999</v>
      </c>
    </row>
    <row r="12" spans="1:7">
      <c r="B12" s="1" t="str">
        <f>"CHIHUAHUA"</f>
        <v>CHIHUAHUA</v>
      </c>
      <c r="C12" s="2">
        <v>578</v>
      </c>
      <c r="D12" s="3">
        <v>0.1148</v>
      </c>
    </row>
    <row r="13" spans="1:7">
      <c r="B13" s="1" t="str">
        <f>"GUANAJUATO"</f>
        <v>GUANAJUATO</v>
      </c>
      <c r="C13" s="2">
        <v>454</v>
      </c>
      <c r="D13" s="3">
        <v>9.0200000000000002E-2</v>
      </c>
    </row>
    <row r="14" spans="1:7">
      <c r="B14" s="1" t="str">
        <f>"AGUASCALIENTES"</f>
        <v>AGUASCALIENTES</v>
      </c>
      <c r="C14" s="2">
        <v>390</v>
      </c>
      <c r="D14" s="3">
        <v>7.7499999999999999E-2</v>
      </c>
    </row>
    <row r="15" spans="1:7">
      <c r="B15" s="1" t="str">
        <f>"JALISCO"</f>
        <v>JALISCO</v>
      </c>
      <c r="C15" s="2">
        <v>374</v>
      </c>
      <c r="D15" s="3">
        <v>7.4300000000000005E-2</v>
      </c>
    </row>
    <row r="16" spans="1:7">
      <c r="B16" s="1" t="str">
        <f>"DURANGO"</f>
        <v>DURANGO</v>
      </c>
      <c r="C16" s="2">
        <v>353</v>
      </c>
      <c r="D16" s="3">
        <v>7.0099999999999996E-2</v>
      </c>
    </row>
    <row r="17" spans="2:4">
      <c r="B17" s="1" t="str">
        <f>"SAN LUIS POTOSI"</f>
        <v>SAN LUIS POTOSI</v>
      </c>
      <c r="C17" s="2">
        <v>317</v>
      </c>
      <c r="D17" s="3">
        <v>6.3E-2</v>
      </c>
    </row>
    <row r="18" spans="2:4">
      <c r="B18" s="1" t="str">
        <f>"HIDALGO"</f>
        <v>HIDALGO</v>
      </c>
      <c r="C18" s="2">
        <v>242</v>
      </c>
      <c r="D18" s="3">
        <v>4.8099999999999997E-2</v>
      </c>
    </row>
    <row r="19" spans="2:4">
      <c r="B19" s="1" t="str">
        <f>"DISTRITO FEDERAL"</f>
        <v>DISTRITO FEDERAL</v>
      </c>
      <c r="C19" s="2">
        <v>201</v>
      </c>
      <c r="D19" s="3">
        <v>3.9899999999999998E-2</v>
      </c>
    </row>
    <row r="20" spans="2:4">
      <c r="B20" s="1" t="str">
        <f>"GUERRERO"</f>
        <v>GUERRERO</v>
      </c>
      <c r="C20" s="2">
        <v>200</v>
      </c>
      <c r="D20" s="3">
        <v>3.9699999999999999E-2</v>
      </c>
    </row>
    <row r="21" spans="2:4">
      <c r="B21" s="1" t="str">
        <f>"MICHOACAN DE OCAMPO"</f>
        <v>MICHOACAN DE OCAMPO</v>
      </c>
      <c r="C21" s="2">
        <v>165</v>
      </c>
      <c r="D21" s="3">
        <v>3.2800000000000003E-2</v>
      </c>
    </row>
    <row r="22" spans="2:4">
      <c r="B22" s="1" t="str">
        <f>"OAXACA"</f>
        <v>OAXACA</v>
      </c>
      <c r="C22" s="2">
        <v>148</v>
      </c>
      <c r="D22" s="3">
        <v>2.9399999999999999E-2</v>
      </c>
    </row>
    <row r="23" spans="2:4">
      <c r="B23" s="1" t="str">
        <f>"VERACRUZ DE IGNACIO DE LA LLAVE"</f>
        <v>VERACRUZ DE IGNACIO DE LA LLAVE</v>
      </c>
      <c r="C23" s="2">
        <v>146</v>
      </c>
      <c r="D23" s="3">
        <v>2.9000000000000001E-2</v>
      </c>
    </row>
    <row r="24" spans="2:4">
      <c r="B24" s="1" t="str">
        <f>"COAHUILA DE ZARAGOZA"</f>
        <v>COAHUILA DE ZARAGOZA</v>
      </c>
      <c r="C24" s="2">
        <v>132</v>
      </c>
      <c r="D24" s="3">
        <v>2.6200000000000001E-2</v>
      </c>
    </row>
    <row r="25" spans="2:4">
      <c r="B25" s="1" t="str">
        <f>"MEXICO"</f>
        <v>MEXICO</v>
      </c>
      <c r="C25" s="2">
        <v>128</v>
      </c>
      <c r="D25" s="3">
        <v>2.5399999999999999E-2</v>
      </c>
    </row>
    <row r="26" spans="2:4">
      <c r="B26" s="1" t="str">
        <f>"TAMAULIPAS"</f>
        <v>TAMAULIPAS</v>
      </c>
      <c r="C26" s="2">
        <v>108</v>
      </c>
      <c r="D26" s="3">
        <v>2.1499999999999998E-2</v>
      </c>
    </row>
    <row r="27" spans="2:4">
      <c r="B27" s="1" t="str">
        <f>"PUEBLA"</f>
        <v>PUEBLA</v>
      </c>
      <c r="C27" s="2">
        <v>95</v>
      </c>
      <c r="D27" s="3">
        <v>1.89E-2</v>
      </c>
    </row>
    <row r="28" spans="2:4">
      <c r="B28" s="1" t="str">
        <f>"NUEVO LEON"</f>
        <v>NUEVO LEON</v>
      </c>
      <c r="C28" s="2">
        <v>70</v>
      </c>
      <c r="D28" s="3">
        <v>1.3899999999999999E-2</v>
      </c>
    </row>
    <row r="29" spans="2:4">
      <c r="B29" s="1" t="str">
        <f>"QUERETARO DE ARTEAGA"</f>
        <v>QUERETARO DE ARTEAGA</v>
      </c>
      <c r="C29" s="2">
        <v>46</v>
      </c>
      <c r="D29" s="3">
        <v>9.1000000000000004E-3</v>
      </c>
    </row>
    <row r="30" spans="2:4">
      <c r="B30" s="1" t="str">
        <f>"CHIAPAS"</f>
        <v>CHIAPAS</v>
      </c>
      <c r="C30" s="2">
        <v>40</v>
      </c>
      <c r="D30" s="3">
        <v>7.9000000000000008E-3</v>
      </c>
    </row>
    <row r="31" spans="2:4">
      <c r="B31" s="1" t="str">
        <f>"MORELOS"</f>
        <v>MORELOS</v>
      </c>
      <c r="C31" s="2">
        <v>39</v>
      </c>
      <c r="D31" s="3">
        <v>7.7000000000000002E-3</v>
      </c>
    </row>
    <row r="32" spans="2:4">
      <c r="B32" s="1" t="str">
        <f>"TABASCO"</f>
        <v>TABASCO</v>
      </c>
      <c r="C32" s="2">
        <v>31</v>
      </c>
      <c r="D32" s="3">
        <v>6.1999999999999998E-3</v>
      </c>
    </row>
    <row r="33" spans="2:4">
      <c r="B33" s="1" t="str">
        <f>"TLAXCALA"</f>
        <v>TLAXCALA</v>
      </c>
      <c r="C33" s="2">
        <v>25</v>
      </c>
      <c r="D33" s="3">
        <v>5.0000000000000001E-3</v>
      </c>
    </row>
    <row r="34" spans="2:4">
      <c r="B34" s="1" t="str">
        <f>"SINALOA"</f>
        <v>SINALOA</v>
      </c>
      <c r="C34" s="2">
        <v>22</v>
      </c>
      <c r="D34" s="3">
        <v>4.4000000000000003E-3</v>
      </c>
    </row>
    <row r="35" spans="2:4">
      <c r="B35" s="1" t="str">
        <f>"SONORA"</f>
        <v>SONORA</v>
      </c>
      <c r="C35" s="2">
        <v>20</v>
      </c>
      <c r="D35" s="3">
        <v>4.0000000000000001E-3</v>
      </c>
    </row>
    <row r="36" spans="2:4">
      <c r="B36" s="1" t="str">
        <f>"BAJA CALIFORNIA"</f>
        <v>BAJA CALIFORNIA</v>
      </c>
      <c r="C36" s="2">
        <v>16</v>
      </c>
      <c r="D36" s="3">
        <v>3.2000000000000002E-3</v>
      </c>
    </row>
    <row r="37" spans="2:4">
      <c r="B37" s="1" t="str">
        <f>"NAYARIT"</f>
        <v>NAYARIT</v>
      </c>
      <c r="C37" s="2">
        <v>15</v>
      </c>
      <c r="D37" s="3">
        <v>3.0000000000000001E-3</v>
      </c>
    </row>
    <row r="38" spans="2:4">
      <c r="B38" s="1" t="str">
        <f>"CAMPECHE"</f>
        <v>CAMPECHE</v>
      </c>
      <c r="C38" s="2">
        <v>11</v>
      </c>
      <c r="D38" s="3">
        <v>2.2000000000000001E-3</v>
      </c>
    </row>
    <row r="39" spans="2:4">
      <c r="B39" s="1" t="str">
        <f>"COLIMA"</f>
        <v>COLIMA</v>
      </c>
      <c r="C39" s="2">
        <v>5</v>
      </c>
      <c r="D39" s="3">
        <v>1E-3</v>
      </c>
    </row>
    <row r="40" spans="2:4">
      <c r="B40" s="1" t="str">
        <f>"QUINTANA ROO"</f>
        <v>QUINTANA ROO</v>
      </c>
      <c r="C40" s="2">
        <v>5</v>
      </c>
      <c r="D40" s="3">
        <v>1E-3</v>
      </c>
    </row>
    <row r="41" spans="2:4">
      <c r="B41" s="1" t="str">
        <f>"BAJA CALIFORNIA SUR"</f>
        <v>BAJA CALIFORNIA SUR</v>
      </c>
      <c r="C41" s="2">
        <v>2</v>
      </c>
      <c r="D41" s="3">
        <v>4.0000000000000002E-4</v>
      </c>
    </row>
    <row r="42" spans="2:4">
      <c r="B42" s="1" t="str">
        <f>"YUCATAN"</f>
        <v>YUCATAN</v>
      </c>
      <c r="C42" s="2">
        <v>1</v>
      </c>
      <c r="D42" s="3">
        <v>2.0000000000000001E-4</v>
      </c>
    </row>
    <row r="43" spans="2:4">
      <c r="B43" s="4" t="s">
        <v>0</v>
      </c>
      <c r="C43" s="5">
        <v>5034</v>
      </c>
      <c r="D43" s="6">
        <v>1</v>
      </c>
    </row>
    <row r="45" spans="2:4">
      <c r="B45" s="7" t="s">
        <v>1</v>
      </c>
    </row>
    <row r="46" spans="2:4">
      <c r="B46" s="7" t="s">
        <v>2</v>
      </c>
    </row>
    <row r="47" spans="2:4">
      <c r="B47" s="7" t="s">
        <v>3</v>
      </c>
    </row>
    <row r="48" spans="2:4">
      <c r="B48" s="7" t="s">
        <v>4</v>
      </c>
    </row>
    <row r="49" spans="2:2">
      <c r="B49" s="7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easCA1PCYK2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2012-02-29T19:41:41Z</dcterms:created>
  <dcterms:modified xsi:type="dcterms:W3CDTF">2012-03-28T20:54:30Z</dcterms:modified>
</cp:coreProperties>
</file>