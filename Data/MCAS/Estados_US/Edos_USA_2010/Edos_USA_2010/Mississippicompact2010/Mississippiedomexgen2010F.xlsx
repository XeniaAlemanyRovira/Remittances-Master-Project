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8BQD1A" sheetId="2" r:id="rId1"/>
  </sheets>
  <calcPr calcId="125725"/>
</workbook>
</file>

<file path=xl/calcChain.xml><?xml version="1.0" encoding="utf-8"?>
<calcChain xmlns="http://schemas.openxmlformats.org/spreadsheetml/2006/main">
  <c r="C93" i="2"/>
  <c r="C92"/>
  <c r="C91"/>
  <c r="C90"/>
  <c r="B90"/>
  <c r="C89"/>
  <c r="C88"/>
  <c r="C87"/>
  <c r="B87"/>
  <c r="C86"/>
  <c r="C85"/>
  <c r="C84"/>
  <c r="B84"/>
  <c r="C83"/>
  <c r="C82"/>
  <c r="C81"/>
  <c r="B81"/>
  <c r="C80"/>
  <c r="C79"/>
  <c r="C78"/>
  <c r="B78"/>
  <c r="C77"/>
  <c r="C76"/>
  <c r="C75"/>
  <c r="B75"/>
  <c r="C74"/>
  <c r="C73"/>
  <c r="C72"/>
  <c r="B72"/>
  <c r="C71"/>
  <c r="C70"/>
  <c r="C69"/>
  <c r="B69"/>
  <c r="C68"/>
  <c r="C67"/>
  <c r="B67"/>
  <c r="C66"/>
  <c r="C65"/>
  <c r="C64"/>
  <c r="B64"/>
  <c r="C63"/>
  <c r="C62"/>
  <c r="C61"/>
  <c r="B61"/>
  <c r="C60"/>
  <c r="C59"/>
  <c r="C58"/>
  <c r="B58"/>
  <c r="C57"/>
  <c r="C56"/>
  <c r="C55"/>
  <c r="B55"/>
  <c r="C54"/>
  <c r="C53"/>
  <c r="C52"/>
  <c r="B52"/>
  <c r="C51"/>
  <c r="C50"/>
  <c r="C49"/>
  <c r="B49"/>
  <c r="C48"/>
  <c r="C47"/>
  <c r="C46"/>
  <c r="B46"/>
  <c r="C45"/>
  <c r="C44"/>
  <c r="C43"/>
  <c r="B43"/>
  <c r="C42"/>
  <c r="C41"/>
  <c r="C40"/>
  <c r="B40"/>
  <c r="C39"/>
  <c r="C38"/>
  <c r="C37"/>
  <c r="B37"/>
  <c r="C36"/>
  <c r="C35"/>
  <c r="C34"/>
  <c r="B34"/>
  <c r="C33"/>
  <c r="C32"/>
  <c r="C31"/>
  <c r="B31"/>
  <c r="C30"/>
  <c r="C29"/>
  <c r="C28"/>
  <c r="B28"/>
  <c r="C27"/>
  <c r="C26"/>
  <c r="C25"/>
  <c r="B25"/>
  <c r="C24"/>
  <c r="C23"/>
  <c r="C22"/>
  <c r="B22"/>
  <c r="C21"/>
  <c r="C20"/>
  <c r="C19"/>
  <c r="B19"/>
  <c r="C18"/>
  <c r="C17"/>
  <c r="C16"/>
  <c r="B16"/>
  <c r="C15"/>
  <c r="C14"/>
  <c r="C13"/>
  <c r="B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<sst xmlns="http://schemas.openxmlformats.org/spreadsheetml/2006/main" count="11" uniqueCount="11">
  <si>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</si>
  <si>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</si>
  <si>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</si>
  <si>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</si>
  <si>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</si>
  <si>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</si>
  <si>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</si>
  <si>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Porcentaje de Matrículas</t>
  </si>
  <si>
    <t>Estado Origen</t>
  </si>
  <si>
    <t>MATRÍCULAS CONSULARES DE ALTA SEGURIDAD EXPEDIDAS DURANTE EL 2010 POR ESTADO DE LA REPÚBLICA MEXICANA Y GÉNERO EN EL ESTADO DE MISSISSIPPI,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</si>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</sst>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color indexed="9"/>
      <name val="Arial Narrow"/>
      <family val="2"/>
    </font>
    <font>
      <b/>
      <sz val="11"/>
      <color rgb="FFFFFFFF"/>
      <name val="Arial Narrow"/>
      <family val="2"/>
    </font>
    <font>
      <b/>
      <sz val="11"/>
      <name val="Arial Narrow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7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4" fillId="33" borderId="11" xfId="42" applyFont="1" applyFill="1" applyBorder="1" applyAlignment="1">
      <alignment horizontal="center" vertical="center" wrapText="1"/>
    </xf>
    <xf numFmtId="0" fontId="24" fillId="33" borderId="12" xfId="42" applyFont="1" applyFill="1" applyBorder="1" applyAlignment="1">
      <alignment horizontal="center" vertical="center" wrapText="1"/>
    </xf>
    <xf numFmtId="0" fontId="25" fillId="34" borderId="13" xfId="42" applyFont="1" applyFill="1" applyBorder="1" applyAlignment="1">
      <alignment horizontal="center" vertical="center" wrapText="1"/>
    </xf>
    <xf numFmtId="0" fontId="26" fillId="0" borderId="0" xfId="42" applyFont="1" applyBorder="1" applyAlignment="1">
      <alignment horizontal="center" vertical="center" wrapText="1"/>
    </xf>
    <xf numFmtId="0" fontId="27" fillId="0" borderId="0" xfId="42" applyFont="1"/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6" fillId="0" borderId="0" xfId="42" applyFont="1" applyAlignment="1">
      <alignment horizontal="center" vertical="center" wrapText="1"/>
    </xf>
    <xf numFmtId="0" fontId="26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99"/>
  <sheetViews>
    <sheetView showGridLines="0" tabSelected="1" workbookViewId="0">
      <selection activeCell="A7" sqref="A7"/>
    </sheetView>
  </sheetViews>
  <sheetFormatPr baseColWidth="10" defaultRowHeight="15"/>
  <cols>
    <col min="2" max="2" width="44" customWidth="1"/>
    <col min="3" max="3" width="19.42578125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>
      <c r="B4" s="23" t="s">
        <v>9</v>
      </c>
      <c r="C4" s="23"/>
      <c r="D4" s="23"/>
      <c r="E4" s="23"/>
      <c r="F4" s="12"/>
      <c r="G4" s="7"/>
    </row>
    <row r="5" spans="2:7">
      <c r="B5" s="24"/>
      <c r="C5" s="24"/>
      <c r="D5" s="24"/>
      <c r="E5" s="24"/>
      <c r="F5" s="7"/>
      <c r="G5" s="7"/>
    </row>
    <row r="6" spans="2:7" ht="16.5">
      <c r="B6" s="11"/>
      <c r="C6" s="11"/>
      <c r="D6" s="11"/>
      <c r="E6" s="11"/>
      <c r="F6" s="7"/>
      <c r="G6" s="7"/>
    </row>
    <row r="7" spans="2:7" ht="33">
      <c r="B7" s="10" t="s">
        <v>8</v>
      </c>
      <c r="C7" s="9" t="s">
        <v>0</v>
      </c>
      <c r="D7" s="9" t="s">
        <v>1</v>
      </c>
      <c r="E7" s="8" t="s">
        <v>7</v>
      </c>
      <c r="F7" s="7"/>
      <c r="G7" s="7"/>
    </row>
    <row r="8" spans="2:7">
      <c r="B8" s="20" t="str">
        <f>"AGUASCALIENTES"</f>
        <v>AGUASCALIENTES</v>
      </c>
      <c r="C8" s="1" t="str">
        <f>"HOMBRE"</f>
        <v>HOMBRE</v>
      </c>
      <c r="D8" s="2">
        <v>6</v>
      </c>
      <c r="E8" s="3">
        <v>4.0000000000000001E-3</v>
      </c>
    </row>
    <row r="9" spans="2:7">
      <c r="B9" s="21"/>
      <c r="C9" s="1" t="str">
        <f>"MUJER"</f>
        <v>MUJER</v>
      </c>
      <c r="D9" s="2">
        <v>2</v>
      </c>
      <c r="E9" s="3">
        <v>1.2999999999999999E-3</v>
      </c>
    </row>
    <row r="10" spans="2:7">
      <c r="B10" s="22"/>
      <c r="C10" s="17" t="str">
        <f>"Total"</f>
        <v>Total</v>
      </c>
      <c r="D10" s="18">
        <v>8</v>
      </c>
      <c r="E10" s="19">
        <v>5.3E-3</v>
      </c>
    </row>
    <row r="11" spans="2:7">
      <c r="B11" s="20" t="str">
        <f>"BAJA CALIFORNIA"</f>
        <v>BAJA CALIFORNIA</v>
      </c>
      <c r="C11" s="1" t="str">
        <f>"MUJER"</f>
        <v>MUJER</v>
      </c>
      <c r="D11" s="2">
        <v>2</v>
      </c>
      <c r="E11" s="3">
        <v>1.2999999999999999E-3</v>
      </c>
    </row>
    <row r="12" spans="2:7">
      <c r="B12" s="22"/>
      <c r="C12" s="17" t="str">
        <f>"Total"</f>
        <v>Total</v>
      </c>
      <c r="D12" s="18">
        <v>2</v>
      </c>
      <c r="E12" s="19">
        <v>1.2999999999999999E-3</v>
      </c>
    </row>
    <row r="13" spans="2:7">
      <c r="B13" s="20" t="str">
        <f>"CAMPECHE"</f>
        <v>CAMPECHE</v>
      </c>
      <c r="C13" s="1" t="str">
        <f>"HOMBRE"</f>
        <v>HOMBRE</v>
      </c>
      <c r="D13" s="2">
        <v>4</v>
      </c>
      <c r="E13" s="3">
        <v>2.7000000000000001E-3</v>
      </c>
    </row>
    <row r="14" spans="2:7">
      <c r="B14" s="21"/>
      <c r="C14" s="1" t="str">
        <f>"MUJER"</f>
        <v>MUJER</v>
      </c>
      <c r="D14" s="2">
        <v>1</v>
      </c>
      <c r="E14" s="3">
        <v>6.9999999999999999E-4</v>
      </c>
    </row>
    <row r="15" spans="2:7">
      <c r="B15" s="22"/>
      <c r="C15" s="17" t="str">
        <f>"Total"</f>
        <v>Total</v>
      </c>
      <c r="D15" s="18">
        <v>5</v>
      </c>
      <c r="E15" s="19">
        <v>3.3E-3</v>
      </c>
    </row>
    <row r="16" spans="2:7">
      <c r="B16" s="20" t="str">
        <f>"CHIAPAS"</f>
        <v>CHIAPAS</v>
      </c>
      <c r="C16" s="1" t="str">
        <f>"HOMBRE"</f>
        <v>HOMBRE</v>
      </c>
      <c r="D16" s="2">
        <v>68</v>
      </c>
      <c r="E16" s="3">
        <v>4.5100000000000001E-2</v>
      </c>
    </row>
    <row r="17" spans="2:5">
      <c r="B17" s="21"/>
      <c r="C17" s="1" t="str">
        <f>"MUJER"</f>
        <v>MUJER</v>
      </c>
      <c r="D17" s="2">
        <v>28</v>
      </c>
      <c r="E17" s="3">
        <v>1.8599999999999998E-2</v>
      </c>
    </row>
    <row r="18" spans="2:5">
      <c r="B18" s="22"/>
      <c r="C18" s="17" t="str">
        <f>"Total"</f>
        <v>Total</v>
      </c>
      <c r="D18" s="18">
        <v>96</v>
      </c>
      <c r="E18" s="19">
        <v>6.3600000000000004E-2</v>
      </c>
    </row>
    <row r="19" spans="2:5">
      <c r="B19" s="20" t="str">
        <f>"CHIHUAHUA"</f>
        <v>CHIHUAHUA</v>
      </c>
      <c r="C19" s="1" t="str">
        <f>"HOMBRE"</f>
        <v>HOMBRE</v>
      </c>
      <c r="D19" s="2">
        <v>18</v>
      </c>
      <c r="E19" s="3">
        <v>1.1900000000000001E-2</v>
      </c>
    </row>
    <row r="20" spans="2:5">
      <c r="B20" s="21"/>
      <c r="C20" s="1" t="str">
        <f>"MUJER"</f>
        <v>MUJER</v>
      </c>
      <c r="D20" s="2">
        <v>13</v>
      </c>
      <c r="E20" s="3">
        <v>8.6E-3</v>
      </c>
    </row>
    <row r="21" spans="2:5">
      <c r="B21" s="22"/>
      <c r="C21" s="17" t="str">
        <f>"Total"</f>
        <v>Total</v>
      </c>
      <c r="D21" s="18">
        <v>31</v>
      </c>
      <c r="E21" s="19">
        <v>2.0500000000000001E-2</v>
      </c>
    </row>
    <row r="22" spans="2:5">
      <c r="B22" s="20" t="str">
        <f>"COAHUILA DE ZARAGOZA"</f>
        <v>COAHUILA DE ZARAGOZA</v>
      </c>
      <c r="C22" s="1" t="str">
        <f>"HOMBRE"</f>
        <v>HOMBRE</v>
      </c>
      <c r="D22" s="2">
        <v>12</v>
      </c>
      <c r="E22" s="3">
        <v>8.0000000000000002E-3</v>
      </c>
    </row>
    <row r="23" spans="2:5">
      <c r="B23" s="21"/>
      <c r="C23" s="1" t="str">
        <f>"MUJER"</f>
        <v>MUJER</v>
      </c>
      <c r="D23" s="2">
        <v>5</v>
      </c>
      <c r="E23" s="3">
        <v>3.3E-3</v>
      </c>
    </row>
    <row r="24" spans="2:5">
      <c r="B24" s="22"/>
      <c r="C24" s="17" t="str">
        <f>"Total"</f>
        <v>Total</v>
      </c>
      <c r="D24" s="18">
        <v>17</v>
      </c>
      <c r="E24" s="19">
        <v>1.1299999999999999E-2</v>
      </c>
    </row>
    <row r="25" spans="2:5">
      <c r="B25" s="20" t="str">
        <f>"DISTRITO FEDERAL"</f>
        <v>DISTRITO FEDERAL</v>
      </c>
      <c r="C25" s="1" t="str">
        <f>"HOMBRE"</f>
        <v>HOMBRE</v>
      </c>
      <c r="D25" s="2">
        <v>45</v>
      </c>
      <c r="E25" s="3">
        <v>2.98E-2</v>
      </c>
    </row>
    <row r="26" spans="2:5">
      <c r="B26" s="21"/>
      <c r="C26" s="1" t="str">
        <f>"MUJER"</f>
        <v>MUJER</v>
      </c>
      <c r="D26" s="2">
        <v>20</v>
      </c>
      <c r="E26" s="3">
        <v>1.3299999999999999E-2</v>
      </c>
    </row>
    <row r="27" spans="2:5">
      <c r="B27" s="22"/>
      <c r="C27" s="17" t="str">
        <f>"Total"</f>
        <v>Total</v>
      </c>
      <c r="D27" s="18">
        <v>65</v>
      </c>
      <c r="E27" s="19">
        <v>4.3099999999999999E-2</v>
      </c>
    </row>
    <row r="28" spans="2:5">
      <c r="B28" s="20" t="str">
        <f>"DURANGO"</f>
        <v>DURANGO</v>
      </c>
      <c r="C28" s="1" t="str">
        <f>"HOMBRE"</f>
        <v>HOMBRE</v>
      </c>
      <c r="D28" s="2">
        <v>8</v>
      </c>
      <c r="E28" s="3">
        <v>5.3E-3</v>
      </c>
    </row>
    <row r="29" spans="2:5">
      <c r="B29" s="21"/>
      <c r="C29" s="1" t="str">
        <f>"MUJER"</f>
        <v>MUJER</v>
      </c>
      <c r="D29" s="2">
        <v>11</v>
      </c>
      <c r="E29" s="3">
        <v>7.3000000000000001E-3</v>
      </c>
    </row>
    <row r="30" spans="2:5">
      <c r="B30" s="22"/>
      <c r="C30" s="17" t="str">
        <f>"Total"</f>
        <v>Total</v>
      </c>
      <c r="D30" s="18">
        <v>19</v>
      </c>
      <c r="E30" s="19">
        <v>1.26E-2</v>
      </c>
    </row>
    <row r="31" spans="2:5">
      <c r="B31" s="20" t="str">
        <f>"GUANAJUATO"</f>
        <v>GUANAJUATO</v>
      </c>
      <c r="C31" s="1" t="str">
        <f>"HOMBRE"</f>
        <v>HOMBRE</v>
      </c>
      <c r="D31" s="2">
        <v>112</v>
      </c>
      <c r="E31" s="3">
        <v>7.4200000000000002E-2</v>
      </c>
    </row>
    <row r="32" spans="2:5">
      <c r="B32" s="21"/>
      <c r="C32" s="1" t="str">
        <f>"MUJER"</f>
        <v>MUJER</v>
      </c>
      <c r="D32" s="2">
        <v>57</v>
      </c>
      <c r="E32" s="3">
        <v>3.78E-2</v>
      </c>
    </row>
    <row r="33" spans="2:5">
      <c r="B33" s="22"/>
      <c r="C33" s="17" t="str">
        <f>"Total"</f>
        <v>Total</v>
      </c>
      <c r="D33" s="18">
        <v>169</v>
      </c>
      <c r="E33" s="19">
        <v>0.112</v>
      </c>
    </row>
    <row r="34" spans="2:5">
      <c r="B34" s="20" t="str">
        <f>"GUERRERO"</f>
        <v>GUERRERO</v>
      </c>
      <c r="C34" s="1" t="str">
        <f>"HOMBRE"</f>
        <v>HOMBRE</v>
      </c>
      <c r="D34" s="2">
        <v>32</v>
      </c>
      <c r="E34" s="3">
        <v>2.12E-2</v>
      </c>
    </row>
    <row r="35" spans="2:5">
      <c r="B35" s="21"/>
      <c r="C35" s="1" t="str">
        <f>"MUJER"</f>
        <v>MUJER</v>
      </c>
      <c r="D35" s="2">
        <v>17</v>
      </c>
      <c r="E35" s="3">
        <v>1.1299999999999999E-2</v>
      </c>
    </row>
    <row r="36" spans="2:5">
      <c r="B36" s="22"/>
      <c r="C36" s="17" t="str">
        <f>"Total"</f>
        <v>Total</v>
      </c>
      <c r="D36" s="18">
        <v>49</v>
      </c>
      <c r="E36" s="19">
        <v>3.2500000000000001E-2</v>
      </c>
    </row>
    <row r="37" spans="2:5">
      <c r="B37" s="20" t="str">
        <f>"HIDALGO"</f>
        <v>HIDALGO</v>
      </c>
      <c r="C37" s="1" t="str">
        <f>"HOMBRE"</f>
        <v>HOMBRE</v>
      </c>
      <c r="D37" s="2">
        <v>55</v>
      </c>
      <c r="E37" s="3">
        <v>3.6400000000000002E-2</v>
      </c>
    </row>
    <row r="38" spans="2:5">
      <c r="B38" s="21"/>
      <c r="C38" s="1" t="str">
        <f>"MUJER"</f>
        <v>MUJER</v>
      </c>
      <c r="D38" s="2">
        <v>18</v>
      </c>
      <c r="E38" s="3">
        <v>1.1900000000000001E-2</v>
      </c>
    </row>
    <row r="39" spans="2:5">
      <c r="B39" s="22"/>
      <c r="C39" s="17" t="str">
        <f>"Total"</f>
        <v>Total</v>
      </c>
      <c r="D39" s="18">
        <v>73</v>
      </c>
      <c r="E39" s="19">
        <v>4.8399999999999999E-2</v>
      </c>
    </row>
    <row r="40" spans="2:5">
      <c r="B40" s="20" t="str">
        <f>"JALISCO"</f>
        <v>JALISCO</v>
      </c>
      <c r="C40" s="1" t="str">
        <f>"HOMBRE"</f>
        <v>HOMBRE</v>
      </c>
      <c r="D40" s="2">
        <v>37</v>
      </c>
      <c r="E40" s="3">
        <v>2.4500000000000001E-2</v>
      </c>
    </row>
    <row r="41" spans="2:5">
      <c r="B41" s="21"/>
      <c r="C41" s="1" t="str">
        <f>"MUJER"</f>
        <v>MUJER</v>
      </c>
      <c r="D41" s="2">
        <v>23</v>
      </c>
      <c r="E41" s="3">
        <v>1.52E-2</v>
      </c>
    </row>
    <row r="42" spans="2:5">
      <c r="B42" s="22"/>
      <c r="C42" s="17" t="str">
        <f>"Total"</f>
        <v>Total</v>
      </c>
      <c r="D42" s="18">
        <v>60</v>
      </c>
      <c r="E42" s="19">
        <v>3.9800000000000002E-2</v>
      </c>
    </row>
    <row r="43" spans="2:5">
      <c r="B43" s="20" t="str">
        <f>"MEXICO"</f>
        <v>MEXICO</v>
      </c>
      <c r="C43" s="1" t="str">
        <f>"HOMBRE"</f>
        <v>HOMBRE</v>
      </c>
      <c r="D43" s="2">
        <v>37</v>
      </c>
      <c r="E43" s="3">
        <v>2.4500000000000001E-2</v>
      </c>
    </row>
    <row r="44" spans="2:5">
      <c r="B44" s="21"/>
      <c r="C44" s="1" t="str">
        <f>"MUJER"</f>
        <v>MUJER</v>
      </c>
      <c r="D44" s="2">
        <v>33</v>
      </c>
      <c r="E44" s="3">
        <v>2.1899999999999999E-2</v>
      </c>
    </row>
    <row r="45" spans="2:5">
      <c r="B45" s="22"/>
      <c r="C45" s="17" t="str">
        <f>"Total"</f>
        <v>Total</v>
      </c>
      <c r="D45" s="18">
        <v>70</v>
      </c>
      <c r="E45" s="19">
        <v>4.6399999999999997E-2</v>
      </c>
    </row>
    <row r="46" spans="2:5">
      <c r="B46" s="20" t="str">
        <f>"MICHOACAN DE OCAMPO"</f>
        <v>MICHOACAN DE OCAMPO</v>
      </c>
      <c r="C46" s="1" t="str">
        <f>"HOMBRE"</f>
        <v>HOMBRE</v>
      </c>
      <c r="D46" s="2">
        <v>47</v>
      </c>
      <c r="E46" s="3">
        <v>3.1099999999999999E-2</v>
      </c>
    </row>
    <row r="47" spans="2:5">
      <c r="B47" s="21"/>
      <c r="C47" s="1" t="str">
        <f>"MUJER"</f>
        <v>MUJER</v>
      </c>
      <c r="D47" s="2">
        <v>31</v>
      </c>
      <c r="E47" s="3">
        <v>2.0500000000000001E-2</v>
      </c>
    </row>
    <row r="48" spans="2:5">
      <c r="B48" s="22"/>
      <c r="C48" s="17" t="str">
        <f>"Total"</f>
        <v>Total</v>
      </c>
      <c r="D48" s="18">
        <v>78</v>
      </c>
      <c r="E48" s="19">
        <v>5.1700000000000003E-2</v>
      </c>
    </row>
    <row r="49" spans="2:5">
      <c r="B49" s="20" t="str">
        <f>"MORELOS"</f>
        <v>MORELOS</v>
      </c>
      <c r="C49" s="1" t="str">
        <f>"HOMBRE"</f>
        <v>HOMBRE</v>
      </c>
      <c r="D49" s="2">
        <v>10</v>
      </c>
      <c r="E49" s="3">
        <v>6.6E-3</v>
      </c>
    </row>
    <row r="50" spans="2:5">
      <c r="B50" s="21"/>
      <c r="C50" s="1" t="str">
        <f>"MUJER"</f>
        <v>MUJER</v>
      </c>
      <c r="D50" s="2">
        <v>7</v>
      </c>
      <c r="E50" s="3">
        <v>4.5999999999999999E-3</v>
      </c>
    </row>
    <row r="51" spans="2:5">
      <c r="B51" s="22"/>
      <c r="C51" s="17" t="str">
        <f>"Total"</f>
        <v>Total</v>
      </c>
      <c r="D51" s="18">
        <v>17</v>
      </c>
      <c r="E51" s="19">
        <v>1.1299999999999999E-2</v>
      </c>
    </row>
    <row r="52" spans="2:5">
      <c r="B52" s="20" t="str">
        <f>"NAYARIT"</f>
        <v>NAYARIT</v>
      </c>
      <c r="C52" s="1" t="str">
        <f>"HOMBRE"</f>
        <v>HOMBRE</v>
      </c>
      <c r="D52" s="2">
        <v>5</v>
      </c>
      <c r="E52" s="3">
        <v>3.3E-3</v>
      </c>
    </row>
    <row r="53" spans="2:5">
      <c r="B53" s="21"/>
      <c r="C53" s="1" t="str">
        <f>"MUJER"</f>
        <v>MUJER</v>
      </c>
      <c r="D53" s="2">
        <v>1</v>
      </c>
      <c r="E53" s="3">
        <v>6.9999999999999999E-4</v>
      </c>
    </row>
    <row r="54" spans="2:5">
      <c r="B54" s="22"/>
      <c r="C54" s="17" t="str">
        <f>"Total"</f>
        <v>Total</v>
      </c>
      <c r="D54" s="18">
        <v>6</v>
      </c>
      <c r="E54" s="19">
        <v>4.0000000000000001E-3</v>
      </c>
    </row>
    <row r="55" spans="2:5">
      <c r="B55" s="20" t="str">
        <f>"NUEVO LEON"</f>
        <v>NUEVO LEON</v>
      </c>
      <c r="C55" s="1" t="str">
        <f>"HOMBRE"</f>
        <v>HOMBRE</v>
      </c>
      <c r="D55" s="2">
        <v>9</v>
      </c>
      <c r="E55" s="3">
        <v>6.0000000000000001E-3</v>
      </c>
    </row>
    <row r="56" spans="2:5">
      <c r="B56" s="21"/>
      <c r="C56" s="1" t="str">
        <f>"MUJER"</f>
        <v>MUJER</v>
      </c>
      <c r="D56" s="2">
        <v>7</v>
      </c>
      <c r="E56" s="3">
        <v>4.5999999999999999E-3</v>
      </c>
    </row>
    <row r="57" spans="2:5">
      <c r="B57" s="22"/>
      <c r="C57" s="17" t="str">
        <f>"Total"</f>
        <v>Total</v>
      </c>
      <c r="D57" s="18">
        <v>16</v>
      </c>
      <c r="E57" s="19">
        <v>1.06E-2</v>
      </c>
    </row>
    <row r="58" spans="2:5">
      <c r="B58" s="20" t="str">
        <f>"OAXACA"</f>
        <v>OAXACA</v>
      </c>
      <c r="C58" s="1" t="str">
        <f>"HOMBRE"</f>
        <v>HOMBRE</v>
      </c>
      <c r="D58" s="2">
        <v>67</v>
      </c>
      <c r="E58" s="3">
        <v>4.4400000000000002E-2</v>
      </c>
    </row>
    <row r="59" spans="2:5">
      <c r="B59" s="21"/>
      <c r="C59" s="1" t="str">
        <f>"MUJER"</f>
        <v>MUJER</v>
      </c>
      <c r="D59" s="2">
        <v>23</v>
      </c>
      <c r="E59" s="3">
        <v>1.52E-2</v>
      </c>
    </row>
    <row r="60" spans="2:5">
      <c r="B60" s="22"/>
      <c r="C60" s="17" t="str">
        <f>"Total"</f>
        <v>Total</v>
      </c>
      <c r="D60" s="18">
        <v>90</v>
      </c>
      <c r="E60" s="19">
        <v>5.96E-2</v>
      </c>
    </row>
    <row r="61" spans="2:5">
      <c r="B61" s="20" t="str">
        <f>"PUEBLA"</f>
        <v>PUEBLA</v>
      </c>
      <c r="C61" s="1" t="str">
        <f>"HOMBRE"</f>
        <v>HOMBRE</v>
      </c>
      <c r="D61" s="2">
        <v>49</v>
      </c>
      <c r="E61" s="3">
        <v>3.2500000000000001E-2</v>
      </c>
    </row>
    <row r="62" spans="2:5">
      <c r="B62" s="21"/>
      <c r="C62" s="1" t="str">
        <f>"MUJER"</f>
        <v>MUJER</v>
      </c>
      <c r="D62" s="2">
        <v>24</v>
      </c>
      <c r="E62" s="3">
        <v>1.5900000000000001E-2</v>
      </c>
    </row>
    <row r="63" spans="2:5">
      <c r="B63" s="22"/>
      <c r="C63" s="17" t="str">
        <f>"Total"</f>
        <v>Total</v>
      </c>
      <c r="D63" s="18">
        <v>73</v>
      </c>
      <c r="E63" s="19">
        <v>4.8399999999999999E-2</v>
      </c>
    </row>
    <row r="64" spans="2:5">
      <c r="B64" s="20" t="str">
        <f>"QUERETARO DE ARTEAGA"</f>
        <v>QUERETARO DE ARTEAGA</v>
      </c>
      <c r="C64" s="1" t="str">
        <f>"HOMBRE"</f>
        <v>HOMBRE</v>
      </c>
      <c r="D64" s="2">
        <v>26</v>
      </c>
      <c r="E64" s="3">
        <v>1.72E-2</v>
      </c>
    </row>
    <row r="65" spans="2:5">
      <c r="B65" s="21"/>
      <c r="C65" s="1" t="str">
        <f>"MUJER"</f>
        <v>MUJER</v>
      </c>
      <c r="D65" s="2">
        <v>16</v>
      </c>
      <c r="E65" s="3">
        <v>1.06E-2</v>
      </c>
    </row>
    <row r="66" spans="2:5">
      <c r="B66" s="22"/>
      <c r="C66" s="17" t="str">
        <f>"Total"</f>
        <v>Total</v>
      </c>
      <c r="D66" s="18">
        <v>42</v>
      </c>
      <c r="E66" s="19">
        <v>2.7799999999999998E-2</v>
      </c>
    </row>
    <row r="67" spans="2:5">
      <c r="B67" s="20" t="str">
        <f>"QUINTANA ROO"</f>
        <v>QUINTANA ROO</v>
      </c>
      <c r="C67" s="1" t="str">
        <f>"HOMBRE"</f>
        <v>HOMBRE</v>
      </c>
      <c r="D67" s="2">
        <v>1</v>
      </c>
      <c r="E67" s="3">
        <v>6.9999999999999999E-4</v>
      </c>
    </row>
    <row r="68" spans="2:5">
      <c r="B68" s="22"/>
      <c r="C68" s="17" t="str">
        <f>"Total"</f>
        <v>Total</v>
      </c>
      <c r="D68" s="18">
        <v>1</v>
      </c>
      <c r="E68" s="19">
        <v>6.9999999999999999E-4</v>
      </c>
    </row>
    <row r="69" spans="2:5">
      <c r="B69" s="20" t="str">
        <f>"SAN LUIS POTOSI"</f>
        <v>SAN LUIS POTOSI</v>
      </c>
      <c r="C69" s="1" t="str">
        <f>"HOMBRE"</f>
        <v>HOMBRE</v>
      </c>
      <c r="D69" s="2">
        <v>57</v>
      </c>
      <c r="E69" s="3">
        <v>3.78E-2</v>
      </c>
    </row>
    <row r="70" spans="2:5">
      <c r="B70" s="21"/>
      <c r="C70" s="1" t="str">
        <f>"MUJER"</f>
        <v>MUJER</v>
      </c>
      <c r="D70" s="2">
        <v>27</v>
      </c>
      <c r="E70" s="3">
        <v>1.7899999999999999E-2</v>
      </c>
    </row>
    <row r="71" spans="2:5">
      <c r="B71" s="22"/>
      <c r="C71" s="17" t="str">
        <f>"Total"</f>
        <v>Total</v>
      </c>
      <c r="D71" s="18">
        <v>84</v>
      </c>
      <c r="E71" s="19">
        <v>5.57E-2</v>
      </c>
    </row>
    <row r="72" spans="2:5">
      <c r="B72" s="20" t="str">
        <f>"SINALOA"</f>
        <v>SINALOA</v>
      </c>
      <c r="C72" s="1" t="str">
        <f>"HOMBRE"</f>
        <v>HOMBRE</v>
      </c>
      <c r="D72" s="2">
        <v>1</v>
      </c>
      <c r="E72" s="3">
        <v>6.9999999999999999E-4</v>
      </c>
    </row>
    <row r="73" spans="2:5">
      <c r="B73" s="21"/>
      <c r="C73" s="1" t="str">
        <f>"MUJER"</f>
        <v>MUJER</v>
      </c>
      <c r="D73" s="2">
        <v>2</v>
      </c>
      <c r="E73" s="3">
        <v>1.2999999999999999E-3</v>
      </c>
    </row>
    <row r="74" spans="2:5">
      <c r="B74" s="22"/>
      <c r="C74" s="17" t="str">
        <f>"Total"</f>
        <v>Total</v>
      </c>
      <c r="D74" s="18">
        <v>3</v>
      </c>
      <c r="E74" s="19">
        <v>2E-3</v>
      </c>
    </row>
    <row r="75" spans="2:5">
      <c r="B75" s="20" t="str">
        <f>"SONORA"</f>
        <v>SONORA</v>
      </c>
      <c r="C75" s="1" t="str">
        <f>"HOMBRE"</f>
        <v>HOMBRE</v>
      </c>
      <c r="D75" s="2">
        <v>1</v>
      </c>
      <c r="E75" s="3">
        <v>6.9999999999999999E-4</v>
      </c>
    </row>
    <row r="76" spans="2:5">
      <c r="B76" s="21"/>
      <c r="C76" s="1" t="str">
        <f>"MUJER"</f>
        <v>MUJER</v>
      </c>
      <c r="D76" s="2">
        <v>4</v>
      </c>
      <c r="E76" s="3">
        <v>2.7000000000000001E-3</v>
      </c>
    </row>
    <row r="77" spans="2:5">
      <c r="B77" s="22"/>
      <c r="C77" s="17" t="str">
        <f>"Total"</f>
        <v>Total</v>
      </c>
      <c r="D77" s="18">
        <v>5</v>
      </c>
      <c r="E77" s="19">
        <v>3.3E-3</v>
      </c>
    </row>
    <row r="78" spans="2:5">
      <c r="B78" s="20" t="str">
        <f>"TABASCO"</f>
        <v>TABASCO</v>
      </c>
      <c r="C78" s="1" t="str">
        <f>"HOMBRE"</f>
        <v>HOMBRE</v>
      </c>
      <c r="D78" s="2">
        <v>20</v>
      </c>
      <c r="E78" s="3">
        <v>1.3299999999999999E-2</v>
      </c>
    </row>
    <row r="79" spans="2:5">
      <c r="B79" s="21"/>
      <c r="C79" s="1" t="str">
        <f>"MUJER"</f>
        <v>MUJER</v>
      </c>
      <c r="D79" s="2">
        <v>4</v>
      </c>
      <c r="E79" s="3">
        <v>2.7000000000000001E-3</v>
      </c>
    </row>
    <row r="80" spans="2:5">
      <c r="B80" s="22"/>
      <c r="C80" s="17" t="str">
        <f>"Total"</f>
        <v>Total</v>
      </c>
      <c r="D80" s="18">
        <v>24</v>
      </c>
      <c r="E80" s="19">
        <v>1.5900000000000001E-2</v>
      </c>
    </row>
    <row r="81" spans="2:5">
      <c r="B81" s="20" t="str">
        <f>"TAMAULIPAS"</f>
        <v>TAMAULIPAS</v>
      </c>
      <c r="C81" s="1" t="str">
        <f>"HOMBRE"</f>
        <v>HOMBRE</v>
      </c>
      <c r="D81" s="2">
        <v>37</v>
      </c>
      <c r="E81" s="3">
        <v>2.4500000000000001E-2</v>
      </c>
    </row>
    <row r="82" spans="2:5">
      <c r="B82" s="21"/>
      <c r="C82" s="1" t="str">
        <f>"MUJER"</f>
        <v>MUJER</v>
      </c>
      <c r="D82" s="2">
        <v>23</v>
      </c>
      <c r="E82" s="3">
        <v>1.52E-2</v>
      </c>
    </row>
    <row r="83" spans="2:5">
      <c r="B83" s="22"/>
      <c r="C83" s="17" t="str">
        <f>"Total"</f>
        <v>Total</v>
      </c>
      <c r="D83" s="18">
        <v>60</v>
      </c>
      <c r="E83" s="19">
        <v>3.9800000000000002E-2</v>
      </c>
    </row>
    <row r="84" spans="2:5">
      <c r="B84" s="20" t="str">
        <f>"TLAXCALA"</f>
        <v>TLAXCALA</v>
      </c>
      <c r="C84" s="1" t="str">
        <f>"HOMBRE"</f>
        <v>HOMBRE</v>
      </c>
      <c r="D84" s="2">
        <v>9</v>
      </c>
      <c r="E84" s="3">
        <v>6.0000000000000001E-3</v>
      </c>
    </row>
    <row r="85" spans="2:5">
      <c r="B85" s="21"/>
      <c r="C85" s="1" t="str">
        <f>"MUJER"</f>
        <v>MUJER</v>
      </c>
      <c r="D85" s="2">
        <v>6</v>
      </c>
      <c r="E85" s="3">
        <v>4.0000000000000001E-3</v>
      </c>
    </row>
    <row r="86" spans="2:5">
      <c r="B86" s="22"/>
      <c r="C86" s="17" t="str">
        <f>"Total"</f>
        <v>Total</v>
      </c>
      <c r="D86" s="18">
        <v>15</v>
      </c>
      <c r="E86" s="19">
        <v>9.9000000000000008E-3</v>
      </c>
    </row>
    <row r="87" spans="2:5">
      <c r="B87" s="20" t="str">
        <f>"VERACRUZ DE IGNACIO DE LA LLAVE"</f>
        <v>VERACRUZ DE IGNACIO DE LA LLAVE</v>
      </c>
      <c r="C87" s="1" t="str">
        <f>"HOMBRE"</f>
        <v>HOMBRE</v>
      </c>
      <c r="D87" s="2">
        <v>178</v>
      </c>
      <c r="E87" s="3">
        <v>0.11799999999999999</v>
      </c>
    </row>
    <row r="88" spans="2:5">
      <c r="B88" s="21"/>
      <c r="C88" s="1" t="str">
        <f>"MUJER"</f>
        <v>MUJER</v>
      </c>
      <c r="D88" s="2">
        <v>83</v>
      </c>
      <c r="E88" s="3">
        <v>5.5E-2</v>
      </c>
    </row>
    <row r="89" spans="2:5">
      <c r="B89" s="22"/>
      <c r="C89" s="17" t="str">
        <f>"Total"</f>
        <v>Total</v>
      </c>
      <c r="D89" s="18">
        <v>261</v>
      </c>
      <c r="E89" s="19">
        <v>0.17299999999999999</v>
      </c>
    </row>
    <row r="90" spans="2:5">
      <c r="B90" s="20" t="str">
        <f>"ZACATECAS"</f>
        <v>ZACATECAS</v>
      </c>
      <c r="C90" s="1" t="str">
        <f>"HOMBRE"</f>
        <v>HOMBRE</v>
      </c>
      <c r="D90" s="2">
        <v>43</v>
      </c>
      <c r="E90" s="3">
        <v>2.8500000000000001E-2</v>
      </c>
    </row>
    <row r="91" spans="2:5">
      <c r="B91" s="21"/>
      <c r="C91" s="1" t="str">
        <f>"MUJER"</f>
        <v>MUJER</v>
      </c>
      <c r="D91" s="2">
        <v>27</v>
      </c>
      <c r="E91" s="3">
        <v>1.7899999999999999E-2</v>
      </c>
    </row>
    <row r="92" spans="2:5">
      <c r="B92" s="22"/>
      <c r="C92" s="17" t="str">
        <f>"Total"</f>
        <v>Total</v>
      </c>
      <c r="D92" s="18">
        <v>70</v>
      </c>
      <c r="E92" s="19">
        <v>4.6399999999999997E-2</v>
      </c>
    </row>
    <row r="93" spans="2:5">
      <c r="B93" s="13" t="s">
        <v>2</v>
      </c>
      <c r="C93" s="14" t="str">
        <f>" "</f>
        <v> </v>
      </c>
      <c r="D93" s="15">
        <v>1509</v>
      </c>
      <c r="E93" s="16">
        <v>1</v>
      </c>
    </row>
    <row r="95" spans="2:5" ht="16.5">
      <c r="B95" s="4" t="s">
        <v>3</v>
      </c>
      <c r="C95" s="5"/>
      <c r="D95" s="6"/>
    </row>
    <row r="96" spans="2:5" ht="16.5">
      <c r="B96" s="4" t="s">
        <v>4</v>
      </c>
      <c r="C96" s="5"/>
      <c r="D96" s="6"/>
    </row>
    <row r="97" spans="2:4" ht="16.5">
      <c r="B97" s="4" t="s">
        <v>5</v>
      </c>
      <c r="C97" s="5"/>
      <c r="D97" s="6"/>
    </row>
    <row r="98" spans="2:4" ht="16.5">
      <c r="B98" s="4" t="s">
        <v>6</v>
      </c>
      <c r="C98" s="5"/>
      <c r="D98" s="6"/>
    </row>
    <row r="99" spans="2:4">
      <c r="B99" s="4" t="s">
        <v>10</v>
      </c>
    </row>
  </sheetData>
  <mergeCells count="30">
    <mergeCell ref="B4:E5"/>
    <mergeCell ref="B8:B10"/>
    <mergeCell ref="B11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8"/>
    <mergeCell ref="B69:B71"/>
    <mergeCell ref="B87:B89"/>
    <mergeCell ref="B90:B92"/>
    <mergeCell ref="B72:B74"/>
    <mergeCell ref="B75:B77"/>
    <mergeCell ref="B78:B80"/>
    <mergeCell ref="B81:B83"/>
    <mergeCell ref="B84:B86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easCA8BQD1A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2012-02-28T19:37:15Z</dcterms:created>
  <dcterms:modified xsi:type="dcterms:W3CDTF">2012-03-15T19:29:36Z</dcterms:modified>
</cp:coreProperties>
</file>