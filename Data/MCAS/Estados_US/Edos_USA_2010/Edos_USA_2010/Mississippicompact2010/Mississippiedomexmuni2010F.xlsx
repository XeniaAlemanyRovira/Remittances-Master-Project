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BVYY5G" sheetId="2" r:id="rId1"/>
  </sheets>
  <calcPr calcId="125725"/>
</workbook>
</file>

<file path=xl/calcChain.xml><?xml version="1.0" encoding="utf-8"?>
<calcChain xmlns="http://schemas.openxmlformats.org/spreadsheetml/2006/main">
  <c r="C535" i="2"/>
  <c r="C534"/>
  <c r="C533"/>
  <c r="C532"/>
  <c r="C531"/>
  <c r="C530"/>
  <c r="C529"/>
  <c r="C528"/>
  <c r="C527"/>
  <c r="C526"/>
  <c r="C525"/>
  <c r="C524"/>
  <c r="C523"/>
  <c r="C522"/>
  <c r="C521"/>
  <c r="C520"/>
  <c r="C519"/>
  <c r="B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B447"/>
  <c r="C446"/>
  <c r="C445"/>
  <c r="C444"/>
  <c r="C443"/>
  <c r="C442"/>
  <c r="C441"/>
  <c r="C440"/>
  <c r="C439"/>
  <c r="C438"/>
  <c r="B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B419"/>
  <c r="C418"/>
  <c r="C417"/>
  <c r="C416"/>
  <c r="C415"/>
  <c r="C414"/>
  <c r="C413"/>
  <c r="C412"/>
  <c r="C411"/>
  <c r="C410"/>
  <c r="C409"/>
  <c r="B409"/>
  <c r="C408"/>
  <c r="C407"/>
  <c r="C406"/>
  <c r="C405"/>
  <c r="B405"/>
  <c r="C404"/>
  <c r="C403"/>
  <c r="C402"/>
  <c r="C401"/>
  <c r="B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B370"/>
  <c r="C369"/>
  <c r="C368"/>
  <c r="B368"/>
  <c r="C367"/>
  <c r="C366"/>
  <c r="C365"/>
  <c r="C364"/>
  <c r="C363"/>
  <c r="C362"/>
  <c r="C361"/>
  <c r="C360"/>
  <c r="C359"/>
  <c r="C358"/>
  <c r="C357"/>
  <c r="C356"/>
  <c r="B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B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B287"/>
  <c r="C286"/>
  <c r="C285"/>
  <c r="C284"/>
  <c r="C283"/>
  <c r="C282"/>
  <c r="C281"/>
  <c r="C280"/>
  <c r="C279"/>
  <c r="C278"/>
  <c r="B278"/>
  <c r="C277"/>
  <c r="C276"/>
  <c r="C275"/>
  <c r="C274"/>
  <c r="C273"/>
  <c r="B273"/>
  <c r="C272"/>
  <c r="C271"/>
  <c r="C270"/>
  <c r="C269"/>
  <c r="C268"/>
  <c r="C267"/>
  <c r="C266"/>
  <c r="C265"/>
  <c r="B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B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B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B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B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B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B97"/>
  <c r="C96"/>
  <c r="C95"/>
  <c r="C94"/>
  <c r="C93"/>
  <c r="C92"/>
  <c r="C91"/>
  <c r="C90"/>
  <c r="C89"/>
  <c r="C88"/>
  <c r="C87"/>
  <c r="B87"/>
  <c r="C86"/>
  <c r="C85"/>
  <c r="C84"/>
  <c r="C83"/>
  <c r="C82"/>
  <c r="C81"/>
  <c r="C80"/>
  <c r="C79"/>
  <c r="C78"/>
  <c r="B78"/>
  <c r="C77"/>
  <c r="C76"/>
  <c r="C75"/>
  <c r="C74"/>
  <c r="C73"/>
  <c r="C72"/>
  <c r="C71"/>
  <c r="C70"/>
  <c r="C69"/>
  <c r="B69"/>
  <c r="C68"/>
  <c r="C67"/>
  <c r="C66"/>
  <c r="C65"/>
  <c r="C64"/>
  <c r="C63"/>
  <c r="C62"/>
  <c r="C61"/>
  <c r="C60"/>
  <c r="B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B22"/>
  <c r="C21"/>
  <c r="C20"/>
  <c r="C19"/>
  <c r="C18"/>
  <c r="C17"/>
  <c r="C16"/>
  <c r="B16"/>
  <c r="C15"/>
  <c r="C14"/>
  <c r="B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<sst xmlns="http://schemas.openxmlformats.org/spreadsheetml/2006/main" count="11" uniqueCount="11">
  <si>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</si>
  <si>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</si>
  <si>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</si>
  <si>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</si>
  <si>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</si>
  <si>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</si>
  <si>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</si>
  <si>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</si>
  <si>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</si>
  <si>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MISSISSIPPI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</si>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</sst>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4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41"/>
  <sheetViews>
    <sheetView showGridLines="0" tabSelected="1" workbookViewId="0">
      <selection activeCell="A8" sqref="A8"/>
    </sheetView>
  </sheetViews>
  <sheetFormatPr baseColWidth="10" defaultRowHeight="15"/>
  <cols>
    <col min="2" max="2" width="45.140625" customWidth="1"/>
    <col min="3" max="3" width="26.710937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7" t="s">
        <v>9</v>
      </c>
      <c r="C6" s="27"/>
      <c r="D6" s="27"/>
      <c r="E6" s="27"/>
      <c r="F6" s="10"/>
    </row>
    <row r="7" spans="1:7">
      <c r="A7" s="6"/>
      <c r="B7" s="28"/>
      <c r="C7" s="28"/>
      <c r="D7" s="28"/>
      <c r="E7" s="28"/>
      <c r="F7" s="6"/>
    </row>
    <row r="8" spans="1:7">
      <c r="A8" s="6"/>
      <c r="B8" s="29" t="s">
        <v>6</v>
      </c>
      <c r="C8" s="29" t="s">
        <v>7</v>
      </c>
      <c r="D8" s="32" t="s">
        <v>0</v>
      </c>
      <c r="E8" s="32" t="s">
        <v>8</v>
      </c>
      <c r="F8" s="6"/>
    </row>
    <row r="9" spans="1:7" ht="18" customHeight="1">
      <c r="A9" s="6"/>
      <c r="B9" s="30"/>
      <c r="C9" s="31"/>
      <c r="D9" s="33"/>
      <c r="E9" s="33"/>
      <c r="F9" s="12"/>
      <c r="G9" s="13"/>
    </row>
    <row r="10" spans="1:7">
      <c r="B10" s="24" t="str">
        <f>"AGUASCALIENTES"</f>
        <v>AGUASCALIENTES</v>
      </c>
      <c r="C10" s="1" t="str">
        <f>"AGUASCALIENTES"</f>
        <v>AGUASCALIENTES</v>
      </c>
      <c r="D10" s="2">
        <v>5</v>
      </c>
      <c r="E10" s="3">
        <v>3.3E-3</v>
      </c>
    </row>
    <row r="11" spans="1:7">
      <c r="B11" s="25"/>
      <c r="C11" s="1" t="str">
        <f>"CALVILLO"</f>
        <v>CALVILLO</v>
      </c>
      <c r="D11" s="2">
        <v>1</v>
      </c>
      <c r="E11" s="3">
        <v>6.9999999999999999E-4</v>
      </c>
    </row>
    <row r="12" spans="1:7">
      <c r="B12" s="25"/>
      <c r="C12" s="1" t="str">
        <f>"RINCON DE ROMOS"</f>
        <v>RINCON DE ROMOS</v>
      </c>
      <c r="D12" s="2">
        <v>2</v>
      </c>
      <c r="E12" s="3">
        <v>1.2999999999999999E-3</v>
      </c>
    </row>
    <row r="13" spans="1:7">
      <c r="B13" s="26"/>
      <c r="C13" s="18" t="str">
        <f>"Total"</f>
        <v>Total</v>
      </c>
      <c r="D13" s="19">
        <v>8</v>
      </c>
      <c r="E13" s="20">
        <v>5.3E-3</v>
      </c>
    </row>
    <row r="14" spans="1:7">
      <c r="B14" s="24" t="str">
        <f>"BAJA CALIFORNIA"</f>
        <v>BAJA CALIFORNIA</v>
      </c>
      <c r="C14" s="1" t="str">
        <f>"TIJUANA"</f>
        <v>TIJUANA</v>
      </c>
      <c r="D14" s="2">
        <v>2</v>
      </c>
      <c r="E14" s="3">
        <v>1.2999999999999999E-3</v>
      </c>
    </row>
    <row r="15" spans="1:7">
      <c r="B15" s="26"/>
      <c r="C15" s="18" t="str">
        <f>"Total"</f>
        <v>Total</v>
      </c>
      <c r="D15" s="19">
        <v>2</v>
      </c>
      <c r="E15" s="20">
        <v>1.2999999999999999E-3</v>
      </c>
    </row>
    <row r="16" spans="1:7">
      <c r="B16" s="24" t="str">
        <f t="shared" ref="B16" si="0">"CAMPECHE"</f>
        <v>CAMPECHE</v>
      </c>
      <c r="C16" s="1" t="str">
        <f>"CALKINI"</f>
        <v>CALKINI</v>
      </c>
      <c r="D16" s="2">
        <v>1</v>
      </c>
      <c r="E16" s="3">
        <v>6.9999999999999999E-4</v>
      </c>
    </row>
    <row r="17" spans="2:5">
      <c r="B17" s="25"/>
      <c r="C17" s="1" t="str">
        <f>"CARMEN"</f>
        <v>CARMEN</v>
      </c>
      <c r="D17" s="2">
        <v>1</v>
      </c>
      <c r="E17" s="3">
        <v>6.9999999999999999E-4</v>
      </c>
    </row>
    <row r="18" spans="2:5">
      <c r="B18" s="25"/>
      <c r="C18" s="1" t="str">
        <f>"CHAMPOTON"</f>
        <v>CHAMPOTON</v>
      </c>
      <c r="D18" s="2">
        <v>1</v>
      </c>
      <c r="E18" s="3">
        <v>6.9999999999999999E-4</v>
      </c>
    </row>
    <row r="19" spans="2:5">
      <c r="B19" s="25"/>
      <c r="C19" s="1" t="str">
        <f>"ESCARCEGA"</f>
        <v>ESCARCEGA</v>
      </c>
      <c r="D19" s="2">
        <v>1</v>
      </c>
      <c r="E19" s="3">
        <v>6.9999999999999999E-4</v>
      </c>
    </row>
    <row r="20" spans="2:5">
      <c r="B20" s="25"/>
      <c r="C20" s="1" t="str">
        <f>"HOPELCHEN"</f>
        <v>HOPELCHEN</v>
      </c>
      <c r="D20" s="2">
        <v>1</v>
      </c>
      <c r="E20" s="3">
        <v>6.9999999999999999E-4</v>
      </c>
    </row>
    <row r="21" spans="2:5">
      <c r="B21" s="26"/>
      <c r="C21" s="18" t="str">
        <f>"Total"</f>
        <v>Total</v>
      </c>
      <c r="D21" s="19">
        <v>5</v>
      </c>
      <c r="E21" s="20">
        <v>3.3E-3</v>
      </c>
    </row>
    <row r="22" spans="2:5">
      <c r="B22" s="24" t="str">
        <f t="shared" ref="B22" si="1">"CHIAPAS"</f>
        <v>CHIAPAS</v>
      </c>
      <c r="C22" s="1" t="str">
        <f>"ACACOYAGUA"</f>
        <v>ACACOYAGUA</v>
      </c>
      <c r="D22" s="2">
        <v>1</v>
      </c>
      <c r="E22" s="3">
        <v>6.9999999999999999E-4</v>
      </c>
    </row>
    <row r="23" spans="2:5">
      <c r="B23" s="25"/>
      <c r="C23" s="1" t="str">
        <f>"ANGEL ALBINO CORZO"</f>
        <v>ANGEL ALBINO CORZO</v>
      </c>
      <c r="D23" s="2">
        <v>2</v>
      </c>
      <c r="E23" s="3">
        <v>1.2999999999999999E-3</v>
      </c>
    </row>
    <row r="24" spans="2:5">
      <c r="B24" s="25"/>
      <c r="C24" s="1" t="str">
        <f>"ARRIAGA"</f>
        <v>ARRIAGA</v>
      </c>
      <c r="D24" s="2">
        <v>1</v>
      </c>
      <c r="E24" s="3">
        <v>6.9999999999999999E-4</v>
      </c>
    </row>
    <row r="25" spans="2:5">
      <c r="B25" s="25"/>
      <c r="C25" s="1" t="str">
        <f>"BELLA VISTA"</f>
        <v>BELLA VISTA</v>
      </c>
      <c r="D25" s="2">
        <v>3</v>
      </c>
      <c r="E25" s="3">
        <v>2E-3</v>
      </c>
    </row>
    <row r="26" spans="2:5">
      <c r="B26" s="25"/>
      <c r="C26" s="1" t="str">
        <f>"CACAHOATAN"</f>
        <v>CACAHOATAN</v>
      </c>
      <c r="D26" s="2">
        <v>3</v>
      </c>
      <c r="E26" s="3">
        <v>2E-3</v>
      </c>
    </row>
    <row r="27" spans="2:5">
      <c r="B27" s="25"/>
      <c r="C27" s="1" t="str">
        <f>"CHAMULA"</f>
        <v>CHAMULA</v>
      </c>
      <c r="D27" s="2">
        <v>3</v>
      </c>
      <c r="E27" s="3">
        <v>2E-3</v>
      </c>
    </row>
    <row r="28" spans="2:5">
      <c r="B28" s="25"/>
      <c r="C28" s="1" t="str">
        <f>"CHICOMUSELO"</f>
        <v>CHICOMUSELO</v>
      </c>
      <c r="D28" s="2">
        <v>4</v>
      </c>
      <c r="E28" s="3">
        <v>2.7000000000000001E-3</v>
      </c>
    </row>
    <row r="29" spans="2:5">
      <c r="B29" s="25"/>
      <c r="C29" s="1" t="str">
        <f>"COMITAN DE DOMINGUEZ"</f>
        <v>COMITAN DE DOMINGUEZ</v>
      </c>
      <c r="D29" s="2">
        <v>1</v>
      </c>
      <c r="E29" s="3">
        <v>6.9999999999999999E-4</v>
      </c>
    </row>
    <row r="30" spans="2:5">
      <c r="B30" s="25"/>
      <c r="C30" s="1" t="str">
        <f>"COPAINALA"</f>
        <v>COPAINALA</v>
      </c>
      <c r="D30" s="2">
        <v>2</v>
      </c>
      <c r="E30" s="3">
        <v>1.2999999999999999E-3</v>
      </c>
    </row>
    <row r="31" spans="2:5">
      <c r="B31" s="25"/>
      <c r="C31" s="1" t="str">
        <f>"ESCUINTLA"</f>
        <v>ESCUINTLA</v>
      </c>
      <c r="D31" s="2">
        <v>3</v>
      </c>
      <c r="E31" s="3">
        <v>2E-3</v>
      </c>
    </row>
    <row r="32" spans="2:5">
      <c r="B32" s="25"/>
      <c r="C32" s="1" t="str">
        <f>"FRONTERA COMALAPA"</f>
        <v>FRONTERA COMALAPA</v>
      </c>
      <c r="D32" s="2">
        <v>7</v>
      </c>
      <c r="E32" s="3">
        <v>4.5999999999999999E-3</v>
      </c>
    </row>
    <row r="33" spans="2:5">
      <c r="B33" s="25"/>
      <c r="C33" s="1" t="str">
        <f>"HUEHUETAN"</f>
        <v>HUEHUETAN</v>
      </c>
      <c r="D33" s="2">
        <v>8</v>
      </c>
      <c r="E33" s="3">
        <v>5.3E-3</v>
      </c>
    </row>
    <row r="34" spans="2:5">
      <c r="B34" s="25"/>
      <c r="C34" s="1" t="str">
        <f>"HUIXTLA"</f>
        <v>HUIXTLA</v>
      </c>
      <c r="D34" s="2">
        <v>2</v>
      </c>
      <c r="E34" s="3">
        <v>1.2999999999999999E-3</v>
      </c>
    </row>
    <row r="35" spans="2:5">
      <c r="B35" s="25"/>
      <c r="C35" s="1" t="str">
        <f>"LA CONCORDIA"</f>
        <v>LA CONCORDIA</v>
      </c>
      <c r="D35" s="2">
        <v>4</v>
      </c>
      <c r="E35" s="3">
        <v>2.7000000000000001E-3</v>
      </c>
    </row>
    <row r="36" spans="2:5">
      <c r="B36" s="25"/>
      <c r="C36" s="1" t="str">
        <f>"LA INDEPENDENCIA"</f>
        <v>LA INDEPENDENCIA</v>
      </c>
      <c r="D36" s="2">
        <v>2</v>
      </c>
      <c r="E36" s="3">
        <v>1.2999999999999999E-3</v>
      </c>
    </row>
    <row r="37" spans="2:5">
      <c r="B37" s="25"/>
      <c r="C37" s="1" t="str">
        <f>"LA TRINITARIA"</f>
        <v>LA TRINITARIA</v>
      </c>
      <c r="D37" s="2">
        <v>2</v>
      </c>
      <c r="E37" s="3">
        <v>1.2999999999999999E-3</v>
      </c>
    </row>
    <row r="38" spans="2:5">
      <c r="B38" s="25"/>
      <c r="C38" s="1" t="str">
        <f>"LAS MARGARITAS"</f>
        <v>LAS MARGARITAS</v>
      </c>
      <c r="D38" s="2">
        <v>5</v>
      </c>
      <c r="E38" s="3">
        <v>3.3E-3</v>
      </c>
    </row>
    <row r="39" spans="2:5">
      <c r="B39" s="25"/>
      <c r="C39" s="1" t="str">
        <f>"MAPASTEPEC"</f>
        <v>MAPASTEPEC</v>
      </c>
      <c r="D39" s="2">
        <v>1</v>
      </c>
      <c r="E39" s="3">
        <v>6.9999999999999999E-4</v>
      </c>
    </row>
    <row r="40" spans="2:5">
      <c r="B40" s="25"/>
      <c r="C40" s="1" t="str">
        <f>"MOTOZINTLA"</f>
        <v>MOTOZINTLA</v>
      </c>
      <c r="D40" s="2">
        <v>4</v>
      </c>
      <c r="E40" s="3">
        <v>2.7000000000000001E-3</v>
      </c>
    </row>
    <row r="41" spans="2:5">
      <c r="B41" s="25"/>
      <c r="C41" s="1" t="str">
        <f>"OCOSINGO"</f>
        <v>OCOSINGO</v>
      </c>
      <c r="D41" s="2">
        <v>1</v>
      </c>
      <c r="E41" s="3">
        <v>6.9999999999999999E-4</v>
      </c>
    </row>
    <row r="42" spans="2:5" ht="30">
      <c r="B42" s="25"/>
      <c r="C42" s="1" t="str">
        <f>"OCOZOCOAUTLA DE ESPINOSA"</f>
        <v>OCOZOCOAUTLA DE ESPINOSA</v>
      </c>
      <c r="D42" s="2">
        <v>1</v>
      </c>
      <c r="E42" s="3">
        <v>6.9999999999999999E-4</v>
      </c>
    </row>
    <row r="43" spans="2:5">
      <c r="B43" s="25"/>
      <c r="C43" s="1" t="str">
        <f>"OSTUACAN"</f>
        <v>OSTUACAN</v>
      </c>
      <c r="D43" s="2">
        <v>1</v>
      </c>
      <c r="E43" s="3">
        <v>6.9999999999999999E-4</v>
      </c>
    </row>
    <row r="44" spans="2:5">
      <c r="B44" s="25"/>
      <c r="C44" s="1" t="str">
        <f>"PALENQUE"</f>
        <v>PALENQUE</v>
      </c>
      <c r="D44" s="2">
        <v>2</v>
      </c>
      <c r="E44" s="3">
        <v>1.2999999999999999E-3</v>
      </c>
    </row>
    <row r="45" spans="2:5">
      <c r="B45" s="25"/>
      <c r="C45" s="1" t="str">
        <f>"PICHUCALCO"</f>
        <v>PICHUCALCO</v>
      </c>
      <c r="D45" s="2">
        <v>4</v>
      </c>
      <c r="E45" s="3">
        <v>2.7000000000000001E-3</v>
      </c>
    </row>
    <row r="46" spans="2:5">
      <c r="B46" s="25"/>
      <c r="C46" s="1" t="str">
        <f>"PIJIJIAPAN"</f>
        <v>PIJIJIAPAN</v>
      </c>
      <c r="D46" s="2">
        <v>2</v>
      </c>
      <c r="E46" s="3">
        <v>1.2999999999999999E-3</v>
      </c>
    </row>
    <row r="47" spans="2:5">
      <c r="B47" s="25"/>
      <c r="C47" s="1" t="str">
        <f>"REFORMA"</f>
        <v>REFORMA</v>
      </c>
      <c r="D47" s="2">
        <v>3</v>
      </c>
      <c r="E47" s="3">
        <v>2E-3</v>
      </c>
    </row>
    <row r="48" spans="2:5" ht="30">
      <c r="B48" s="25"/>
      <c r="C48" s="1" t="str">
        <f>"SAN CRISTOBAL DE LAS CASAS"</f>
        <v>SAN CRISTOBAL DE LAS CASAS</v>
      </c>
      <c r="D48" s="2">
        <v>1</v>
      </c>
      <c r="E48" s="3">
        <v>6.9999999999999999E-4</v>
      </c>
    </row>
    <row r="49" spans="2:5">
      <c r="B49" s="25"/>
      <c r="C49" s="1" t="str">
        <f>"SOCOLTENANGO"</f>
        <v>SOCOLTENANGO</v>
      </c>
      <c r="D49" s="2">
        <v>3</v>
      </c>
      <c r="E49" s="3">
        <v>2E-3</v>
      </c>
    </row>
    <row r="50" spans="2:5">
      <c r="B50" s="25"/>
      <c r="C50" s="1" t="str">
        <f>"TAPACHULA"</f>
        <v>TAPACHULA</v>
      </c>
      <c r="D50" s="2">
        <v>7</v>
      </c>
      <c r="E50" s="3">
        <v>4.5999999999999999E-3</v>
      </c>
    </row>
    <row r="51" spans="2:5">
      <c r="B51" s="25"/>
      <c r="C51" s="1" t="str">
        <f>"TECPATAN"</f>
        <v>TECPATAN</v>
      </c>
      <c r="D51" s="2">
        <v>1</v>
      </c>
      <c r="E51" s="3">
        <v>6.9999999999999999E-4</v>
      </c>
    </row>
    <row r="52" spans="2:5">
      <c r="B52" s="25"/>
      <c r="C52" s="1" t="str">
        <f>"TEOPISCA"</f>
        <v>TEOPISCA</v>
      </c>
      <c r="D52" s="2">
        <v>1</v>
      </c>
      <c r="E52" s="3">
        <v>6.9999999999999999E-4</v>
      </c>
    </row>
    <row r="53" spans="2:5">
      <c r="B53" s="25"/>
      <c r="C53" s="1" t="str">
        <f>"TILA"</f>
        <v>TILA</v>
      </c>
      <c r="D53" s="2">
        <v>1</v>
      </c>
      <c r="E53" s="3">
        <v>6.9999999999999999E-4</v>
      </c>
    </row>
    <row r="54" spans="2:5">
      <c r="B54" s="25"/>
      <c r="C54" s="1" t="str">
        <f>"TONALA"</f>
        <v>TONALA</v>
      </c>
      <c r="D54" s="2">
        <v>4</v>
      </c>
      <c r="E54" s="3">
        <v>2.7000000000000001E-3</v>
      </c>
    </row>
    <row r="55" spans="2:5">
      <c r="B55" s="25"/>
      <c r="C55" s="1" t="str">
        <f>"TUMBALA"</f>
        <v>TUMBALA</v>
      </c>
      <c r="D55" s="2">
        <v>1</v>
      </c>
      <c r="E55" s="3">
        <v>6.9999999999999999E-4</v>
      </c>
    </row>
    <row r="56" spans="2:5">
      <c r="B56" s="25"/>
      <c r="C56" s="1" t="str">
        <f>"TUZANTAN"</f>
        <v>TUZANTAN</v>
      </c>
      <c r="D56" s="2">
        <v>2</v>
      </c>
      <c r="E56" s="3">
        <v>1.2999999999999999E-3</v>
      </c>
    </row>
    <row r="57" spans="2:5">
      <c r="B57" s="25"/>
      <c r="C57" s="1" t="str">
        <f>"VILLA COMALTITLAN"</f>
        <v>VILLA COMALTITLAN</v>
      </c>
      <c r="D57" s="2">
        <v>1</v>
      </c>
      <c r="E57" s="3">
        <v>6.9999999999999999E-4</v>
      </c>
    </row>
    <row r="58" spans="2:5">
      <c r="B58" s="25"/>
      <c r="C58" s="1" t="str">
        <f>"VILLAFLORES"</f>
        <v>VILLAFLORES</v>
      </c>
      <c r="D58" s="2">
        <v>2</v>
      </c>
      <c r="E58" s="3">
        <v>1.2999999999999999E-3</v>
      </c>
    </row>
    <row r="59" spans="2:5">
      <c r="B59" s="26"/>
      <c r="C59" s="18" t="str">
        <f>"Total"</f>
        <v>Total</v>
      </c>
      <c r="D59" s="19">
        <v>96</v>
      </c>
      <c r="E59" s="20">
        <v>6.3600000000000004E-2</v>
      </c>
    </row>
    <row r="60" spans="2:5">
      <c r="B60" s="24" t="str">
        <f t="shared" ref="B60" si="2">"CHIHUAHUA"</f>
        <v>CHIHUAHUA</v>
      </c>
      <c r="C60" s="1" t="str">
        <f>"CARICHI"</f>
        <v>CARICHI</v>
      </c>
      <c r="D60" s="2">
        <v>5</v>
      </c>
      <c r="E60" s="3">
        <v>3.3E-3</v>
      </c>
    </row>
    <row r="61" spans="2:5">
      <c r="B61" s="25"/>
      <c r="C61" s="1" t="str">
        <f>"CHIHUAHUA"</f>
        <v>CHIHUAHUA</v>
      </c>
      <c r="D61" s="2">
        <v>5</v>
      </c>
      <c r="E61" s="3">
        <v>3.3E-3</v>
      </c>
    </row>
    <row r="62" spans="2:5">
      <c r="B62" s="25"/>
      <c r="C62" s="1" t="str">
        <f>"CUAUHTEMOC"</f>
        <v>CUAUHTEMOC</v>
      </c>
      <c r="D62" s="2">
        <v>11</v>
      </c>
      <c r="E62" s="3">
        <v>7.3000000000000001E-3</v>
      </c>
    </row>
    <row r="63" spans="2:5">
      <c r="B63" s="25"/>
      <c r="C63" s="1" t="str">
        <f>"DELICIAS"</f>
        <v>DELICIAS</v>
      </c>
      <c r="D63" s="2">
        <v>2</v>
      </c>
      <c r="E63" s="3">
        <v>1.2999999999999999E-3</v>
      </c>
    </row>
    <row r="64" spans="2:5">
      <c r="B64" s="25"/>
      <c r="C64" s="1" t="str">
        <f>"GUERRERO"</f>
        <v>GUERRERO</v>
      </c>
      <c r="D64" s="2">
        <v>2</v>
      </c>
      <c r="E64" s="3">
        <v>1.2999999999999999E-3</v>
      </c>
    </row>
    <row r="65" spans="2:5">
      <c r="B65" s="25"/>
      <c r="C65" s="1" t="str">
        <f>"JUAREZ"</f>
        <v>JUAREZ</v>
      </c>
      <c r="D65" s="2">
        <v>3</v>
      </c>
      <c r="E65" s="3">
        <v>2E-3</v>
      </c>
    </row>
    <row r="66" spans="2:5">
      <c r="B66" s="25"/>
      <c r="C66" s="1" t="str">
        <f>"SAN FRANCISCO DE BORJA"</f>
        <v>SAN FRANCISCO DE BORJA</v>
      </c>
      <c r="D66" s="2">
        <v>2</v>
      </c>
      <c r="E66" s="3">
        <v>1.2999999999999999E-3</v>
      </c>
    </row>
    <row r="67" spans="2:5">
      <c r="B67" s="25"/>
      <c r="C67" s="1" t="str">
        <f>"SAUCILLO"</f>
        <v>SAUCILLO</v>
      </c>
      <c r="D67" s="2">
        <v>1</v>
      </c>
      <c r="E67" s="3">
        <v>6.9999999999999999E-4</v>
      </c>
    </row>
    <row r="68" spans="2:5">
      <c r="B68" s="26"/>
      <c r="C68" s="18" t="str">
        <f>"Total"</f>
        <v>Total</v>
      </c>
      <c r="D68" s="19">
        <v>31</v>
      </c>
      <c r="E68" s="20">
        <v>2.0500000000000001E-2</v>
      </c>
    </row>
    <row r="69" spans="2:5">
      <c r="B69" s="24" t="str">
        <f t="shared" ref="B69" si="3">"COAHUILA DE ZARAGOZA"</f>
        <v>COAHUILA DE ZARAGOZA</v>
      </c>
      <c r="C69" s="1" t="str">
        <f>"ALLENDE"</f>
        <v>ALLENDE</v>
      </c>
      <c r="D69" s="2">
        <v>1</v>
      </c>
      <c r="E69" s="3">
        <v>6.9999999999999999E-4</v>
      </c>
    </row>
    <row r="70" spans="2:5">
      <c r="B70" s="25"/>
      <c r="C70" s="1" t="str">
        <f>"CUATROCIENEGAS"</f>
        <v>CUATROCIENEGAS</v>
      </c>
      <c r="D70" s="2">
        <v>3</v>
      </c>
      <c r="E70" s="3">
        <v>2E-3</v>
      </c>
    </row>
    <row r="71" spans="2:5">
      <c r="B71" s="25"/>
      <c r="C71" s="1" t="str">
        <f>"FRANCISCO I. MADERO"</f>
        <v>FRANCISCO I. MADERO</v>
      </c>
      <c r="D71" s="2">
        <v>1</v>
      </c>
      <c r="E71" s="3">
        <v>6.9999999999999999E-4</v>
      </c>
    </row>
    <row r="72" spans="2:5">
      <c r="B72" s="25"/>
      <c r="C72" s="1" t="str">
        <f>"MONCLOVA"</f>
        <v>MONCLOVA</v>
      </c>
      <c r="D72" s="2">
        <v>2</v>
      </c>
      <c r="E72" s="3">
        <v>1.2999999999999999E-3</v>
      </c>
    </row>
    <row r="73" spans="2:5">
      <c r="B73" s="25"/>
      <c r="C73" s="1" t="str">
        <f>"NAVA"</f>
        <v>NAVA</v>
      </c>
      <c r="D73" s="2">
        <v>2</v>
      </c>
      <c r="E73" s="3">
        <v>1.2999999999999999E-3</v>
      </c>
    </row>
    <row r="74" spans="2:5">
      <c r="B74" s="25"/>
      <c r="C74" s="1" t="str">
        <f>"PIEDRAS NEGRAS"</f>
        <v>PIEDRAS NEGRAS</v>
      </c>
      <c r="D74" s="2">
        <v>1</v>
      </c>
      <c r="E74" s="3">
        <v>6.9999999999999999E-4</v>
      </c>
    </row>
    <row r="75" spans="2:5">
      <c r="B75" s="25"/>
      <c r="C75" s="1" t="str">
        <f>"SALTILLO"</f>
        <v>SALTILLO</v>
      </c>
      <c r="D75" s="2">
        <v>5</v>
      </c>
      <c r="E75" s="3">
        <v>3.3E-3</v>
      </c>
    </row>
    <row r="76" spans="2:5">
      <c r="B76" s="25"/>
      <c r="C76" s="1" t="str">
        <f>"TORREON"</f>
        <v>TORREON</v>
      </c>
      <c r="D76" s="2">
        <v>2</v>
      </c>
      <c r="E76" s="3">
        <v>1.2999999999999999E-3</v>
      </c>
    </row>
    <row r="77" spans="2:5">
      <c r="B77" s="26"/>
      <c r="C77" s="18" t="str">
        <f>"Total"</f>
        <v>Total</v>
      </c>
      <c r="D77" s="19">
        <v>17</v>
      </c>
      <c r="E77" s="20">
        <v>1.1299999999999999E-2</v>
      </c>
    </row>
    <row r="78" spans="2:5">
      <c r="B78" s="24" t="str">
        <f t="shared" ref="B78" si="4">"DISTRITO FEDERAL"</f>
        <v>DISTRITO FEDERAL</v>
      </c>
      <c r="C78" s="1" t="str">
        <f>"ALVARO OBREGON"</f>
        <v>ALVARO OBREGON</v>
      </c>
      <c r="D78" s="2">
        <v>3</v>
      </c>
      <c r="E78" s="3">
        <v>2E-3</v>
      </c>
    </row>
    <row r="79" spans="2:5">
      <c r="B79" s="25"/>
      <c r="C79" s="1" t="str">
        <f>"AZCAPOTZALCO"</f>
        <v>AZCAPOTZALCO</v>
      </c>
      <c r="D79" s="2">
        <v>3</v>
      </c>
      <c r="E79" s="3">
        <v>2E-3</v>
      </c>
    </row>
    <row r="80" spans="2:5">
      <c r="B80" s="25"/>
      <c r="C80" s="1" t="str">
        <f>"BENITO JUAREZ"</f>
        <v>BENITO JUAREZ</v>
      </c>
      <c r="D80" s="2">
        <v>1</v>
      </c>
      <c r="E80" s="3">
        <v>6.9999999999999999E-4</v>
      </c>
    </row>
    <row r="81" spans="2:5">
      <c r="B81" s="25"/>
      <c r="C81" s="1" t="str">
        <f>"COYOACAN"</f>
        <v>COYOACAN</v>
      </c>
      <c r="D81" s="2">
        <v>4</v>
      </c>
      <c r="E81" s="3">
        <v>2.7000000000000001E-3</v>
      </c>
    </row>
    <row r="82" spans="2:5">
      <c r="B82" s="25"/>
      <c r="C82" s="1" t="str">
        <f>"CUAUHTEMOC"</f>
        <v>CUAUHTEMOC</v>
      </c>
      <c r="D82" s="2">
        <v>6</v>
      </c>
      <c r="E82" s="3">
        <v>4.0000000000000001E-3</v>
      </c>
    </row>
    <row r="83" spans="2:5">
      <c r="B83" s="25"/>
      <c r="C83" s="1" t="str">
        <f>"GUSTAVO A. MADERO"</f>
        <v>GUSTAVO A. MADERO</v>
      </c>
      <c r="D83" s="2">
        <v>44</v>
      </c>
      <c r="E83" s="3">
        <v>2.92E-2</v>
      </c>
    </row>
    <row r="84" spans="2:5">
      <c r="B84" s="25"/>
      <c r="C84" s="1" t="str">
        <f>"IZTAPALAPA"</f>
        <v>IZTAPALAPA</v>
      </c>
      <c r="D84" s="2">
        <v>2</v>
      </c>
      <c r="E84" s="3">
        <v>1.2999999999999999E-3</v>
      </c>
    </row>
    <row r="85" spans="2:5">
      <c r="B85" s="25"/>
      <c r="C85" s="1" t="str">
        <f>"VENUSTIANO CARRANZA"</f>
        <v>VENUSTIANO CARRANZA</v>
      </c>
      <c r="D85" s="2">
        <v>2</v>
      </c>
      <c r="E85" s="3">
        <v>1.2999999999999999E-3</v>
      </c>
    </row>
    <row r="86" spans="2:5">
      <c r="B86" s="26"/>
      <c r="C86" s="18" t="str">
        <f>"Total"</f>
        <v>Total</v>
      </c>
      <c r="D86" s="19">
        <v>65</v>
      </c>
      <c r="E86" s="20">
        <v>4.3099999999999999E-2</v>
      </c>
    </row>
    <row r="87" spans="2:5">
      <c r="B87" s="24" t="str">
        <f t="shared" ref="B87" si="5">"DURANGO"</f>
        <v>DURANGO</v>
      </c>
      <c r="C87" s="21" t="str">
        <f>"CANATLAN"</f>
        <v>CANATLAN</v>
      </c>
      <c r="D87" s="22">
        <v>1</v>
      </c>
      <c r="E87" s="23">
        <v>6.9999999999999999E-4</v>
      </c>
    </row>
    <row r="88" spans="2:5">
      <c r="B88" s="25"/>
      <c r="C88" s="1" t="str">
        <f>"DURANGO"</f>
        <v>DURANGO</v>
      </c>
      <c r="D88" s="2">
        <v>3</v>
      </c>
      <c r="E88" s="3">
        <v>2E-3</v>
      </c>
    </row>
    <row r="89" spans="2:5">
      <c r="B89" s="25"/>
      <c r="C89" s="1" t="str">
        <f>"GOMEZ PALACIO"</f>
        <v>GOMEZ PALACIO</v>
      </c>
      <c r="D89" s="2">
        <v>6</v>
      </c>
      <c r="E89" s="3">
        <v>4.0000000000000001E-3</v>
      </c>
    </row>
    <row r="90" spans="2:5">
      <c r="B90" s="25"/>
      <c r="C90" s="1" t="str">
        <f>"OCAMPO"</f>
        <v>OCAMPO</v>
      </c>
      <c r="D90" s="2">
        <v>1</v>
      </c>
      <c r="E90" s="3">
        <v>6.9999999999999999E-4</v>
      </c>
    </row>
    <row r="91" spans="2:5">
      <c r="B91" s="25"/>
      <c r="C91" s="1" t="str">
        <f>"RODEO"</f>
        <v>RODEO</v>
      </c>
      <c r="D91" s="2">
        <v>3</v>
      </c>
      <c r="E91" s="3">
        <v>2E-3</v>
      </c>
    </row>
    <row r="92" spans="2:5">
      <c r="B92" s="25"/>
      <c r="C92" s="1" t="str">
        <f>"SANTA CLARA"</f>
        <v>SANTA CLARA</v>
      </c>
      <c r="D92" s="2">
        <v>1</v>
      </c>
      <c r="E92" s="3">
        <v>6.9999999999999999E-4</v>
      </c>
    </row>
    <row r="93" spans="2:5">
      <c r="B93" s="25"/>
      <c r="C93" s="1" t="str">
        <f>"SANTIAGO PAPASQUIARO"</f>
        <v>SANTIAGO PAPASQUIARO</v>
      </c>
      <c r="D93" s="2">
        <v>1</v>
      </c>
      <c r="E93" s="3">
        <v>6.9999999999999999E-4</v>
      </c>
    </row>
    <row r="94" spans="2:5">
      <c r="B94" s="25"/>
      <c r="C94" s="1" t="str">
        <f>"SUCHIL"</f>
        <v>SUCHIL</v>
      </c>
      <c r="D94" s="2">
        <v>2</v>
      </c>
      <c r="E94" s="3">
        <v>1.2999999999999999E-3</v>
      </c>
    </row>
    <row r="95" spans="2:5">
      <c r="B95" s="25"/>
      <c r="C95" s="1" t="str">
        <f>"VICENTE GUERRERO"</f>
        <v>VICENTE GUERRERO</v>
      </c>
      <c r="D95" s="2">
        <v>1</v>
      </c>
      <c r="E95" s="3">
        <v>6.9999999999999999E-4</v>
      </c>
    </row>
    <row r="96" spans="2:5">
      <c r="B96" s="26"/>
      <c r="C96" s="18" t="str">
        <f>"Total"</f>
        <v>Total</v>
      </c>
      <c r="D96" s="19">
        <v>19</v>
      </c>
      <c r="E96" s="20">
        <v>1.26E-2</v>
      </c>
    </row>
    <row r="97" spans="2:5">
      <c r="B97" s="24" t="str">
        <f t="shared" ref="B97" si="6">"GUANAJUATO"</f>
        <v>GUANAJUATO</v>
      </c>
      <c r="C97" s="1" t="str">
        <f>"ACAMBARO"</f>
        <v>ACAMBARO</v>
      </c>
      <c r="D97" s="2">
        <v>20</v>
      </c>
      <c r="E97" s="3">
        <v>1.3299999999999999E-2</v>
      </c>
    </row>
    <row r="98" spans="2:5">
      <c r="B98" s="25"/>
      <c r="C98" s="1" t="str">
        <f>"ALLENDE"</f>
        <v>ALLENDE</v>
      </c>
      <c r="D98" s="2">
        <v>1</v>
      </c>
      <c r="E98" s="3">
        <v>6.9999999999999999E-4</v>
      </c>
    </row>
    <row r="99" spans="2:5">
      <c r="B99" s="25"/>
      <c r="C99" s="1" t="str">
        <f>"APASEO EL ALTO"</f>
        <v>APASEO EL ALTO</v>
      </c>
      <c r="D99" s="2">
        <v>6</v>
      </c>
      <c r="E99" s="3">
        <v>4.0000000000000001E-3</v>
      </c>
    </row>
    <row r="100" spans="2:5">
      <c r="B100" s="25"/>
      <c r="C100" s="1" t="str">
        <f>"APASEO EL GRANDE"</f>
        <v>APASEO EL GRANDE</v>
      </c>
      <c r="D100" s="2">
        <v>9</v>
      </c>
      <c r="E100" s="3">
        <v>6.0000000000000001E-3</v>
      </c>
    </row>
    <row r="101" spans="2:5">
      <c r="B101" s="25"/>
      <c r="C101" s="1" t="str">
        <f>"CELAYA"</f>
        <v>CELAYA</v>
      </c>
      <c r="D101" s="2">
        <v>17</v>
      </c>
      <c r="E101" s="3">
        <v>1.1299999999999999E-2</v>
      </c>
    </row>
    <row r="102" spans="2:5">
      <c r="B102" s="25"/>
      <c r="C102" s="1" t="str">
        <f>"COMONFORT"</f>
        <v>COMONFORT</v>
      </c>
      <c r="D102" s="2">
        <v>3</v>
      </c>
      <c r="E102" s="3">
        <v>2E-3</v>
      </c>
    </row>
    <row r="103" spans="2:5">
      <c r="B103" s="25"/>
      <c r="C103" s="1" t="str">
        <f>"CORONEO"</f>
        <v>CORONEO</v>
      </c>
      <c r="D103" s="2">
        <v>1</v>
      </c>
      <c r="E103" s="3">
        <v>6.9999999999999999E-4</v>
      </c>
    </row>
    <row r="104" spans="2:5">
      <c r="B104" s="25"/>
      <c r="C104" s="1" t="str">
        <f>"CORTAZAR"</f>
        <v>CORTAZAR</v>
      </c>
      <c r="D104" s="2">
        <v>1</v>
      </c>
      <c r="E104" s="3">
        <v>6.9999999999999999E-4</v>
      </c>
    </row>
    <row r="105" spans="2:5">
      <c r="B105" s="25"/>
      <c r="C105" s="1" t="str">
        <f>"DOLORES HIDALGO"</f>
        <v>DOLORES HIDALGO</v>
      </c>
      <c r="D105" s="2">
        <v>5</v>
      </c>
      <c r="E105" s="3">
        <v>3.3E-3</v>
      </c>
    </row>
    <row r="106" spans="2:5">
      <c r="B106" s="25"/>
      <c r="C106" s="1" t="str">
        <f>"GUANAJUATO"</f>
        <v>GUANAJUATO</v>
      </c>
      <c r="D106" s="2">
        <v>1</v>
      </c>
      <c r="E106" s="3">
        <v>6.9999999999999999E-4</v>
      </c>
    </row>
    <row r="107" spans="2:5">
      <c r="B107" s="25"/>
      <c r="C107" s="1" t="str">
        <f>"IRAPUATO"</f>
        <v>IRAPUATO</v>
      </c>
      <c r="D107" s="2">
        <v>1</v>
      </c>
      <c r="E107" s="3">
        <v>6.9999999999999999E-4</v>
      </c>
    </row>
    <row r="108" spans="2:5">
      <c r="B108" s="25"/>
      <c r="C108" s="1" t="str">
        <f>"JERECUARO"</f>
        <v>JERECUARO</v>
      </c>
      <c r="D108" s="2">
        <v>2</v>
      </c>
      <c r="E108" s="3">
        <v>1.2999999999999999E-3</v>
      </c>
    </row>
    <row r="109" spans="2:5">
      <c r="B109" s="25"/>
      <c r="C109" s="1" t="str">
        <f>"LEON"</f>
        <v>LEON</v>
      </c>
      <c r="D109" s="2">
        <v>5</v>
      </c>
      <c r="E109" s="3">
        <v>3.3E-3</v>
      </c>
    </row>
    <row r="110" spans="2:5">
      <c r="B110" s="25"/>
      <c r="C110" s="1" t="str">
        <f>"MANUEL DOBLADO"</f>
        <v>MANUEL DOBLADO</v>
      </c>
      <c r="D110" s="2">
        <v>7</v>
      </c>
      <c r="E110" s="3">
        <v>4.5999999999999999E-3</v>
      </c>
    </row>
    <row r="111" spans="2:5">
      <c r="B111" s="25"/>
      <c r="C111" s="1" t="str">
        <f>"OCAMPO"</f>
        <v>OCAMPO</v>
      </c>
      <c r="D111" s="2">
        <v>2</v>
      </c>
      <c r="E111" s="3">
        <v>1.2999999999999999E-3</v>
      </c>
    </row>
    <row r="112" spans="2:5">
      <c r="B112" s="25"/>
      <c r="C112" s="1" t="str">
        <f>"SALAMANCA"</f>
        <v>SALAMANCA</v>
      </c>
      <c r="D112" s="2">
        <v>8</v>
      </c>
      <c r="E112" s="3">
        <v>5.3E-3</v>
      </c>
    </row>
    <row r="113" spans="2:5">
      <c r="B113" s="25"/>
      <c r="C113" s="1" t="str">
        <f>"SALVATIERRA"</f>
        <v>SALVATIERRA</v>
      </c>
      <c r="D113" s="2">
        <v>1</v>
      </c>
      <c r="E113" s="3">
        <v>6.9999999999999999E-4</v>
      </c>
    </row>
    <row r="114" spans="2:5">
      <c r="B114" s="25"/>
      <c r="C114" s="1" t="str">
        <f>"SAN FELIPE"</f>
        <v>SAN FELIPE</v>
      </c>
      <c r="D114" s="2">
        <v>1</v>
      </c>
      <c r="E114" s="3">
        <v>6.9999999999999999E-4</v>
      </c>
    </row>
    <row r="115" spans="2:5" ht="30">
      <c r="B115" s="25"/>
      <c r="C115" s="1" t="str">
        <f>"SAN FRANCISCO DEL RINCON"</f>
        <v>SAN FRANCISCO DEL RINCON</v>
      </c>
      <c r="D115" s="2">
        <v>1</v>
      </c>
      <c r="E115" s="3">
        <v>6.9999999999999999E-4</v>
      </c>
    </row>
    <row r="116" spans="2:5">
      <c r="B116" s="25"/>
      <c r="C116" s="1" t="str">
        <f>"SAN JOSE ITURBIDE"</f>
        <v>SAN JOSE ITURBIDE</v>
      </c>
      <c r="D116" s="2">
        <v>1</v>
      </c>
      <c r="E116" s="3">
        <v>6.9999999999999999E-4</v>
      </c>
    </row>
    <row r="117" spans="2:5">
      <c r="B117" s="25"/>
      <c r="C117" s="1" t="str">
        <f>"SAN LUIS DE LA PAZ"</f>
        <v>SAN LUIS DE LA PAZ</v>
      </c>
      <c r="D117" s="2">
        <v>30</v>
      </c>
      <c r="E117" s="3">
        <v>1.9900000000000001E-2</v>
      </c>
    </row>
    <row r="118" spans="2:5" ht="30">
      <c r="B118" s="25"/>
      <c r="C118" s="1" t="str">
        <f>"SANTA CRUZ DE JUVENTINO ROSAS"</f>
        <v>SANTA CRUZ DE JUVENTINO ROSAS</v>
      </c>
      <c r="D118" s="2">
        <v>2</v>
      </c>
      <c r="E118" s="3">
        <v>1.2999999999999999E-3</v>
      </c>
    </row>
    <row r="119" spans="2:5">
      <c r="B119" s="25"/>
      <c r="C119" s="1" t="str">
        <f>"SANTIAGO MARAVATIO"</f>
        <v>SANTIAGO MARAVATIO</v>
      </c>
      <c r="D119" s="2">
        <v>1</v>
      </c>
      <c r="E119" s="3">
        <v>6.9999999999999999E-4</v>
      </c>
    </row>
    <row r="120" spans="2:5">
      <c r="B120" s="25"/>
      <c r="C120" s="1" t="str">
        <f>"TIERRA BLANCA"</f>
        <v>TIERRA BLANCA</v>
      </c>
      <c r="D120" s="2">
        <v>1</v>
      </c>
      <c r="E120" s="3">
        <v>6.9999999999999999E-4</v>
      </c>
    </row>
    <row r="121" spans="2:5">
      <c r="B121" s="25"/>
      <c r="C121" s="1" t="str">
        <f>"VALLE DE SANTIAGO"</f>
        <v>VALLE DE SANTIAGO</v>
      </c>
      <c r="D121" s="2">
        <v>11</v>
      </c>
      <c r="E121" s="3">
        <v>7.3000000000000001E-3</v>
      </c>
    </row>
    <row r="122" spans="2:5">
      <c r="B122" s="25"/>
      <c r="C122" s="1" t="str">
        <f>"VICTORIA"</f>
        <v>VICTORIA</v>
      </c>
      <c r="D122" s="2">
        <v>28</v>
      </c>
      <c r="E122" s="3">
        <v>1.8599999999999998E-2</v>
      </c>
    </row>
    <row r="123" spans="2:5">
      <c r="B123" s="25"/>
      <c r="C123" s="1" t="str">
        <f>"VILLAGRAN"</f>
        <v>VILLAGRAN</v>
      </c>
      <c r="D123" s="2">
        <v>1</v>
      </c>
      <c r="E123" s="3">
        <v>6.9999999999999999E-4</v>
      </c>
    </row>
    <row r="124" spans="2:5">
      <c r="B124" s="25"/>
      <c r="C124" s="1" t="str">
        <f>"XICHU"</f>
        <v>XICHU</v>
      </c>
      <c r="D124" s="2">
        <v>2</v>
      </c>
      <c r="E124" s="3">
        <v>1.2999999999999999E-3</v>
      </c>
    </row>
    <row r="125" spans="2:5">
      <c r="B125" s="26"/>
      <c r="C125" s="18" t="str">
        <f>"Total"</f>
        <v>Total</v>
      </c>
      <c r="D125" s="19">
        <v>169</v>
      </c>
      <c r="E125" s="20">
        <v>0.112</v>
      </c>
    </row>
    <row r="126" spans="2:5">
      <c r="B126" s="24" t="str">
        <f t="shared" ref="B126" si="7">"GUERRERO"</f>
        <v>GUERRERO</v>
      </c>
      <c r="C126" s="1" t="str">
        <f>"ACAPULCO DE JUAREZ"</f>
        <v>ACAPULCO DE JUAREZ</v>
      </c>
      <c r="D126" s="2">
        <v>10</v>
      </c>
      <c r="E126" s="3">
        <v>6.6E-3</v>
      </c>
    </row>
    <row r="127" spans="2:5">
      <c r="B127" s="25"/>
      <c r="C127" s="1" t="str">
        <f>"AJUCHITLAN DEL PROGRESO"</f>
        <v>AJUCHITLAN DEL PROGRESO</v>
      </c>
      <c r="D127" s="2">
        <v>2</v>
      </c>
      <c r="E127" s="3">
        <v>1.2999999999999999E-3</v>
      </c>
    </row>
    <row r="128" spans="2:5">
      <c r="B128" s="25"/>
      <c r="C128" s="1" t="str">
        <f>"ATOYAC DE ALVAREZ"</f>
        <v>ATOYAC DE ALVAREZ</v>
      </c>
      <c r="D128" s="2">
        <v>4</v>
      </c>
      <c r="E128" s="3">
        <v>2.7000000000000001E-3</v>
      </c>
    </row>
    <row r="129" spans="2:5">
      <c r="B129" s="25"/>
      <c r="C129" s="1" t="str">
        <f>"AYUTLA DE LOS LIBRES"</f>
        <v>AYUTLA DE LOS LIBRES</v>
      </c>
      <c r="D129" s="2">
        <v>1</v>
      </c>
      <c r="E129" s="3">
        <v>6.9999999999999999E-4</v>
      </c>
    </row>
    <row r="130" spans="2:5" ht="30">
      <c r="B130" s="25"/>
      <c r="C130" s="1" t="str">
        <f>"CHILPANCINGO DE LOS BRAVO"</f>
        <v>CHILPANCINGO DE LOS BRAVO</v>
      </c>
      <c r="D130" s="2">
        <v>2</v>
      </c>
      <c r="E130" s="3">
        <v>1.2999999999999999E-3</v>
      </c>
    </row>
    <row r="131" spans="2:5">
      <c r="B131" s="25"/>
      <c r="C131" s="1" t="str">
        <f>"COCULA"</f>
        <v>COCULA</v>
      </c>
      <c r="D131" s="2">
        <v>1</v>
      </c>
      <c r="E131" s="3">
        <v>6.9999999999999999E-4</v>
      </c>
    </row>
    <row r="132" spans="2:5">
      <c r="B132" s="25"/>
      <c r="C132" s="1" t="str">
        <f>"COPALA"</f>
        <v>COPALA</v>
      </c>
      <c r="D132" s="2">
        <v>2</v>
      </c>
      <c r="E132" s="3">
        <v>1.2999999999999999E-3</v>
      </c>
    </row>
    <row r="133" spans="2:5">
      <c r="B133" s="25"/>
      <c r="C133" s="1" t="str">
        <f>"COYUCA DE BENITEZ"</f>
        <v>COYUCA DE BENITEZ</v>
      </c>
      <c r="D133" s="2">
        <v>1</v>
      </c>
      <c r="E133" s="3">
        <v>6.9999999999999999E-4</v>
      </c>
    </row>
    <row r="134" spans="2:5">
      <c r="B134" s="25"/>
      <c r="C134" s="1" t="str">
        <f>"COYUCA DE CATALAN"</f>
        <v>COYUCA DE CATALAN</v>
      </c>
      <c r="D134" s="2">
        <v>1</v>
      </c>
      <c r="E134" s="3">
        <v>6.9999999999999999E-4</v>
      </c>
    </row>
    <row r="135" spans="2:5">
      <c r="B135" s="25"/>
      <c r="C135" s="1" t="str">
        <f>"CUAJINICUILAPA"</f>
        <v>CUAJINICUILAPA</v>
      </c>
      <c r="D135" s="2">
        <v>1</v>
      </c>
      <c r="E135" s="3">
        <v>6.9999999999999999E-4</v>
      </c>
    </row>
    <row r="136" spans="2:5">
      <c r="B136" s="25"/>
      <c r="C136" s="1" t="str">
        <f>"CUALAC"</f>
        <v>CUALAC</v>
      </c>
      <c r="D136" s="2">
        <v>1</v>
      </c>
      <c r="E136" s="3">
        <v>6.9999999999999999E-4</v>
      </c>
    </row>
    <row r="137" spans="2:5">
      <c r="B137" s="25"/>
      <c r="C137" s="1" t="str">
        <f>"HUITZUCO DE LOS FIGUEROA"</f>
        <v>HUITZUCO DE LOS FIGUEROA</v>
      </c>
      <c r="D137" s="2">
        <v>2</v>
      </c>
      <c r="E137" s="3">
        <v>1.2999999999999999E-3</v>
      </c>
    </row>
    <row r="138" spans="2:5" ht="30">
      <c r="B138" s="25"/>
      <c r="C138" s="1" t="str">
        <f>"IGUALA DE LA INDEPENDENCIA"</f>
        <v>IGUALA DE LA INDEPENDENCIA</v>
      </c>
      <c r="D138" s="2">
        <v>1</v>
      </c>
      <c r="E138" s="3">
        <v>6.9999999999999999E-4</v>
      </c>
    </row>
    <row r="139" spans="2:5">
      <c r="B139" s="25"/>
      <c r="C139" s="1" t="str">
        <f>"LEONARDO BRAVO"</f>
        <v>LEONARDO BRAVO</v>
      </c>
      <c r="D139" s="2">
        <v>6</v>
      </c>
      <c r="E139" s="3">
        <v>4.0000000000000001E-3</v>
      </c>
    </row>
    <row r="140" spans="2:5">
      <c r="B140" s="25"/>
      <c r="C140" s="1" t="str">
        <f>"MARTIR DE CUILAPAN"</f>
        <v>MARTIR DE CUILAPAN</v>
      </c>
      <c r="D140" s="2">
        <v>1</v>
      </c>
      <c r="E140" s="3">
        <v>6.9999999999999999E-4</v>
      </c>
    </row>
    <row r="141" spans="2:5">
      <c r="B141" s="25"/>
      <c r="C141" s="1" t="str">
        <f>"PETATLAN"</f>
        <v>PETATLAN</v>
      </c>
      <c r="D141" s="2">
        <v>1</v>
      </c>
      <c r="E141" s="3">
        <v>6.9999999999999999E-4</v>
      </c>
    </row>
    <row r="142" spans="2:5">
      <c r="B142" s="25"/>
      <c r="C142" s="1" t="str">
        <f>"SAN MIGUEL TOTOLAPAN"</f>
        <v>SAN MIGUEL TOTOLAPAN</v>
      </c>
      <c r="D142" s="2">
        <v>2</v>
      </c>
      <c r="E142" s="3">
        <v>1.2999999999999999E-3</v>
      </c>
    </row>
    <row r="143" spans="2:5">
      <c r="B143" s="25"/>
      <c r="C143" s="1" t="str">
        <f>"TECPAN DE GALEANA"</f>
        <v>TECPAN DE GALEANA</v>
      </c>
      <c r="D143" s="2">
        <v>2</v>
      </c>
      <c r="E143" s="3">
        <v>1.2999999999999999E-3</v>
      </c>
    </row>
    <row r="144" spans="2:5" ht="30">
      <c r="B144" s="25"/>
      <c r="C144" s="1" t="str">
        <f>"TEPECOACUILCO DE TRUJANO"</f>
        <v>TEPECOACUILCO DE TRUJANO</v>
      </c>
      <c r="D144" s="2">
        <v>2</v>
      </c>
      <c r="E144" s="3">
        <v>1.2999999999999999E-3</v>
      </c>
    </row>
    <row r="145" spans="2:5">
      <c r="B145" s="25"/>
      <c r="C145" s="1" t="str">
        <f>"TLACOACHISTLAHUACA"</f>
        <v>TLACOACHISTLAHUACA</v>
      </c>
      <c r="D145" s="2">
        <v>2</v>
      </c>
      <c r="E145" s="3">
        <v>1.2999999999999999E-3</v>
      </c>
    </row>
    <row r="146" spans="2:5">
      <c r="B146" s="25"/>
      <c r="C146" s="1" t="str">
        <f>"TLACOAPA"</f>
        <v>TLACOAPA</v>
      </c>
      <c r="D146" s="2">
        <v>1</v>
      </c>
      <c r="E146" s="3">
        <v>6.9999999999999999E-4</v>
      </c>
    </row>
    <row r="147" spans="2:5">
      <c r="B147" s="25"/>
      <c r="C147" s="1" t="str">
        <f>"TLAPA DE COMONFORT"</f>
        <v>TLAPA DE COMONFORT</v>
      </c>
      <c r="D147" s="2">
        <v>1</v>
      </c>
      <c r="E147" s="3">
        <v>6.9999999999999999E-4</v>
      </c>
    </row>
    <row r="148" spans="2:5">
      <c r="B148" s="25"/>
      <c r="C148" s="1" t="str">
        <f>"ZIRANDARO"</f>
        <v>ZIRANDARO</v>
      </c>
      <c r="D148" s="2">
        <v>2</v>
      </c>
      <c r="E148" s="3">
        <v>1.2999999999999999E-3</v>
      </c>
    </row>
    <row r="149" spans="2:5">
      <c r="B149" s="26"/>
      <c r="C149" s="18" t="str">
        <f>"Total"</f>
        <v>Total</v>
      </c>
      <c r="D149" s="19">
        <v>49</v>
      </c>
      <c r="E149" s="20">
        <v>3.2500000000000001E-2</v>
      </c>
    </row>
    <row r="150" spans="2:5">
      <c r="B150" s="24" t="str">
        <f t="shared" ref="B150" si="8">"HIDALGO"</f>
        <v>HIDALGO</v>
      </c>
      <c r="C150" s="1" t="str">
        <f>"ALFAJAYUCAN"</f>
        <v>ALFAJAYUCAN</v>
      </c>
      <c r="D150" s="2">
        <v>6</v>
      </c>
      <c r="E150" s="3">
        <v>4.0000000000000001E-3</v>
      </c>
    </row>
    <row r="151" spans="2:5">
      <c r="B151" s="25"/>
      <c r="C151" s="1" t="str">
        <f>"APAN"</f>
        <v>APAN</v>
      </c>
      <c r="D151" s="2">
        <v>2</v>
      </c>
      <c r="E151" s="3">
        <v>1.2999999999999999E-3</v>
      </c>
    </row>
    <row r="152" spans="2:5">
      <c r="B152" s="25"/>
      <c r="C152" s="1" t="str">
        <f>"CALNALI"</f>
        <v>CALNALI</v>
      </c>
      <c r="D152" s="2">
        <v>1</v>
      </c>
      <c r="E152" s="3">
        <v>6.9999999999999999E-4</v>
      </c>
    </row>
    <row r="153" spans="2:5">
      <c r="B153" s="25"/>
      <c r="C153" s="1" t="str">
        <f>"CARDONAL"</f>
        <v>CARDONAL</v>
      </c>
      <c r="D153" s="2">
        <v>1</v>
      </c>
      <c r="E153" s="3">
        <v>6.9999999999999999E-4</v>
      </c>
    </row>
    <row r="154" spans="2:5">
      <c r="B154" s="25"/>
      <c r="C154" s="1" t="str">
        <f>"CUAUTEPEC DE HINOJOSA"</f>
        <v>CUAUTEPEC DE HINOJOSA</v>
      </c>
      <c r="D154" s="2">
        <v>1</v>
      </c>
      <c r="E154" s="3">
        <v>6.9999999999999999E-4</v>
      </c>
    </row>
    <row r="155" spans="2:5">
      <c r="B155" s="25"/>
      <c r="C155" s="1" t="str">
        <f>"FRANCISCO I. MADERO"</f>
        <v>FRANCISCO I. MADERO</v>
      </c>
      <c r="D155" s="2">
        <v>1</v>
      </c>
      <c r="E155" s="3">
        <v>6.9999999999999999E-4</v>
      </c>
    </row>
    <row r="156" spans="2:5">
      <c r="B156" s="25"/>
      <c r="C156" s="1" t="str">
        <f>"HUEHUETLA"</f>
        <v>HUEHUETLA</v>
      </c>
      <c r="D156" s="2">
        <v>2</v>
      </c>
      <c r="E156" s="3">
        <v>1.2999999999999999E-3</v>
      </c>
    </row>
    <row r="157" spans="2:5">
      <c r="B157" s="25"/>
      <c r="C157" s="1" t="str">
        <f>"HUICHAPAN"</f>
        <v>HUICHAPAN</v>
      </c>
      <c r="D157" s="2">
        <v>2</v>
      </c>
      <c r="E157" s="3">
        <v>1.2999999999999999E-3</v>
      </c>
    </row>
    <row r="158" spans="2:5">
      <c r="B158" s="25"/>
      <c r="C158" s="1" t="str">
        <f>"IXMIQUILPAN"</f>
        <v>IXMIQUILPAN</v>
      </c>
      <c r="D158" s="2">
        <v>14</v>
      </c>
      <c r="E158" s="3">
        <v>9.2999999999999992E-3</v>
      </c>
    </row>
    <row r="159" spans="2:5">
      <c r="B159" s="25"/>
      <c r="C159" s="1" t="str">
        <f>"LA MISION"</f>
        <v>LA MISION</v>
      </c>
      <c r="D159" s="2">
        <v>4</v>
      </c>
      <c r="E159" s="3">
        <v>2.7000000000000001E-3</v>
      </c>
    </row>
    <row r="160" spans="2:5">
      <c r="B160" s="25"/>
      <c r="C160" s="1" t="str">
        <f>"METZTITLAN"</f>
        <v>METZTITLAN</v>
      </c>
      <c r="D160" s="2">
        <v>2</v>
      </c>
      <c r="E160" s="3">
        <v>1.2999999999999999E-3</v>
      </c>
    </row>
    <row r="161" spans="2:5">
      <c r="B161" s="25"/>
      <c r="C161" s="1" t="str">
        <f>"NICOLAS FLORES"</f>
        <v>NICOLAS FLORES</v>
      </c>
      <c r="D161" s="2">
        <v>1</v>
      </c>
      <c r="E161" s="3">
        <v>6.9999999999999999E-4</v>
      </c>
    </row>
    <row r="162" spans="2:5">
      <c r="B162" s="25"/>
      <c r="C162" s="1" t="str">
        <f>"NOPALA DE VILLAGRAN"</f>
        <v>NOPALA DE VILLAGRAN</v>
      </c>
      <c r="D162" s="2">
        <v>1</v>
      </c>
      <c r="E162" s="3">
        <v>6.9999999999999999E-4</v>
      </c>
    </row>
    <row r="163" spans="2:5">
      <c r="B163" s="25"/>
      <c r="C163" s="1" t="str">
        <f>"PACHUCA DE SOTO"</f>
        <v>PACHUCA DE SOTO</v>
      </c>
      <c r="D163" s="2">
        <v>5</v>
      </c>
      <c r="E163" s="3">
        <v>3.3E-3</v>
      </c>
    </row>
    <row r="164" spans="2:5">
      <c r="B164" s="25"/>
      <c r="C164" s="1" t="str">
        <f>"PROGRESO DE OBREGON"</f>
        <v>PROGRESO DE OBREGON</v>
      </c>
      <c r="D164" s="2">
        <v>1</v>
      </c>
      <c r="E164" s="3">
        <v>6.9999999999999999E-4</v>
      </c>
    </row>
    <row r="165" spans="2:5">
      <c r="B165" s="25"/>
      <c r="C165" s="1" t="str">
        <f>"SAN BARTOLO TUTOTEPEC"</f>
        <v>SAN BARTOLO TUTOTEPEC</v>
      </c>
      <c r="D165" s="2">
        <v>1</v>
      </c>
      <c r="E165" s="3">
        <v>6.9999999999999999E-4</v>
      </c>
    </row>
    <row r="166" spans="2:5">
      <c r="B166" s="25"/>
      <c r="C166" s="1" t="str">
        <f>"SAN SALVADOR"</f>
        <v>SAN SALVADOR</v>
      </c>
      <c r="D166" s="2">
        <v>1</v>
      </c>
      <c r="E166" s="3">
        <v>6.9999999999999999E-4</v>
      </c>
    </row>
    <row r="167" spans="2:5">
      <c r="B167" s="25"/>
      <c r="C167" s="1" t="str">
        <f>"TASQUILLO"</f>
        <v>TASQUILLO</v>
      </c>
      <c r="D167" s="2">
        <v>2</v>
      </c>
      <c r="E167" s="3">
        <v>1.2999999999999999E-3</v>
      </c>
    </row>
    <row r="168" spans="2:5">
      <c r="B168" s="25"/>
      <c r="C168" s="1" t="str">
        <f>"TENANGO DE DORIA"</f>
        <v>TENANGO DE DORIA</v>
      </c>
      <c r="D168" s="2">
        <v>5</v>
      </c>
      <c r="E168" s="3">
        <v>3.3E-3</v>
      </c>
    </row>
    <row r="169" spans="2:5">
      <c r="B169" s="25"/>
      <c r="C169" s="1" t="str">
        <f>"TEPEJI DEL RIO DE OCAMPO"</f>
        <v>TEPEJI DEL RIO DE OCAMPO</v>
      </c>
      <c r="D169" s="2">
        <v>13</v>
      </c>
      <c r="E169" s="3">
        <v>8.6E-3</v>
      </c>
    </row>
    <row r="170" spans="2:5">
      <c r="B170" s="25"/>
      <c r="C170" s="1" t="str">
        <f>"TEZONTEPEC DE ALDAMA"</f>
        <v>TEZONTEPEC DE ALDAMA</v>
      </c>
      <c r="D170" s="2">
        <v>1</v>
      </c>
      <c r="E170" s="3">
        <v>6.9999999999999999E-4</v>
      </c>
    </row>
    <row r="171" spans="2:5">
      <c r="B171" s="25"/>
      <c r="C171" s="1" t="str">
        <f>"TIANGUISTENGO"</f>
        <v>TIANGUISTENGO</v>
      </c>
      <c r="D171" s="2">
        <v>1</v>
      </c>
      <c r="E171" s="3">
        <v>6.9999999999999999E-4</v>
      </c>
    </row>
    <row r="172" spans="2:5">
      <c r="B172" s="25"/>
      <c r="C172" s="1" t="str">
        <f>"TLAHUELILPAN"</f>
        <v>TLAHUELILPAN</v>
      </c>
      <c r="D172" s="2">
        <v>1</v>
      </c>
      <c r="E172" s="3">
        <v>6.9999999999999999E-4</v>
      </c>
    </row>
    <row r="173" spans="2:5">
      <c r="B173" s="25"/>
      <c r="C173" s="1" t="str">
        <f>"TLANCHINOL"</f>
        <v>TLANCHINOL</v>
      </c>
      <c r="D173" s="2">
        <v>2</v>
      </c>
      <c r="E173" s="3">
        <v>1.2999999999999999E-3</v>
      </c>
    </row>
    <row r="174" spans="2:5">
      <c r="B174" s="25"/>
      <c r="C174" s="1" t="str">
        <f>"TULA DE ALLENDE"</f>
        <v>TULA DE ALLENDE</v>
      </c>
      <c r="D174" s="2">
        <v>2</v>
      </c>
      <c r="E174" s="3">
        <v>1.2999999999999999E-3</v>
      </c>
    </row>
    <row r="175" spans="2:5">
      <c r="B175" s="26"/>
      <c r="C175" s="18" t="str">
        <f>"Total"</f>
        <v>Total</v>
      </c>
      <c r="D175" s="19">
        <v>73</v>
      </c>
      <c r="E175" s="20">
        <v>4.8399999999999999E-2</v>
      </c>
    </row>
    <row r="176" spans="2:5">
      <c r="B176" s="24" t="str">
        <f t="shared" ref="B176" si="9">"JALISCO"</f>
        <v>JALISCO</v>
      </c>
      <c r="C176" s="1" t="str">
        <f>"ARANDAS"</f>
        <v>ARANDAS</v>
      </c>
      <c r="D176" s="2">
        <v>1</v>
      </c>
      <c r="E176" s="3">
        <v>6.9999999999999999E-4</v>
      </c>
    </row>
    <row r="177" spans="2:5">
      <c r="B177" s="25"/>
      <c r="C177" s="1" t="str">
        <f>"AUTLAN DE NAVARRO"</f>
        <v>AUTLAN DE NAVARRO</v>
      </c>
      <c r="D177" s="2">
        <v>1</v>
      </c>
      <c r="E177" s="3">
        <v>6.9999999999999999E-4</v>
      </c>
    </row>
    <row r="178" spans="2:5">
      <c r="B178" s="25"/>
      <c r="C178" s="1" t="str">
        <f>"AYOTLAN"</f>
        <v>AYOTLAN</v>
      </c>
      <c r="D178" s="2">
        <v>2</v>
      </c>
      <c r="E178" s="3">
        <v>1.2999999999999999E-3</v>
      </c>
    </row>
    <row r="179" spans="2:5">
      <c r="B179" s="25"/>
      <c r="C179" s="1" t="str">
        <f>"COLOTLAN"</f>
        <v>COLOTLAN</v>
      </c>
      <c r="D179" s="2">
        <v>1</v>
      </c>
      <c r="E179" s="3">
        <v>6.9999999999999999E-4</v>
      </c>
    </row>
    <row r="180" spans="2:5">
      <c r="B180" s="25"/>
      <c r="C180" s="1" t="str">
        <f>"DEGOLLADO"</f>
        <v>DEGOLLADO</v>
      </c>
      <c r="D180" s="2">
        <v>2</v>
      </c>
      <c r="E180" s="3">
        <v>1.2999999999999999E-3</v>
      </c>
    </row>
    <row r="181" spans="2:5">
      <c r="B181" s="25"/>
      <c r="C181" s="1" t="str">
        <f>"GUADALAJARA"</f>
        <v>GUADALAJARA</v>
      </c>
      <c r="D181" s="2">
        <v>19</v>
      </c>
      <c r="E181" s="3">
        <v>1.26E-2</v>
      </c>
    </row>
    <row r="182" spans="2:5">
      <c r="B182" s="25"/>
      <c r="C182" s="1" t="str">
        <f>"HOSTOTIPAQUILLO"</f>
        <v>HOSTOTIPAQUILLO</v>
      </c>
      <c r="D182" s="2">
        <v>1</v>
      </c>
      <c r="E182" s="3">
        <v>6.9999999999999999E-4</v>
      </c>
    </row>
    <row r="183" spans="2:5">
      <c r="B183" s="25"/>
      <c r="C183" s="1" t="str">
        <f>"JESUS MARIA"</f>
        <v>JESUS MARIA</v>
      </c>
      <c r="D183" s="2">
        <v>10</v>
      </c>
      <c r="E183" s="3">
        <v>6.6E-3</v>
      </c>
    </row>
    <row r="184" spans="2:5">
      <c r="B184" s="25"/>
      <c r="C184" s="1" t="str">
        <f>"JILOTLAN DE LOS DOLORES"</f>
        <v>JILOTLAN DE LOS DOLORES</v>
      </c>
      <c r="D184" s="2">
        <v>1</v>
      </c>
      <c r="E184" s="3">
        <v>6.9999999999999999E-4</v>
      </c>
    </row>
    <row r="185" spans="2:5">
      <c r="B185" s="25"/>
      <c r="C185" s="1" t="str">
        <f>"LA HUERTA"</f>
        <v>LA HUERTA</v>
      </c>
      <c r="D185" s="2">
        <v>1</v>
      </c>
      <c r="E185" s="3">
        <v>6.9999999999999999E-4</v>
      </c>
    </row>
    <row r="186" spans="2:5">
      <c r="B186" s="25"/>
      <c r="C186" s="1" t="str">
        <f>"MAGDALENA"</f>
        <v>MAGDALENA</v>
      </c>
      <c r="D186" s="2">
        <v>1</v>
      </c>
      <c r="E186" s="3">
        <v>6.9999999999999999E-4</v>
      </c>
    </row>
    <row r="187" spans="2:5">
      <c r="B187" s="25"/>
      <c r="C187" s="1" t="str">
        <f>"TAMAZULA DE GORDIANO"</f>
        <v>TAMAZULA DE GORDIANO</v>
      </c>
      <c r="D187" s="2">
        <v>3</v>
      </c>
      <c r="E187" s="3">
        <v>2E-3</v>
      </c>
    </row>
    <row r="188" spans="2:5">
      <c r="B188" s="25"/>
      <c r="C188" s="1" t="str">
        <f>"TECALITLAN"</f>
        <v>TECALITLAN</v>
      </c>
      <c r="D188" s="2">
        <v>1</v>
      </c>
      <c r="E188" s="3">
        <v>6.9999999999999999E-4</v>
      </c>
    </row>
    <row r="189" spans="2:5">
      <c r="B189" s="25"/>
      <c r="C189" s="1" t="str">
        <f>"TEQUILA"</f>
        <v>TEQUILA</v>
      </c>
      <c r="D189" s="2">
        <v>8</v>
      </c>
      <c r="E189" s="3">
        <v>5.3E-3</v>
      </c>
    </row>
    <row r="190" spans="2:5">
      <c r="B190" s="25"/>
      <c r="C190" s="1" t="str">
        <f>"TOMATLAN"</f>
        <v>TOMATLAN</v>
      </c>
      <c r="D190" s="2">
        <v>1</v>
      </c>
      <c r="E190" s="3">
        <v>6.9999999999999999E-4</v>
      </c>
    </row>
    <row r="191" spans="2:5">
      <c r="B191" s="25"/>
      <c r="C191" s="1" t="str">
        <f>"TONALA"</f>
        <v>TONALA</v>
      </c>
      <c r="D191" s="2">
        <v>1</v>
      </c>
      <c r="E191" s="3">
        <v>6.9999999999999999E-4</v>
      </c>
    </row>
    <row r="192" spans="2:5">
      <c r="B192" s="25"/>
      <c r="C192" s="1" t="str">
        <f>"VILLA GUERRERO"</f>
        <v>VILLA GUERRERO</v>
      </c>
      <c r="D192" s="2">
        <v>1</v>
      </c>
      <c r="E192" s="3">
        <v>6.9999999999999999E-4</v>
      </c>
    </row>
    <row r="193" spans="2:5" ht="30">
      <c r="B193" s="25"/>
      <c r="C193" s="1" t="str">
        <f>"YAHUALICA DE GONZALEZ GALLO"</f>
        <v>YAHUALICA DE GONZALEZ GALLO</v>
      </c>
      <c r="D193" s="2">
        <v>1</v>
      </c>
      <c r="E193" s="3">
        <v>6.9999999999999999E-4</v>
      </c>
    </row>
    <row r="194" spans="2:5">
      <c r="B194" s="25"/>
      <c r="C194" s="1" t="str">
        <f>"ZAPOPAN"</f>
        <v>ZAPOPAN</v>
      </c>
      <c r="D194" s="2">
        <v>1</v>
      </c>
      <c r="E194" s="3">
        <v>6.9999999999999999E-4</v>
      </c>
    </row>
    <row r="195" spans="2:5">
      <c r="B195" s="25"/>
      <c r="C195" s="1" t="str">
        <f>"ZAPOTLANEJO"</f>
        <v>ZAPOTLANEJO</v>
      </c>
      <c r="D195" s="2">
        <v>3</v>
      </c>
      <c r="E195" s="3">
        <v>2E-3</v>
      </c>
    </row>
    <row r="196" spans="2:5">
      <c r="B196" s="26"/>
      <c r="C196" s="18" t="str">
        <f>"Total"</f>
        <v>Total</v>
      </c>
      <c r="D196" s="19">
        <v>60</v>
      </c>
      <c r="E196" s="20">
        <v>3.9800000000000002E-2</v>
      </c>
    </row>
    <row r="197" spans="2:5">
      <c r="B197" s="24" t="str">
        <f t="shared" ref="B197" si="10">"MEXICO"</f>
        <v>MEXICO</v>
      </c>
      <c r="C197" s="1" t="str">
        <f>"ACAMBAY"</f>
        <v>ACAMBAY</v>
      </c>
      <c r="D197" s="2">
        <v>1</v>
      </c>
      <c r="E197" s="3">
        <v>6.9999999999999999E-4</v>
      </c>
    </row>
    <row r="198" spans="2:5">
      <c r="B198" s="25"/>
      <c r="C198" s="1" t="str">
        <f>"ACULCO"</f>
        <v>ACULCO</v>
      </c>
      <c r="D198" s="2">
        <v>1</v>
      </c>
      <c r="E198" s="3">
        <v>6.9999999999999999E-4</v>
      </c>
    </row>
    <row r="199" spans="2:5">
      <c r="B199" s="25"/>
      <c r="C199" s="1" t="str">
        <f>"ALMOLOYA DE JUAREZ"</f>
        <v>ALMOLOYA DE JUAREZ</v>
      </c>
      <c r="D199" s="2">
        <v>1</v>
      </c>
      <c r="E199" s="3">
        <v>6.9999999999999999E-4</v>
      </c>
    </row>
    <row r="200" spans="2:5">
      <c r="B200" s="25"/>
      <c r="C200" s="1" t="str">
        <f>"ATLACOMULCO"</f>
        <v>ATLACOMULCO</v>
      </c>
      <c r="D200" s="2">
        <v>1</v>
      </c>
      <c r="E200" s="3">
        <v>6.9999999999999999E-4</v>
      </c>
    </row>
    <row r="201" spans="2:5">
      <c r="B201" s="25"/>
      <c r="C201" s="1" t="str">
        <f>"AXAPUSCO"</f>
        <v>AXAPUSCO</v>
      </c>
      <c r="D201" s="2">
        <v>1</v>
      </c>
      <c r="E201" s="3">
        <v>6.9999999999999999E-4</v>
      </c>
    </row>
    <row r="202" spans="2:5">
      <c r="B202" s="25"/>
      <c r="C202" s="1" t="str">
        <f>"COACALCO DE BERRIOZABAL"</f>
        <v>COACALCO DE BERRIOZABAL</v>
      </c>
      <c r="D202" s="2">
        <v>2</v>
      </c>
      <c r="E202" s="3">
        <v>1.2999999999999999E-3</v>
      </c>
    </row>
    <row r="203" spans="2:5">
      <c r="B203" s="25"/>
      <c r="C203" s="1" t="str">
        <f>"CUAUTITLAN"</f>
        <v>CUAUTITLAN</v>
      </c>
      <c r="D203" s="2">
        <v>1</v>
      </c>
      <c r="E203" s="3">
        <v>6.9999999999999999E-4</v>
      </c>
    </row>
    <row r="204" spans="2:5">
      <c r="B204" s="25"/>
      <c r="C204" s="1" t="str">
        <f>"ECATEPEC DE MORELOS"</f>
        <v>ECATEPEC DE MORELOS</v>
      </c>
      <c r="D204" s="2">
        <v>2</v>
      </c>
      <c r="E204" s="3">
        <v>1.2999999999999999E-3</v>
      </c>
    </row>
    <row r="205" spans="2:5">
      <c r="B205" s="25"/>
      <c r="C205" s="1" t="str">
        <f>"EL ORO"</f>
        <v>EL ORO</v>
      </c>
      <c r="D205" s="2">
        <v>6</v>
      </c>
      <c r="E205" s="3">
        <v>4.0000000000000001E-3</v>
      </c>
    </row>
    <row r="206" spans="2:5">
      <c r="B206" s="25"/>
      <c r="C206" s="1" t="str">
        <f>"HUEHUETOCA"</f>
        <v>HUEHUETOCA</v>
      </c>
      <c r="D206" s="2">
        <v>2</v>
      </c>
      <c r="E206" s="3">
        <v>1.2999999999999999E-3</v>
      </c>
    </row>
    <row r="207" spans="2:5">
      <c r="B207" s="25"/>
      <c r="C207" s="1" t="str">
        <f>"IXTAPAN DE LA SAL"</f>
        <v>IXTAPAN DE LA SAL</v>
      </c>
      <c r="D207" s="2">
        <v>1</v>
      </c>
      <c r="E207" s="3">
        <v>6.9999999999999999E-4</v>
      </c>
    </row>
    <row r="208" spans="2:5">
      <c r="B208" s="25"/>
      <c r="C208" s="1" t="str">
        <f>"IXTLAHUACA"</f>
        <v>IXTLAHUACA</v>
      </c>
      <c r="D208" s="2">
        <v>1</v>
      </c>
      <c r="E208" s="3">
        <v>6.9999999999999999E-4</v>
      </c>
    </row>
    <row r="209" spans="2:5">
      <c r="B209" s="25"/>
      <c r="C209" s="1" t="str">
        <f>"JALTENCO"</f>
        <v>JALTENCO</v>
      </c>
      <c r="D209" s="2">
        <v>2</v>
      </c>
      <c r="E209" s="3">
        <v>1.2999999999999999E-3</v>
      </c>
    </row>
    <row r="210" spans="2:5">
      <c r="B210" s="25"/>
      <c r="C210" s="1" t="str">
        <f>"JOQUICINGO"</f>
        <v>JOQUICINGO</v>
      </c>
      <c r="D210" s="2">
        <v>1</v>
      </c>
      <c r="E210" s="3">
        <v>6.9999999999999999E-4</v>
      </c>
    </row>
    <row r="211" spans="2:5">
      <c r="B211" s="25"/>
      <c r="C211" s="1" t="str">
        <f>"LA PAZ"</f>
        <v>LA PAZ</v>
      </c>
      <c r="D211" s="2">
        <v>1</v>
      </c>
      <c r="E211" s="3">
        <v>6.9999999999999999E-4</v>
      </c>
    </row>
    <row r="212" spans="2:5">
      <c r="B212" s="25"/>
      <c r="C212" s="1" t="str">
        <f>"MALINALCO"</f>
        <v>MALINALCO</v>
      </c>
      <c r="D212" s="2">
        <v>1</v>
      </c>
      <c r="E212" s="3">
        <v>6.9999999999999999E-4</v>
      </c>
    </row>
    <row r="213" spans="2:5">
      <c r="B213" s="25"/>
      <c r="C213" s="1" t="str">
        <f>"NAUCALPAN DE JUAREZ"</f>
        <v>NAUCALPAN DE JUAREZ</v>
      </c>
      <c r="D213" s="2">
        <v>5</v>
      </c>
      <c r="E213" s="3">
        <v>3.3E-3</v>
      </c>
    </row>
    <row r="214" spans="2:5">
      <c r="B214" s="25"/>
      <c r="C214" s="1" t="str">
        <f>"NEXTLALPAN"</f>
        <v>NEXTLALPAN</v>
      </c>
      <c r="D214" s="2">
        <v>1</v>
      </c>
      <c r="E214" s="3">
        <v>6.9999999999999999E-4</v>
      </c>
    </row>
    <row r="215" spans="2:5">
      <c r="B215" s="25"/>
      <c r="C215" s="1" t="str">
        <f>"NEZAHUALCOYOTL"</f>
        <v>NEZAHUALCOYOTL</v>
      </c>
      <c r="D215" s="2">
        <v>10</v>
      </c>
      <c r="E215" s="3">
        <v>6.6E-3</v>
      </c>
    </row>
    <row r="216" spans="2:5">
      <c r="B216" s="25"/>
      <c r="C216" s="1" t="str">
        <f>"OCUILAN"</f>
        <v>OCUILAN</v>
      </c>
      <c r="D216" s="2">
        <v>1</v>
      </c>
      <c r="E216" s="3">
        <v>6.9999999999999999E-4</v>
      </c>
    </row>
    <row r="217" spans="2:5">
      <c r="B217" s="25"/>
      <c r="C217" s="1" t="str">
        <f>"OTUMBA"</f>
        <v>OTUMBA</v>
      </c>
      <c r="D217" s="2">
        <v>1</v>
      </c>
      <c r="E217" s="3">
        <v>6.9999999999999999E-4</v>
      </c>
    </row>
    <row r="218" spans="2:5">
      <c r="B218" s="25"/>
      <c r="C218" s="1" t="str">
        <f>"SAN FELIPE DEL PROGRESO"</f>
        <v>SAN FELIPE DEL PROGRESO</v>
      </c>
      <c r="D218" s="2">
        <v>2</v>
      </c>
      <c r="E218" s="3">
        <v>1.2999999999999999E-3</v>
      </c>
    </row>
    <row r="219" spans="2:5" ht="30">
      <c r="B219" s="25"/>
      <c r="C219" s="1" t="str">
        <f>"SAN MARTIN DE LAS PIRAMIDES"</f>
        <v>SAN MARTIN DE LAS PIRAMIDES</v>
      </c>
      <c r="D219" s="2">
        <v>1</v>
      </c>
      <c r="E219" s="3">
        <v>6.9999999999999999E-4</v>
      </c>
    </row>
    <row r="220" spans="2:5">
      <c r="B220" s="25"/>
      <c r="C220" s="1" t="str">
        <f>"SULTEPEC"</f>
        <v>SULTEPEC</v>
      </c>
      <c r="D220" s="2">
        <v>1</v>
      </c>
      <c r="E220" s="3">
        <v>6.9999999999999999E-4</v>
      </c>
    </row>
    <row r="221" spans="2:5">
      <c r="B221" s="25"/>
      <c r="C221" s="1" t="str">
        <f>"TECAMAC"</f>
        <v>TECAMAC</v>
      </c>
      <c r="D221" s="2">
        <v>1</v>
      </c>
      <c r="E221" s="3">
        <v>6.9999999999999999E-4</v>
      </c>
    </row>
    <row r="222" spans="2:5">
      <c r="B222" s="25"/>
      <c r="C222" s="1" t="str">
        <f>"TEJUPILCO"</f>
        <v>TEJUPILCO</v>
      </c>
      <c r="D222" s="2">
        <v>4</v>
      </c>
      <c r="E222" s="3">
        <v>2.7000000000000001E-3</v>
      </c>
    </row>
    <row r="223" spans="2:5">
      <c r="B223" s="25"/>
      <c r="C223" s="1" t="str">
        <f>"TENANCINGO"</f>
        <v>TENANCINGO</v>
      </c>
      <c r="D223" s="2">
        <v>1</v>
      </c>
      <c r="E223" s="3">
        <v>6.9999999999999999E-4</v>
      </c>
    </row>
    <row r="224" spans="2:5">
      <c r="B224" s="25"/>
      <c r="C224" s="1" t="str">
        <f>"TEOLOYUCAN"</f>
        <v>TEOLOYUCAN</v>
      </c>
      <c r="D224" s="2">
        <v>1</v>
      </c>
      <c r="E224" s="3">
        <v>6.9999999999999999E-4</v>
      </c>
    </row>
    <row r="225" spans="2:5">
      <c r="B225" s="25"/>
      <c r="C225" s="1" t="str">
        <f>"TEXCOCO"</f>
        <v>TEXCOCO</v>
      </c>
      <c r="D225" s="2">
        <v>3</v>
      </c>
      <c r="E225" s="3">
        <v>2E-3</v>
      </c>
    </row>
    <row r="226" spans="2:5">
      <c r="B226" s="25"/>
      <c r="C226" s="1" t="str">
        <f>"TLALNEPANTLA DE BAZ"</f>
        <v>TLALNEPANTLA DE BAZ</v>
      </c>
      <c r="D226" s="2">
        <v>8</v>
      </c>
      <c r="E226" s="3">
        <v>5.3E-3</v>
      </c>
    </row>
    <row r="227" spans="2:5">
      <c r="B227" s="25"/>
      <c r="C227" s="1" t="str">
        <f>"TULTEPEC"</f>
        <v>TULTEPEC</v>
      </c>
      <c r="D227" s="2">
        <v>1</v>
      </c>
      <c r="E227" s="3">
        <v>6.9999999999999999E-4</v>
      </c>
    </row>
    <row r="228" spans="2:5">
      <c r="B228" s="25"/>
      <c r="C228" s="1" t="str">
        <f>"VALLE DE BRAVO"</f>
        <v>VALLE DE BRAVO</v>
      </c>
      <c r="D228" s="2">
        <v>2</v>
      </c>
      <c r="E228" s="3">
        <v>1.2999999999999999E-3</v>
      </c>
    </row>
    <row r="229" spans="2:5" ht="30">
      <c r="B229" s="25"/>
      <c r="C229" s="1" t="str">
        <f>"VALLE DE CHALCO SOLIDARIDAD"</f>
        <v>VALLE DE CHALCO SOLIDARIDAD</v>
      </c>
      <c r="D229" s="2">
        <v>1</v>
      </c>
      <c r="E229" s="3">
        <v>6.9999999999999999E-4</v>
      </c>
    </row>
    <row r="230" spans="2:5">
      <c r="B230" s="25"/>
      <c r="C230" s="1" t="str">
        <f>"VILLA DEL CARBON"</f>
        <v>VILLA DEL CARBON</v>
      </c>
      <c r="D230" s="2">
        <v>1</v>
      </c>
      <c r="E230" s="3">
        <v>6.9999999999999999E-4</v>
      </c>
    </row>
    <row r="231" spans="2:5">
      <c r="B231" s="26"/>
      <c r="C231" s="18" t="str">
        <f>"Total"</f>
        <v>Total</v>
      </c>
      <c r="D231" s="19">
        <v>70</v>
      </c>
      <c r="E231" s="20">
        <v>4.6399999999999997E-2</v>
      </c>
    </row>
    <row r="232" spans="2:5">
      <c r="B232" s="24" t="str">
        <f t="shared" ref="B232" si="11">"MICHOACAN DE OCAMPO"</f>
        <v>MICHOACAN DE OCAMPO</v>
      </c>
      <c r="C232" s="1" t="str">
        <f>"AGUILILLA"</f>
        <v>AGUILILLA</v>
      </c>
      <c r="D232" s="2">
        <v>1</v>
      </c>
      <c r="E232" s="3">
        <v>6.9999999999999999E-4</v>
      </c>
    </row>
    <row r="233" spans="2:5">
      <c r="B233" s="25"/>
      <c r="C233" s="1" t="str">
        <f>"ANGANGUEO"</f>
        <v>ANGANGUEO</v>
      </c>
      <c r="D233" s="2">
        <v>1</v>
      </c>
      <c r="E233" s="3">
        <v>6.9999999999999999E-4</v>
      </c>
    </row>
    <row r="234" spans="2:5">
      <c r="B234" s="25"/>
      <c r="C234" s="1" t="str">
        <f>"APATZINGAN"</f>
        <v>APATZINGAN</v>
      </c>
      <c r="D234" s="2">
        <v>12</v>
      </c>
      <c r="E234" s="3">
        <v>8.0000000000000002E-3</v>
      </c>
    </row>
    <row r="235" spans="2:5">
      <c r="B235" s="25"/>
      <c r="C235" s="1" t="str">
        <f>"APORO"</f>
        <v>APORO</v>
      </c>
      <c r="D235" s="2">
        <v>1</v>
      </c>
      <c r="E235" s="3">
        <v>6.9999999999999999E-4</v>
      </c>
    </row>
    <row r="236" spans="2:5">
      <c r="B236" s="25"/>
      <c r="C236" s="1" t="str">
        <f>"CHURINTZIO"</f>
        <v>CHURINTZIO</v>
      </c>
      <c r="D236" s="2">
        <v>5</v>
      </c>
      <c r="E236" s="3">
        <v>3.3E-3</v>
      </c>
    </row>
    <row r="237" spans="2:5">
      <c r="B237" s="25"/>
      <c r="C237" s="1" t="str">
        <f>"CONTEPEC"</f>
        <v>CONTEPEC</v>
      </c>
      <c r="D237" s="2">
        <v>1</v>
      </c>
      <c r="E237" s="3">
        <v>6.9999999999999999E-4</v>
      </c>
    </row>
    <row r="238" spans="2:5">
      <c r="B238" s="25"/>
      <c r="C238" s="1" t="str">
        <f>"COTIJA"</f>
        <v>COTIJA</v>
      </c>
      <c r="D238" s="2">
        <v>3</v>
      </c>
      <c r="E238" s="3">
        <v>2E-3</v>
      </c>
    </row>
    <row r="239" spans="2:5">
      <c r="B239" s="25"/>
      <c r="C239" s="1" t="str">
        <f>"EPITACIO HUERTA"</f>
        <v>EPITACIO HUERTA</v>
      </c>
      <c r="D239" s="2">
        <v>3</v>
      </c>
      <c r="E239" s="3">
        <v>2E-3</v>
      </c>
    </row>
    <row r="240" spans="2:5">
      <c r="B240" s="25"/>
      <c r="C240" s="1" t="str">
        <f>"HIDALGO"</f>
        <v>HIDALGO</v>
      </c>
      <c r="D240" s="2">
        <v>7</v>
      </c>
      <c r="E240" s="3">
        <v>4.5999999999999999E-3</v>
      </c>
    </row>
    <row r="241" spans="2:5">
      <c r="B241" s="25"/>
      <c r="C241" s="1" t="str">
        <f>"HUETAMO"</f>
        <v>HUETAMO</v>
      </c>
      <c r="D241" s="2">
        <v>4</v>
      </c>
      <c r="E241" s="3">
        <v>2.7000000000000001E-3</v>
      </c>
    </row>
    <row r="242" spans="2:5">
      <c r="B242" s="25"/>
      <c r="C242" s="1" t="str">
        <f>"JACONA"</f>
        <v>JACONA</v>
      </c>
      <c r="D242" s="2">
        <v>1</v>
      </c>
      <c r="E242" s="3">
        <v>6.9999999999999999E-4</v>
      </c>
    </row>
    <row r="243" spans="2:5">
      <c r="B243" s="25"/>
      <c r="C243" s="1" t="str">
        <f>"LA HUACANA"</f>
        <v>LA HUACANA</v>
      </c>
      <c r="D243" s="2">
        <v>1</v>
      </c>
      <c r="E243" s="3">
        <v>6.9999999999999999E-4</v>
      </c>
    </row>
    <row r="244" spans="2:5">
      <c r="B244" s="25"/>
      <c r="C244" s="1" t="str">
        <f>"LA PIEDAD"</f>
        <v>LA PIEDAD</v>
      </c>
      <c r="D244" s="2">
        <v>5</v>
      </c>
      <c r="E244" s="3">
        <v>3.3E-3</v>
      </c>
    </row>
    <row r="245" spans="2:5">
      <c r="B245" s="25"/>
      <c r="C245" s="1" t="str">
        <f>"MADERO"</f>
        <v>MADERO</v>
      </c>
      <c r="D245" s="2">
        <v>2</v>
      </c>
      <c r="E245" s="3">
        <v>1.2999999999999999E-3</v>
      </c>
    </row>
    <row r="246" spans="2:5">
      <c r="B246" s="25"/>
      <c r="C246" s="1" t="str">
        <f>"MARAVATIO"</f>
        <v>MARAVATIO</v>
      </c>
      <c r="D246" s="2">
        <v>7</v>
      </c>
      <c r="E246" s="3">
        <v>4.5999999999999999E-3</v>
      </c>
    </row>
    <row r="247" spans="2:5">
      <c r="B247" s="25"/>
      <c r="C247" s="1" t="str">
        <f>"MORELIA"</f>
        <v>MORELIA</v>
      </c>
      <c r="D247" s="2">
        <v>3</v>
      </c>
      <c r="E247" s="3">
        <v>2E-3</v>
      </c>
    </row>
    <row r="248" spans="2:5">
      <c r="B248" s="25"/>
      <c r="C248" s="1" t="str">
        <f>"MUGICA"</f>
        <v>MUGICA</v>
      </c>
      <c r="D248" s="2">
        <v>1</v>
      </c>
      <c r="E248" s="3">
        <v>6.9999999999999999E-4</v>
      </c>
    </row>
    <row r="249" spans="2:5">
      <c r="B249" s="25"/>
      <c r="C249" s="1" t="str">
        <f>"NAHUATZEN"</f>
        <v>NAHUATZEN</v>
      </c>
      <c r="D249" s="2">
        <v>2</v>
      </c>
      <c r="E249" s="3">
        <v>1.2999999999999999E-3</v>
      </c>
    </row>
    <row r="250" spans="2:5">
      <c r="B250" s="25"/>
      <c r="C250" s="1" t="str">
        <f>"OCAMPO"</f>
        <v>OCAMPO</v>
      </c>
      <c r="D250" s="2">
        <v>1</v>
      </c>
      <c r="E250" s="3">
        <v>6.9999999999999999E-4</v>
      </c>
    </row>
    <row r="251" spans="2:5">
      <c r="B251" s="25"/>
      <c r="C251" s="1" t="str">
        <f>"PARACUARO"</f>
        <v>PARACUARO</v>
      </c>
      <c r="D251" s="2">
        <v>1</v>
      </c>
      <c r="E251" s="3">
        <v>6.9999999999999999E-4</v>
      </c>
    </row>
    <row r="252" spans="2:5">
      <c r="B252" s="25"/>
      <c r="C252" s="1" t="str">
        <f>"PATZCUARO"</f>
        <v>PATZCUARO</v>
      </c>
      <c r="D252" s="2">
        <v>1</v>
      </c>
      <c r="E252" s="3">
        <v>6.9999999999999999E-4</v>
      </c>
    </row>
    <row r="253" spans="2:5">
      <c r="B253" s="25"/>
      <c r="C253" s="1" t="str">
        <f>"PUREPERO"</f>
        <v>PUREPERO</v>
      </c>
      <c r="D253" s="2">
        <v>1</v>
      </c>
      <c r="E253" s="3">
        <v>6.9999999999999999E-4</v>
      </c>
    </row>
    <row r="254" spans="2:5">
      <c r="B254" s="25"/>
      <c r="C254" s="1" t="str">
        <f>"PURUANDIRO"</f>
        <v>PURUANDIRO</v>
      </c>
      <c r="D254" s="2">
        <v>1</v>
      </c>
      <c r="E254" s="3">
        <v>6.9999999999999999E-4</v>
      </c>
    </row>
    <row r="255" spans="2:5">
      <c r="B255" s="25"/>
      <c r="C255" s="1" t="str">
        <f>"SENGUIO"</f>
        <v>SENGUIO</v>
      </c>
      <c r="D255" s="2">
        <v>1</v>
      </c>
      <c r="E255" s="3">
        <v>6.9999999999999999E-4</v>
      </c>
    </row>
    <row r="256" spans="2:5">
      <c r="B256" s="25"/>
      <c r="C256" s="1" t="str">
        <f>"TANHUATO"</f>
        <v>TANHUATO</v>
      </c>
      <c r="D256" s="2">
        <v>1</v>
      </c>
      <c r="E256" s="3">
        <v>6.9999999999999999E-4</v>
      </c>
    </row>
    <row r="257" spans="2:5">
      <c r="B257" s="25"/>
      <c r="C257" s="1" t="str">
        <f>"TUMBISCATIO"</f>
        <v>TUMBISCATIO</v>
      </c>
      <c r="D257" s="2">
        <v>1</v>
      </c>
      <c r="E257" s="3">
        <v>6.9999999999999999E-4</v>
      </c>
    </row>
    <row r="258" spans="2:5">
      <c r="B258" s="25"/>
      <c r="C258" s="1" t="str">
        <f>"TUZANTLA"</f>
        <v>TUZANTLA</v>
      </c>
      <c r="D258" s="2">
        <v>2</v>
      </c>
      <c r="E258" s="3">
        <v>1.2999999999999999E-3</v>
      </c>
    </row>
    <row r="259" spans="2:5">
      <c r="B259" s="25"/>
      <c r="C259" s="1" t="str">
        <f>"URUAPAN"</f>
        <v>URUAPAN</v>
      </c>
      <c r="D259" s="2">
        <v>2</v>
      </c>
      <c r="E259" s="3">
        <v>1.2999999999999999E-3</v>
      </c>
    </row>
    <row r="260" spans="2:5">
      <c r="B260" s="25"/>
      <c r="C260" s="1" t="str">
        <f>"VISTA HERMOSA"</f>
        <v>VISTA HERMOSA</v>
      </c>
      <c r="D260" s="2">
        <v>1</v>
      </c>
      <c r="E260" s="3">
        <v>6.9999999999999999E-4</v>
      </c>
    </row>
    <row r="261" spans="2:5">
      <c r="B261" s="25"/>
      <c r="C261" s="1" t="str">
        <f>"ZAMORA"</f>
        <v>ZAMORA</v>
      </c>
      <c r="D261" s="2">
        <v>1</v>
      </c>
      <c r="E261" s="3">
        <v>6.9999999999999999E-4</v>
      </c>
    </row>
    <row r="262" spans="2:5">
      <c r="B262" s="25"/>
      <c r="C262" s="1" t="str">
        <f>"ZINAPECUARO"</f>
        <v>ZINAPECUARO</v>
      </c>
      <c r="D262" s="2">
        <v>3</v>
      </c>
      <c r="E262" s="3">
        <v>2E-3</v>
      </c>
    </row>
    <row r="263" spans="2:5">
      <c r="B263" s="25"/>
      <c r="C263" s="1" t="str">
        <f>"ZITACUARO"</f>
        <v>ZITACUARO</v>
      </c>
      <c r="D263" s="2">
        <v>1</v>
      </c>
      <c r="E263" s="3">
        <v>6.9999999999999999E-4</v>
      </c>
    </row>
    <row r="264" spans="2:5">
      <c r="B264" s="26"/>
      <c r="C264" s="18" t="str">
        <f>"Total"</f>
        <v>Total</v>
      </c>
      <c r="D264" s="19">
        <v>78</v>
      </c>
      <c r="E264" s="20">
        <v>5.1700000000000003E-2</v>
      </c>
    </row>
    <row r="265" spans="2:5">
      <c r="B265" s="24" t="str">
        <f t="shared" ref="B265" si="12">"MORELOS"</f>
        <v>MORELOS</v>
      </c>
      <c r="C265" s="1" t="str">
        <f>"AYALA"</f>
        <v>AYALA</v>
      </c>
      <c r="D265" s="2">
        <v>1</v>
      </c>
      <c r="E265" s="3">
        <v>6.9999999999999999E-4</v>
      </c>
    </row>
    <row r="266" spans="2:5">
      <c r="B266" s="25"/>
      <c r="C266" s="1" t="str">
        <f>"CUAUTLA"</f>
        <v>CUAUTLA</v>
      </c>
      <c r="D266" s="2">
        <v>3</v>
      </c>
      <c r="E266" s="3">
        <v>2E-3</v>
      </c>
    </row>
    <row r="267" spans="2:5">
      <c r="B267" s="25"/>
      <c r="C267" s="1" t="str">
        <f>"CUERNAVACA"</f>
        <v>CUERNAVACA</v>
      </c>
      <c r="D267" s="2">
        <v>4</v>
      </c>
      <c r="E267" s="3">
        <v>2.7000000000000001E-3</v>
      </c>
    </row>
    <row r="268" spans="2:5">
      <c r="B268" s="25"/>
      <c r="C268" s="1" t="str">
        <f>"EMILIANO ZAPATA"</f>
        <v>EMILIANO ZAPATA</v>
      </c>
      <c r="D268" s="2">
        <v>1</v>
      </c>
      <c r="E268" s="3">
        <v>6.9999999999999999E-4</v>
      </c>
    </row>
    <row r="269" spans="2:5">
      <c r="B269" s="25"/>
      <c r="C269" s="1" t="str">
        <f>"MIACATLAN"</f>
        <v>MIACATLAN</v>
      </c>
      <c r="D269" s="2">
        <v>5</v>
      </c>
      <c r="E269" s="3">
        <v>3.3E-3</v>
      </c>
    </row>
    <row r="270" spans="2:5">
      <c r="B270" s="25"/>
      <c r="C270" s="1" t="str">
        <f>"XOCHITEPEC"</f>
        <v>XOCHITEPEC</v>
      </c>
      <c r="D270" s="2">
        <v>2</v>
      </c>
      <c r="E270" s="3">
        <v>1.2999999999999999E-3</v>
      </c>
    </row>
    <row r="271" spans="2:5">
      <c r="B271" s="25"/>
      <c r="C271" s="1" t="str">
        <f>"ZACATEPEC DE HIDALGO"</f>
        <v>ZACATEPEC DE HIDALGO</v>
      </c>
      <c r="D271" s="2">
        <v>1</v>
      </c>
      <c r="E271" s="3">
        <v>6.9999999999999999E-4</v>
      </c>
    </row>
    <row r="272" spans="2:5">
      <c r="B272" s="26"/>
      <c r="C272" s="18" t="str">
        <f>"Total"</f>
        <v>Total</v>
      </c>
      <c r="D272" s="19">
        <v>17</v>
      </c>
      <c r="E272" s="20">
        <v>1.1299999999999999E-2</v>
      </c>
    </row>
    <row r="273" spans="2:5">
      <c r="B273" s="24" t="str">
        <f>"NAYARIT"</f>
        <v>NAYARIT</v>
      </c>
      <c r="C273" s="1" t="str">
        <f>"COMPOSTELA"</f>
        <v>COMPOSTELA</v>
      </c>
      <c r="D273" s="2">
        <v>1</v>
      </c>
      <c r="E273" s="3">
        <v>6.9999999999999999E-4</v>
      </c>
    </row>
    <row r="274" spans="2:5">
      <c r="B274" s="25"/>
      <c r="C274" s="1" t="str">
        <f>"IXTLAN DEL RIO"</f>
        <v>IXTLAN DEL RIO</v>
      </c>
      <c r="D274" s="2">
        <v>2</v>
      </c>
      <c r="E274" s="3">
        <v>1.2999999999999999E-3</v>
      </c>
    </row>
    <row r="275" spans="2:5">
      <c r="B275" s="25"/>
      <c r="C275" s="1" t="str">
        <f>"LA YESCA"</f>
        <v>LA YESCA</v>
      </c>
      <c r="D275" s="2">
        <v>1</v>
      </c>
      <c r="E275" s="3">
        <v>6.9999999999999999E-4</v>
      </c>
    </row>
    <row r="276" spans="2:5">
      <c r="B276" s="25"/>
      <c r="C276" s="1" t="str">
        <f>"TEPIC"</f>
        <v>TEPIC</v>
      </c>
      <c r="D276" s="2">
        <v>2</v>
      </c>
      <c r="E276" s="3">
        <v>1.2999999999999999E-3</v>
      </c>
    </row>
    <row r="277" spans="2:5">
      <c r="B277" s="26"/>
      <c r="C277" s="18" t="str">
        <f>"Total"</f>
        <v>Total</v>
      </c>
      <c r="D277" s="19">
        <v>6</v>
      </c>
      <c r="E277" s="20">
        <v>4.0000000000000001E-3</v>
      </c>
    </row>
    <row r="278" spans="2:5">
      <c r="B278" s="24" t="str">
        <f t="shared" ref="B278" si="13">"NUEVO LEON"</f>
        <v>NUEVO LEON</v>
      </c>
      <c r="C278" s="1" t="str">
        <f>"ALLENDE"</f>
        <v>ALLENDE</v>
      </c>
      <c r="D278" s="2">
        <v>1</v>
      </c>
      <c r="E278" s="3">
        <v>6.9999999999999999E-4</v>
      </c>
    </row>
    <row r="279" spans="2:5">
      <c r="B279" s="25"/>
      <c r="C279" s="1" t="str">
        <f>"CADEREYTA JIMENEZ"</f>
        <v>CADEREYTA JIMENEZ</v>
      </c>
      <c r="D279" s="2">
        <v>2</v>
      </c>
      <c r="E279" s="3">
        <v>1.2999999999999999E-3</v>
      </c>
    </row>
    <row r="280" spans="2:5">
      <c r="B280" s="25"/>
      <c r="C280" s="1" t="str">
        <f>"GRAL. TERAN"</f>
        <v>GRAL. TERAN</v>
      </c>
      <c r="D280" s="2">
        <v>1</v>
      </c>
      <c r="E280" s="3">
        <v>6.9999999999999999E-4</v>
      </c>
    </row>
    <row r="281" spans="2:5">
      <c r="B281" s="25"/>
      <c r="C281" s="1" t="str">
        <f>"GUADALUPE"</f>
        <v>GUADALUPE</v>
      </c>
      <c r="D281" s="2">
        <v>1</v>
      </c>
      <c r="E281" s="3">
        <v>6.9999999999999999E-4</v>
      </c>
    </row>
    <row r="282" spans="2:5">
      <c r="B282" s="25"/>
      <c r="C282" s="1" t="str">
        <f>"LINARES"</f>
        <v>LINARES</v>
      </c>
      <c r="D282" s="2">
        <v>2</v>
      </c>
      <c r="E282" s="3">
        <v>1.2999999999999999E-3</v>
      </c>
    </row>
    <row r="283" spans="2:5">
      <c r="B283" s="25"/>
      <c r="C283" s="1" t="str">
        <f>"MONTEMORELOS"</f>
        <v>MONTEMORELOS</v>
      </c>
      <c r="D283" s="2">
        <v>5</v>
      </c>
      <c r="E283" s="3">
        <v>3.3E-3</v>
      </c>
    </row>
    <row r="284" spans="2:5">
      <c r="B284" s="25"/>
      <c r="C284" s="1" t="str">
        <f>"MONTERREY"</f>
        <v>MONTERREY</v>
      </c>
      <c r="D284" s="2">
        <v>3</v>
      </c>
      <c r="E284" s="3">
        <v>2E-3</v>
      </c>
    </row>
    <row r="285" spans="2:5">
      <c r="B285" s="25"/>
      <c r="C285" s="1" t="str">
        <f>"SAN NICOLAS DE LOS GARZA"</f>
        <v>SAN NICOLAS DE LOS GARZA</v>
      </c>
      <c r="D285" s="2">
        <v>1</v>
      </c>
      <c r="E285" s="3">
        <v>6.9999999999999999E-4</v>
      </c>
    </row>
    <row r="286" spans="2:5">
      <c r="B286" s="26"/>
      <c r="C286" s="18" t="str">
        <f>"Total"</f>
        <v>Total</v>
      </c>
      <c r="D286" s="19">
        <v>16</v>
      </c>
      <c r="E286" s="20">
        <v>1.06E-2</v>
      </c>
    </row>
    <row r="287" spans="2:5" ht="30">
      <c r="B287" s="24" t="str">
        <f t="shared" ref="B287" si="14">"OAXACA"</f>
        <v>OAXACA</v>
      </c>
      <c r="C287" s="1" t="str">
        <f>"ACATLAN DE PEREZ FIGUEROA"</f>
        <v>ACATLAN DE PEREZ FIGUEROA</v>
      </c>
      <c r="D287" s="2">
        <v>5</v>
      </c>
      <c r="E287" s="3">
        <v>3.3E-3</v>
      </c>
    </row>
    <row r="288" spans="2:5">
      <c r="B288" s="25"/>
      <c r="C288" s="1" t="str">
        <f>"CHAHUITES"</f>
        <v>CHAHUITES</v>
      </c>
      <c r="D288" s="2">
        <v>1</v>
      </c>
      <c r="E288" s="3">
        <v>6.9999999999999999E-4</v>
      </c>
    </row>
    <row r="289" spans="2:5">
      <c r="B289" s="25"/>
      <c r="C289" s="1" t="str">
        <f>"COICOYAN DE LAS FLORES"</f>
        <v>COICOYAN DE LAS FLORES</v>
      </c>
      <c r="D289" s="2">
        <v>1</v>
      </c>
      <c r="E289" s="3">
        <v>6.9999999999999999E-4</v>
      </c>
    </row>
    <row r="290" spans="2:5">
      <c r="B290" s="25"/>
      <c r="C290" s="1" t="str">
        <f>"COSOLAPA"</f>
        <v>COSOLAPA</v>
      </c>
      <c r="D290" s="2">
        <v>4</v>
      </c>
      <c r="E290" s="3">
        <v>2.7000000000000001E-3</v>
      </c>
    </row>
    <row r="291" spans="2:5">
      <c r="B291" s="25"/>
      <c r="C291" s="1" t="str">
        <f>"IXTLAN DE JUAREZ"</f>
        <v>IXTLAN DE JUAREZ</v>
      </c>
      <c r="D291" s="2">
        <v>2</v>
      </c>
      <c r="E291" s="3">
        <v>1.2999999999999999E-3</v>
      </c>
    </row>
    <row r="292" spans="2:5">
      <c r="B292" s="25"/>
      <c r="C292" s="1" t="str">
        <f>"LOMA BONITA"</f>
        <v>LOMA BONITA</v>
      </c>
      <c r="D292" s="2">
        <v>1</v>
      </c>
      <c r="E292" s="3">
        <v>6.9999999999999999E-4</v>
      </c>
    </row>
    <row r="293" spans="2:5" ht="30">
      <c r="B293" s="25"/>
      <c r="C293" s="1" t="str">
        <f>"MIAHUATLAN DE PORFIRIO DIAZ"</f>
        <v>MIAHUATLAN DE PORFIRIO DIAZ</v>
      </c>
      <c r="D293" s="2">
        <v>2</v>
      </c>
      <c r="E293" s="3">
        <v>1.2999999999999999E-3</v>
      </c>
    </row>
    <row r="294" spans="2:5">
      <c r="B294" s="25"/>
      <c r="C294" s="1" t="str">
        <f>"OAXACA DE JUAREZ"</f>
        <v>OAXACA DE JUAREZ</v>
      </c>
      <c r="D294" s="2">
        <v>27</v>
      </c>
      <c r="E294" s="3">
        <v>1.7899999999999999E-2</v>
      </c>
    </row>
    <row r="295" spans="2:5">
      <c r="B295" s="25"/>
      <c r="C295" s="1" t="str">
        <f>"PUTLA VILLA DE GUERRERO"</f>
        <v>PUTLA VILLA DE GUERRERO</v>
      </c>
      <c r="D295" s="2">
        <v>1</v>
      </c>
      <c r="E295" s="3">
        <v>6.9999999999999999E-4</v>
      </c>
    </row>
    <row r="296" spans="2:5">
      <c r="B296" s="25"/>
      <c r="C296" s="1" t="str">
        <f>"SAN FELIPE USILA"</f>
        <v>SAN FELIPE USILA</v>
      </c>
      <c r="D296" s="2">
        <v>2</v>
      </c>
      <c r="E296" s="3">
        <v>1.2999999999999999E-3</v>
      </c>
    </row>
    <row r="297" spans="2:5">
      <c r="B297" s="25"/>
      <c r="C297" s="1" t="str">
        <f>"SAN JERONIMO SOSOLA"</f>
        <v>SAN JERONIMO SOSOLA</v>
      </c>
      <c r="D297" s="2">
        <v>1</v>
      </c>
      <c r="E297" s="3">
        <v>6.9999999999999999E-4</v>
      </c>
    </row>
    <row r="298" spans="2:5" ht="30">
      <c r="B298" s="25"/>
      <c r="C298" s="1" t="str">
        <f>"SAN JUAN BAUTISTA TUXTEPEC"</f>
        <v>SAN JUAN BAUTISTA TUXTEPEC</v>
      </c>
      <c r="D298" s="2">
        <v>4</v>
      </c>
      <c r="E298" s="3">
        <v>2.7000000000000001E-3</v>
      </c>
    </row>
    <row r="299" spans="2:5">
      <c r="B299" s="25"/>
      <c r="C299" s="1" t="str">
        <f>"SAN JUAN COLORADO"</f>
        <v>SAN JUAN COLORADO</v>
      </c>
      <c r="D299" s="2">
        <v>5</v>
      </c>
      <c r="E299" s="3">
        <v>3.3E-3</v>
      </c>
    </row>
    <row r="300" spans="2:5">
      <c r="B300" s="25"/>
      <c r="C300" s="1" t="str">
        <f>"SAN JUAN COTZOCON"</f>
        <v>SAN JUAN COTZOCON</v>
      </c>
      <c r="D300" s="2">
        <v>3</v>
      </c>
      <c r="E300" s="3">
        <v>2E-3</v>
      </c>
    </row>
    <row r="301" spans="2:5">
      <c r="B301" s="25"/>
      <c r="C301" s="1" t="str">
        <f>"SAN JUAN GUICHICOVI"</f>
        <v>SAN JUAN GUICHICOVI</v>
      </c>
      <c r="D301" s="2">
        <v>3</v>
      </c>
      <c r="E301" s="3">
        <v>2E-3</v>
      </c>
    </row>
    <row r="302" spans="2:5">
      <c r="B302" s="25"/>
      <c r="C302" s="1" t="str">
        <f>"SAN JUAN QUIAHIJE"</f>
        <v>SAN JUAN QUIAHIJE</v>
      </c>
      <c r="D302" s="2">
        <v>1</v>
      </c>
      <c r="E302" s="3">
        <v>6.9999999999999999E-4</v>
      </c>
    </row>
    <row r="303" spans="2:5">
      <c r="B303" s="25"/>
      <c r="C303" s="1" t="str">
        <f>"SAN JUAN ÑUMI"</f>
        <v>SAN JUAN ÑUMI</v>
      </c>
      <c r="D303" s="2">
        <v>4</v>
      </c>
      <c r="E303" s="3">
        <v>2.7000000000000001E-3</v>
      </c>
    </row>
    <row r="304" spans="2:5">
      <c r="B304" s="25"/>
      <c r="C304" s="1" t="str">
        <f>"SAN MARTIN ITUNYOSO"</f>
        <v>SAN MARTIN ITUNYOSO</v>
      </c>
      <c r="D304" s="2">
        <v>1</v>
      </c>
      <c r="E304" s="3">
        <v>6.9999999999999999E-4</v>
      </c>
    </row>
    <row r="305" spans="2:5">
      <c r="B305" s="25"/>
      <c r="C305" s="1" t="str">
        <f>"SAN MATEO PEÑASCO"</f>
        <v>SAN MATEO PEÑASCO</v>
      </c>
      <c r="D305" s="2">
        <v>1</v>
      </c>
      <c r="E305" s="3">
        <v>6.9999999999999999E-4</v>
      </c>
    </row>
    <row r="306" spans="2:5" ht="30">
      <c r="B306" s="25"/>
      <c r="C306" s="1" t="str">
        <f>"SAN MIGUEL PANIXTLAHUACA"</f>
        <v>SAN MIGUEL PANIXTLAHUACA</v>
      </c>
      <c r="D306" s="2">
        <v>4</v>
      </c>
      <c r="E306" s="3">
        <v>2.7000000000000001E-3</v>
      </c>
    </row>
    <row r="307" spans="2:5">
      <c r="B307" s="25"/>
      <c r="C307" s="1" t="str">
        <f>"SAN MIGUEL SOYALTEPEC"</f>
        <v>SAN MIGUEL SOYALTEPEC</v>
      </c>
      <c r="D307" s="2">
        <v>1</v>
      </c>
      <c r="E307" s="3">
        <v>6.9999999999999999E-4</v>
      </c>
    </row>
    <row r="308" spans="2:5">
      <c r="B308" s="25"/>
      <c r="C308" s="1" t="str">
        <f>"SAN MIGUEL TILQUIAPAM"</f>
        <v>SAN MIGUEL TILQUIAPAM</v>
      </c>
      <c r="D308" s="2">
        <v>1</v>
      </c>
      <c r="E308" s="3">
        <v>6.9999999999999999E-4</v>
      </c>
    </row>
    <row r="309" spans="2:5">
      <c r="B309" s="25"/>
      <c r="C309" s="1" t="str">
        <f>"SAN PEDRO TEUTILA"</f>
        <v>SAN PEDRO TEUTILA</v>
      </c>
      <c r="D309" s="2">
        <v>1</v>
      </c>
      <c r="E309" s="3">
        <v>6.9999999999999999E-4</v>
      </c>
    </row>
    <row r="310" spans="2:5" ht="30">
      <c r="B310" s="25"/>
      <c r="C310" s="1" t="str">
        <f>"SAN SEBASTIAN TECOMAXTLAHUACA"</f>
        <v>SAN SEBASTIAN TECOMAXTLAHUACA</v>
      </c>
      <c r="D310" s="2">
        <v>1</v>
      </c>
      <c r="E310" s="3">
        <v>6.9999999999999999E-4</v>
      </c>
    </row>
    <row r="311" spans="2:5">
      <c r="B311" s="25"/>
      <c r="C311" s="1" t="str">
        <f>"SAN SIMON ALMOLONGAS"</f>
        <v>SAN SIMON ALMOLONGAS</v>
      </c>
      <c r="D311" s="2">
        <v>1</v>
      </c>
      <c r="E311" s="3">
        <v>6.9999999999999999E-4</v>
      </c>
    </row>
    <row r="312" spans="2:5">
      <c r="B312" s="25"/>
      <c r="C312" s="1" t="str">
        <f>"SANTA CATARINA JUQUILA"</f>
        <v>SANTA CATARINA JUQUILA</v>
      </c>
      <c r="D312" s="2">
        <v>1</v>
      </c>
      <c r="E312" s="3">
        <v>6.9999999999999999E-4</v>
      </c>
    </row>
    <row r="313" spans="2:5">
      <c r="B313" s="25"/>
      <c r="C313" s="1" t="str">
        <f>"SANTA CRUZ ZENZONTEPEC"</f>
        <v>SANTA CRUZ ZENZONTEPEC</v>
      </c>
      <c r="D313" s="2">
        <v>2</v>
      </c>
      <c r="E313" s="3">
        <v>1.2999999999999999E-3</v>
      </c>
    </row>
    <row r="314" spans="2:5">
      <c r="B314" s="25"/>
      <c r="C314" s="1" t="str">
        <f>"SANTIAGO JAMILTEPEC"</f>
        <v>SANTIAGO JAMILTEPEC</v>
      </c>
      <c r="D314" s="2">
        <v>1</v>
      </c>
      <c r="E314" s="3">
        <v>6.9999999999999999E-4</v>
      </c>
    </row>
    <row r="315" spans="2:5">
      <c r="B315" s="25"/>
      <c r="C315" s="1" t="str">
        <f>"SANTIAGO JOCOTEPEC"</f>
        <v>SANTIAGO JOCOTEPEC</v>
      </c>
      <c r="D315" s="2">
        <v>2</v>
      </c>
      <c r="E315" s="3">
        <v>1.2999999999999999E-3</v>
      </c>
    </row>
    <row r="316" spans="2:5">
      <c r="B316" s="25"/>
      <c r="C316" s="1" t="str">
        <f>"SANTIAGO JUXTLAHUACA"</f>
        <v>SANTIAGO JUXTLAHUACA</v>
      </c>
      <c r="D316" s="2">
        <v>1</v>
      </c>
      <c r="E316" s="3">
        <v>6.9999999999999999E-4</v>
      </c>
    </row>
    <row r="317" spans="2:5" ht="30">
      <c r="B317" s="25"/>
      <c r="C317" s="1" t="str">
        <f>"SANTO DOMINGO TEHUANTEPEC"</f>
        <v>SANTO DOMINGO TEHUANTEPEC</v>
      </c>
      <c r="D317" s="2">
        <v>1</v>
      </c>
      <c r="E317" s="3">
        <v>6.9999999999999999E-4</v>
      </c>
    </row>
    <row r="318" spans="2:5">
      <c r="B318" s="25"/>
      <c r="C318" s="1" t="str">
        <f>"SANTOS REYES NOPALA"</f>
        <v>SANTOS REYES NOPALA</v>
      </c>
      <c r="D318" s="2">
        <v>1</v>
      </c>
      <c r="E318" s="3">
        <v>6.9999999999999999E-4</v>
      </c>
    </row>
    <row r="319" spans="2:5" ht="30">
      <c r="B319" s="25"/>
      <c r="C319" s="1" t="str">
        <f>"VILLA DE TUTUTEPEC DE MELCHOR OCAMPO"</f>
        <v>VILLA DE TUTUTEPEC DE MELCHOR OCAMPO</v>
      </c>
      <c r="D319" s="2">
        <v>3</v>
      </c>
      <c r="E319" s="3">
        <v>2E-3</v>
      </c>
    </row>
    <row r="320" spans="2:5">
      <c r="B320" s="26"/>
      <c r="C320" s="18" t="str">
        <f>"Total"</f>
        <v>Total</v>
      </c>
      <c r="D320" s="19">
        <v>90</v>
      </c>
      <c r="E320" s="20">
        <v>5.96E-2</v>
      </c>
    </row>
    <row r="321" spans="2:5">
      <c r="B321" s="24" t="str">
        <f t="shared" ref="B321" si="15">"PUEBLA"</f>
        <v>PUEBLA</v>
      </c>
      <c r="C321" s="1" t="str">
        <f>"ACAJETE"</f>
        <v>ACAJETE</v>
      </c>
      <c r="D321" s="2">
        <v>1</v>
      </c>
      <c r="E321" s="3">
        <v>6.9999999999999999E-4</v>
      </c>
    </row>
    <row r="322" spans="2:5">
      <c r="B322" s="25"/>
      <c r="C322" s="1" t="str">
        <f>"AHUAZOTEPEC"</f>
        <v>AHUAZOTEPEC</v>
      </c>
      <c r="D322" s="2">
        <v>1</v>
      </c>
      <c r="E322" s="3">
        <v>6.9999999999999999E-4</v>
      </c>
    </row>
    <row r="323" spans="2:5">
      <c r="B323" s="25"/>
      <c r="C323" s="1" t="str">
        <f>"AJALPAN"</f>
        <v>AJALPAN</v>
      </c>
      <c r="D323" s="2">
        <v>6</v>
      </c>
      <c r="E323" s="3">
        <v>4.0000000000000001E-3</v>
      </c>
    </row>
    <row r="324" spans="2:5">
      <c r="B324" s="25"/>
      <c r="C324" s="1" t="str">
        <f>"ATLIXCO"</f>
        <v>ATLIXCO</v>
      </c>
      <c r="D324" s="2">
        <v>4</v>
      </c>
      <c r="E324" s="3">
        <v>2.7000000000000001E-3</v>
      </c>
    </row>
    <row r="325" spans="2:5">
      <c r="B325" s="25"/>
      <c r="C325" s="1" t="str">
        <f>"CALTEPEC"</f>
        <v>CALTEPEC</v>
      </c>
      <c r="D325" s="2">
        <v>1</v>
      </c>
      <c r="E325" s="3">
        <v>6.9999999999999999E-4</v>
      </c>
    </row>
    <row r="326" spans="2:5">
      <c r="B326" s="25"/>
      <c r="C326" s="1" t="str">
        <f>"CORONANGO"</f>
        <v>CORONANGO</v>
      </c>
      <c r="D326" s="2">
        <v>1</v>
      </c>
      <c r="E326" s="3">
        <v>6.9999999999999999E-4</v>
      </c>
    </row>
    <row r="327" spans="2:5">
      <c r="B327" s="25"/>
      <c r="C327" s="1" t="str">
        <f>"COXCATLAN"</f>
        <v>COXCATLAN</v>
      </c>
      <c r="D327" s="2">
        <v>2</v>
      </c>
      <c r="E327" s="3">
        <v>1.2999999999999999E-3</v>
      </c>
    </row>
    <row r="328" spans="2:5">
      <c r="B328" s="25"/>
      <c r="C328" s="1" t="str">
        <f>"CUAUTLANCINGO"</f>
        <v>CUAUTLANCINGO</v>
      </c>
      <c r="D328" s="2">
        <v>1</v>
      </c>
      <c r="E328" s="3">
        <v>6.9999999999999999E-4</v>
      </c>
    </row>
    <row r="329" spans="2:5">
      <c r="B329" s="25"/>
      <c r="C329" s="1" t="str">
        <f>"CUAYUCA DE ANDRADE"</f>
        <v>CUAYUCA DE ANDRADE</v>
      </c>
      <c r="D329" s="2">
        <v>1</v>
      </c>
      <c r="E329" s="3">
        <v>6.9999999999999999E-4</v>
      </c>
    </row>
    <row r="330" spans="2:5">
      <c r="B330" s="25"/>
      <c r="C330" s="1" t="str">
        <f>"ELOXOCHITLAN"</f>
        <v>ELOXOCHITLAN</v>
      </c>
      <c r="D330" s="2">
        <v>2</v>
      </c>
      <c r="E330" s="3">
        <v>1.2999999999999999E-3</v>
      </c>
    </row>
    <row r="331" spans="2:5">
      <c r="B331" s="25"/>
      <c r="C331" s="1" t="str">
        <f>"HUAQUECHULA"</f>
        <v>HUAQUECHULA</v>
      </c>
      <c r="D331" s="2">
        <v>1</v>
      </c>
      <c r="E331" s="3">
        <v>6.9999999999999999E-4</v>
      </c>
    </row>
    <row r="332" spans="2:5">
      <c r="B332" s="25"/>
      <c r="C332" s="1" t="str">
        <f>"HUAUCHINANGO"</f>
        <v>HUAUCHINANGO</v>
      </c>
      <c r="D332" s="2">
        <v>2</v>
      </c>
      <c r="E332" s="3">
        <v>1.2999999999999999E-3</v>
      </c>
    </row>
    <row r="333" spans="2:5">
      <c r="B333" s="25"/>
      <c r="C333" s="1" t="str">
        <f>"HUEHUETLA"</f>
        <v>HUEHUETLA</v>
      </c>
      <c r="D333" s="2">
        <v>1</v>
      </c>
      <c r="E333" s="3">
        <v>6.9999999999999999E-4</v>
      </c>
    </row>
    <row r="334" spans="2:5">
      <c r="B334" s="25"/>
      <c r="C334" s="1" t="str">
        <f>"IZUCAR DE MATAMOROS"</f>
        <v>IZUCAR DE MATAMOROS</v>
      </c>
      <c r="D334" s="2">
        <v>4</v>
      </c>
      <c r="E334" s="3">
        <v>2.7000000000000001E-3</v>
      </c>
    </row>
    <row r="335" spans="2:5">
      <c r="B335" s="25"/>
      <c r="C335" s="1" t="str">
        <f>"JALPAN"</f>
        <v>JALPAN</v>
      </c>
      <c r="D335" s="2">
        <v>1</v>
      </c>
      <c r="E335" s="3">
        <v>6.9999999999999999E-4</v>
      </c>
    </row>
    <row r="336" spans="2:5">
      <c r="B336" s="25"/>
      <c r="C336" s="1" t="str">
        <f>"PALMAR DE BRAVO"</f>
        <v>PALMAR DE BRAVO</v>
      </c>
      <c r="D336" s="2">
        <v>4</v>
      </c>
      <c r="E336" s="3">
        <v>2.7000000000000001E-3</v>
      </c>
    </row>
    <row r="337" spans="2:5">
      <c r="B337" s="25"/>
      <c r="C337" s="1" t="str">
        <f>"PUEBLA"</f>
        <v>PUEBLA</v>
      </c>
      <c r="D337" s="2">
        <v>2</v>
      </c>
      <c r="E337" s="3">
        <v>1.2999999999999999E-3</v>
      </c>
    </row>
    <row r="338" spans="2:5">
      <c r="B338" s="25"/>
      <c r="C338" s="1" t="str">
        <f>"QUECHOLAC"</f>
        <v>QUECHOLAC</v>
      </c>
      <c r="D338" s="2">
        <v>5</v>
      </c>
      <c r="E338" s="3">
        <v>3.3E-3</v>
      </c>
    </row>
    <row r="339" spans="2:5">
      <c r="B339" s="25"/>
      <c r="C339" s="1" t="str">
        <f>"SAN MARTIN TEXMELUCAN"</f>
        <v>SAN MARTIN TEXMELUCAN</v>
      </c>
      <c r="D339" s="2">
        <v>1</v>
      </c>
      <c r="E339" s="3">
        <v>6.9999999999999999E-4</v>
      </c>
    </row>
    <row r="340" spans="2:5">
      <c r="B340" s="25"/>
      <c r="C340" s="1" t="str">
        <f>"SAN SALVADOR EL SECO"</f>
        <v>SAN SALVADOR EL SECO</v>
      </c>
      <c r="D340" s="2">
        <v>2</v>
      </c>
      <c r="E340" s="3">
        <v>1.2999999999999999E-3</v>
      </c>
    </row>
    <row r="341" spans="2:5">
      <c r="B341" s="25"/>
      <c r="C341" s="1" t="str">
        <f>"TECALI DE HERRERA"</f>
        <v>TECALI DE HERRERA</v>
      </c>
      <c r="D341" s="2">
        <v>2</v>
      </c>
      <c r="E341" s="3">
        <v>1.2999999999999999E-3</v>
      </c>
    </row>
    <row r="342" spans="2:5">
      <c r="B342" s="25"/>
      <c r="C342" s="1" t="str">
        <f>"TEHUACAN"</f>
        <v>TEHUACAN</v>
      </c>
      <c r="D342" s="2">
        <v>5</v>
      </c>
      <c r="E342" s="3">
        <v>3.3E-3</v>
      </c>
    </row>
    <row r="343" spans="2:5">
      <c r="B343" s="25"/>
      <c r="C343" s="1" t="str">
        <f>"TETELA DE OCAMPO"</f>
        <v>TETELA DE OCAMPO</v>
      </c>
      <c r="D343" s="2">
        <v>1</v>
      </c>
      <c r="E343" s="3">
        <v>6.9999999999999999E-4</v>
      </c>
    </row>
    <row r="344" spans="2:5">
      <c r="B344" s="25"/>
      <c r="C344" s="1" t="str">
        <f>"TEZIUTLAN"</f>
        <v>TEZIUTLAN</v>
      </c>
      <c r="D344" s="2">
        <v>1</v>
      </c>
      <c r="E344" s="3">
        <v>6.9999999999999999E-4</v>
      </c>
    </row>
    <row r="345" spans="2:5">
      <c r="B345" s="25"/>
      <c r="C345" s="1" t="str">
        <f>"TLACUILOTEPEC"</f>
        <v>TLACUILOTEPEC</v>
      </c>
      <c r="D345" s="2">
        <v>3</v>
      </c>
      <c r="E345" s="3">
        <v>2E-3</v>
      </c>
    </row>
    <row r="346" spans="2:5">
      <c r="B346" s="25"/>
      <c r="C346" s="1" t="str">
        <f>"TLAXCO"</f>
        <v>TLAXCO</v>
      </c>
      <c r="D346" s="2">
        <v>1</v>
      </c>
      <c r="E346" s="3">
        <v>6.9999999999999999E-4</v>
      </c>
    </row>
    <row r="347" spans="2:5">
      <c r="B347" s="25"/>
      <c r="C347" s="1" t="str">
        <f>"TOCHIMILCO"</f>
        <v>TOCHIMILCO</v>
      </c>
      <c r="D347" s="2">
        <v>1</v>
      </c>
      <c r="E347" s="3">
        <v>6.9999999999999999E-4</v>
      </c>
    </row>
    <row r="348" spans="2:5">
      <c r="B348" s="25"/>
      <c r="C348" s="1" t="str">
        <f>"VENUSTIANO CARRANZA"</f>
        <v>VENUSTIANO CARRANZA</v>
      </c>
      <c r="D348" s="2">
        <v>1</v>
      </c>
      <c r="E348" s="3">
        <v>6.9999999999999999E-4</v>
      </c>
    </row>
    <row r="349" spans="2:5">
      <c r="B349" s="25"/>
      <c r="C349" s="1" t="str">
        <f>"VICENTE GUERRERO"</f>
        <v>VICENTE GUERRERO</v>
      </c>
      <c r="D349" s="2">
        <v>9</v>
      </c>
      <c r="E349" s="3">
        <v>6.0000000000000001E-3</v>
      </c>
    </row>
    <row r="350" spans="2:5">
      <c r="B350" s="25"/>
      <c r="C350" s="1" t="str">
        <f>"XICOTEPEC"</f>
        <v>XICOTEPEC</v>
      </c>
      <c r="D350" s="2">
        <v>2</v>
      </c>
      <c r="E350" s="3">
        <v>1.2999999999999999E-3</v>
      </c>
    </row>
    <row r="351" spans="2:5">
      <c r="B351" s="25"/>
      <c r="C351" s="1" t="str">
        <f>"ZACATLAN"</f>
        <v>ZACATLAN</v>
      </c>
      <c r="D351" s="2">
        <v>1</v>
      </c>
      <c r="E351" s="3">
        <v>6.9999999999999999E-4</v>
      </c>
    </row>
    <row r="352" spans="2:5">
      <c r="B352" s="25"/>
      <c r="C352" s="1" t="str">
        <f>"ZIHUATEUTLA"</f>
        <v>ZIHUATEUTLA</v>
      </c>
      <c r="D352" s="2">
        <v>1</v>
      </c>
      <c r="E352" s="3">
        <v>6.9999999999999999E-4</v>
      </c>
    </row>
    <row r="353" spans="2:5">
      <c r="B353" s="25"/>
      <c r="C353" s="1" t="str">
        <f>"ZINACATEPEC"</f>
        <v>ZINACATEPEC</v>
      </c>
      <c r="D353" s="2">
        <v>1</v>
      </c>
      <c r="E353" s="3">
        <v>6.9999999999999999E-4</v>
      </c>
    </row>
    <row r="354" spans="2:5">
      <c r="B354" s="25"/>
      <c r="C354" s="1" t="str">
        <f>"ZOQUITLAN"</f>
        <v>ZOQUITLAN</v>
      </c>
      <c r="D354" s="2">
        <v>1</v>
      </c>
      <c r="E354" s="3">
        <v>6.9999999999999999E-4</v>
      </c>
    </row>
    <row r="355" spans="2:5">
      <c r="B355" s="26"/>
      <c r="C355" s="18" t="str">
        <f>"Total"</f>
        <v>Total</v>
      </c>
      <c r="D355" s="19">
        <v>73</v>
      </c>
      <c r="E355" s="20">
        <v>4.8399999999999999E-2</v>
      </c>
    </row>
    <row r="356" spans="2:5">
      <c r="B356" s="24" t="str">
        <f t="shared" ref="B356" si="16">"QUERETARO DE ARTEAGA"</f>
        <v>QUERETARO DE ARTEAGA</v>
      </c>
      <c r="C356" s="1" t="str">
        <f>"ARROYO SECO"</f>
        <v>ARROYO SECO</v>
      </c>
      <c r="D356" s="2">
        <v>14</v>
      </c>
      <c r="E356" s="3">
        <v>9.2999999999999992E-3</v>
      </c>
    </row>
    <row r="357" spans="2:5">
      <c r="B357" s="25"/>
      <c r="C357" s="1" t="str">
        <f>"CADEREYTA DE MONTES"</f>
        <v>CADEREYTA DE MONTES</v>
      </c>
      <c r="D357" s="2">
        <v>1</v>
      </c>
      <c r="E357" s="3">
        <v>6.9999999999999999E-4</v>
      </c>
    </row>
    <row r="358" spans="2:5">
      <c r="B358" s="25"/>
      <c r="C358" s="1" t="str">
        <f>"EL MARQUES"</f>
        <v>EL MARQUES</v>
      </c>
      <c r="D358" s="2">
        <v>4</v>
      </c>
      <c r="E358" s="3">
        <v>2.7000000000000001E-3</v>
      </c>
    </row>
    <row r="359" spans="2:5">
      <c r="B359" s="25"/>
      <c r="C359" s="1" t="str">
        <f>"HUIMILPAN"</f>
        <v>HUIMILPAN</v>
      </c>
      <c r="D359" s="2">
        <v>1</v>
      </c>
      <c r="E359" s="3">
        <v>6.9999999999999999E-4</v>
      </c>
    </row>
    <row r="360" spans="2:5">
      <c r="B360" s="25"/>
      <c r="C360" s="1" t="str">
        <f>"JALPAN DE SERRA"</f>
        <v>JALPAN DE SERRA</v>
      </c>
      <c r="D360" s="2">
        <v>2</v>
      </c>
      <c r="E360" s="3">
        <v>1.2999999999999999E-3</v>
      </c>
    </row>
    <row r="361" spans="2:5">
      <c r="B361" s="25"/>
      <c r="C361" s="1" t="str">
        <f>"PEÑAMILLER"</f>
        <v>PEÑAMILLER</v>
      </c>
      <c r="D361" s="2">
        <v>2</v>
      </c>
      <c r="E361" s="3">
        <v>1.2999999999999999E-3</v>
      </c>
    </row>
    <row r="362" spans="2:5">
      <c r="B362" s="25"/>
      <c r="C362" s="1" t="str">
        <f>"PINAL DE AMOLES"</f>
        <v>PINAL DE AMOLES</v>
      </c>
      <c r="D362" s="2">
        <v>2</v>
      </c>
      <c r="E362" s="3">
        <v>1.2999999999999999E-3</v>
      </c>
    </row>
    <row r="363" spans="2:5">
      <c r="B363" s="25"/>
      <c r="C363" s="1" t="str">
        <f>"QUERETARO"</f>
        <v>QUERETARO</v>
      </c>
      <c r="D363" s="2">
        <v>10</v>
      </c>
      <c r="E363" s="3">
        <v>6.6E-3</v>
      </c>
    </row>
    <row r="364" spans="2:5">
      <c r="B364" s="25"/>
      <c r="C364" s="1" t="str">
        <f>"SAN JOAQUIN"</f>
        <v>SAN JOAQUIN</v>
      </c>
      <c r="D364" s="2">
        <v>1</v>
      </c>
      <c r="E364" s="3">
        <v>6.9999999999999999E-4</v>
      </c>
    </row>
    <row r="365" spans="2:5">
      <c r="B365" s="25"/>
      <c r="C365" s="1" t="str">
        <f>"SAN JUAN DEL RIO"</f>
        <v>SAN JUAN DEL RIO</v>
      </c>
      <c r="D365" s="2">
        <v>4</v>
      </c>
      <c r="E365" s="3">
        <v>2.7000000000000001E-3</v>
      </c>
    </row>
    <row r="366" spans="2:5">
      <c r="B366" s="25"/>
      <c r="C366" s="1" t="str">
        <f>"TEQUISQUIAPAN"</f>
        <v>TEQUISQUIAPAN</v>
      </c>
      <c r="D366" s="2">
        <v>1</v>
      </c>
      <c r="E366" s="3">
        <v>6.9999999999999999E-4</v>
      </c>
    </row>
    <row r="367" spans="2:5">
      <c r="B367" s="26"/>
      <c r="C367" s="18" t="str">
        <f>"Total"</f>
        <v>Total</v>
      </c>
      <c r="D367" s="19">
        <v>42</v>
      </c>
      <c r="E367" s="20">
        <v>2.7799999999999998E-2</v>
      </c>
    </row>
    <row r="368" spans="2:5">
      <c r="B368" s="24" t="str">
        <f>"QUINTANA ROO"</f>
        <v>QUINTANA ROO</v>
      </c>
      <c r="C368" s="1" t="str">
        <f>"OTHON P. BLANCO"</f>
        <v>OTHON P. BLANCO</v>
      </c>
      <c r="D368" s="2">
        <v>1</v>
      </c>
      <c r="E368" s="3">
        <v>6.9999999999999999E-4</v>
      </c>
    </row>
    <row r="369" spans="2:5">
      <c r="B369" s="26"/>
      <c r="C369" s="18" t="str">
        <f>"Total"</f>
        <v>Total</v>
      </c>
      <c r="D369" s="19">
        <v>1</v>
      </c>
      <c r="E369" s="20">
        <v>6.9999999999999999E-4</v>
      </c>
    </row>
    <row r="370" spans="2:5">
      <c r="B370" s="24" t="str">
        <f t="shared" ref="B370" si="17">"SAN LUIS POTOSI"</f>
        <v>SAN LUIS POTOSI</v>
      </c>
      <c r="C370" s="1" t="str">
        <f>"AQUISMON"</f>
        <v>AQUISMON</v>
      </c>
      <c r="D370" s="2">
        <v>2</v>
      </c>
      <c r="E370" s="3">
        <v>1.2999999999999999E-3</v>
      </c>
    </row>
    <row r="371" spans="2:5">
      <c r="B371" s="25"/>
      <c r="C371" s="1" t="str">
        <f>"CARDENAS"</f>
        <v>CARDENAS</v>
      </c>
      <c r="D371" s="2">
        <v>1</v>
      </c>
      <c r="E371" s="3">
        <v>6.9999999999999999E-4</v>
      </c>
    </row>
    <row r="372" spans="2:5">
      <c r="B372" s="25"/>
      <c r="C372" s="1" t="str">
        <f>"CEDRAL"</f>
        <v>CEDRAL</v>
      </c>
      <c r="D372" s="2">
        <v>1</v>
      </c>
      <c r="E372" s="3">
        <v>6.9999999999999999E-4</v>
      </c>
    </row>
    <row r="373" spans="2:5">
      <c r="B373" s="25"/>
      <c r="C373" s="1" t="str">
        <f>"CERRITOS"</f>
        <v>CERRITOS</v>
      </c>
      <c r="D373" s="2">
        <v>6</v>
      </c>
      <c r="E373" s="3">
        <v>4.0000000000000001E-3</v>
      </c>
    </row>
    <row r="374" spans="2:5">
      <c r="B374" s="25"/>
      <c r="C374" s="1" t="str">
        <f>"CERRO DE SAN PEDRO"</f>
        <v>CERRO DE SAN PEDRO</v>
      </c>
      <c r="D374" s="2">
        <v>1</v>
      </c>
      <c r="E374" s="3">
        <v>6.9999999999999999E-4</v>
      </c>
    </row>
    <row r="375" spans="2:5">
      <c r="B375" s="25"/>
      <c r="C375" s="1" t="str">
        <f>"CIUDAD DEL MAIZ"</f>
        <v>CIUDAD DEL MAIZ</v>
      </c>
      <c r="D375" s="2">
        <v>1</v>
      </c>
      <c r="E375" s="3">
        <v>6.9999999999999999E-4</v>
      </c>
    </row>
    <row r="376" spans="2:5">
      <c r="B376" s="25"/>
      <c r="C376" s="1" t="str">
        <f>"CIUDAD VALLES"</f>
        <v>CIUDAD VALLES</v>
      </c>
      <c r="D376" s="2">
        <v>4</v>
      </c>
      <c r="E376" s="3">
        <v>2.7000000000000001E-3</v>
      </c>
    </row>
    <row r="377" spans="2:5">
      <c r="B377" s="25"/>
      <c r="C377" s="1" t="str">
        <f>"EBANO"</f>
        <v>EBANO</v>
      </c>
      <c r="D377" s="2">
        <v>1</v>
      </c>
      <c r="E377" s="3">
        <v>6.9999999999999999E-4</v>
      </c>
    </row>
    <row r="378" spans="2:5">
      <c r="B378" s="25"/>
      <c r="C378" s="1" t="str">
        <f>"HUEHUETLAN"</f>
        <v>HUEHUETLAN</v>
      </c>
      <c r="D378" s="2">
        <v>1</v>
      </c>
      <c r="E378" s="3">
        <v>6.9999999999999999E-4</v>
      </c>
    </row>
    <row r="379" spans="2:5">
      <c r="B379" s="25"/>
      <c r="C379" s="1" t="str">
        <f>"MATEHUALA"</f>
        <v>MATEHUALA</v>
      </c>
      <c r="D379" s="2">
        <v>1</v>
      </c>
      <c r="E379" s="3">
        <v>6.9999999999999999E-4</v>
      </c>
    </row>
    <row r="380" spans="2:5">
      <c r="B380" s="25"/>
      <c r="C380" s="1" t="str">
        <f>"RAYON"</f>
        <v>RAYON</v>
      </c>
      <c r="D380" s="2">
        <v>4</v>
      </c>
      <c r="E380" s="3">
        <v>2.7000000000000001E-3</v>
      </c>
    </row>
    <row r="381" spans="2:5">
      <c r="B381" s="25"/>
      <c r="C381" s="1" t="str">
        <f>"RIOVERDE"</f>
        <v>RIOVERDE</v>
      </c>
      <c r="D381" s="2">
        <v>1</v>
      </c>
      <c r="E381" s="3">
        <v>6.9999999999999999E-4</v>
      </c>
    </row>
    <row r="382" spans="2:5">
      <c r="B382" s="25"/>
      <c r="C382" s="1" t="str">
        <f>"SALINAS"</f>
        <v>SALINAS</v>
      </c>
      <c r="D382" s="2">
        <v>1</v>
      </c>
      <c r="E382" s="3">
        <v>6.9999999999999999E-4</v>
      </c>
    </row>
    <row r="383" spans="2:5">
      <c r="B383" s="25"/>
      <c r="C383" s="1" t="str">
        <f>"SAN CIRO DE ACOSTA"</f>
        <v>SAN CIRO DE ACOSTA</v>
      </c>
      <c r="D383" s="2">
        <v>6</v>
      </c>
      <c r="E383" s="3">
        <v>4.0000000000000001E-3</v>
      </c>
    </row>
    <row r="384" spans="2:5">
      <c r="B384" s="25"/>
      <c r="C384" s="1" t="str">
        <f>"SAN LUIS POTOSI"</f>
        <v>SAN LUIS POTOSI</v>
      </c>
      <c r="D384" s="2">
        <v>8</v>
      </c>
      <c r="E384" s="3">
        <v>5.3E-3</v>
      </c>
    </row>
    <row r="385" spans="2:5" ht="30">
      <c r="B385" s="25"/>
      <c r="C385" s="1" t="str">
        <f>"SAN MARTIN CHALCHICUAUTLA"</f>
        <v>SAN MARTIN CHALCHICUAUTLA</v>
      </c>
      <c r="D385" s="2">
        <v>1</v>
      </c>
      <c r="E385" s="3">
        <v>6.9999999999999999E-4</v>
      </c>
    </row>
    <row r="386" spans="2:5">
      <c r="B386" s="25"/>
      <c r="C386" s="1" t="str">
        <f>"SAN NICOLAS TOLENTINO"</f>
        <v>SAN NICOLAS TOLENTINO</v>
      </c>
      <c r="D386" s="2">
        <v>1</v>
      </c>
      <c r="E386" s="3">
        <v>6.9999999999999999E-4</v>
      </c>
    </row>
    <row r="387" spans="2:5">
      <c r="B387" s="25"/>
      <c r="C387" s="1" t="str">
        <f>"SANTA MARIA DEL RIO"</f>
        <v>SANTA MARIA DEL RIO</v>
      </c>
      <c r="D387" s="2">
        <v>9</v>
      </c>
      <c r="E387" s="3">
        <v>6.0000000000000001E-3</v>
      </c>
    </row>
    <row r="388" spans="2:5">
      <c r="B388" s="25"/>
      <c r="C388" s="1" t="str">
        <f>"SANTO DOMINGO"</f>
        <v>SANTO DOMINGO</v>
      </c>
      <c r="D388" s="2">
        <v>1</v>
      </c>
      <c r="E388" s="3">
        <v>6.9999999999999999E-4</v>
      </c>
    </row>
    <row r="389" spans="2:5" ht="30">
      <c r="B389" s="25"/>
      <c r="C389" s="1" t="str">
        <f>"SOLEDAD DE GRACIANO SANCHEZ"</f>
        <v>SOLEDAD DE GRACIANO SANCHEZ</v>
      </c>
      <c r="D389" s="2">
        <v>1</v>
      </c>
      <c r="E389" s="3">
        <v>6.9999999999999999E-4</v>
      </c>
    </row>
    <row r="390" spans="2:5">
      <c r="B390" s="25"/>
      <c r="C390" s="1" t="str">
        <f>"TAMASOPO"</f>
        <v>TAMASOPO</v>
      </c>
      <c r="D390" s="2">
        <v>2</v>
      </c>
      <c r="E390" s="3">
        <v>1.2999999999999999E-3</v>
      </c>
    </row>
    <row r="391" spans="2:5">
      <c r="B391" s="25"/>
      <c r="C391" s="1" t="str">
        <f>"TAMAZUNCHALE"</f>
        <v>TAMAZUNCHALE</v>
      </c>
      <c r="D391" s="2">
        <v>2</v>
      </c>
      <c r="E391" s="3">
        <v>1.2999999999999999E-3</v>
      </c>
    </row>
    <row r="392" spans="2:5">
      <c r="B392" s="25"/>
      <c r="C392" s="1" t="str">
        <f>"TAMUIN"</f>
        <v>TAMUIN</v>
      </c>
      <c r="D392" s="2">
        <v>2</v>
      </c>
      <c r="E392" s="3">
        <v>1.2999999999999999E-3</v>
      </c>
    </row>
    <row r="393" spans="2:5">
      <c r="B393" s="25"/>
      <c r="C393" s="1" t="str">
        <f>"TANCANHUITZ"</f>
        <v>TANCANHUITZ</v>
      </c>
      <c r="D393" s="2">
        <v>3</v>
      </c>
      <c r="E393" s="3">
        <v>2E-3</v>
      </c>
    </row>
    <row r="394" spans="2:5">
      <c r="B394" s="25"/>
      <c r="C394" s="1" t="str">
        <f>"TANLAJAS"</f>
        <v>TANLAJAS</v>
      </c>
      <c r="D394" s="2">
        <v>1</v>
      </c>
      <c r="E394" s="3">
        <v>6.9999999999999999E-4</v>
      </c>
    </row>
    <row r="395" spans="2:5">
      <c r="B395" s="25"/>
      <c r="C395" s="1" t="str">
        <f>"TIERRA NUEVA"</f>
        <v>TIERRA NUEVA</v>
      </c>
      <c r="D395" s="2">
        <v>4</v>
      </c>
      <c r="E395" s="3">
        <v>2.7000000000000001E-3</v>
      </c>
    </row>
    <row r="396" spans="2:5">
      <c r="B396" s="25"/>
      <c r="C396" s="1" t="str">
        <f>"VILLA DE ARRIAGA"</f>
        <v>VILLA DE ARRIAGA</v>
      </c>
      <c r="D396" s="2">
        <v>3</v>
      </c>
      <c r="E396" s="3">
        <v>2E-3</v>
      </c>
    </row>
    <row r="397" spans="2:5">
      <c r="B397" s="25"/>
      <c r="C397" s="1" t="str">
        <f>"VILLA DE RAMOS"</f>
        <v>VILLA DE RAMOS</v>
      </c>
      <c r="D397" s="2">
        <v>2</v>
      </c>
      <c r="E397" s="3">
        <v>1.2999999999999999E-3</v>
      </c>
    </row>
    <row r="398" spans="2:5">
      <c r="B398" s="25"/>
      <c r="C398" s="1" t="str">
        <f>"VILLA JUAREZ"</f>
        <v>VILLA JUAREZ</v>
      </c>
      <c r="D398" s="2">
        <v>11</v>
      </c>
      <c r="E398" s="3">
        <v>7.3000000000000001E-3</v>
      </c>
    </row>
    <row r="399" spans="2:5">
      <c r="B399" s="25"/>
      <c r="C399" s="1" t="str">
        <f>"ZARAGOZA"</f>
        <v>ZARAGOZA</v>
      </c>
      <c r="D399" s="2">
        <v>2</v>
      </c>
      <c r="E399" s="3">
        <v>1.2999999999999999E-3</v>
      </c>
    </row>
    <row r="400" spans="2:5">
      <c r="B400" s="26"/>
      <c r="C400" s="18" t="str">
        <f>"Total"</f>
        <v>Total</v>
      </c>
      <c r="D400" s="19">
        <v>84</v>
      </c>
      <c r="E400" s="20">
        <v>5.57E-2</v>
      </c>
    </row>
    <row r="401" spans="2:5">
      <c r="B401" s="24" t="str">
        <f>"SINALOA"</f>
        <v>SINALOA</v>
      </c>
      <c r="C401" s="1" t="str">
        <f>"CULIACAN"</f>
        <v>CULIACAN</v>
      </c>
      <c r="D401" s="2">
        <v>1</v>
      </c>
      <c r="E401" s="3">
        <v>6.9999999999999999E-4</v>
      </c>
    </row>
    <row r="402" spans="2:5">
      <c r="B402" s="25"/>
      <c r="C402" s="1" t="str">
        <f>"GUASAVE"</f>
        <v>GUASAVE</v>
      </c>
      <c r="D402" s="2">
        <v>1</v>
      </c>
      <c r="E402" s="3">
        <v>6.9999999999999999E-4</v>
      </c>
    </row>
    <row r="403" spans="2:5">
      <c r="B403" s="25"/>
      <c r="C403" s="1" t="str">
        <f>"MAZATLAN"</f>
        <v>MAZATLAN</v>
      </c>
      <c r="D403" s="2">
        <v>1</v>
      </c>
      <c r="E403" s="3">
        <v>6.9999999999999999E-4</v>
      </c>
    </row>
    <row r="404" spans="2:5">
      <c r="B404" s="26"/>
      <c r="C404" s="18" t="str">
        <f>"Total"</f>
        <v>Total</v>
      </c>
      <c r="D404" s="19">
        <v>3</v>
      </c>
      <c r="E404" s="20">
        <v>2E-3</v>
      </c>
    </row>
    <row r="405" spans="2:5">
      <c r="B405" s="24" t="str">
        <f>"SONORA"</f>
        <v>SONORA</v>
      </c>
      <c r="C405" s="1" t="str">
        <f>"GUAYMAS"</f>
        <v>GUAYMAS</v>
      </c>
      <c r="D405" s="2">
        <v>2</v>
      </c>
      <c r="E405" s="3">
        <v>1.2999999999999999E-3</v>
      </c>
    </row>
    <row r="406" spans="2:5">
      <c r="B406" s="25"/>
      <c r="C406" s="1" t="str">
        <f>"NAVOJOA"</f>
        <v>NAVOJOA</v>
      </c>
      <c r="D406" s="2">
        <v>2</v>
      </c>
      <c r="E406" s="3">
        <v>1.2999999999999999E-3</v>
      </c>
    </row>
    <row r="407" spans="2:5">
      <c r="B407" s="25"/>
      <c r="C407" s="1" t="str">
        <f>"URES"</f>
        <v>URES</v>
      </c>
      <c r="D407" s="2">
        <v>1</v>
      </c>
      <c r="E407" s="3">
        <v>6.9999999999999999E-4</v>
      </c>
    </row>
    <row r="408" spans="2:5">
      <c r="B408" s="26"/>
      <c r="C408" s="18" t="str">
        <f>"Total"</f>
        <v>Total</v>
      </c>
      <c r="D408" s="19">
        <v>5</v>
      </c>
      <c r="E408" s="20">
        <v>3.3E-3</v>
      </c>
    </row>
    <row r="409" spans="2:5">
      <c r="B409" s="24" t="str">
        <f t="shared" ref="B409" si="18">"TABASCO"</f>
        <v>TABASCO</v>
      </c>
      <c r="C409" s="1" t="str">
        <f>"BALANCAN"</f>
        <v>BALANCAN</v>
      </c>
      <c r="D409" s="2">
        <v>2</v>
      </c>
      <c r="E409" s="3">
        <v>1.2999999999999999E-3</v>
      </c>
    </row>
    <row r="410" spans="2:5">
      <c r="B410" s="25"/>
      <c r="C410" s="1" t="str">
        <f>"CARDENAS"</f>
        <v>CARDENAS</v>
      </c>
      <c r="D410" s="2">
        <v>1</v>
      </c>
      <c r="E410" s="3">
        <v>6.9999999999999999E-4</v>
      </c>
    </row>
    <row r="411" spans="2:5">
      <c r="B411" s="25"/>
      <c r="C411" s="1" t="str">
        <f>"COMALCALCO"</f>
        <v>COMALCALCO</v>
      </c>
      <c r="D411" s="2">
        <v>1</v>
      </c>
      <c r="E411" s="3">
        <v>6.9999999999999999E-4</v>
      </c>
    </row>
    <row r="412" spans="2:5">
      <c r="B412" s="25"/>
      <c r="C412" s="1" t="str">
        <f>"CUNDUACAN"</f>
        <v>CUNDUACAN</v>
      </c>
      <c r="D412" s="2">
        <v>3</v>
      </c>
      <c r="E412" s="3">
        <v>2E-3</v>
      </c>
    </row>
    <row r="413" spans="2:5">
      <c r="B413" s="25"/>
      <c r="C413" s="1" t="str">
        <f>"HUIMANGUILLO"</f>
        <v>HUIMANGUILLO</v>
      </c>
      <c r="D413" s="2">
        <v>11</v>
      </c>
      <c r="E413" s="3">
        <v>7.3000000000000001E-3</v>
      </c>
    </row>
    <row r="414" spans="2:5">
      <c r="B414" s="25"/>
      <c r="C414" s="1" t="str">
        <f>"JALPA DE MENDEZ"</f>
        <v>JALPA DE MENDEZ</v>
      </c>
      <c r="D414" s="2">
        <v>1</v>
      </c>
      <c r="E414" s="3">
        <v>6.9999999999999999E-4</v>
      </c>
    </row>
    <row r="415" spans="2:5">
      <c r="B415" s="25"/>
      <c r="C415" s="1" t="str">
        <f>"MACUSPANA"</f>
        <v>MACUSPANA</v>
      </c>
      <c r="D415" s="2">
        <v>3</v>
      </c>
      <c r="E415" s="3">
        <v>2E-3</v>
      </c>
    </row>
    <row r="416" spans="2:5">
      <c r="B416" s="25"/>
      <c r="C416" s="1" t="str">
        <f>"TACOTALPA"</f>
        <v>TACOTALPA</v>
      </c>
      <c r="D416" s="2">
        <v>1</v>
      </c>
      <c r="E416" s="3">
        <v>6.9999999999999999E-4</v>
      </c>
    </row>
    <row r="417" spans="2:5">
      <c r="B417" s="25"/>
      <c r="C417" s="1" t="str">
        <f>"TENOSIQUE"</f>
        <v>TENOSIQUE</v>
      </c>
      <c r="D417" s="2">
        <v>1</v>
      </c>
      <c r="E417" s="3">
        <v>6.9999999999999999E-4</v>
      </c>
    </row>
    <row r="418" spans="2:5">
      <c r="B418" s="26"/>
      <c r="C418" s="18" t="str">
        <f>"Total"</f>
        <v>Total</v>
      </c>
      <c r="D418" s="19">
        <v>24</v>
      </c>
      <c r="E418" s="20">
        <v>1.5900000000000001E-2</v>
      </c>
    </row>
    <row r="419" spans="2:5">
      <c r="B419" s="24" t="str">
        <f t="shared" ref="B419" si="19">"TAMAULIPAS"</f>
        <v>TAMAULIPAS</v>
      </c>
      <c r="C419" s="1" t="str">
        <f>"ABASOLO"</f>
        <v>ABASOLO</v>
      </c>
      <c r="D419" s="2">
        <v>3</v>
      </c>
      <c r="E419" s="3">
        <v>2E-3</v>
      </c>
    </row>
    <row r="420" spans="2:5">
      <c r="B420" s="25"/>
      <c r="C420" s="1" t="str">
        <f>"ANTIGUO MORELOS"</f>
        <v>ANTIGUO MORELOS</v>
      </c>
      <c r="D420" s="2">
        <v>1</v>
      </c>
      <c r="E420" s="3">
        <v>6.9999999999999999E-4</v>
      </c>
    </row>
    <row r="421" spans="2:5">
      <c r="B421" s="25"/>
      <c r="C421" s="1" t="str">
        <f>"BUSTAMANTE"</f>
        <v>BUSTAMANTE</v>
      </c>
      <c r="D421" s="2">
        <v>4</v>
      </c>
      <c r="E421" s="3">
        <v>2.7000000000000001E-3</v>
      </c>
    </row>
    <row r="422" spans="2:5">
      <c r="B422" s="25"/>
      <c r="C422" s="1" t="str">
        <f>"CIUDAD MADERO"</f>
        <v>CIUDAD MADERO</v>
      </c>
      <c r="D422" s="2">
        <v>3</v>
      </c>
      <c r="E422" s="3">
        <v>2E-3</v>
      </c>
    </row>
    <row r="423" spans="2:5">
      <c r="B423" s="25"/>
      <c r="C423" s="1" t="str">
        <f>"EL MANTE"</f>
        <v>EL MANTE</v>
      </c>
      <c r="D423" s="2">
        <v>6</v>
      </c>
      <c r="E423" s="3">
        <v>4.0000000000000001E-3</v>
      </c>
    </row>
    <row r="424" spans="2:5">
      <c r="B424" s="25"/>
      <c r="C424" s="1" t="str">
        <f>"GONZALEZ"</f>
        <v>GONZALEZ</v>
      </c>
      <c r="D424" s="2">
        <v>4</v>
      </c>
      <c r="E424" s="3">
        <v>2.7000000000000001E-3</v>
      </c>
    </row>
    <row r="425" spans="2:5">
      <c r="B425" s="25"/>
      <c r="C425" s="1" t="str">
        <f>"HIDALGO"</f>
        <v>HIDALGO</v>
      </c>
      <c r="D425" s="2">
        <v>2</v>
      </c>
      <c r="E425" s="3">
        <v>1.2999999999999999E-3</v>
      </c>
    </row>
    <row r="426" spans="2:5">
      <c r="B426" s="25"/>
      <c r="C426" s="1" t="str">
        <f>"LLERA"</f>
        <v>LLERA</v>
      </c>
      <c r="D426" s="2">
        <v>1</v>
      </c>
      <c r="E426" s="3">
        <v>6.9999999999999999E-4</v>
      </c>
    </row>
    <row r="427" spans="2:5">
      <c r="B427" s="25"/>
      <c r="C427" s="1" t="str">
        <f>"MATAMOROS"</f>
        <v>MATAMOROS</v>
      </c>
      <c r="D427" s="2">
        <v>5</v>
      </c>
      <c r="E427" s="3">
        <v>3.3E-3</v>
      </c>
    </row>
    <row r="428" spans="2:5">
      <c r="B428" s="25"/>
      <c r="C428" s="1" t="str">
        <f>"OCAMPO"</f>
        <v>OCAMPO</v>
      </c>
      <c r="D428" s="2">
        <v>3</v>
      </c>
      <c r="E428" s="3">
        <v>2E-3</v>
      </c>
    </row>
    <row r="429" spans="2:5">
      <c r="B429" s="25"/>
      <c r="C429" s="1" t="str">
        <f>"REYNOSA"</f>
        <v>REYNOSA</v>
      </c>
      <c r="D429" s="2">
        <v>5</v>
      </c>
      <c r="E429" s="3">
        <v>3.3E-3</v>
      </c>
    </row>
    <row r="430" spans="2:5">
      <c r="B430" s="25"/>
      <c r="C430" s="1" t="str">
        <f>"RIO BRAVO"</f>
        <v>RIO BRAVO</v>
      </c>
      <c r="D430" s="2">
        <v>1</v>
      </c>
      <c r="E430" s="3">
        <v>6.9999999999999999E-4</v>
      </c>
    </row>
    <row r="431" spans="2:5">
      <c r="B431" s="25"/>
      <c r="C431" s="1" t="str">
        <f>"SAN FERNANDO"</f>
        <v>SAN FERNANDO</v>
      </c>
      <c r="D431" s="2">
        <v>4</v>
      </c>
      <c r="E431" s="3">
        <v>2.7000000000000001E-3</v>
      </c>
    </row>
    <row r="432" spans="2:5">
      <c r="B432" s="25"/>
      <c r="C432" s="1" t="str">
        <f>"SOTO LA MARINA"</f>
        <v>SOTO LA MARINA</v>
      </c>
      <c r="D432" s="2">
        <v>4</v>
      </c>
      <c r="E432" s="3">
        <v>2.7000000000000001E-3</v>
      </c>
    </row>
    <row r="433" spans="2:5">
      <c r="B433" s="25"/>
      <c r="C433" s="1" t="str">
        <f>"TAMPICO"</f>
        <v>TAMPICO</v>
      </c>
      <c r="D433" s="2">
        <v>3</v>
      </c>
      <c r="E433" s="3">
        <v>2E-3</v>
      </c>
    </row>
    <row r="434" spans="2:5">
      <c r="B434" s="25"/>
      <c r="C434" s="1" t="str">
        <f>"TULA"</f>
        <v>TULA</v>
      </c>
      <c r="D434" s="2">
        <v>3</v>
      </c>
      <c r="E434" s="3">
        <v>2E-3</v>
      </c>
    </row>
    <row r="435" spans="2:5">
      <c r="B435" s="25"/>
      <c r="C435" s="1" t="str">
        <f>"VALLE HERMOSO"</f>
        <v>VALLE HERMOSO</v>
      </c>
      <c r="D435" s="2">
        <v>2</v>
      </c>
      <c r="E435" s="3">
        <v>1.2999999999999999E-3</v>
      </c>
    </row>
    <row r="436" spans="2:5">
      <c r="B436" s="25"/>
      <c r="C436" s="1" t="str">
        <f>"VICTORIA"</f>
        <v>VICTORIA</v>
      </c>
      <c r="D436" s="2">
        <v>6</v>
      </c>
      <c r="E436" s="3">
        <v>4.0000000000000001E-3</v>
      </c>
    </row>
    <row r="437" spans="2:5">
      <c r="B437" s="26"/>
      <c r="C437" s="18" t="str">
        <f>"Total"</f>
        <v>Total</v>
      </c>
      <c r="D437" s="19">
        <v>60</v>
      </c>
      <c r="E437" s="20">
        <v>3.9800000000000002E-2</v>
      </c>
    </row>
    <row r="438" spans="2:5">
      <c r="B438" s="24" t="str">
        <f t="shared" ref="B438" si="20">"TLAXCALA"</f>
        <v>TLAXCALA</v>
      </c>
      <c r="C438" s="1" t="str">
        <f>"APIZACO"</f>
        <v>APIZACO</v>
      </c>
      <c r="D438" s="2">
        <v>1</v>
      </c>
      <c r="E438" s="3">
        <v>6.9999999999999999E-4</v>
      </c>
    </row>
    <row r="439" spans="2:5">
      <c r="B439" s="25"/>
      <c r="C439" s="1" t="str">
        <f>"BENITO JUAREZ"</f>
        <v>BENITO JUAREZ</v>
      </c>
      <c r="D439" s="2">
        <v>1</v>
      </c>
      <c r="E439" s="3">
        <v>6.9999999999999999E-4</v>
      </c>
    </row>
    <row r="440" spans="2:5">
      <c r="B440" s="25"/>
      <c r="C440" s="1" t="str">
        <f>"CALPULALPAN"</f>
        <v>CALPULALPAN</v>
      </c>
      <c r="D440" s="2">
        <v>1</v>
      </c>
      <c r="E440" s="3">
        <v>6.9999999999999999E-4</v>
      </c>
    </row>
    <row r="441" spans="2:5">
      <c r="B441" s="25"/>
      <c r="C441" s="1" t="str">
        <f>"CHIAUTEMPAN"</f>
        <v>CHIAUTEMPAN</v>
      </c>
      <c r="D441" s="2">
        <v>3</v>
      </c>
      <c r="E441" s="3">
        <v>2E-3</v>
      </c>
    </row>
    <row r="442" spans="2:5" ht="30">
      <c r="B442" s="25"/>
      <c r="C442" s="1" t="str">
        <f>"IXTACUIXTLA DE MARIANO MATAMOROS"</f>
        <v>IXTACUIXTLA DE MARIANO MATAMOROS</v>
      </c>
      <c r="D442" s="2">
        <v>3</v>
      </c>
      <c r="E442" s="3">
        <v>2E-3</v>
      </c>
    </row>
    <row r="443" spans="2:5">
      <c r="B443" s="25"/>
      <c r="C443" s="1" t="str">
        <f>"SANTA CRUZ TLAXCALA"</f>
        <v>SANTA CRUZ TLAXCALA</v>
      </c>
      <c r="D443" s="2">
        <v>1</v>
      </c>
      <c r="E443" s="3">
        <v>6.9999999999999999E-4</v>
      </c>
    </row>
    <row r="444" spans="2:5">
      <c r="B444" s="25"/>
      <c r="C444" s="1" t="str">
        <f>"TLAXCALA"</f>
        <v>TLAXCALA</v>
      </c>
      <c r="D444" s="2">
        <v>3</v>
      </c>
      <c r="E444" s="3">
        <v>2E-3</v>
      </c>
    </row>
    <row r="445" spans="2:5">
      <c r="B445" s="25"/>
      <c r="C445" s="1" t="str">
        <f>"TLAXCO"</f>
        <v>TLAXCO</v>
      </c>
      <c r="D445" s="2">
        <v>2</v>
      </c>
      <c r="E445" s="3">
        <v>1.2999999999999999E-3</v>
      </c>
    </row>
    <row r="446" spans="2:5">
      <c r="B446" s="26"/>
      <c r="C446" s="18" t="str">
        <f>"Total"</f>
        <v>Total</v>
      </c>
      <c r="D446" s="19">
        <v>15</v>
      </c>
      <c r="E446" s="20">
        <v>9.9000000000000008E-3</v>
      </c>
    </row>
    <row r="447" spans="2:5">
      <c r="B447" s="24" t="str">
        <f t="shared" ref="B447" si="21">"VERACRUZ DE IGNACIO DE LA LLAVE"</f>
        <v>VERACRUZ DE IGNACIO DE LA LLAVE</v>
      </c>
      <c r="C447" s="1" t="str">
        <f>"ACAYUCAN"</f>
        <v>ACAYUCAN</v>
      </c>
      <c r="D447" s="2">
        <v>4</v>
      </c>
      <c r="E447" s="3">
        <v>2.7000000000000001E-3</v>
      </c>
    </row>
    <row r="448" spans="2:5">
      <c r="B448" s="25"/>
      <c r="C448" s="1" t="str">
        <f>"ACTOPAN"</f>
        <v>ACTOPAN</v>
      </c>
      <c r="D448" s="2">
        <v>1</v>
      </c>
      <c r="E448" s="3">
        <v>6.9999999999999999E-4</v>
      </c>
    </row>
    <row r="449" spans="2:5">
      <c r="B449" s="25"/>
      <c r="C449" s="1" t="str">
        <f>"ALPATLAHUAC"</f>
        <v>ALPATLAHUAC</v>
      </c>
      <c r="D449" s="2">
        <v>3</v>
      </c>
      <c r="E449" s="3">
        <v>2E-3</v>
      </c>
    </row>
    <row r="450" spans="2:5">
      <c r="B450" s="25"/>
      <c r="C450" s="1" t="str">
        <f>"ALTOTONGA"</f>
        <v>ALTOTONGA</v>
      </c>
      <c r="D450" s="2">
        <v>2</v>
      </c>
      <c r="E450" s="3">
        <v>1.2999999999999999E-3</v>
      </c>
    </row>
    <row r="451" spans="2:5">
      <c r="B451" s="25"/>
      <c r="C451" s="1" t="str">
        <f>"AMATITLAN"</f>
        <v>AMATITLAN</v>
      </c>
      <c r="D451" s="2">
        <v>1</v>
      </c>
      <c r="E451" s="3">
        <v>6.9999999999999999E-4</v>
      </c>
    </row>
    <row r="452" spans="2:5">
      <c r="B452" s="25"/>
      <c r="C452" s="1" t="str">
        <f>"ANGEL R. CABADA"</f>
        <v>ANGEL R. CABADA</v>
      </c>
      <c r="D452" s="2">
        <v>2</v>
      </c>
      <c r="E452" s="3">
        <v>1.2999999999999999E-3</v>
      </c>
    </row>
    <row r="453" spans="2:5">
      <c r="B453" s="25"/>
      <c r="C453" s="1" t="str">
        <f>"ATLAHUILCO"</f>
        <v>ATLAHUILCO</v>
      </c>
      <c r="D453" s="2">
        <v>1</v>
      </c>
      <c r="E453" s="3">
        <v>6.9999999999999999E-4</v>
      </c>
    </row>
    <row r="454" spans="2:5">
      <c r="B454" s="25"/>
      <c r="C454" s="1" t="str">
        <f>"ATOYAC"</f>
        <v>ATOYAC</v>
      </c>
      <c r="D454" s="2">
        <v>1</v>
      </c>
      <c r="E454" s="3">
        <v>6.9999999999999999E-4</v>
      </c>
    </row>
    <row r="455" spans="2:5">
      <c r="B455" s="25"/>
      <c r="C455" s="1" t="str">
        <f>"CHINAMECA"</f>
        <v>CHINAMECA</v>
      </c>
      <c r="D455" s="2">
        <v>1</v>
      </c>
      <c r="E455" s="3">
        <v>6.9999999999999999E-4</v>
      </c>
    </row>
    <row r="456" spans="2:5">
      <c r="B456" s="25"/>
      <c r="C456" s="1" t="str">
        <f>"COATEPEC"</f>
        <v>COATEPEC</v>
      </c>
      <c r="D456" s="2">
        <v>1</v>
      </c>
      <c r="E456" s="3">
        <v>6.9999999999999999E-4</v>
      </c>
    </row>
    <row r="457" spans="2:5">
      <c r="B457" s="25"/>
      <c r="C457" s="1" t="str">
        <f>"COATZACOALCOS"</f>
        <v>COATZACOALCOS</v>
      </c>
      <c r="D457" s="2">
        <v>1</v>
      </c>
      <c r="E457" s="3">
        <v>6.9999999999999999E-4</v>
      </c>
    </row>
    <row r="458" spans="2:5">
      <c r="B458" s="25"/>
      <c r="C458" s="1" t="str">
        <f>"CORDOBA"</f>
        <v>CORDOBA</v>
      </c>
      <c r="D458" s="2">
        <v>16</v>
      </c>
      <c r="E458" s="3">
        <v>1.06E-2</v>
      </c>
    </row>
    <row r="459" spans="2:5">
      <c r="B459" s="25"/>
      <c r="C459" s="1" t="str">
        <f>"COSAMALOAPAN DE CARPIO"</f>
        <v>COSAMALOAPAN DE CARPIO</v>
      </c>
      <c r="D459" s="2">
        <v>1</v>
      </c>
      <c r="E459" s="3">
        <v>6.9999999999999999E-4</v>
      </c>
    </row>
    <row r="460" spans="2:5">
      <c r="B460" s="25"/>
      <c r="C460" s="1" t="str">
        <f>"COSCOMATEPEC"</f>
        <v>COSCOMATEPEC</v>
      </c>
      <c r="D460" s="2">
        <v>10</v>
      </c>
      <c r="E460" s="3">
        <v>6.6E-3</v>
      </c>
    </row>
    <row r="461" spans="2:5">
      <c r="B461" s="25"/>
      <c r="C461" s="1" t="str">
        <f>"COSOLEACAQUE"</f>
        <v>COSOLEACAQUE</v>
      </c>
      <c r="D461" s="2">
        <v>1</v>
      </c>
      <c r="E461" s="3">
        <v>6.9999999999999999E-4</v>
      </c>
    </row>
    <row r="462" spans="2:5">
      <c r="B462" s="25"/>
      <c r="C462" s="1" t="str">
        <f>"COTAXTLA"</f>
        <v>COTAXTLA</v>
      </c>
      <c r="D462" s="2">
        <v>1</v>
      </c>
      <c r="E462" s="3">
        <v>6.9999999999999999E-4</v>
      </c>
    </row>
    <row r="463" spans="2:5">
      <c r="B463" s="25"/>
      <c r="C463" s="1" t="str">
        <f>"CUITLAHUAC"</f>
        <v>CUITLAHUAC</v>
      </c>
      <c r="D463" s="2">
        <v>3</v>
      </c>
      <c r="E463" s="3">
        <v>2E-3</v>
      </c>
    </row>
    <row r="464" spans="2:5">
      <c r="B464" s="25"/>
      <c r="C464" s="1" t="str">
        <f>"EMILIANO ZAPATA"</f>
        <v>EMILIANO ZAPATA</v>
      </c>
      <c r="D464" s="2">
        <v>1</v>
      </c>
      <c r="E464" s="3">
        <v>6.9999999999999999E-4</v>
      </c>
    </row>
    <row r="465" spans="2:5">
      <c r="B465" s="25"/>
      <c r="C465" s="1" t="str">
        <f>"GUTIERREZ ZAMORA"</f>
        <v>GUTIERREZ ZAMORA</v>
      </c>
      <c r="D465" s="2">
        <v>2</v>
      </c>
      <c r="E465" s="3">
        <v>1.2999999999999999E-3</v>
      </c>
    </row>
    <row r="466" spans="2:5">
      <c r="B466" s="25"/>
      <c r="C466" s="1" t="str">
        <f>"HIDALGOTITLAN"</f>
        <v>HIDALGOTITLAN</v>
      </c>
      <c r="D466" s="2">
        <v>3</v>
      </c>
      <c r="E466" s="3">
        <v>2E-3</v>
      </c>
    </row>
    <row r="467" spans="2:5">
      <c r="B467" s="25"/>
      <c r="C467" s="1" t="str">
        <f>"HUATUSCO"</f>
        <v>HUATUSCO</v>
      </c>
      <c r="D467" s="2">
        <v>3</v>
      </c>
      <c r="E467" s="3">
        <v>2E-3</v>
      </c>
    </row>
    <row r="468" spans="2:5">
      <c r="B468" s="25"/>
      <c r="C468" s="1" t="str">
        <f>"HUEYAPAN DE OCAMPO"</f>
        <v>HUEYAPAN DE OCAMPO</v>
      </c>
      <c r="D468" s="2">
        <v>1</v>
      </c>
      <c r="E468" s="3">
        <v>6.9999999999999999E-4</v>
      </c>
    </row>
    <row r="469" spans="2:5">
      <c r="B469" s="25"/>
      <c r="C469" s="1" t="str">
        <f>"ISLA"</f>
        <v>ISLA</v>
      </c>
      <c r="D469" s="2">
        <v>1</v>
      </c>
      <c r="E469" s="3">
        <v>6.9999999999999999E-4</v>
      </c>
    </row>
    <row r="470" spans="2:5">
      <c r="B470" s="25"/>
      <c r="C470" s="1" t="str">
        <f>"IXHUATLAN DEL CAFE"</f>
        <v>IXHUATLAN DEL CAFE</v>
      </c>
      <c r="D470" s="2">
        <v>1</v>
      </c>
      <c r="E470" s="3">
        <v>6.9999999999999999E-4</v>
      </c>
    </row>
    <row r="471" spans="2:5">
      <c r="B471" s="25"/>
      <c r="C471" s="1" t="str">
        <f>"JESUS CARRANZA"</f>
        <v>JESUS CARRANZA</v>
      </c>
      <c r="D471" s="2">
        <v>3</v>
      </c>
      <c r="E471" s="3">
        <v>2E-3</v>
      </c>
    </row>
    <row r="472" spans="2:5">
      <c r="B472" s="25"/>
      <c r="C472" s="1" t="str">
        <f>"JUAN RODRIGUEZ CLARA"</f>
        <v>JUAN RODRIGUEZ CLARA</v>
      </c>
      <c r="D472" s="2">
        <v>2</v>
      </c>
      <c r="E472" s="3">
        <v>1.2999999999999999E-3</v>
      </c>
    </row>
    <row r="473" spans="2:5">
      <c r="B473" s="25"/>
      <c r="C473" s="1" t="str">
        <f>"JUCHIQUE DE FERRER"</f>
        <v>JUCHIQUE DE FERRER</v>
      </c>
      <c r="D473" s="2">
        <v>1</v>
      </c>
      <c r="E473" s="3">
        <v>6.9999999999999999E-4</v>
      </c>
    </row>
    <row r="474" spans="2:5">
      <c r="B474" s="25"/>
      <c r="C474" s="1" t="str">
        <f>"LA ANTIGUA"</f>
        <v>LA ANTIGUA</v>
      </c>
      <c r="D474" s="2">
        <v>1</v>
      </c>
      <c r="E474" s="3">
        <v>6.9999999999999999E-4</v>
      </c>
    </row>
    <row r="475" spans="2:5">
      <c r="B475" s="25"/>
      <c r="C475" s="1" t="str">
        <f>"LAS CHOAPAS"</f>
        <v>LAS CHOAPAS</v>
      </c>
      <c r="D475" s="2">
        <v>9</v>
      </c>
      <c r="E475" s="3">
        <v>6.0000000000000001E-3</v>
      </c>
    </row>
    <row r="476" spans="2:5" ht="30">
      <c r="B476" s="25"/>
      <c r="C476" s="1" t="str">
        <f>"MANLIO FABIO ALTAMIRANO"</f>
        <v>MANLIO FABIO ALTAMIRANO</v>
      </c>
      <c r="D476" s="2">
        <v>1</v>
      </c>
      <c r="E476" s="3">
        <v>6.9999999999999999E-4</v>
      </c>
    </row>
    <row r="477" spans="2:5">
      <c r="B477" s="25"/>
      <c r="C477" s="1" t="str">
        <f>"MARTINEZ DE LA TORRE"</f>
        <v>MARTINEZ DE LA TORRE</v>
      </c>
      <c r="D477" s="2">
        <v>18</v>
      </c>
      <c r="E477" s="3">
        <v>1.1900000000000001E-2</v>
      </c>
    </row>
    <row r="478" spans="2:5">
      <c r="B478" s="25"/>
      <c r="C478" s="1" t="str">
        <f>"MIAHUATLAN"</f>
        <v>MIAHUATLAN</v>
      </c>
      <c r="D478" s="2">
        <v>1</v>
      </c>
      <c r="E478" s="3">
        <v>6.9999999999999999E-4</v>
      </c>
    </row>
    <row r="479" spans="2:5">
      <c r="B479" s="25"/>
      <c r="C479" s="1" t="str">
        <f>"MINATITLAN"</f>
        <v>MINATITLAN</v>
      </c>
      <c r="D479" s="2">
        <v>2</v>
      </c>
      <c r="E479" s="3">
        <v>1.2999999999999999E-3</v>
      </c>
    </row>
    <row r="480" spans="2:5">
      <c r="B480" s="25"/>
      <c r="C480" s="1" t="str">
        <f>"MISANTLA"</f>
        <v>MISANTLA</v>
      </c>
      <c r="D480" s="2">
        <v>4</v>
      </c>
      <c r="E480" s="3">
        <v>2.7000000000000001E-3</v>
      </c>
    </row>
    <row r="481" spans="2:5">
      <c r="B481" s="25"/>
      <c r="C481" s="1" t="str">
        <f>"NOGALES"</f>
        <v>NOGALES</v>
      </c>
      <c r="D481" s="2">
        <v>1</v>
      </c>
      <c r="E481" s="3">
        <v>6.9999999999999999E-4</v>
      </c>
    </row>
    <row r="482" spans="2:5">
      <c r="B482" s="25"/>
      <c r="C482" s="1" t="str">
        <f>"OMEALCA"</f>
        <v>OMEALCA</v>
      </c>
      <c r="D482" s="2">
        <v>4</v>
      </c>
      <c r="E482" s="3">
        <v>2.7000000000000001E-3</v>
      </c>
    </row>
    <row r="483" spans="2:5">
      <c r="B483" s="25"/>
      <c r="C483" s="1" t="str">
        <f>"ORIZABA"</f>
        <v>ORIZABA</v>
      </c>
      <c r="D483" s="2">
        <v>1</v>
      </c>
      <c r="E483" s="3">
        <v>6.9999999999999999E-4</v>
      </c>
    </row>
    <row r="484" spans="2:5">
      <c r="B484" s="25"/>
      <c r="C484" s="1" t="str">
        <f>"PANUCO"</f>
        <v>PANUCO</v>
      </c>
      <c r="D484" s="2">
        <v>4</v>
      </c>
      <c r="E484" s="3">
        <v>2.7000000000000001E-3</v>
      </c>
    </row>
    <row r="485" spans="2:5">
      <c r="B485" s="25"/>
      <c r="C485" s="1" t="str">
        <f>"PAPANTLA"</f>
        <v>PAPANTLA</v>
      </c>
      <c r="D485" s="2">
        <v>1</v>
      </c>
      <c r="E485" s="3">
        <v>6.9999999999999999E-4</v>
      </c>
    </row>
    <row r="486" spans="2:5">
      <c r="B486" s="25"/>
      <c r="C486" s="1" t="str">
        <f>"PLAYA VICENTE"</f>
        <v>PLAYA VICENTE</v>
      </c>
      <c r="D486" s="2">
        <v>8</v>
      </c>
      <c r="E486" s="3">
        <v>5.3E-3</v>
      </c>
    </row>
    <row r="487" spans="2:5">
      <c r="B487" s="25"/>
      <c r="C487" s="1" t="str">
        <f>"POZA RICA DE HIDALGO"</f>
        <v>POZA RICA DE HIDALGO</v>
      </c>
      <c r="D487" s="2">
        <v>3</v>
      </c>
      <c r="E487" s="3">
        <v>2E-3</v>
      </c>
    </row>
    <row r="488" spans="2:5">
      <c r="B488" s="25"/>
      <c r="C488" s="1" t="str">
        <f>"PUEBLO VIEJO"</f>
        <v>PUEBLO VIEJO</v>
      </c>
      <c r="D488" s="2">
        <v>1</v>
      </c>
      <c r="E488" s="3">
        <v>6.9999999999999999E-4</v>
      </c>
    </row>
    <row r="489" spans="2:5">
      <c r="B489" s="25"/>
      <c r="C489" s="1" t="str">
        <f>"PUENTE NACIONAL"</f>
        <v>PUENTE NACIONAL</v>
      </c>
      <c r="D489" s="2">
        <v>4</v>
      </c>
      <c r="E489" s="3">
        <v>2.7000000000000001E-3</v>
      </c>
    </row>
    <row r="490" spans="2:5">
      <c r="B490" s="25"/>
      <c r="C490" s="1" t="str">
        <f>"RIO BLANCO"</f>
        <v>RIO BLANCO</v>
      </c>
      <c r="D490" s="2">
        <v>1</v>
      </c>
      <c r="E490" s="3">
        <v>6.9999999999999999E-4</v>
      </c>
    </row>
    <row r="491" spans="2:5">
      <c r="B491" s="25"/>
      <c r="C491" s="1" t="str">
        <f>"SAN ANDRES TUXTLA"</f>
        <v>SAN ANDRES TUXTLA</v>
      </c>
      <c r="D491" s="2">
        <v>7</v>
      </c>
      <c r="E491" s="3">
        <v>4.5999999999999999E-3</v>
      </c>
    </row>
    <row r="492" spans="2:5">
      <c r="B492" s="25"/>
      <c r="C492" s="1" t="str">
        <f>"SAN JUAN EVANGELISTA"</f>
        <v>SAN JUAN EVANGELISTA</v>
      </c>
      <c r="D492" s="2">
        <v>1</v>
      </c>
      <c r="E492" s="3">
        <v>6.9999999999999999E-4</v>
      </c>
    </row>
    <row r="493" spans="2:5">
      <c r="B493" s="25"/>
      <c r="C493" s="1" t="str">
        <f>"SANTIAGO TUXTLA"</f>
        <v>SANTIAGO TUXTLA</v>
      </c>
      <c r="D493" s="2">
        <v>4</v>
      </c>
      <c r="E493" s="3">
        <v>2.7000000000000001E-3</v>
      </c>
    </row>
    <row r="494" spans="2:5">
      <c r="B494" s="25"/>
      <c r="C494" s="1" t="str">
        <f>"SAYULA DE ALEMAN"</f>
        <v>SAYULA DE ALEMAN</v>
      </c>
      <c r="D494" s="2">
        <v>3</v>
      </c>
      <c r="E494" s="3">
        <v>2E-3</v>
      </c>
    </row>
    <row r="495" spans="2:5">
      <c r="B495" s="25"/>
      <c r="C495" s="1" t="str">
        <f>"SOCHIAPA"</f>
        <v>SOCHIAPA</v>
      </c>
      <c r="D495" s="2">
        <v>1</v>
      </c>
      <c r="E495" s="3">
        <v>6.9999999999999999E-4</v>
      </c>
    </row>
    <row r="496" spans="2:5">
      <c r="B496" s="25"/>
      <c r="C496" s="1" t="str">
        <f>"SOLEDAD DE DOBLADO"</f>
        <v>SOLEDAD DE DOBLADO</v>
      </c>
      <c r="D496" s="2">
        <v>2</v>
      </c>
      <c r="E496" s="3">
        <v>1.2999999999999999E-3</v>
      </c>
    </row>
    <row r="497" spans="2:5">
      <c r="B497" s="25"/>
      <c r="C497" s="1" t="str">
        <f>"TAMIAHUA"</f>
        <v>TAMIAHUA</v>
      </c>
      <c r="D497" s="2">
        <v>1</v>
      </c>
      <c r="E497" s="3">
        <v>6.9999999999999999E-4</v>
      </c>
    </row>
    <row r="498" spans="2:5">
      <c r="B498" s="25"/>
      <c r="C498" s="1" t="str">
        <f>"TANTOYUCA"</f>
        <v>TANTOYUCA</v>
      </c>
      <c r="D498" s="2">
        <v>1</v>
      </c>
      <c r="E498" s="3">
        <v>6.9999999999999999E-4</v>
      </c>
    </row>
    <row r="499" spans="2:5">
      <c r="B499" s="25"/>
      <c r="C499" s="1" t="str">
        <f>"TECOLUTLA"</f>
        <v>TECOLUTLA</v>
      </c>
      <c r="D499" s="2">
        <v>10</v>
      </c>
      <c r="E499" s="3">
        <v>6.6E-3</v>
      </c>
    </row>
    <row r="500" spans="2:5">
      <c r="B500" s="25"/>
      <c r="C500" s="1" t="str">
        <f>"TEHUIPANGO"</f>
        <v>TEHUIPANGO</v>
      </c>
      <c r="D500" s="2">
        <v>1</v>
      </c>
      <c r="E500" s="3">
        <v>6.9999999999999999E-4</v>
      </c>
    </row>
    <row r="501" spans="2:5">
      <c r="B501" s="25"/>
      <c r="C501" s="1" t="str">
        <f>"TEMAPACHE"</f>
        <v>TEMAPACHE</v>
      </c>
      <c r="D501" s="2">
        <v>19</v>
      </c>
      <c r="E501" s="3">
        <v>1.26E-2</v>
      </c>
    </row>
    <row r="502" spans="2:5">
      <c r="B502" s="25"/>
      <c r="C502" s="1" t="str">
        <f>"TEMPOAL"</f>
        <v>TEMPOAL</v>
      </c>
      <c r="D502" s="2">
        <v>2</v>
      </c>
      <c r="E502" s="3">
        <v>1.2999999999999999E-3</v>
      </c>
    </row>
    <row r="503" spans="2:5">
      <c r="B503" s="25"/>
      <c r="C503" s="1" t="str">
        <f>"TEOCELO"</f>
        <v>TEOCELO</v>
      </c>
      <c r="D503" s="2">
        <v>5</v>
      </c>
      <c r="E503" s="3">
        <v>3.3E-3</v>
      </c>
    </row>
    <row r="504" spans="2:5">
      <c r="B504" s="25"/>
      <c r="C504" s="1" t="str">
        <f>"TEXISTEPEC"</f>
        <v>TEXISTEPEC</v>
      </c>
      <c r="D504" s="2">
        <v>5</v>
      </c>
      <c r="E504" s="3">
        <v>3.3E-3</v>
      </c>
    </row>
    <row r="505" spans="2:5">
      <c r="B505" s="25"/>
      <c r="C505" s="1" t="str">
        <f>"TEZONAPA"</f>
        <v>TEZONAPA</v>
      </c>
      <c r="D505" s="2">
        <v>5</v>
      </c>
      <c r="E505" s="3">
        <v>3.3E-3</v>
      </c>
    </row>
    <row r="506" spans="2:5">
      <c r="B506" s="25"/>
      <c r="C506" s="1" t="str">
        <f>"TIERRA BLANCA"</f>
        <v>TIERRA BLANCA</v>
      </c>
      <c r="D506" s="2">
        <v>14</v>
      </c>
      <c r="E506" s="3">
        <v>9.2999999999999992E-3</v>
      </c>
    </row>
    <row r="507" spans="2:5">
      <c r="B507" s="25"/>
      <c r="C507" s="1" t="str">
        <f>"TIHUATLAN"</f>
        <v>TIHUATLAN</v>
      </c>
      <c r="D507" s="2">
        <v>1</v>
      </c>
      <c r="E507" s="3">
        <v>6.9999999999999999E-4</v>
      </c>
    </row>
    <row r="508" spans="2:5">
      <c r="B508" s="25"/>
      <c r="C508" s="1" t="str">
        <f>"TLACOTEPEC DE MEJIA"</f>
        <v>TLACOTEPEC DE MEJIA</v>
      </c>
      <c r="D508" s="2">
        <v>2</v>
      </c>
      <c r="E508" s="3">
        <v>1.2999999999999999E-3</v>
      </c>
    </row>
    <row r="509" spans="2:5">
      <c r="B509" s="25"/>
      <c r="C509" s="1" t="str">
        <f>"TLALTETELA"</f>
        <v>TLALTETELA</v>
      </c>
      <c r="D509" s="2">
        <v>3</v>
      </c>
      <c r="E509" s="3">
        <v>2E-3</v>
      </c>
    </row>
    <row r="510" spans="2:5">
      <c r="B510" s="25"/>
      <c r="C510" s="1" t="str">
        <f>"TLAPACOYAN"</f>
        <v>TLAPACOYAN</v>
      </c>
      <c r="D510" s="2">
        <v>3</v>
      </c>
      <c r="E510" s="3">
        <v>2E-3</v>
      </c>
    </row>
    <row r="511" spans="2:5">
      <c r="B511" s="25"/>
      <c r="C511" s="1" t="str">
        <f>"TUXPAM"</f>
        <v>TUXPAM</v>
      </c>
      <c r="D511" s="2">
        <v>4</v>
      </c>
      <c r="E511" s="3">
        <v>2.7000000000000001E-3</v>
      </c>
    </row>
    <row r="512" spans="2:5">
      <c r="B512" s="25"/>
      <c r="C512" s="1" t="str">
        <f>"UXPANAPA"</f>
        <v>UXPANAPA</v>
      </c>
      <c r="D512" s="2">
        <v>1</v>
      </c>
      <c r="E512" s="3">
        <v>6.9999999999999999E-4</v>
      </c>
    </row>
    <row r="513" spans="2:5">
      <c r="B513" s="25"/>
      <c r="C513" s="1" t="str">
        <f>"VEGA DE ALATORRE"</f>
        <v>VEGA DE ALATORRE</v>
      </c>
      <c r="D513" s="2">
        <v>7</v>
      </c>
      <c r="E513" s="3">
        <v>4.5999999999999999E-3</v>
      </c>
    </row>
    <row r="514" spans="2:5">
      <c r="B514" s="25"/>
      <c r="C514" s="1" t="str">
        <f>"VERACRUZ"</f>
        <v>VERACRUZ</v>
      </c>
      <c r="D514" s="2">
        <v>16</v>
      </c>
      <c r="E514" s="3">
        <v>1.06E-2</v>
      </c>
    </row>
    <row r="515" spans="2:5">
      <c r="B515" s="25"/>
      <c r="C515" s="1" t="str">
        <f>"XALAPA"</f>
        <v>XALAPA</v>
      </c>
      <c r="D515" s="2">
        <v>6</v>
      </c>
      <c r="E515" s="3">
        <v>4.0000000000000001E-3</v>
      </c>
    </row>
    <row r="516" spans="2:5">
      <c r="B516" s="25"/>
      <c r="C516" s="1" t="str">
        <f>"XOXOCOTLA"</f>
        <v>XOXOCOTLA</v>
      </c>
      <c r="D516" s="2">
        <v>1</v>
      </c>
      <c r="E516" s="3">
        <v>6.9999999999999999E-4</v>
      </c>
    </row>
    <row r="517" spans="2:5">
      <c r="B517" s="25"/>
      <c r="C517" s="1" t="str">
        <f>"ZONGOLICA"</f>
        <v>ZONGOLICA</v>
      </c>
      <c r="D517" s="2">
        <v>4</v>
      </c>
      <c r="E517" s="3">
        <v>2.7000000000000001E-3</v>
      </c>
    </row>
    <row r="518" spans="2:5">
      <c r="B518" s="26"/>
      <c r="C518" s="18" t="str">
        <f>"Total"</f>
        <v>Total</v>
      </c>
      <c r="D518" s="19">
        <v>261</v>
      </c>
      <c r="E518" s="20">
        <v>0.17299999999999999</v>
      </c>
    </row>
    <row r="519" spans="2:5">
      <c r="B519" s="24" t="str">
        <f t="shared" ref="B519" si="22">"ZACATECAS"</f>
        <v>ZACATECAS</v>
      </c>
      <c r="C519" s="1" t="str">
        <f>"CALERA"</f>
        <v>CALERA</v>
      </c>
      <c r="D519" s="2">
        <v>2</v>
      </c>
      <c r="E519" s="3">
        <v>1.2999999999999999E-3</v>
      </c>
    </row>
    <row r="520" spans="2:5">
      <c r="B520" s="25"/>
      <c r="C520" s="1" t="str">
        <f>"CHALCHIHUITES"</f>
        <v>CHALCHIHUITES</v>
      </c>
      <c r="D520" s="2">
        <v>2</v>
      </c>
      <c r="E520" s="3">
        <v>1.2999999999999999E-3</v>
      </c>
    </row>
    <row r="521" spans="2:5">
      <c r="B521" s="25"/>
      <c r="C521" s="1" t="str">
        <f>"CONCEPCION DEL ORO"</f>
        <v>CONCEPCION DEL ORO</v>
      </c>
      <c r="D521" s="2">
        <v>1</v>
      </c>
      <c r="E521" s="3">
        <v>6.9999999999999999E-4</v>
      </c>
    </row>
    <row r="522" spans="2:5">
      <c r="B522" s="25"/>
      <c r="C522" s="1" t="str">
        <f>"FRESNILLO"</f>
        <v>FRESNILLO</v>
      </c>
      <c r="D522" s="2">
        <v>6</v>
      </c>
      <c r="E522" s="3">
        <v>4.0000000000000001E-3</v>
      </c>
    </row>
    <row r="523" spans="2:5" ht="30">
      <c r="B523" s="25"/>
      <c r="C523" s="1" t="str">
        <f>"GENERAL FRANCISCO R. MURGUIA"</f>
        <v>GENERAL FRANCISCO R. MURGUIA</v>
      </c>
      <c r="D523" s="2">
        <v>1</v>
      </c>
      <c r="E523" s="3">
        <v>6.9999999999999999E-4</v>
      </c>
    </row>
    <row r="524" spans="2:5">
      <c r="B524" s="25"/>
      <c r="C524" s="1" t="str">
        <f>"GENERAL PANFILO NATERA"</f>
        <v>GENERAL PANFILO NATERA</v>
      </c>
      <c r="D524" s="2">
        <v>36</v>
      </c>
      <c r="E524" s="3">
        <v>2.3900000000000001E-2</v>
      </c>
    </row>
    <row r="525" spans="2:5">
      <c r="B525" s="25"/>
      <c r="C525" s="1" t="str">
        <f>"GUADALUPE"</f>
        <v>GUADALUPE</v>
      </c>
      <c r="D525" s="2">
        <v>2</v>
      </c>
      <c r="E525" s="3">
        <v>1.2999999999999999E-3</v>
      </c>
    </row>
    <row r="526" spans="2:5">
      <c r="B526" s="25"/>
      <c r="C526" s="1" t="str">
        <f>"JALPA"</f>
        <v>JALPA</v>
      </c>
      <c r="D526" s="2">
        <v>2</v>
      </c>
      <c r="E526" s="3">
        <v>1.2999999999999999E-3</v>
      </c>
    </row>
    <row r="527" spans="2:5">
      <c r="B527" s="25"/>
      <c r="C527" s="1" t="str">
        <f>"JEREZ"</f>
        <v>JEREZ</v>
      </c>
      <c r="D527" s="2">
        <v>1</v>
      </c>
      <c r="E527" s="3">
        <v>6.9999999999999999E-4</v>
      </c>
    </row>
    <row r="528" spans="2:5">
      <c r="B528" s="25"/>
      <c r="C528" s="1" t="str">
        <f>"LORETO"</f>
        <v>LORETO</v>
      </c>
      <c r="D528" s="2">
        <v>1</v>
      </c>
      <c r="E528" s="3">
        <v>6.9999999999999999E-4</v>
      </c>
    </row>
    <row r="529" spans="2:5">
      <c r="B529" s="25"/>
      <c r="C529" s="1" t="str">
        <f>"OJOCALIENTE"</f>
        <v>OJOCALIENTE</v>
      </c>
      <c r="D529" s="2">
        <v>6</v>
      </c>
      <c r="E529" s="3">
        <v>4.0000000000000001E-3</v>
      </c>
    </row>
    <row r="530" spans="2:5">
      <c r="B530" s="25"/>
      <c r="C530" s="1" t="str">
        <f>"RIO GRANDE"</f>
        <v>RIO GRANDE</v>
      </c>
      <c r="D530" s="2">
        <v>5</v>
      </c>
      <c r="E530" s="3">
        <v>3.3E-3</v>
      </c>
    </row>
    <row r="531" spans="2:5">
      <c r="B531" s="25"/>
      <c r="C531" s="1" t="str">
        <f>"SAIN ALTO"</f>
        <v>SAIN ALTO</v>
      </c>
      <c r="D531" s="2">
        <v>3</v>
      </c>
      <c r="E531" s="3">
        <v>2E-3</v>
      </c>
    </row>
    <row r="532" spans="2:5">
      <c r="B532" s="25"/>
      <c r="C532" s="1" t="str">
        <f>"SOMBRERETE"</f>
        <v>SOMBRERETE</v>
      </c>
      <c r="D532" s="2">
        <v>1</v>
      </c>
      <c r="E532" s="3">
        <v>6.9999999999999999E-4</v>
      </c>
    </row>
    <row r="533" spans="2:5">
      <c r="B533" s="25"/>
      <c r="C533" s="1" t="str">
        <f>"VILLA GONZALEZ ORTEGA"</f>
        <v>VILLA GONZALEZ ORTEGA</v>
      </c>
      <c r="D533" s="2">
        <v>1</v>
      </c>
      <c r="E533" s="3">
        <v>6.9999999999999999E-4</v>
      </c>
    </row>
    <row r="534" spans="2:5">
      <c r="B534" s="26"/>
      <c r="C534" s="18" t="str">
        <f>"Total"</f>
        <v>Total</v>
      </c>
      <c r="D534" s="19">
        <v>70</v>
      </c>
      <c r="E534" s="20">
        <v>4.6399999999999997E-2</v>
      </c>
    </row>
    <row r="535" spans="2:5">
      <c r="B535" s="14" t="s">
        <v>1</v>
      </c>
      <c r="C535" s="15" t="str">
        <f>" "</f>
        <v> </v>
      </c>
      <c r="D535" s="16">
        <v>1509</v>
      </c>
      <c r="E535" s="17">
        <v>1</v>
      </c>
    </row>
    <row r="537" spans="2:5" ht="16.5">
      <c r="B537" s="4" t="s">
        <v>2</v>
      </c>
      <c r="C537" s="5"/>
    </row>
    <row r="538" spans="2:5" ht="16.5">
      <c r="B538" s="4" t="s">
        <v>3</v>
      </c>
      <c r="C538" s="5"/>
    </row>
    <row r="539" spans="2:5" ht="16.5">
      <c r="B539" s="4" t="s">
        <v>4</v>
      </c>
      <c r="C539" s="5"/>
    </row>
    <row r="540" spans="2:5" ht="16.5">
      <c r="B540" s="4" t="s">
        <v>5</v>
      </c>
      <c r="C540" s="5"/>
    </row>
    <row r="541" spans="2:5">
      <c r="B541" s="4" t="s">
        <v>10</v>
      </c>
    </row>
  </sheetData>
  <mergeCells count="34">
    <mergeCell ref="B6:E7"/>
    <mergeCell ref="B8:B9"/>
    <mergeCell ref="C8:C9"/>
    <mergeCell ref="D8:D9"/>
    <mergeCell ref="E8:E9"/>
    <mergeCell ref="B10:B13"/>
    <mergeCell ref="B14:B15"/>
    <mergeCell ref="B16:B21"/>
    <mergeCell ref="B22:B59"/>
    <mergeCell ref="B60:B68"/>
    <mergeCell ref="B69:B77"/>
    <mergeCell ref="B78:B86"/>
    <mergeCell ref="B87:B96"/>
    <mergeCell ref="B97:B125"/>
    <mergeCell ref="B126:B149"/>
    <mergeCell ref="B150:B175"/>
    <mergeCell ref="B176:B196"/>
    <mergeCell ref="B197:B231"/>
    <mergeCell ref="B232:B264"/>
    <mergeCell ref="B265:B272"/>
    <mergeCell ref="B273:B277"/>
    <mergeCell ref="B278:B286"/>
    <mergeCell ref="B287:B320"/>
    <mergeCell ref="B321:B355"/>
    <mergeCell ref="B356:B367"/>
    <mergeCell ref="B419:B437"/>
    <mergeCell ref="B438:B446"/>
    <mergeCell ref="B447:B518"/>
    <mergeCell ref="B519:B534"/>
    <mergeCell ref="B368:B369"/>
    <mergeCell ref="B370:B400"/>
    <mergeCell ref="B401:B404"/>
    <mergeCell ref="B405:B408"/>
    <mergeCell ref="B409:B418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easCABVYY5G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2012-03-09T18:20:15Z</dcterms:created>
  <dcterms:modified xsi:type="dcterms:W3CDTF">2012-03-15T20:24:02Z</dcterms:modified>
</cp:coreProperties>
</file>