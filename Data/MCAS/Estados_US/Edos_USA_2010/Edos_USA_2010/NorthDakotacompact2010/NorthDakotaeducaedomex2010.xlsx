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OD43CM" sheetId="2" r:id="rId1"/>
  </sheets>
  <calcPr calcId="125725"/>
</workbook>
</file>

<file path=xl/calcChain.xml><?xml version="1.0" encoding="utf-8"?>
<calcChain xmlns="http://schemas.openxmlformats.org/spreadsheetml/2006/main">
  <c r="B31" i="2"/>
  <c r="B25"/>
  <c r="B23"/>
  <c r="B17"/>
  <c r="B12"/>
  <c r="B10"/>
  <c r="C35"/>
  <c r="C34"/>
  <c r="B34"/>
  <c r="C33"/>
  <c r="B33"/>
  <c r="C32"/>
  <c r="B32"/>
  <c r="C31"/>
  <c r="C30"/>
  <c r="B30"/>
  <c r="C29"/>
  <c r="B29"/>
  <c r="C28"/>
  <c r="B28"/>
  <c r="C27"/>
  <c r="B27"/>
  <c r="C26"/>
  <c r="B26"/>
  <c r="C25"/>
  <c r="C24"/>
  <c r="B24"/>
  <c r="C23"/>
  <c r="C22"/>
  <c r="B22"/>
  <c r="C21"/>
  <c r="B21"/>
  <c r="C20"/>
  <c r="B20"/>
  <c r="C19"/>
  <c r="B19"/>
  <c r="C18"/>
  <c r="B18"/>
  <c r="C17"/>
  <c r="C16"/>
  <c r="B16"/>
  <c r="C15"/>
  <c r="B15"/>
  <c r="C14"/>
  <c r="B14"/>
  <c r="C13"/>
  <c r="B13"/>
  <c r="C12"/>
  <c r="C11"/>
  <c r="B11"/>
  <c r="C10"/>
</calcChain>
</file>

<file path=xl/sharedStrings.xml><?xml version="1.0" encoding="utf-8"?>
<sst xmlns="http://schemas.openxmlformats.org/spreadsheetml/2006/main" count="11" uniqueCount="11">
  <si>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</si>
  <si>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</si>
  <si>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</si>
  <si>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</si>
  <si>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</si>
  <si>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</si>
  <si>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</si>
  <si>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</si>
  <si>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</si>
  <si>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TOTAL</t>
  </si>
  <si>
    <t>MATRÍCULAS CONSULARES EXPEDIDAS EN EL ESTADO DE NORTH DAKOTA EE.UU. POR ESTADOS DE LA REPUBLICA MEXICANA Y NIVEL DE EDUCACIÓN, DURANTE EL 2010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</si>
</sst>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33" borderId="11" xfId="0" applyFont="1" applyFill="1" applyBorder="1" applyAlignment="1">
      <alignment wrapText="1"/>
    </xf>
    <xf numFmtId="0" fontId="18" fillId="33" borderId="11" xfId="0" applyFont="1" applyFill="1" applyBorder="1" applyAlignment="1">
      <alignment horizontal="right" wrapText="1"/>
    </xf>
    <xf numFmtId="3" fontId="18" fillId="33" borderId="12" xfId="0" applyNumberFormat="1" applyFont="1" applyFill="1" applyBorder="1" applyAlignment="1">
      <alignment horizontal="right" wrapText="1"/>
    </xf>
    <xf numFmtId="10" fontId="18" fillId="33" borderId="12" xfId="0" applyNumberFormat="1" applyFont="1" applyFill="1" applyBorder="1" applyAlignment="1">
      <alignment horizontal="right" wrapText="1"/>
    </xf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21" fillId="34" borderId="10" xfId="0" applyFont="1" applyFill="1" applyBorder="1" applyAlignment="1">
      <alignment horizontal="right" wrapText="1"/>
    </xf>
    <xf numFmtId="10" fontId="21" fillId="34" borderId="10" xfId="0" applyNumberFormat="1" applyFont="1" applyFill="1" applyBorder="1" applyAlignment="1">
      <alignment horizontal="right" wrapText="1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23" fillId="33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24525" y="28575"/>
          <a:ext cx="1438275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42"/>
  <sheetViews>
    <sheetView showGridLines="0" tabSelected="1" workbookViewId="0">
      <selection activeCell="B8" sqref="B8"/>
    </sheetView>
  </sheetViews>
  <sheetFormatPr baseColWidth="10" defaultRowHeight="15"/>
  <cols>
    <col min="2" max="2" width="43.5703125" customWidth="1"/>
    <col min="3" max="3" width="19.7109375" customWidth="1"/>
    <col min="4" max="5" width="16.140625" bestFit="1" customWidth="1"/>
  </cols>
  <sheetData>
    <row r="6" spans="1:5">
      <c r="B6" s="14" t="s">
        <v>10</v>
      </c>
      <c r="C6" s="14"/>
      <c r="D6" s="14"/>
      <c r="E6" s="14"/>
    </row>
    <row r="7" spans="1:5" ht="16.5">
      <c r="A7" s="15"/>
      <c r="B7" s="14"/>
      <c r="C7" s="14"/>
      <c r="D7" s="14"/>
      <c r="E7" s="14"/>
    </row>
    <row r="9" spans="1:5" ht="33">
      <c r="B9" s="16" t="s">
        <v>5</v>
      </c>
      <c r="C9" s="16" t="s">
        <v>6</v>
      </c>
      <c r="D9" s="16" t="s">
        <v>7</v>
      </c>
      <c r="E9" s="16" t="s">
        <v>8</v>
      </c>
    </row>
    <row r="10" spans="1:5" ht="30">
      <c r="B10" s="12" t="str">
        <f>"6o. PRIMARIA"</f>
        <v>6o. PRIMARIA</v>
      </c>
      <c r="C10" s="1" t="str">
        <f>"MICHOACAN DE OCAMPO"</f>
        <v>MICHOACAN DE OCAMPO</v>
      </c>
      <c r="D10" s="2">
        <v>1</v>
      </c>
      <c r="E10" s="3">
        <v>0.05</v>
      </c>
    </row>
    <row r="11" spans="1:5" ht="16.5">
      <c r="B11" s="13" t="str">
        <f>"266o. PRIMARIA"</f>
        <v>266o. PRIMARIA</v>
      </c>
      <c r="C11" s="9" t="str">
        <f>"Total"</f>
        <v>Total</v>
      </c>
      <c r="D11" s="10">
        <v>1</v>
      </c>
      <c r="E11" s="11">
        <v>0.05</v>
      </c>
    </row>
    <row r="12" spans="1:5">
      <c r="B12" s="12" t="str">
        <f>"PRIMARIA CON CERTIFICADO"</f>
        <v>PRIMARIA CON CERTIFICADO</v>
      </c>
      <c r="C12" s="1" t="str">
        <f>"DISTRITO FEDERAL"</f>
        <v>DISTRITO FEDERAL</v>
      </c>
      <c r="D12" s="2">
        <v>1</v>
      </c>
      <c r="E12" s="3">
        <v>0.05</v>
      </c>
    </row>
    <row r="13" spans="1:5">
      <c r="B13" s="13" t="str">
        <f>"27PRIMARIA CON CERTIFICADO"</f>
        <v>27PRIMARIA CON CERTIFICADO</v>
      </c>
      <c r="C13" s="1" t="str">
        <f>"GUANAJUATO"</f>
        <v>GUANAJUATO</v>
      </c>
      <c r="D13" s="2">
        <v>1</v>
      </c>
      <c r="E13" s="3">
        <v>0.05</v>
      </c>
    </row>
    <row r="14" spans="1:5">
      <c r="B14" s="13" t="str">
        <f>"27PRIMARIA CON CERTIFICADO"</f>
        <v>27PRIMARIA CON CERTIFICADO</v>
      </c>
      <c r="C14" s="1" t="str">
        <f>"JALISCO"</f>
        <v>JALISCO</v>
      </c>
      <c r="D14" s="2">
        <v>1</v>
      </c>
      <c r="E14" s="3">
        <v>0.05</v>
      </c>
    </row>
    <row r="15" spans="1:5">
      <c r="B15" s="13" t="str">
        <f>"27PRIMARIA CON CERTIFICADO"</f>
        <v>27PRIMARIA CON CERTIFICADO</v>
      </c>
      <c r="C15" s="1" t="str">
        <f>"SAN LUIS POTOSI"</f>
        <v>SAN LUIS POTOSI</v>
      </c>
      <c r="D15" s="2">
        <v>1</v>
      </c>
      <c r="E15" s="3">
        <v>0.05</v>
      </c>
    </row>
    <row r="16" spans="1:5" ht="16.5">
      <c r="B16" s="13" t="str">
        <f>"27PRIMARIA CON CERTIFICADO"</f>
        <v>27PRIMARIA CON CERTIFICADO</v>
      </c>
      <c r="C16" s="9" t="str">
        <f>"Total"</f>
        <v>Total</v>
      </c>
      <c r="D16" s="10">
        <v>4</v>
      </c>
      <c r="E16" s="11">
        <v>0.2</v>
      </c>
    </row>
    <row r="17" spans="2:5" ht="30">
      <c r="B17" s="12" t="str">
        <f>"SECUNDARIA CON CERTIFICADO"</f>
        <v>SECUNDARIA CON CERTIFICADO</v>
      </c>
      <c r="C17" s="1" t="str">
        <f>"COAHUILA DE ZARAGOZA"</f>
        <v>COAHUILA DE ZARAGOZA</v>
      </c>
      <c r="D17" s="2">
        <v>1</v>
      </c>
      <c r="E17" s="3">
        <v>0.05</v>
      </c>
    </row>
    <row r="18" spans="2:5">
      <c r="B18" s="13" t="str">
        <f t="shared" ref="B17:B22" si="0">"34SECUNDARIA CON CERTIFICADO"</f>
        <v>34SECUNDARIA CON CERTIFICADO</v>
      </c>
      <c r="C18" s="1" t="str">
        <f>"DISTRITO FEDERAL"</f>
        <v>DISTRITO FEDERAL</v>
      </c>
      <c r="D18" s="2">
        <v>2</v>
      </c>
      <c r="E18" s="3">
        <v>0.1</v>
      </c>
    </row>
    <row r="19" spans="2:5">
      <c r="B19" s="13" t="str">
        <f t="shared" si="0"/>
        <v>34SECUNDARIA CON CERTIFICADO</v>
      </c>
      <c r="C19" s="1" t="str">
        <f>"GUANAJUATO"</f>
        <v>GUANAJUATO</v>
      </c>
      <c r="D19" s="2">
        <v>1</v>
      </c>
      <c r="E19" s="3">
        <v>0.05</v>
      </c>
    </row>
    <row r="20" spans="2:5">
      <c r="B20" s="13" t="str">
        <f t="shared" si="0"/>
        <v>34SECUNDARIA CON CERTIFICADO</v>
      </c>
      <c r="C20" s="1" t="str">
        <f>"NUEVO LEON"</f>
        <v>NUEVO LEON</v>
      </c>
      <c r="D20" s="2">
        <v>2</v>
      </c>
      <c r="E20" s="3">
        <v>0.1</v>
      </c>
    </row>
    <row r="21" spans="2:5">
      <c r="B21" s="13" t="str">
        <f t="shared" si="0"/>
        <v>34SECUNDARIA CON CERTIFICADO</v>
      </c>
      <c r="C21" s="1" t="str">
        <f>"SONORA"</f>
        <v>SONORA</v>
      </c>
      <c r="D21" s="2">
        <v>1</v>
      </c>
      <c r="E21" s="3">
        <v>0.05</v>
      </c>
    </row>
    <row r="22" spans="2:5" ht="16.5">
      <c r="B22" s="13" t="str">
        <f t="shared" si="0"/>
        <v>34SECUNDARIA CON CERTIFICADO</v>
      </c>
      <c r="C22" s="9" t="str">
        <f>"Total"</f>
        <v>Total</v>
      </c>
      <c r="D22" s="10">
        <v>7</v>
      </c>
      <c r="E22" s="11">
        <v>0.35</v>
      </c>
    </row>
    <row r="23" spans="2:5">
      <c r="B23" s="12" t="str">
        <f>"CAPACITACION TECNICA"</f>
        <v>CAPACITACION TECNICA</v>
      </c>
      <c r="C23" s="1" t="str">
        <f>"TAMAULIPAS"</f>
        <v>TAMAULIPAS</v>
      </c>
      <c r="D23" s="2">
        <v>1</v>
      </c>
      <c r="E23" s="3">
        <v>0.05</v>
      </c>
    </row>
    <row r="24" spans="2:5" ht="16.5">
      <c r="B24" s="13" t="str">
        <f>"41CAPACITACION TECNICA"</f>
        <v>41CAPACITACION TECNICA</v>
      </c>
      <c r="C24" s="9" t="str">
        <f>"Total"</f>
        <v>Total</v>
      </c>
      <c r="D24" s="10">
        <v>1</v>
      </c>
      <c r="E24" s="11">
        <v>0.05</v>
      </c>
    </row>
    <row r="25" spans="2:5">
      <c r="B25" s="12" t="str">
        <f>"PREPARATORIA CON CERTIFICADO"</f>
        <v>PREPARATORIA CON CERTIFICADO</v>
      </c>
      <c r="C25" s="1" t="str">
        <f>"CHIHUAHUA"</f>
        <v>CHIHUAHUA</v>
      </c>
      <c r="D25" s="2">
        <v>1</v>
      </c>
      <c r="E25" s="3">
        <v>0.05</v>
      </c>
    </row>
    <row r="26" spans="2:5">
      <c r="B26" s="13" t="str">
        <f t="shared" ref="B25:B30" si="1">"52PREPARATORIA CON CERTIFICADO"</f>
        <v>52PREPARATORIA CON CERTIFICADO</v>
      </c>
      <c r="C26" s="1" t="str">
        <f>"GUERRERO"</f>
        <v>GUERRERO</v>
      </c>
      <c r="D26" s="2">
        <v>1</v>
      </c>
      <c r="E26" s="3">
        <v>0.05</v>
      </c>
    </row>
    <row r="27" spans="2:5">
      <c r="B27" s="13" t="str">
        <f t="shared" si="1"/>
        <v>52PREPARATORIA CON CERTIFICADO</v>
      </c>
      <c r="C27" s="1" t="str">
        <f>"OAXACA"</f>
        <v>OAXACA</v>
      </c>
      <c r="D27" s="2">
        <v>1</v>
      </c>
      <c r="E27" s="3">
        <v>0.05</v>
      </c>
    </row>
    <row r="28" spans="2:5">
      <c r="B28" s="13" t="str">
        <f t="shared" si="1"/>
        <v>52PREPARATORIA CON CERTIFICADO</v>
      </c>
      <c r="C28" s="1" t="str">
        <f>"SAN LUIS POTOSI"</f>
        <v>SAN LUIS POTOSI</v>
      </c>
      <c r="D28" s="2">
        <v>1</v>
      </c>
      <c r="E28" s="3">
        <v>0.05</v>
      </c>
    </row>
    <row r="29" spans="2:5">
      <c r="B29" s="13" t="str">
        <f t="shared" si="1"/>
        <v>52PREPARATORIA CON CERTIFICADO</v>
      </c>
      <c r="C29" s="1" t="str">
        <f>"TAMAULIPAS"</f>
        <v>TAMAULIPAS</v>
      </c>
      <c r="D29" s="2">
        <v>1</v>
      </c>
      <c r="E29" s="3">
        <v>0.05</v>
      </c>
    </row>
    <row r="30" spans="2:5" ht="16.5">
      <c r="B30" s="13" t="str">
        <f t="shared" si="1"/>
        <v>52PREPARATORIA CON CERTIFICADO</v>
      </c>
      <c r="C30" s="9" t="str">
        <f>"Total"</f>
        <v>Total</v>
      </c>
      <c r="D30" s="10">
        <v>5</v>
      </c>
      <c r="E30" s="11">
        <v>0.25</v>
      </c>
    </row>
    <row r="31" spans="2:5">
      <c r="B31" s="12" t="str">
        <f>"PROFESIONAL PASANTE"</f>
        <v>PROFESIONAL PASANTE</v>
      </c>
      <c r="C31" s="1" t="str">
        <f>"TAMAULIPAS"</f>
        <v>TAMAULIPAS</v>
      </c>
      <c r="D31" s="2">
        <v>1</v>
      </c>
      <c r="E31" s="3">
        <v>0.05</v>
      </c>
    </row>
    <row r="32" spans="2:5">
      <c r="B32" s="13" t="str">
        <f>"65PROFESIONAL PASANTE"</f>
        <v>65PROFESIONAL PASANTE</v>
      </c>
      <c r="C32" s="1" t="str">
        <f>"Total"</f>
        <v>Total</v>
      </c>
      <c r="D32" s="2">
        <v>1</v>
      </c>
      <c r="E32" s="3">
        <v>0.05</v>
      </c>
    </row>
    <row r="33" spans="2:5">
      <c r="B33" s="13" t="str">
        <f>"66PROFESIONAL TITULADO"</f>
        <v>66PROFESIONAL TITULADO</v>
      </c>
      <c r="C33" s="1" t="str">
        <f>"NUEVO LEON"</f>
        <v>NUEVO LEON</v>
      </c>
      <c r="D33" s="2">
        <v>1</v>
      </c>
      <c r="E33" s="3">
        <v>0.05</v>
      </c>
    </row>
    <row r="34" spans="2:5" ht="16.5">
      <c r="B34" s="13" t="str">
        <f>"66PROFESIONAL TITULADO"</f>
        <v>66PROFESIONAL TITULADO</v>
      </c>
      <c r="C34" s="9" t="str">
        <f>"Total"</f>
        <v>Total</v>
      </c>
      <c r="D34" s="10">
        <v>1</v>
      </c>
      <c r="E34" s="11">
        <v>0.05</v>
      </c>
    </row>
    <row r="35" spans="2:5" ht="16.5">
      <c r="B35" s="4" t="s">
        <v>9</v>
      </c>
      <c r="C35" s="5" t="str">
        <f>" "</f>
        <v> </v>
      </c>
      <c r="D35" s="6">
        <v>20</v>
      </c>
      <c r="E35" s="7">
        <v>1</v>
      </c>
    </row>
    <row r="38" spans="2:5">
      <c r="B38" s="8" t="s">
        <v>0</v>
      </c>
    </row>
    <row r="39" spans="2:5">
      <c r="B39" s="8" t="s">
        <v>1</v>
      </c>
    </row>
    <row r="40" spans="2:5">
      <c r="B40" s="8" t="s">
        <v>2</v>
      </c>
    </row>
    <row r="41" spans="2:5">
      <c r="B41" s="8" t="s">
        <v>3</v>
      </c>
    </row>
    <row r="42" spans="2:5">
      <c r="B42" s="8" t="s">
        <v>4</v>
      </c>
    </row>
  </sheetData>
  <mergeCells count="7">
    <mergeCell ref="B23:B24"/>
    <mergeCell ref="B25:B30"/>
    <mergeCell ref="B31:B34"/>
    <mergeCell ref="B6:E7"/>
    <mergeCell ref="B10:B11"/>
    <mergeCell ref="B12:B16"/>
    <mergeCell ref="B17:B22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easCAOD43CM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2012-03-23T17:48:22Z</dcterms:created>
  <dcterms:modified xsi:type="dcterms:W3CDTF">2012-03-23T20:59:33Z</dcterms:modified>
</cp:coreProperties>
</file>