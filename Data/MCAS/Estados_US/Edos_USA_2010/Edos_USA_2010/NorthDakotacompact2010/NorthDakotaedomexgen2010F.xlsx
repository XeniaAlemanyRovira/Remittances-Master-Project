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3SR40F" sheetId="2" r:id="rId1"/>
  </sheets>
  <calcPr calcId="125725"/>
</workbook>
</file>

<file path=xl/calcChain.xml><?xml version="1.0" encoding="utf-8"?>
<calcChain xmlns="http://schemas.openxmlformats.org/spreadsheetml/2006/main">
  <c r="C36" i="2"/>
  <c r="C35"/>
  <c r="C34"/>
  <c r="C33"/>
  <c r="B33"/>
  <c r="C32"/>
  <c r="C31"/>
  <c r="B31"/>
  <c r="C30"/>
  <c r="C29"/>
  <c r="C28"/>
  <c r="B28"/>
  <c r="C27"/>
  <c r="C26"/>
  <c r="B26"/>
  <c r="C25"/>
  <c r="C24"/>
  <c r="C23"/>
  <c r="B23"/>
  <c r="C22"/>
  <c r="C21"/>
  <c r="B21"/>
  <c r="C20"/>
  <c r="C19"/>
  <c r="B19"/>
  <c r="C18"/>
  <c r="C17"/>
  <c r="B17"/>
  <c r="C16"/>
  <c r="C15"/>
  <c r="B15"/>
  <c r="C14"/>
  <c r="C13"/>
  <c r="C12"/>
  <c r="B12"/>
  <c r="C11"/>
  <c r="C10"/>
  <c r="B10"/>
  <c r="C9"/>
  <c r="C8"/>
  <c r="B8"/>
</calcChain>
</file>

<file path=xl/sharedStrings.xml><?xml version="1.0" encoding="utf-8"?>
<sst xmlns="http://schemas.openxmlformats.org/spreadsheetml/2006/main" count="11" uniqueCount="11">
  <si>
    <t>Género</t>
  </si>
  <si>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</si>
  <si>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</si>
  <si>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</si>
  <si>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</si>
  <si>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</si>
  <si>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</si>
  <si>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Estado Origen</t>
  </si>
  <si>
    <t>Porcentaje de Matrículas</t>
  </si>
  <si>
    <t>MATRÍCULAS CONSULARES DE ALTA SEGURIDAD EXPEDIDAS DURANTE EL 2010 POR ESTADO DE LA REPÚBLICA MEXICANA Y GÉNERO EN EL ESTADO DE NORTH DAKOTA, EE.UU.</t>
  </si>
  <si>
    <t>Marzo del 2012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</si>
</sst>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  <font>
      <sz val="10"/>
      <name val="Arial"/>
      <family val="2"/>
    </font>
    <font>
      <b/>
      <sz val="11"/>
      <name val="Arial Narrow"/>
      <family val="2"/>
    </font>
    <font>
      <b/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25">
    <xf numFmtId="0" fontId="0" fillId="0" borderId="0" xfId="0"/>
    <xf numFmtId="0" fontId="18" fillId="0" borderId="10" xfId="0" applyFont="1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42" applyFont="1"/>
    <xf numFmtId="0" fontId="25" fillId="0" borderId="0" xfId="42" applyFont="1"/>
    <xf numFmtId="0" fontId="24" fillId="0" borderId="0" xfId="42" applyFont="1" applyBorder="1" applyAlignment="1">
      <alignment horizontal="center" vertical="center" wrapText="1"/>
    </xf>
    <xf numFmtId="0" fontId="26" fillId="33" borderId="11" xfId="42" applyFont="1" applyFill="1" applyBorder="1" applyAlignment="1">
      <alignment horizontal="center" vertical="center" wrapText="1"/>
    </xf>
    <xf numFmtId="0" fontId="27" fillId="34" borderId="12" xfId="42" applyFont="1" applyFill="1" applyBorder="1" applyAlignment="1">
      <alignment horizontal="center" vertical="center" wrapText="1"/>
    </xf>
    <xf numFmtId="0" fontId="27" fillId="34" borderId="13" xfId="42" applyFont="1" applyFill="1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0" fontId="13" fillId="35" borderId="10" xfId="0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9" fillId="36" borderId="10" xfId="0" applyFont="1" applyFill="1" applyBorder="1" applyAlignment="1">
      <alignment wrapText="1"/>
    </xf>
    <xf numFmtId="0" fontId="18" fillId="36" borderId="10" xfId="0" applyFont="1" applyFill="1" applyBorder="1" applyAlignment="1">
      <alignment horizontal="right" wrapText="1"/>
    </xf>
    <xf numFmtId="10" fontId="18" fillId="36" borderId="10" xfId="0" applyNumberFormat="1" applyFont="1" applyFill="1" applyBorder="1" applyAlignment="1">
      <alignment horizontal="right" wrapText="1"/>
    </xf>
    <xf numFmtId="0" fontId="19" fillId="0" borderId="14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24" fillId="0" borderId="0" xfId="42" applyFont="1" applyAlignment="1">
      <alignment horizontal="center" vertical="center" wrapText="1"/>
    </xf>
    <xf numFmtId="0" fontId="24" fillId="0" borderId="0" xfId="42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923924</xdr:colOff>
      <xdr:row>0</xdr:row>
      <xdr:rowOff>57151</xdr:rowOff>
    </xdr:from>
    <xdr:to>
      <xdr:col>6</xdr:col>
      <xdr:colOff>85724</xdr:colOff>
      <xdr:row>2</xdr:row>
      <xdr:rowOff>118735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753224" y="57151"/>
          <a:ext cx="1000125" cy="442584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G42"/>
  <sheetViews>
    <sheetView showGridLines="0" tabSelected="1" workbookViewId="0">
      <selection activeCell="A7" sqref="A7"/>
    </sheetView>
  </sheetViews>
  <sheetFormatPr baseColWidth="10" defaultRowHeight="15"/>
  <cols>
    <col min="2" max="2" width="43.85546875" customWidth="1"/>
    <col min="3" max="3" width="11" customWidth="1"/>
    <col min="4" max="5" width="16.140625" bestFit="1" customWidth="1"/>
  </cols>
  <sheetData>
    <row r="1" spans="2:7">
      <c r="B1" s="7"/>
      <c r="C1" s="7"/>
      <c r="D1" s="7"/>
      <c r="E1" s="7"/>
      <c r="F1" s="7"/>
      <c r="G1" s="7"/>
    </row>
    <row r="4" spans="2:7" ht="24" customHeight="1">
      <c r="B4" s="23" t="s">
        <v>9</v>
      </c>
      <c r="C4" s="23"/>
      <c r="D4" s="23"/>
      <c r="E4" s="23"/>
      <c r="F4" s="8"/>
      <c r="G4" s="7"/>
    </row>
    <row r="5" spans="2:7" ht="24" customHeight="1">
      <c r="B5" s="24"/>
      <c r="C5" s="24"/>
      <c r="D5" s="24"/>
      <c r="E5" s="24"/>
      <c r="F5" s="7"/>
      <c r="G5" s="7"/>
    </row>
    <row r="6" spans="2:7" ht="16.5">
      <c r="B6" s="9"/>
      <c r="C6" s="9"/>
      <c r="D6" s="9"/>
      <c r="E6" s="9"/>
      <c r="F6" s="7"/>
      <c r="G6" s="7"/>
    </row>
    <row r="7" spans="2:7" ht="33">
      <c r="B7" s="10" t="s">
        <v>7</v>
      </c>
      <c r="C7" s="11" t="s">
        <v>0</v>
      </c>
      <c r="D7" s="11" t="s">
        <v>1</v>
      </c>
      <c r="E7" s="12" t="s">
        <v>8</v>
      </c>
      <c r="F7" s="7"/>
      <c r="G7" s="7"/>
    </row>
    <row r="8" spans="2:7">
      <c r="B8" s="20" t="str">
        <f>"CHIHUAHUA"</f>
        <v>CHIHUAHUA</v>
      </c>
      <c r="C8" s="1" t="str">
        <f>"MUJER"</f>
        <v>MUJER</v>
      </c>
      <c r="D8" s="2">
        <v>1</v>
      </c>
      <c r="E8" s="3">
        <v>0.05</v>
      </c>
    </row>
    <row r="9" spans="2:7">
      <c r="B9" s="22"/>
      <c r="C9" s="17" t="str">
        <f>"Total"</f>
        <v>Total</v>
      </c>
      <c r="D9" s="18">
        <v>1</v>
      </c>
      <c r="E9" s="19">
        <v>0.05</v>
      </c>
    </row>
    <row r="10" spans="2:7">
      <c r="B10" s="20" t="str">
        <f>"COAHUILA DE ZARAGOZA"</f>
        <v>COAHUILA DE ZARAGOZA</v>
      </c>
      <c r="C10" s="1" t="str">
        <f>"HOMBRE"</f>
        <v>HOMBRE</v>
      </c>
      <c r="D10" s="2">
        <v>1</v>
      </c>
      <c r="E10" s="3">
        <v>0.05</v>
      </c>
    </row>
    <row r="11" spans="2:7">
      <c r="B11" s="22"/>
      <c r="C11" s="17" t="str">
        <f>"Total"</f>
        <v>Total</v>
      </c>
      <c r="D11" s="18">
        <v>1</v>
      </c>
      <c r="E11" s="19">
        <v>0.05</v>
      </c>
    </row>
    <row r="12" spans="2:7">
      <c r="B12" s="20" t="str">
        <f>"DISTRITO FEDERAL"</f>
        <v>DISTRITO FEDERAL</v>
      </c>
      <c r="C12" s="1" t="str">
        <f>"HOMBRE"</f>
        <v>HOMBRE</v>
      </c>
      <c r="D12" s="2">
        <v>1</v>
      </c>
      <c r="E12" s="3">
        <v>0.05</v>
      </c>
    </row>
    <row r="13" spans="2:7">
      <c r="B13" s="21"/>
      <c r="C13" s="1" t="str">
        <f>"MUJER"</f>
        <v>MUJER</v>
      </c>
      <c r="D13" s="2">
        <v>2</v>
      </c>
      <c r="E13" s="3">
        <v>0.1</v>
      </c>
    </row>
    <row r="14" spans="2:7">
      <c r="B14" s="22"/>
      <c r="C14" s="17" t="str">
        <f>"Total"</f>
        <v>Total</v>
      </c>
      <c r="D14" s="18">
        <v>3</v>
      </c>
      <c r="E14" s="19">
        <v>0.15</v>
      </c>
    </row>
    <row r="15" spans="2:7">
      <c r="B15" s="20" t="str">
        <f>"GUANAJUATO"</f>
        <v>GUANAJUATO</v>
      </c>
      <c r="C15" s="1" t="str">
        <f>"HOMBRE"</f>
        <v>HOMBRE</v>
      </c>
      <c r="D15" s="2">
        <v>2</v>
      </c>
      <c r="E15" s="3">
        <v>0.1</v>
      </c>
    </row>
    <row r="16" spans="2:7">
      <c r="B16" s="22"/>
      <c r="C16" s="17" t="str">
        <f>"Total"</f>
        <v>Total</v>
      </c>
      <c r="D16" s="18">
        <v>2</v>
      </c>
      <c r="E16" s="19">
        <v>0.1</v>
      </c>
    </row>
    <row r="17" spans="2:5">
      <c r="B17" s="20" t="str">
        <f>"GUERRERO"</f>
        <v>GUERRERO</v>
      </c>
      <c r="C17" s="1" t="str">
        <f>"HOMBRE"</f>
        <v>HOMBRE</v>
      </c>
      <c r="D17" s="2">
        <v>1</v>
      </c>
      <c r="E17" s="3">
        <v>0.05</v>
      </c>
    </row>
    <row r="18" spans="2:5">
      <c r="B18" s="22"/>
      <c r="C18" s="17" t="str">
        <f>"Total"</f>
        <v>Total</v>
      </c>
      <c r="D18" s="18">
        <v>1</v>
      </c>
      <c r="E18" s="19">
        <v>0.05</v>
      </c>
    </row>
    <row r="19" spans="2:5">
      <c r="B19" s="20" t="str">
        <f>"JALISCO"</f>
        <v>JALISCO</v>
      </c>
      <c r="C19" s="1" t="str">
        <f>"HOMBRE"</f>
        <v>HOMBRE</v>
      </c>
      <c r="D19" s="2">
        <v>1</v>
      </c>
      <c r="E19" s="3">
        <v>0.05</v>
      </c>
    </row>
    <row r="20" spans="2:5">
      <c r="B20" s="22"/>
      <c r="C20" s="17" t="str">
        <f>"Total"</f>
        <v>Total</v>
      </c>
      <c r="D20" s="18">
        <v>1</v>
      </c>
      <c r="E20" s="19">
        <v>0.05</v>
      </c>
    </row>
    <row r="21" spans="2:5">
      <c r="B21" s="20" t="str">
        <f>"MICHOACAN DE OCAMPO"</f>
        <v>MICHOACAN DE OCAMPO</v>
      </c>
      <c r="C21" s="1" t="str">
        <f>"MUJER"</f>
        <v>MUJER</v>
      </c>
      <c r="D21" s="2">
        <v>1</v>
      </c>
      <c r="E21" s="3">
        <v>0.05</v>
      </c>
    </row>
    <row r="22" spans="2:5">
      <c r="B22" s="22"/>
      <c r="C22" s="17" t="str">
        <f>"Total"</f>
        <v>Total</v>
      </c>
      <c r="D22" s="18">
        <v>1</v>
      </c>
      <c r="E22" s="19">
        <v>0.05</v>
      </c>
    </row>
    <row r="23" spans="2:5">
      <c r="B23" s="20" t="str">
        <f>"NUEVO LEON"</f>
        <v>NUEVO LEON</v>
      </c>
      <c r="C23" s="1" t="str">
        <f>"HOMBRE"</f>
        <v>HOMBRE</v>
      </c>
      <c r="D23" s="2">
        <v>2</v>
      </c>
      <c r="E23" s="3">
        <v>0.1</v>
      </c>
    </row>
    <row r="24" spans="2:5">
      <c r="B24" s="21"/>
      <c r="C24" s="1" t="str">
        <f>"MUJER"</f>
        <v>MUJER</v>
      </c>
      <c r="D24" s="2">
        <v>1</v>
      </c>
      <c r="E24" s="3">
        <v>0.05</v>
      </c>
    </row>
    <row r="25" spans="2:5">
      <c r="B25" s="22"/>
      <c r="C25" s="17" t="str">
        <f>"Total"</f>
        <v>Total</v>
      </c>
      <c r="D25" s="18">
        <v>3</v>
      </c>
      <c r="E25" s="19">
        <v>0.15</v>
      </c>
    </row>
    <row r="26" spans="2:5">
      <c r="B26" s="20" t="str">
        <f>"OAXACA"</f>
        <v>OAXACA</v>
      </c>
      <c r="C26" s="1" t="str">
        <f>"HOMBRE"</f>
        <v>HOMBRE</v>
      </c>
      <c r="D26" s="2">
        <v>1</v>
      </c>
      <c r="E26" s="3">
        <v>0.05</v>
      </c>
    </row>
    <row r="27" spans="2:5">
      <c r="B27" s="22"/>
      <c r="C27" s="17" t="str">
        <f>"Total"</f>
        <v>Total</v>
      </c>
      <c r="D27" s="18">
        <v>1</v>
      </c>
      <c r="E27" s="19">
        <v>0.05</v>
      </c>
    </row>
    <row r="28" spans="2:5">
      <c r="B28" s="20" t="str">
        <f>"SAN LUIS POTOSI"</f>
        <v>SAN LUIS POTOSI</v>
      </c>
      <c r="C28" s="1" t="str">
        <f>"HOMBRE"</f>
        <v>HOMBRE</v>
      </c>
      <c r="D28" s="2">
        <v>1</v>
      </c>
      <c r="E28" s="3">
        <v>0.05</v>
      </c>
    </row>
    <row r="29" spans="2:5">
      <c r="B29" s="21"/>
      <c r="C29" s="1" t="str">
        <f>"MUJER"</f>
        <v>MUJER</v>
      </c>
      <c r="D29" s="2">
        <v>1</v>
      </c>
      <c r="E29" s="3">
        <v>0.05</v>
      </c>
    </row>
    <row r="30" spans="2:5">
      <c r="B30" s="22"/>
      <c r="C30" s="17" t="str">
        <f>"Total"</f>
        <v>Total</v>
      </c>
      <c r="D30" s="18">
        <v>2</v>
      </c>
      <c r="E30" s="19">
        <v>0.1</v>
      </c>
    </row>
    <row r="31" spans="2:5">
      <c r="B31" s="20" t="str">
        <f>"SONORA"</f>
        <v>SONORA</v>
      </c>
      <c r="C31" s="1" t="str">
        <f>"HOMBRE"</f>
        <v>HOMBRE</v>
      </c>
      <c r="D31" s="2">
        <v>1</v>
      </c>
      <c r="E31" s="3">
        <v>0.05</v>
      </c>
    </row>
    <row r="32" spans="2:5">
      <c r="B32" s="22"/>
      <c r="C32" s="17" t="str">
        <f>"Total"</f>
        <v>Total</v>
      </c>
      <c r="D32" s="18">
        <v>1</v>
      </c>
      <c r="E32" s="19">
        <v>0.05</v>
      </c>
    </row>
    <row r="33" spans="2:5">
      <c r="B33" s="20" t="str">
        <f>"TAMAULIPAS"</f>
        <v>TAMAULIPAS</v>
      </c>
      <c r="C33" s="1" t="str">
        <f>"HOMBRE"</f>
        <v>HOMBRE</v>
      </c>
      <c r="D33" s="2">
        <v>1</v>
      </c>
      <c r="E33" s="3">
        <v>0.05</v>
      </c>
    </row>
    <row r="34" spans="2:5">
      <c r="B34" s="21"/>
      <c r="C34" s="1" t="str">
        <f>"MUJER"</f>
        <v>MUJER</v>
      </c>
      <c r="D34" s="2">
        <v>2</v>
      </c>
      <c r="E34" s="3">
        <v>0.1</v>
      </c>
    </row>
    <row r="35" spans="2:5">
      <c r="B35" s="22"/>
      <c r="C35" s="17" t="str">
        <f>"Total"</f>
        <v>Total</v>
      </c>
      <c r="D35" s="18">
        <v>3</v>
      </c>
      <c r="E35" s="19">
        <v>0.15</v>
      </c>
    </row>
    <row r="36" spans="2:5">
      <c r="B36" s="13" t="s">
        <v>2</v>
      </c>
      <c r="C36" s="14" t="str">
        <f>" "</f>
        <v> </v>
      </c>
      <c r="D36" s="15">
        <v>20</v>
      </c>
      <c r="E36" s="16">
        <v>1</v>
      </c>
    </row>
    <row r="38" spans="2:5" ht="16.5">
      <c r="B38" s="4" t="s">
        <v>3</v>
      </c>
      <c r="C38" s="5"/>
      <c r="D38" s="6"/>
    </row>
    <row r="39" spans="2:5" ht="16.5">
      <c r="B39" s="4" t="s">
        <v>4</v>
      </c>
      <c r="C39" s="5"/>
      <c r="D39" s="6"/>
    </row>
    <row r="40" spans="2:5" ht="16.5">
      <c r="B40" s="4" t="s">
        <v>5</v>
      </c>
      <c r="C40" s="5"/>
      <c r="D40" s="6"/>
    </row>
    <row r="41" spans="2:5" ht="16.5">
      <c r="B41" s="4" t="s">
        <v>6</v>
      </c>
      <c r="C41" s="5"/>
      <c r="D41" s="6"/>
    </row>
    <row r="42" spans="2:5">
      <c r="B42" s="4" t="s">
        <v>10</v>
      </c>
    </row>
  </sheetData>
  <mergeCells count="13">
    <mergeCell ref="B4:E5"/>
    <mergeCell ref="B8:B9"/>
    <mergeCell ref="B10:B11"/>
    <mergeCell ref="B12:B14"/>
    <mergeCell ref="B15:B16"/>
    <mergeCell ref="B17:B18"/>
    <mergeCell ref="B19:B20"/>
    <mergeCell ref="B21:B22"/>
    <mergeCell ref="B23:B25"/>
    <mergeCell ref="B26:B27"/>
    <mergeCell ref="B28:B30"/>
    <mergeCell ref="B31:B32"/>
    <mergeCell ref="B33:B35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easCA3SR40F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2012-02-28T20:21:05Z</dcterms:created>
  <dcterms:modified xsi:type="dcterms:W3CDTF">2012-03-15T19:31:48Z</dcterms:modified>
</cp:coreProperties>
</file>