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639FL3" sheetId="2" r:id="rId1"/>
  </sheets>
  <calcPr calcId="125725"/>
</workbook>
</file>

<file path=xl/calcChain.xml><?xml version="1.0" encoding="utf-8"?>
<calcChain xmlns="http://schemas.openxmlformats.org/spreadsheetml/2006/main">
  <c r="B11" i="2"/>
  <c r="B12"/>
  <c r="B13"/>
  <c r="B14"/>
  <c r="B15"/>
  <c r="B16"/>
  <c r="B17"/>
  <c r="B18"/>
  <c r="B19"/>
  <c r="B20"/>
  <c r="B30"/>
  <c r="B29"/>
  <c r="B28"/>
  <c r="B27"/>
  <c r="B26"/>
  <c r="B25"/>
  <c r="B24"/>
  <c r="B23"/>
  <c r="B22"/>
  <c r="B2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<sst xmlns="http://schemas.openxmlformats.org/spreadsheetml/2006/main" count="12" uniqueCount="12">
  <si>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</si>
  <si>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</si>
  <si>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</si>
  <si>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</si>
  <si>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</si>
  <si>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</si>
  <si>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</si>
  <si>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</si>
  <si>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</si>
  <si>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</si>
  <si>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</si>
  <si>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NEW HAMPSHIRE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</si>
</sst>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13" fillId="33" borderId="10" xfId="0" applyFont="1" applyFill="1" applyBorder="1" applyAlignment="1">
      <alignment wrapText="1"/>
    </xf>
    <xf numFmtId="0" fontId="13" fillId="33" borderId="10" xfId="0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4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showGridLines="0" tabSelected="1" workbookViewId="0">
      <selection activeCell="A10" sqref="A10"/>
    </sheetView>
  </sheetViews>
  <sheetFormatPr baseColWidth="10" defaultRowHeight="15"/>
  <cols>
    <col min="2" max="2" width="46.71093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8" t="s">
        <v>6</v>
      </c>
      <c r="B6" s="8"/>
      <c r="C6" s="8"/>
      <c r="D6" s="8"/>
      <c r="E6" s="8"/>
    </row>
    <row r="7" spans="1:7" ht="16.5">
      <c r="A7" s="8" t="s">
        <v>11</v>
      </c>
      <c r="B7" s="8"/>
      <c r="C7" s="8"/>
      <c r="D7" s="8"/>
      <c r="E7" s="8"/>
    </row>
    <row r="8" spans="1:7" ht="12.75"/>
    <row r="9" spans="1:7" ht="16.5">
      <c r="B9" s="9" t="s">
        <v>7</v>
      </c>
      <c r="C9" s="10"/>
      <c r="D9" s="10"/>
      <c r="E9" s="11"/>
    </row>
    <row r="10" spans="1:7" ht="33">
      <c r="A10" s="12"/>
      <c r="B10" s="13" t="s">
        <v>8</v>
      </c>
      <c r="C10" s="13" t="s">
        <v>9</v>
      </c>
      <c r="D10" s="13" t="s">
        <v>10</v>
      </c>
      <c r="E10" s="14"/>
      <c r="F10" s="15"/>
      <c r="G10" s="15"/>
    </row>
    <row r="11" spans="1:7">
      <c r="B11" s="1" t="str">
        <f>"COLIMA"</f>
        <v>COLIMA</v>
      </c>
      <c r="C11" s="2">
        <v>22</v>
      </c>
      <c r="D11" s="3">
        <v>0.21779999999999999</v>
      </c>
    </row>
    <row r="12" spans="1:7">
      <c r="B12" s="1" t="str">
        <f>"ZACATECAS"</f>
        <v>ZACATECAS</v>
      </c>
      <c r="C12" s="2">
        <v>12</v>
      </c>
      <c r="D12" s="3">
        <v>0.1188</v>
      </c>
    </row>
    <row r="13" spans="1:7">
      <c r="B13" s="1" t="str">
        <f>"DURANGO"</f>
        <v>DURANGO</v>
      </c>
      <c r="C13" s="2">
        <v>11</v>
      </c>
      <c r="D13" s="3">
        <v>0.1089</v>
      </c>
    </row>
    <row r="14" spans="1:7">
      <c r="B14" s="1" t="str">
        <f>"GUANAJUATO"</f>
        <v>GUANAJUATO</v>
      </c>
      <c r="C14" s="2">
        <v>9</v>
      </c>
      <c r="D14" s="3">
        <v>8.9099999999999999E-2</v>
      </c>
    </row>
    <row r="15" spans="1:7">
      <c r="B15" s="1" t="str">
        <f>"GUERRERO"</f>
        <v>GUERRERO</v>
      </c>
      <c r="C15" s="2">
        <v>8</v>
      </c>
      <c r="D15" s="3">
        <v>7.9200000000000007E-2</v>
      </c>
    </row>
    <row r="16" spans="1:7">
      <c r="B16" s="1" t="str">
        <f>"MICHOACAN DE OCAMPO"</f>
        <v>MICHOACAN DE OCAMPO</v>
      </c>
      <c r="C16" s="2">
        <v>6</v>
      </c>
      <c r="D16" s="3">
        <v>5.9400000000000001E-2</v>
      </c>
    </row>
    <row r="17" spans="2:4">
      <c r="B17" s="1" t="str">
        <f>"JALISCO"</f>
        <v>JALISCO</v>
      </c>
      <c r="C17" s="2">
        <v>6</v>
      </c>
      <c r="D17" s="3">
        <v>5.9400000000000001E-2</v>
      </c>
    </row>
    <row r="18" spans="2:4">
      <c r="B18" s="1" t="str">
        <f>"HIDALGO"</f>
        <v>HIDALGO</v>
      </c>
      <c r="C18" s="2">
        <v>4</v>
      </c>
      <c r="D18" s="3">
        <v>3.9600000000000003E-2</v>
      </c>
    </row>
    <row r="19" spans="2:4">
      <c r="B19" s="1" t="str">
        <f>"MEXICO"</f>
        <v>MEXICO</v>
      </c>
      <c r="C19" s="2">
        <v>3</v>
      </c>
      <c r="D19" s="3">
        <v>2.9700000000000001E-2</v>
      </c>
    </row>
    <row r="20" spans="2:4">
      <c r="B20" s="1" t="str">
        <f>"DISTRITO FEDERAL"</f>
        <v>DISTRITO FEDERAL</v>
      </c>
      <c r="C20" s="2">
        <v>3</v>
      </c>
      <c r="D20" s="3">
        <v>2.9700000000000001E-2</v>
      </c>
    </row>
    <row r="21" spans="2:4">
      <c r="B21" s="1" t="str">
        <f>"CHIAPAS"</f>
        <v>CHIAPAS</v>
      </c>
      <c r="C21" s="2">
        <v>3</v>
      </c>
      <c r="D21" s="3">
        <v>2.9700000000000001E-2</v>
      </c>
    </row>
    <row r="22" spans="2:4">
      <c r="B22" s="1" t="str">
        <f>"PUEBLA"</f>
        <v>PUEBLA</v>
      </c>
      <c r="C22" s="2">
        <v>2</v>
      </c>
      <c r="D22" s="3">
        <v>1.9800000000000002E-2</v>
      </c>
    </row>
    <row r="23" spans="2:4">
      <c r="B23" s="1" t="str">
        <f>"QUERETARO DE ARTEAGA"</f>
        <v>QUERETARO DE ARTEAGA</v>
      </c>
      <c r="C23" s="2">
        <v>2</v>
      </c>
      <c r="D23" s="3">
        <v>1.9800000000000002E-2</v>
      </c>
    </row>
    <row r="24" spans="2:4">
      <c r="B24" s="1" t="str">
        <f>"SAN LUIS POTOSI"</f>
        <v>SAN LUIS POTOSI</v>
      </c>
      <c r="C24" s="2">
        <v>2</v>
      </c>
      <c r="D24" s="3">
        <v>1.9800000000000002E-2</v>
      </c>
    </row>
    <row r="25" spans="2:4">
      <c r="B25" s="1" t="str">
        <f>"TLAXCALA"</f>
        <v>TLAXCALA</v>
      </c>
      <c r="C25" s="2">
        <v>2</v>
      </c>
      <c r="D25" s="3">
        <v>1.9800000000000002E-2</v>
      </c>
    </row>
    <row r="26" spans="2:4">
      <c r="B26" s="1" t="str">
        <f>"OAXACA"</f>
        <v>OAXACA</v>
      </c>
      <c r="C26" s="2">
        <v>2</v>
      </c>
      <c r="D26" s="3">
        <v>1.9800000000000002E-2</v>
      </c>
    </row>
    <row r="27" spans="2:4">
      <c r="B27" s="1" t="str">
        <f>"SINALOA"</f>
        <v>SINALOA</v>
      </c>
      <c r="C27" s="2">
        <v>1</v>
      </c>
      <c r="D27" s="3">
        <v>9.9000000000000008E-3</v>
      </c>
    </row>
    <row r="28" spans="2:4">
      <c r="B28" s="1" t="str">
        <f>"BAJA CALIFORNIA"</f>
        <v>BAJA CALIFORNIA</v>
      </c>
      <c r="C28" s="2">
        <v>1</v>
      </c>
      <c r="D28" s="3">
        <v>9.9000000000000008E-3</v>
      </c>
    </row>
    <row r="29" spans="2:4">
      <c r="B29" s="1" t="str">
        <f>"VERACRUZ DE IGNACIO DE LA LLAVE"</f>
        <v>VERACRUZ DE IGNACIO DE LA LLAVE</v>
      </c>
      <c r="C29" s="2">
        <v>1</v>
      </c>
      <c r="D29" s="3">
        <v>9.9000000000000008E-3</v>
      </c>
    </row>
    <row r="30" spans="2:4">
      <c r="B30" s="1" t="str">
        <f>"NAYARIT"</f>
        <v>NAYARIT</v>
      </c>
      <c r="C30" s="2">
        <v>1</v>
      </c>
      <c r="D30" s="3">
        <v>9.9000000000000008E-3</v>
      </c>
    </row>
    <row r="31" spans="2:4">
      <c r="B31" s="5" t="s">
        <v>0</v>
      </c>
      <c r="C31" s="6">
        <v>101</v>
      </c>
      <c r="D31" s="7">
        <v>1</v>
      </c>
    </row>
    <row r="33" spans="2:2">
      <c r="B33" s="4" t="s">
        <v>1</v>
      </c>
    </row>
    <row r="34" spans="2:2">
      <c r="B34" s="4" t="s">
        <v>2</v>
      </c>
    </row>
    <row r="35" spans="2:2">
      <c r="B35" s="4" t="s">
        <v>3</v>
      </c>
    </row>
    <row r="36" spans="2:2">
      <c r="B36" s="4" t="s">
        <v>4</v>
      </c>
    </row>
    <row r="37" spans="2:2">
      <c r="B37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6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easCA639FL3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2012-02-28T21:39:12Z</dcterms:created>
  <dcterms:modified xsi:type="dcterms:W3CDTF">2012-03-28T20:40:04Z</dcterms:modified>
</cp:coreProperties>
</file>