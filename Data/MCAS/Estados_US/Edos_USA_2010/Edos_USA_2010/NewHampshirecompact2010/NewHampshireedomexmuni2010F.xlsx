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A2Z88A" sheetId="2" r:id="rId1"/>
  </sheets>
  <calcPr calcId="125725"/>
</workbook>
</file>

<file path=xl/calcChain.xml><?xml version="1.0" encoding="utf-8"?>
<calcChain xmlns="http://schemas.openxmlformats.org/spreadsheetml/2006/main">
  <c r="C74" i="2"/>
  <c r="C73"/>
  <c r="C72"/>
  <c r="C71"/>
  <c r="B71"/>
  <c r="C70"/>
  <c r="C69"/>
  <c r="B69"/>
  <c r="C68"/>
  <c r="C67"/>
  <c r="B67"/>
  <c r="C66"/>
  <c r="C65"/>
  <c r="B65"/>
  <c r="C64"/>
  <c r="C63"/>
  <c r="B63"/>
  <c r="C62"/>
  <c r="C61"/>
  <c r="C60"/>
  <c r="B60"/>
  <c r="C59"/>
  <c r="C58"/>
  <c r="C57"/>
  <c r="B57"/>
  <c r="C56"/>
  <c r="C55"/>
  <c r="C54"/>
  <c r="B54"/>
  <c r="C53"/>
  <c r="C52"/>
  <c r="B52"/>
  <c r="C51"/>
  <c r="C50"/>
  <c r="C49"/>
  <c r="C48"/>
  <c r="C47"/>
  <c r="B47"/>
  <c r="C46"/>
  <c r="C45"/>
  <c r="C44"/>
  <c r="C43"/>
  <c r="B43"/>
  <c r="C42"/>
  <c r="C41"/>
  <c r="C40"/>
  <c r="C39"/>
  <c r="B39"/>
  <c r="C38"/>
  <c r="C37"/>
  <c r="C36"/>
  <c r="C35"/>
  <c r="B35"/>
  <c r="C34"/>
  <c r="C33"/>
  <c r="C32"/>
  <c r="C31"/>
  <c r="C30"/>
  <c r="C29"/>
  <c r="B29"/>
  <c r="C28"/>
  <c r="C27"/>
  <c r="C26"/>
  <c r="C25"/>
  <c r="C24"/>
  <c r="B24"/>
  <c r="C23"/>
  <c r="C22"/>
  <c r="C21"/>
  <c r="B21"/>
  <c r="C20"/>
  <c r="C19"/>
  <c r="B19"/>
  <c r="C18"/>
  <c r="C17"/>
  <c r="C16"/>
  <c r="B16"/>
  <c r="C15"/>
  <c r="C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<sst xmlns="http://schemas.openxmlformats.org/spreadsheetml/2006/main" count="11" uniqueCount="11">
  <si>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</si>
  <si>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</si>
  <si>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</si>
  <si>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</si>
  <si>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</si>
  <si>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</si>
  <si>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</si>
  <si>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</si>
  <si>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</si>
  <si>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NEW HAMPSHIRE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</si>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</sst>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1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80"/>
  <sheetViews>
    <sheetView showGridLines="0" tabSelected="1" workbookViewId="0">
      <selection activeCell="A8" sqref="A8"/>
    </sheetView>
  </sheetViews>
  <sheetFormatPr baseColWidth="10" defaultRowHeight="15"/>
  <cols>
    <col min="2" max="2" width="45.42578125" customWidth="1"/>
    <col min="3" max="3" width="27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24" t="s">
        <v>9</v>
      </c>
      <c r="C6" s="24"/>
      <c r="D6" s="24"/>
      <c r="E6" s="24"/>
      <c r="F6" s="10"/>
    </row>
    <row r="7" spans="1:7">
      <c r="A7" s="6"/>
      <c r="B7" s="25"/>
      <c r="C7" s="25"/>
      <c r="D7" s="25"/>
      <c r="E7" s="25"/>
      <c r="F7" s="6"/>
    </row>
    <row r="8" spans="1:7">
      <c r="A8" s="6"/>
      <c r="B8" s="26" t="s">
        <v>6</v>
      </c>
      <c r="C8" s="26" t="s">
        <v>7</v>
      </c>
      <c r="D8" s="29" t="s">
        <v>0</v>
      </c>
      <c r="E8" s="29" t="s">
        <v>8</v>
      </c>
      <c r="F8" s="6"/>
    </row>
    <row r="9" spans="1:7" ht="18" customHeight="1">
      <c r="A9" s="6"/>
      <c r="B9" s="27"/>
      <c r="C9" s="28"/>
      <c r="D9" s="30"/>
      <c r="E9" s="30"/>
      <c r="F9" s="12"/>
      <c r="G9" s="13"/>
    </row>
    <row r="10" spans="1:7">
      <c r="B10" s="21" t="str">
        <f>"BAJA CALIFORNIA"</f>
        <v>BAJA CALIFORNIA</v>
      </c>
      <c r="C10" s="1" t="str">
        <f>"TIJUANA"</f>
        <v>TIJUANA</v>
      </c>
      <c r="D10" s="2">
        <v>1</v>
      </c>
      <c r="E10" s="3">
        <v>9.9000000000000008E-3</v>
      </c>
    </row>
    <row r="11" spans="1:7">
      <c r="B11" s="22"/>
      <c r="C11" s="18" t="str">
        <f>"Total"</f>
        <v>Total</v>
      </c>
      <c r="D11" s="19">
        <v>1</v>
      </c>
      <c r="E11" s="20">
        <v>9.9000000000000008E-3</v>
      </c>
    </row>
    <row r="12" spans="1:7">
      <c r="B12" s="21" t="str">
        <f>"CHIAPAS"</f>
        <v>CHIAPAS</v>
      </c>
      <c r="C12" s="1" t="str">
        <f>"ARRIAGA"</f>
        <v>ARRIAGA</v>
      </c>
      <c r="D12" s="2">
        <v>1</v>
      </c>
      <c r="E12" s="3">
        <v>9.9000000000000008E-3</v>
      </c>
    </row>
    <row r="13" spans="1:7">
      <c r="B13" s="23"/>
      <c r="C13" s="1" t="str">
        <f>"EL PORVENIR"</f>
        <v>EL PORVENIR</v>
      </c>
      <c r="D13" s="2">
        <v>1</v>
      </c>
      <c r="E13" s="3">
        <v>9.9000000000000008E-3</v>
      </c>
    </row>
    <row r="14" spans="1:7">
      <c r="B14" s="23"/>
      <c r="C14" s="1" t="str">
        <f>"TECPATAN"</f>
        <v>TECPATAN</v>
      </c>
      <c r="D14" s="2">
        <v>1</v>
      </c>
      <c r="E14" s="3">
        <v>9.9000000000000008E-3</v>
      </c>
    </row>
    <row r="15" spans="1:7">
      <c r="B15" s="22"/>
      <c r="C15" s="18" t="str">
        <f>"Total"</f>
        <v>Total</v>
      </c>
      <c r="D15" s="19">
        <v>3</v>
      </c>
      <c r="E15" s="20">
        <v>2.9700000000000001E-2</v>
      </c>
    </row>
    <row r="16" spans="1:7">
      <c r="B16" s="21" t="str">
        <f>"COLIMA"</f>
        <v>COLIMA</v>
      </c>
      <c r="C16" s="1" t="str">
        <f>"COLIMA"</f>
        <v>COLIMA</v>
      </c>
      <c r="D16" s="2">
        <v>3</v>
      </c>
      <c r="E16" s="3">
        <v>2.9700000000000001E-2</v>
      </c>
    </row>
    <row r="17" spans="2:5">
      <c r="B17" s="23"/>
      <c r="C17" s="1" t="str">
        <f>"MANZANILLO"</f>
        <v>MANZANILLO</v>
      </c>
      <c r="D17" s="2">
        <v>19</v>
      </c>
      <c r="E17" s="3">
        <v>0.18809999999999999</v>
      </c>
    </row>
    <row r="18" spans="2:5">
      <c r="B18" s="22"/>
      <c r="C18" s="18" t="str">
        <f>"Total"</f>
        <v>Total</v>
      </c>
      <c r="D18" s="19">
        <v>22</v>
      </c>
      <c r="E18" s="20">
        <v>0.21779999999999999</v>
      </c>
    </row>
    <row r="19" spans="2:5">
      <c r="B19" s="21" t="str">
        <f>"DISTRITO FEDERAL"</f>
        <v>DISTRITO FEDERAL</v>
      </c>
      <c r="C19" s="1" t="str">
        <f>"GUSTAVO A. MADERO"</f>
        <v>GUSTAVO A. MADERO</v>
      </c>
      <c r="D19" s="2">
        <v>3</v>
      </c>
      <c r="E19" s="3">
        <v>2.9700000000000001E-2</v>
      </c>
    </row>
    <row r="20" spans="2:5">
      <c r="B20" s="22"/>
      <c r="C20" s="18" t="str">
        <f>"Total"</f>
        <v>Total</v>
      </c>
      <c r="D20" s="19">
        <v>3</v>
      </c>
      <c r="E20" s="20">
        <v>2.9700000000000001E-2</v>
      </c>
    </row>
    <row r="21" spans="2:5">
      <c r="B21" s="21" t="str">
        <f>"DURANGO"</f>
        <v>DURANGO</v>
      </c>
      <c r="C21" s="1" t="str">
        <f>"DURANGO"</f>
        <v>DURANGO</v>
      </c>
      <c r="D21" s="2">
        <v>1</v>
      </c>
      <c r="E21" s="3">
        <v>9.9000000000000008E-3</v>
      </c>
    </row>
    <row r="22" spans="2:5">
      <c r="B22" s="23"/>
      <c r="C22" s="1" t="str">
        <f>"VICENTE GUERRERO"</f>
        <v>VICENTE GUERRERO</v>
      </c>
      <c r="D22" s="2">
        <v>10</v>
      </c>
      <c r="E22" s="3">
        <v>9.9000000000000005E-2</v>
      </c>
    </row>
    <row r="23" spans="2:5">
      <c r="B23" s="22"/>
      <c r="C23" s="18" t="str">
        <f>"Total"</f>
        <v>Total</v>
      </c>
      <c r="D23" s="19">
        <v>11</v>
      </c>
      <c r="E23" s="20">
        <v>0.1089</v>
      </c>
    </row>
    <row r="24" spans="2:5">
      <c r="B24" s="21" t="str">
        <f>"GUANAJUATO"</f>
        <v>GUANAJUATO</v>
      </c>
      <c r="C24" s="1" t="str">
        <f>"CELAYA"</f>
        <v>CELAYA</v>
      </c>
      <c r="D24" s="2">
        <v>1</v>
      </c>
      <c r="E24" s="3">
        <v>9.9000000000000008E-3</v>
      </c>
    </row>
    <row r="25" spans="2:5">
      <c r="B25" s="23"/>
      <c r="C25" s="1" t="str">
        <f>"CORTAZAR"</f>
        <v>CORTAZAR</v>
      </c>
      <c r="D25" s="2">
        <v>1</v>
      </c>
      <c r="E25" s="3">
        <v>9.9000000000000008E-3</v>
      </c>
    </row>
    <row r="26" spans="2:5">
      <c r="B26" s="23"/>
      <c r="C26" s="1" t="str">
        <f>"SALVATIERRA"</f>
        <v>SALVATIERRA</v>
      </c>
      <c r="D26" s="2">
        <v>6</v>
      </c>
      <c r="E26" s="3">
        <v>5.9400000000000001E-2</v>
      </c>
    </row>
    <row r="27" spans="2:5">
      <c r="B27" s="23"/>
      <c r="C27" s="1" t="str">
        <f>"VALLE DE SANTIAGO"</f>
        <v>VALLE DE SANTIAGO</v>
      </c>
      <c r="D27" s="2">
        <v>1</v>
      </c>
      <c r="E27" s="3">
        <v>9.9000000000000008E-3</v>
      </c>
    </row>
    <row r="28" spans="2:5">
      <c r="B28" s="22"/>
      <c r="C28" s="18" t="str">
        <f>"Total"</f>
        <v>Total</v>
      </c>
      <c r="D28" s="19">
        <v>9</v>
      </c>
      <c r="E28" s="20">
        <v>8.9099999999999999E-2</v>
      </c>
    </row>
    <row r="29" spans="2:5">
      <c r="B29" s="21" t="str">
        <f t="shared" ref="B29" si="0">"GUERRERO"</f>
        <v>GUERRERO</v>
      </c>
      <c r="C29" s="1" t="str">
        <f>"ACAPULCO DE JUAREZ"</f>
        <v>ACAPULCO DE JUAREZ</v>
      </c>
      <c r="D29" s="2">
        <v>4</v>
      </c>
      <c r="E29" s="3">
        <v>3.9600000000000003E-2</v>
      </c>
    </row>
    <row r="30" spans="2:5">
      <c r="B30" s="23"/>
      <c r="C30" s="1" t="str">
        <f>"AHUACUOTZINGO"</f>
        <v>AHUACUOTZINGO</v>
      </c>
      <c r="D30" s="2">
        <v>1</v>
      </c>
      <c r="E30" s="3">
        <v>9.9000000000000008E-3</v>
      </c>
    </row>
    <row r="31" spans="2:5">
      <c r="B31" s="23"/>
      <c r="C31" s="1" t="str">
        <f>"ALPOYECA"</f>
        <v>ALPOYECA</v>
      </c>
      <c r="D31" s="2">
        <v>1</v>
      </c>
      <c r="E31" s="3">
        <v>9.9000000000000008E-3</v>
      </c>
    </row>
    <row r="32" spans="2:5">
      <c r="B32" s="23"/>
      <c r="C32" s="1" t="str">
        <f>"GENERAL CANUTO A. NERI"</f>
        <v>GENERAL CANUTO A. NERI</v>
      </c>
      <c r="D32" s="2">
        <v>1</v>
      </c>
      <c r="E32" s="3">
        <v>9.9000000000000008E-3</v>
      </c>
    </row>
    <row r="33" spans="2:5">
      <c r="B33" s="23"/>
      <c r="C33" s="1" t="str">
        <f>"MARTIR DE CUILAPAN"</f>
        <v>MARTIR DE CUILAPAN</v>
      </c>
      <c r="D33" s="2">
        <v>1</v>
      </c>
      <c r="E33" s="3">
        <v>9.9000000000000008E-3</v>
      </c>
    </row>
    <row r="34" spans="2:5">
      <c r="B34" s="22"/>
      <c r="C34" s="18" t="str">
        <f>"Total"</f>
        <v>Total</v>
      </c>
      <c r="D34" s="19">
        <v>8</v>
      </c>
      <c r="E34" s="20">
        <v>7.9200000000000007E-2</v>
      </c>
    </row>
    <row r="35" spans="2:5">
      <c r="B35" s="21" t="str">
        <f>"HIDALGO"</f>
        <v>HIDALGO</v>
      </c>
      <c r="C35" s="1" t="str">
        <f>"HUICHAPAN"</f>
        <v>HUICHAPAN</v>
      </c>
      <c r="D35" s="2">
        <v>1</v>
      </c>
      <c r="E35" s="3">
        <v>9.9000000000000008E-3</v>
      </c>
    </row>
    <row r="36" spans="2:5">
      <c r="B36" s="23"/>
      <c r="C36" s="1" t="str">
        <f>"PROGRESO DE OBREGON"</f>
        <v>PROGRESO DE OBREGON</v>
      </c>
      <c r="D36" s="2">
        <v>2</v>
      </c>
      <c r="E36" s="3">
        <v>1.9800000000000002E-2</v>
      </c>
    </row>
    <row r="37" spans="2:5">
      <c r="B37" s="23"/>
      <c r="C37" s="1" t="str">
        <f>"SAN BARTOLO TUTOTEPEC"</f>
        <v>SAN BARTOLO TUTOTEPEC</v>
      </c>
      <c r="D37" s="2">
        <v>1</v>
      </c>
      <c r="E37" s="3">
        <v>9.9000000000000008E-3</v>
      </c>
    </row>
    <row r="38" spans="2:5">
      <c r="B38" s="22"/>
      <c r="C38" s="18" t="str">
        <f>"Total"</f>
        <v>Total</v>
      </c>
      <c r="D38" s="19">
        <v>4</v>
      </c>
      <c r="E38" s="20">
        <v>3.9600000000000003E-2</v>
      </c>
    </row>
    <row r="39" spans="2:5" ht="30">
      <c r="B39" s="21" t="str">
        <f>"JALISCO"</f>
        <v>JALISCO</v>
      </c>
      <c r="C39" s="1" t="str">
        <f>"CUAUTITLAN DE GARCIA BARRAGAN"</f>
        <v>CUAUTITLAN DE GARCIA BARRAGAN</v>
      </c>
      <c r="D39" s="2">
        <v>2</v>
      </c>
      <c r="E39" s="3">
        <v>1.9800000000000002E-2</v>
      </c>
    </row>
    <row r="40" spans="2:5">
      <c r="B40" s="23"/>
      <c r="C40" s="1" t="str">
        <f>"GUADALAJARA"</f>
        <v>GUADALAJARA</v>
      </c>
      <c r="D40" s="2">
        <v>3</v>
      </c>
      <c r="E40" s="3">
        <v>2.9700000000000001E-2</v>
      </c>
    </row>
    <row r="41" spans="2:5">
      <c r="B41" s="23"/>
      <c r="C41" s="1" t="str">
        <f>"TEUCHITLAN"</f>
        <v>TEUCHITLAN</v>
      </c>
      <c r="D41" s="2">
        <v>1</v>
      </c>
      <c r="E41" s="3">
        <v>9.9000000000000008E-3</v>
      </c>
    </row>
    <row r="42" spans="2:5">
      <c r="B42" s="22"/>
      <c r="C42" s="18" t="str">
        <f>"Total"</f>
        <v>Total</v>
      </c>
      <c r="D42" s="19">
        <v>6</v>
      </c>
      <c r="E42" s="20">
        <v>5.9400000000000001E-2</v>
      </c>
    </row>
    <row r="43" spans="2:5">
      <c r="B43" s="21" t="str">
        <f>"MEXICO"</f>
        <v>MEXICO</v>
      </c>
      <c r="C43" s="1" t="str">
        <f>"NAUCALPAN DE JUAREZ"</f>
        <v>NAUCALPAN DE JUAREZ</v>
      </c>
      <c r="D43" s="2">
        <v>1</v>
      </c>
      <c r="E43" s="3">
        <v>9.9000000000000008E-3</v>
      </c>
    </row>
    <row r="44" spans="2:5">
      <c r="B44" s="23"/>
      <c r="C44" s="1" t="str">
        <f>"TEOTIHUACAN"</f>
        <v>TEOTIHUACAN</v>
      </c>
      <c r="D44" s="2">
        <v>1</v>
      </c>
      <c r="E44" s="3">
        <v>9.9000000000000008E-3</v>
      </c>
    </row>
    <row r="45" spans="2:5">
      <c r="B45" s="23"/>
      <c r="C45" s="1" t="str">
        <f>"TULTITLAN"</f>
        <v>TULTITLAN</v>
      </c>
      <c r="D45" s="2">
        <v>1</v>
      </c>
      <c r="E45" s="3">
        <v>9.9000000000000008E-3</v>
      </c>
    </row>
    <row r="46" spans="2:5">
      <c r="B46" s="22"/>
      <c r="C46" s="18" t="str">
        <f>"Total"</f>
        <v>Total</v>
      </c>
      <c r="D46" s="19">
        <v>3</v>
      </c>
      <c r="E46" s="20">
        <v>2.9700000000000001E-2</v>
      </c>
    </row>
    <row r="47" spans="2:5">
      <c r="B47" s="21" t="str">
        <f>"MICHOACAN DE OCAMPO"</f>
        <v>MICHOACAN DE OCAMPO</v>
      </c>
      <c r="C47" s="1" t="str">
        <f>"APATZINGAN"</f>
        <v>APATZINGAN</v>
      </c>
      <c r="D47" s="2">
        <v>1</v>
      </c>
      <c r="E47" s="3">
        <v>9.9000000000000008E-3</v>
      </c>
    </row>
    <row r="48" spans="2:5">
      <c r="B48" s="23"/>
      <c r="C48" s="1" t="str">
        <f>"CARACUARO"</f>
        <v>CARACUARO</v>
      </c>
      <c r="D48" s="2">
        <v>1</v>
      </c>
      <c r="E48" s="3">
        <v>9.9000000000000008E-3</v>
      </c>
    </row>
    <row r="49" spans="2:5">
      <c r="B49" s="23"/>
      <c r="C49" s="1" t="str">
        <f>"COAHUAYANA"</f>
        <v>COAHUAYANA</v>
      </c>
      <c r="D49" s="2">
        <v>1</v>
      </c>
      <c r="E49" s="3">
        <v>9.9000000000000008E-3</v>
      </c>
    </row>
    <row r="50" spans="2:5">
      <c r="B50" s="23"/>
      <c r="C50" s="1" t="str">
        <f>"MARAVATIO"</f>
        <v>MARAVATIO</v>
      </c>
      <c r="D50" s="2">
        <v>3</v>
      </c>
      <c r="E50" s="3">
        <v>2.9700000000000001E-2</v>
      </c>
    </row>
    <row r="51" spans="2:5">
      <c r="B51" s="22"/>
      <c r="C51" s="18" t="str">
        <f>"Total"</f>
        <v>Total</v>
      </c>
      <c r="D51" s="19">
        <v>6</v>
      </c>
      <c r="E51" s="20">
        <v>5.9400000000000001E-2</v>
      </c>
    </row>
    <row r="52" spans="2:5">
      <c r="B52" s="21" t="str">
        <f>"NAYARIT"</f>
        <v>NAYARIT</v>
      </c>
      <c r="C52" s="1" t="str">
        <f>"COMPOSTELA"</f>
        <v>COMPOSTELA</v>
      </c>
      <c r="D52" s="2">
        <v>1</v>
      </c>
      <c r="E52" s="3">
        <v>9.9000000000000008E-3</v>
      </c>
    </row>
    <row r="53" spans="2:5">
      <c r="B53" s="22"/>
      <c r="C53" s="18" t="str">
        <f>"Total"</f>
        <v>Total</v>
      </c>
      <c r="D53" s="19">
        <v>1</v>
      </c>
      <c r="E53" s="20">
        <v>9.9000000000000008E-3</v>
      </c>
    </row>
    <row r="54" spans="2:5">
      <c r="B54" s="21" t="str">
        <f>"OAXACA"</f>
        <v>OAXACA</v>
      </c>
      <c r="C54" s="1" t="str">
        <f>"OAXACA DE JUAREZ"</f>
        <v>OAXACA DE JUAREZ</v>
      </c>
      <c r="D54" s="2">
        <v>1</v>
      </c>
      <c r="E54" s="3">
        <v>9.9000000000000008E-3</v>
      </c>
    </row>
    <row r="55" spans="2:5" ht="30">
      <c r="B55" s="23"/>
      <c r="C55" s="1" t="str">
        <f>"SANTO DOMINGO TOMALTEPEC"</f>
        <v>SANTO DOMINGO TOMALTEPEC</v>
      </c>
      <c r="D55" s="2">
        <v>1</v>
      </c>
      <c r="E55" s="3">
        <v>9.9000000000000008E-3</v>
      </c>
    </row>
    <row r="56" spans="2:5">
      <c r="B56" s="22"/>
      <c r="C56" s="18" t="str">
        <f>"Total"</f>
        <v>Total</v>
      </c>
      <c r="D56" s="19">
        <v>2</v>
      </c>
      <c r="E56" s="20">
        <v>1.9800000000000002E-2</v>
      </c>
    </row>
    <row r="57" spans="2:5">
      <c r="B57" s="21" t="str">
        <f>"PUEBLA"</f>
        <v>PUEBLA</v>
      </c>
      <c r="C57" s="1" t="str">
        <f>"ATLIXCO"</f>
        <v>ATLIXCO</v>
      </c>
      <c r="D57" s="2">
        <v>1</v>
      </c>
      <c r="E57" s="3">
        <v>9.9000000000000008E-3</v>
      </c>
    </row>
    <row r="58" spans="2:5">
      <c r="B58" s="23"/>
      <c r="C58" s="1" t="str">
        <f>"TEPEXI DE RODRIGUEZ"</f>
        <v>TEPEXI DE RODRIGUEZ</v>
      </c>
      <c r="D58" s="2">
        <v>1</v>
      </c>
      <c r="E58" s="3">
        <v>9.9000000000000008E-3</v>
      </c>
    </row>
    <row r="59" spans="2:5">
      <c r="B59" s="22"/>
      <c r="C59" s="18" t="str">
        <f>"Total"</f>
        <v>Total</v>
      </c>
      <c r="D59" s="19">
        <v>2</v>
      </c>
      <c r="E59" s="20">
        <v>1.9800000000000002E-2</v>
      </c>
    </row>
    <row r="60" spans="2:5">
      <c r="B60" s="21" t="str">
        <f>"QUERETARO DE ARTEAGA"</f>
        <v>QUERETARO DE ARTEAGA</v>
      </c>
      <c r="C60" s="1" t="str">
        <f>"LANDA DE MATAMOROS"</f>
        <v>LANDA DE MATAMOROS</v>
      </c>
      <c r="D60" s="2">
        <v>1</v>
      </c>
      <c r="E60" s="3">
        <v>9.9000000000000008E-3</v>
      </c>
    </row>
    <row r="61" spans="2:5">
      <c r="B61" s="23"/>
      <c r="C61" s="1" t="str">
        <f>"QUERETARO"</f>
        <v>QUERETARO</v>
      </c>
      <c r="D61" s="2">
        <v>1</v>
      </c>
      <c r="E61" s="3">
        <v>9.9000000000000008E-3</v>
      </c>
    </row>
    <row r="62" spans="2:5">
      <c r="B62" s="22"/>
      <c r="C62" s="18" t="str">
        <f>"Total"</f>
        <v>Total</v>
      </c>
      <c r="D62" s="19">
        <v>2</v>
      </c>
      <c r="E62" s="20">
        <v>1.9800000000000002E-2</v>
      </c>
    </row>
    <row r="63" spans="2:5">
      <c r="B63" s="21" t="str">
        <f>"SAN LUIS POTOSI"</f>
        <v>SAN LUIS POTOSI</v>
      </c>
      <c r="C63" s="1" t="str">
        <f>"CIUDAD VALLES"</f>
        <v>CIUDAD VALLES</v>
      </c>
      <c r="D63" s="2">
        <v>2</v>
      </c>
      <c r="E63" s="3">
        <v>1.9800000000000002E-2</v>
      </c>
    </row>
    <row r="64" spans="2:5">
      <c r="B64" s="22"/>
      <c r="C64" s="18" t="str">
        <f>"Total"</f>
        <v>Total</v>
      </c>
      <c r="D64" s="19">
        <v>2</v>
      </c>
      <c r="E64" s="20">
        <v>1.9800000000000002E-2</v>
      </c>
    </row>
    <row r="65" spans="2:5">
      <c r="B65" s="21" t="str">
        <f>"SINALOA"</f>
        <v>SINALOA</v>
      </c>
      <c r="C65" s="1" t="str">
        <f>"GUASAVE"</f>
        <v>GUASAVE</v>
      </c>
      <c r="D65" s="2">
        <v>1</v>
      </c>
      <c r="E65" s="3">
        <v>9.9000000000000008E-3</v>
      </c>
    </row>
    <row r="66" spans="2:5">
      <c r="B66" s="22"/>
      <c r="C66" s="18" t="str">
        <f>"Total"</f>
        <v>Total</v>
      </c>
      <c r="D66" s="19">
        <v>1</v>
      </c>
      <c r="E66" s="20">
        <v>9.9000000000000008E-3</v>
      </c>
    </row>
    <row r="67" spans="2:5">
      <c r="B67" s="21" t="str">
        <f>"TLAXCALA"</f>
        <v>TLAXCALA</v>
      </c>
      <c r="C67" s="1" t="str">
        <f>"TLAXCALA"</f>
        <v>TLAXCALA</v>
      </c>
      <c r="D67" s="2">
        <v>2</v>
      </c>
      <c r="E67" s="3">
        <v>1.9800000000000002E-2</v>
      </c>
    </row>
    <row r="68" spans="2:5">
      <c r="B68" s="22"/>
      <c r="C68" s="18" t="str">
        <f>"Total"</f>
        <v>Total</v>
      </c>
      <c r="D68" s="19">
        <v>2</v>
      </c>
      <c r="E68" s="20">
        <v>1.9800000000000002E-2</v>
      </c>
    </row>
    <row r="69" spans="2:5">
      <c r="B69" s="21" t="str">
        <f>"VERACRUZ DE IGNACIO DE LA LLAVE"</f>
        <v>VERACRUZ DE IGNACIO DE LA LLAVE</v>
      </c>
      <c r="C69" s="1" t="str">
        <f>"TAMPICO ALTO"</f>
        <v>TAMPICO ALTO</v>
      </c>
      <c r="D69" s="2">
        <v>1</v>
      </c>
      <c r="E69" s="3">
        <v>9.9000000000000008E-3</v>
      </c>
    </row>
    <row r="70" spans="2:5">
      <c r="B70" s="22"/>
      <c r="C70" s="18" t="str">
        <f>"Total"</f>
        <v>Total</v>
      </c>
      <c r="D70" s="19">
        <v>1</v>
      </c>
      <c r="E70" s="20">
        <v>9.9000000000000008E-3</v>
      </c>
    </row>
    <row r="71" spans="2:5">
      <c r="B71" s="21" t="str">
        <f>"ZACATECAS"</f>
        <v>ZACATECAS</v>
      </c>
      <c r="C71" s="1" t="str">
        <f>"NORIA DE ANGELES"</f>
        <v>NORIA DE ANGELES</v>
      </c>
      <c r="D71" s="2">
        <v>1</v>
      </c>
      <c r="E71" s="3">
        <v>9.9000000000000008E-3</v>
      </c>
    </row>
    <row r="72" spans="2:5">
      <c r="B72" s="23"/>
      <c r="C72" s="1" t="str">
        <f>"SOMBRERETE"</f>
        <v>SOMBRERETE</v>
      </c>
      <c r="D72" s="2">
        <v>11</v>
      </c>
      <c r="E72" s="3">
        <v>0.1089</v>
      </c>
    </row>
    <row r="73" spans="2:5">
      <c r="B73" s="22"/>
      <c r="C73" s="18" t="str">
        <f>"Total"</f>
        <v>Total</v>
      </c>
      <c r="D73" s="19">
        <v>12</v>
      </c>
      <c r="E73" s="20">
        <v>0.1188</v>
      </c>
    </row>
    <row r="74" spans="2:5">
      <c r="B74" s="14" t="s">
        <v>1</v>
      </c>
      <c r="C74" s="15" t="str">
        <f>" "</f>
        <v> </v>
      </c>
      <c r="D74" s="16">
        <v>101</v>
      </c>
      <c r="E74" s="17">
        <v>1</v>
      </c>
    </row>
    <row r="76" spans="2:5" ht="16.5">
      <c r="B76" s="4" t="s">
        <v>2</v>
      </c>
      <c r="C76" s="5"/>
    </row>
    <row r="77" spans="2:5" ht="16.5">
      <c r="B77" s="4" t="s">
        <v>3</v>
      </c>
      <c r="C77" s="5"/>
    </row>
    <row r="78" spans="2:5" ht="16.5">
      <c r="B78" s="4" t="s">
        <v>4</v>
      </c>
      <c r="C78" s="5"/>
    </row>
    <row r="79" spans="2:5" ht="16.5">
      <c r="B79" s="4" t="s">
        <v>5</v>
      </c>
      <c r="C79" s="5"/>
    </row>
    <row r="80" spans="2:5">
      <c r="B80" s="4" t="s">
        <v>10</v>
      </c>
    </row>
  </sheetData>
  <mergeCells count="25">
    <mergeCell ref="B10:B11"/>
    <mergeCell ref="B6:E7"/>
    <mergeCell ref="B8:B9"/>
    <mergeCell ref="C8:C9"/>
    <mergeCell ref="D8:D9"/>
    <mergeCell ref="E8:E9"/>
    <mergeCell ref="B12:B15"/>
    <mergeCell ref="B16:B18"/>
    <mergeCell ref="B19:B20"/>
    <mergeCell ref="B21:B23"/>
    <mergeCell ref="B24:B28"/>
    <mergeCell ref="B29:B34"/>
    <mergeCell ref="B35:B38"/>
    <mergeCell ref="B39:B42"/>
    <mergeCell ref="B43:B46"/>
    <mergeCell ref="B47:B51"/>
    <mergeCell ref="B65:B66"/>
    <mergeCell ref="B67:B68"/>
    <mergeCell ref="B69:B70"/>
    <mergeCell ref="B71:B73"/>
    <mergeCell ref="B52:B53"/>
    <mergeCell ref="B54:B56"/>
    <mergeCell ref="B57:B59"/>
    <mergeCell ref="B60:B62"/>
    <mergeCell ref="B63:B64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easCAA2Z88A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2012-03-09T19:22:30Z</dcterms:created>
  <dcterms:modified xsi:type="dcterms:W3CDTF">2012-03-15T20:25:20Z</dcterms:modified>
</cp:coreProperties>
</file>