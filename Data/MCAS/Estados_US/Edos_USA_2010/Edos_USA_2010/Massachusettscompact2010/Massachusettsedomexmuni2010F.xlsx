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RC9HF7" sheetId="2" r:id="rId1"/>
  </sheets>
  <calcPr calcId="125725"/>
</workbook>
</file>

<file path=xl/calcChain.xml><?xml version="1.0" encoding="utf-8"?>
<calcChain xmlns="http://schemas.openxmlformats.org/spreadsheetml/2006/main">
  <c r="C214" i="2"/>
  <c r="C213"/>
  <c r="C212"/>
  <c r="B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B188"/>
  <c r="C187"/>
  <c r="C186"/>
  <c r="C185"/>
  <c r="C184"/>
  <c r="C183"/>
  <c r="B183"/>
  <c r="C182"/>
  <c r="C181"/>
  <c r="C180"/>
  <c r="C179"/>
  <c r="B179"/>
  <c r="C178"/>
  <c r="C177"/>
  <c r="B177"/>
  <c r="C176"/>
  <c r="C175"/>
  <c r="B175"/>
  <c r="C174"/>
  <c r="C173"/>
  <c r="C172"/>
  <c r="C171"/>
  <c r="B171"/>
  <c r="C170"/>
  <c r="C169"/>
  <c r="C168"/>
  <c r="C167"/>
  <c r="C166"/>
  <c r="C165"/>
  <c r="B165"/>
  <c r="C164"/>
  <c r="C163"/>
  <c r="B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B143"/>
  <c r="C142"/>
  <c r="C141"/>
  <c r="C140"/>
  <c r="C139"/>
  <c r="C138"/>
  <c r="C137"/>
  <c r="C136"/>
  <c r="C135"/>
  <c r="C134"/>
  <c r="C133"/>
  <c r="C132"/>
  <c r="C131"/>
  <c r="C130"/>
  <c r="B130"/>
  <c r="C129"/>
  <c r="C128"/>
  <c r="B128"/>
  <c r="C127"/>
  <c r="C126"/>
  <c r="C125"/>
  <c r="C124"/>
  <c r="C123"/>
  <c r="B123"/>
  <c r="C122"/>
  <c r="C121"/>
  <c r="C120"/>
  <c r="C119"/>
  <c r="C118"/>
  <c r="C117"/>
  <c r="C116"/>
  <c r="C115"/>
  <c r="C114"/>
  <c r="C113"/>
  <c r="C112"/>
  <c r="C111"/>
  <c r="B111"/>
  <c r="C110"/>
  <c r="C109"/>
  <c r="C108"/>
  <c r="C107"/>
  <c r="C106"/>
  <c r="C105"/>
  <c r="C104"/>
  <c r="C103"/>
  <c r="C102"/>
  <c r="C101"/>
  <c r="C100"/>
  <c r="C99"/>
  <c r="C98"/>
  <c r="C97"/>
  <c r="C96"/>
  <c r="B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B76"/>
  <c r="C75"/>
  <c r="C74"/>
  <c r="C73"/>
  <c r="C72"/>
  <c r="C71"/>
  <c r="C70"/>
  <c r="B70"/>
  <c r="C69"/>
  <c r="C68"/>
  <c r="C67"/>
  <c r="C66"/>
  <c r="C65"/>
  <c r="C64"/>
  <c r="C63"/>
  <c r="C62"/>
  <c r="C61"/>
  <c r="C60"/>
  <c r="C59"/>
  <c r="B59"/>
  <c r="C58"/>
  <c r="C57"/>
  <c r="C56"/>
  <c r="C55"/>
  <c r="C54"/>
  <c r="C53"/>
  <c r="B53"/>
  <c r="C52"/>
  <c r="C51"/>
  <c r="B51"/>
  <c r="C50"/>
  <c r="C49"/>
  <c r="B49"/>
  <c r="C48"/>
  <c r="C47"/>
  <c r="B47"/>
  <c r="C46"/>
  <c r="C45"/>
  <c r="C44"/>
  <c r="B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B14"/>
  <c r="C13"/>
  <c r="C12"/>
  <c r="B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<sst xmlns="http://schemas.openxmlformats.org/spreadsheetml/2006/main" count="11" uniqueCount="11">
  <si>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</si>
  <si>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</si>
  <si>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</si>
  <si>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</si>
  <si>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</si>
  <si>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</si>
  <si>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</si>
  <si>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</si>
  <si>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</si>
  <si>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MASSACHUSETTS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</si>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</sst>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2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0"/>
  <sheetViews>
    <sheetView showGridLines="0" tabSelected="1" workbookViewId="0">
      <selection activeCell="A8" sqref="A8"/>
    </sheetView>
  </sheetViews>
  <sheetFormatPr baseColWidth="10" defaultRowHeight="15"/>
  <cols>
    <col min="2" max="2" width="45.28515625" customWidth="1"/>
    <col min="3" max="3" width="26.85546875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25" t="s">
        <v>9</v>
      </c>
      <c r="C6" s="25"/>
      <c r="D6" s="25"/>
      <c r="E6" s="25"/>
      <c r="F6" s="10"/>
    </row>
    <row r="7" spans="1:7">
      <c r="A7" s="6"/>
      <c r="B7" s="26"/>
      <c r="C7" s="26"/>
      <c r="D7" s="26"/>
      <c r="E7" s="26"/>
      <c r="F7" s="6"/>
    </row>
    <row r="8" spans="1:7">
      <c r="A8" s="6"/>
      <c r="B8" s="27" t="s">
        <v>6</v>
      </c>
      <c r="C8" s="27" t="s">
        <v>7</v>
      </c>
      <c r="D8" s="30" t="s">
        <v>0</v>
      </c>
      <c r="E8" s="30" t="s">
        <v>8</v>
      </c>
      <c r="F8" s="6"/>
    </row>
    <row r="9" spans="1:7" ht="18" customHeight="1">
      <c r="A9" s="6"/>
      <c r="B9" s="28"/>
      <c r="C9" s="29"/>
      <c r="D9" s="31"/>
      <c r="E9" s="31"/>
      <c r="F9" s="12"/>
      <c r="G9" s="13"/>
    </row>
    <row r="10" spans="1:7">
      <c r="B10" s="22" t="str">
        <f>"BAJA CALIFORNIA"</f>
        <v>BAJA CALIFORNIA</v>
      </c>
      <c r="C10" s="1" t="str">
        <f>"TIJUANA"</f>
        <v>TIJUANA</v>
      </c>
      <c r="D10" s="2">
        <v>1</v>
      </c>
      <c r="E10" s="3">
        <v>2.3E-3</v>
      </c>
    </row>
    <row r="11" spans="1:7">
      <c r="B11" s="23"/>
      <c r="C11" s="18" t="str">
        <f>"Total"</f>
        <v>Total</v>
      </c>
      <c r="D11" s="19">
        <v>1</v>
      </c>
      <c r="E11" s="20">
        <v>2.3E-3</v>
      </c>
    </row>
    <row r="12" spans="1:7">
      <c r="B12" s="22" t="str">
        <f>"CAMPECHE"</f>
        <v>CAMPECHE</v>
      </c>
      <c r="C12" s="1" t="str">
        <f>"HOPELCHEN"</f>
        <v>HOPELCHEN</v>
      </c>
      <c r="D12" s="2">
        <v>1</v>
      </c>
      <c r="E12" s="3">
        <v>2.3E-3</v>
      </c>
    </row>
    <row r="13" spans="1:7">
      <c r="B13" s="23"/>
      <c r="C13" s="18" t="str">
        <f>"Total"</f>
        <v>Total</v>
      </c>
      <c r="D13" s="19">
        <v>1</v>
      </c>
      <c r="E13" s="20">
        <v>2.3E-3</v>
      </c>
    </row>
    <row r="14" spans="1:7">
      <c r="B14" s="22" t="str">
        <f t="shared" ref="B14" si="0">"CHIAPAS"</f>
        <v>CHIAPAS</v>
      </c>
      <c r="C14" s="1" t="str">
        <f>"ACACOYAGUA"</f>
        <v>ACACOYAGUA</v>
      </c>
      <c r="D14" s="2">
        <v>3</v>
      </c>
      <c r="E14" s="3">
        <v>6.8999999999999999E-3</v>
      </c>
    </row>
    <row r="15" spans="1:7" ht="30">
      <c r="B15" s="24"/>
      <c r="C15" s="1" t="str">
        <f>"AMATENANGO DE LA FRONTERA"</f>
        <v>AMATENANGO DE LA FRONTERA</v>
      </c>
      <c r="D15" s="2">
        <v>1</v>
      </c>
      <c r="E15" s="3">
        <v>2.3E-3</v>
      </c>
    </row>
    <row r="16" spans="1:7">
      <c r="B16" s="24"/>
      <c r="C16" s="1" t="str">
        <f>"CACAHOATAN"</f>
        <v>CACAHOATAN</v>
      </c>
      <c r="D16" s="2">
        <v>3</v>
      </c>
      <c r="E16" s="3">
        <v>6.8999999999999999E-3</v>
      </c>
    </row>
    <row r="17" spans="2:5">
      <c r="B17" s="24"/>
      <c r="C17" s="1" t="str">
        <f>"CHAPULTENANGO"</f>
        <v>CHAPULTENANGO</v>
      </c>
      <c r="D17" s="2">
        <v>2</v>
      </c>
      <c r="E17" s="3">
        <v>4.5999999999999999E-3</v>
      </c>
    </row>
    <row r="18" spans="2:5">
      <c r="B18" s="24"/>
      <c r="C18" s="1" t="str">
        <f>"CHICOMUSELO"</f>
        <v>CHICOMUSELO</v>
      </c>
      <c r="D18" s="2">
        <v>1</v>
      </c>
      <c r="E18" s="3">
        <v>2.3E-3</v>
      </c>
    </row>
    <row r="19" spans="2:5">
      <c r="B19" s="24"/>
      <c r="C19" s="1" t="str">
        <f>"CHILON"</f>
        <v>CHILON</v>
      </c>
      <c r="D19" s="2">
        <v>1</v>
      </c>
      <c r="E19" s="3">
        <v>2.3E-3</v>
      </c>
    </row>
    <row r="20" spans="2:5">
      <c r="B20" s="24"/>
      <c r="C20" s="1" t="str">
        <f>"COMITAN DE DOMINGUEZ"</f>
        <v>COMITAN DE DOMINGUEZ</v>
      </c>
      <c r="D20" s="2">
        <v>1</v>
      </c>
      <c r="E20" s="3">
        <v>2.3E-3</v>
      </c>
    </row>
    <row r="21" spans="2:5">
      <c r="B21" s="24"/>
      <c r="C21" s="1" t="str">
        <f>"EL PORVENIR"</f>
        <v>EL PORVENIR</v>
      </c>
      <c r="D21" s="2">
        <v>3</v>
      </c>
      <c r="E21" s="3">
        <v>6.8999999999999999E-3</v>
      </c>
    </row>
    <row r="22" spans="2:5">
      <c r="B22" s="24"/>
      <c r="C22" s="1" t="str">
        <f>"FRONTERA COMALAPA"</f>
        <v>FRONTERA COMALAPA</v>
      </c>
      <c r="D22" s="2">
        <v>1</v>
      </c>
      <c r="E22" s="3">
        <v>2.3E-3</v>
      </c>
    </row>
    <row r="23" spans="2:5">
      <c r="B23" s="24"/>
      <c r="C23" s="1" t="str">
        <f>"HUEHUETAN"</f>
        <v>HUEHUETAN</v>
      </c>
      <c r="D23" s="2">
        <v>5</v>
      </c>
      <c r="E23" s="3">
        <v>1.1599999999999999E-2</v>
      </c>
    </row>
    <row r="24" spans="2:5">
      <c r="B24" s="24"/>
      <c r="C24" s="1" t="str">
        <f>"LA CONCORDIA"</f>
        <v>LA CONCORDIA</v>
      </c>
      <c r="D24" s="2">
        <v>4</v>
      </c>
      <c r="E24" s="3">
        <v>9.2999999999999992E-3</v>
      </c>
    </row>
    <row r="25" spans="2:5">
      <c r="B25" s="24"/>
      <c r="C25" s="1" t="str">
        <f>"LA GRANDEZA"</f>
        <v>LA GRANDEZA</v>
      </c>
      <c r="D25" s="2">
        <v>1</v>
      </c>
      <c r="E25" s="3">
        <v>2.3E-3</v>
      </c>
    </row>
    <row r="26" spans="2:5">
      <c r="B26" s="24"/>
      <c r="C26" s="1" t="str">
        <f>"LA TRINITARIA"</f>
        <v>LA TRINITARIA</v>
      </c>
      <c r="D26" s="2">
        <v>2</v>
      </c>
      <c r="E26" s="3">
        <v>4.5999999999999999E-3</v>
      </c>
    </row>
    <row r="27" spans="2:5">
      <c r="B27" s="24"/>
      <c r="C27" s="1" t="str">
        <f>"LAS MARGARITAS"</f>
        <v>LAS MARGARITAS</v>
      </c>
      <c r="D27" s="2">
        <v>1</v>
      </c>
      <c r="E27" s="3">
        <v>2.3E-3</v>
      </c>
    </row>
    <row r="28" spans="2:5">
      <c r="B28" s="24"/>
      <c r="C28" s="1" t="str">
        <f>"MAPASTEPEC"</f>
        <v>MAPASTEPEC</v>
      </c>
      <c r="D28" s="2">
        <v>4</v>
      </c>
      <c r="E28" s="3">
        <v>9.2999999999999992E-3</v>
      </c>
    </row>
    <row r="29" spans="2:5">
      <c r="B29" s="24"/>
      <c r="C29" s="1" t="str">
        <f>"MAZAPA DE MADERO"</f>
        <v>MAZAPA DE MADERO</v>
      </c>
      <c r="D29" s="2">
        <v>6</v>
      </c>
      <c r="E29" s="3">
        <v>1.3899999999999999E-2</v>
      </c>
    </row>
    <row r="30" spans="2:5">
      <c r="B30" s="24"/>
      <c r="C30" s="1" t="str">
        <f>"MOTOZINTLA"</f>
        <v>MOTOZINTLA</v>
      </c>
      <c r="D30" s="2">
        <v>4</v>
      </c>
      <c r="E30" s="3">
        <v>9.2999999999999992E-3</v>
      </c>
    </row>
    <row r="31" spans="2:5">
      <c r="B31" s="24"/>
      <c r="C31" s="1" t="str">
        <f>"OCOSINGO"</f>
        <v>OCOSINGO</v>
      </c>
      <c r="D31" s="2">
        <v>3</v>
      </c>
      <c r="E31" s="3">
        <v>6.8999999999999999E-3</v>
      </c>
    </row>
    <row r="32" spans="2:5">
      <c r="B32" s="24"/>
      <c r="C32" s="1" t="str">
        <f>"PALENQUE"</f>
        <v>PALENQUE</v>
      </c>
      <c r="D32" s="2">
        <v>1</v>
      </c>
      <c r="E32" s="3">
        <v>2.3E-3</v>
      </c>
    </row>
    <row r="33" spans="2:5">
      <c r="B33" s="24"/>
      <c r="C33" s="1" t="str">
        <f>"PICHUCALCO"</f>
        <v>PICHUCALCO</v>
      </c>
      <c r="D33" s="2">
        <v>1</v>
      </c>
      <c r="E33" s="3">
        <v>2.3E-3</v>
      </c>
    </row>
    <row r="34" spans="2:5">
      <c r="B34" s="24"/>
      <c r="C34" s="1" t="str">
        <f>"SABANILLA"</f>
        <v>SABANILLA</v>
      </c>
      <c r="D34" s="2">
        <v>1</v>
      </c>
      <c r="E34" s="3">
        <v>2.3E-3</v>
      </c>
    </row>
    <row r="35" spans="2:5">
      <c r="B35" s="24"/>
      <c r="C35" s="1" t="str">
        <f>"SILTEPEC"</f>
        <v>SILTEPEC</v>
      </c>
      <c r="D35" s="2">
        <v>6</v>
      </c>
      <c r="E35" s="3">
        <v>1.3899999999999999E-2</v>
      </c>
    </row>
    <row r="36" spans="2:5">
      <c r="B36" s="24"/>
      <c r="C36" s="1" t="str">
        <f>"TAPACHULA"</f>
        <v>TAPACHULA</v>
      </c>
      <c r="D36" s="2">
        <v>8</v>
      </c>
      <c r="E36" s="3">
        <v>1.8499999999999999E-2</v>
      </c>
    </row>
    <row r="37" spans="2:5">
      <c r="B37" s="24"/>
      <c r="C37" s="1" t="str">
        <f>"TENEJAPA"</f>
        <v>TENEJAPA</v>
      </c>
      <c r="D37" s="2">
        <v>2</v>
      </c>
      <c r="E37" s="3">
        <v>4.5999999999999999E-3</v>
      </c>
    </row>
    <row r="38" spans="2:5">
      <c r="B38" s="24"/>
      <c r="C38" s="1" t="str">
        <f>"TUXTLA CHICO"</f>
        <v>TUXTLA CHICO</v>
      </c>
      <c r="D38" s="2">
        <v>1</v>
      </c>
      <c r="E38" s="3">
        <v>2.3E-3</v>
      </c>
    </row>
    <row r="39" spans="2:5">
      <c r="B39" s="24"/>
      <c r="C39" s="1" t="str">
        <f>"TUXTLA GUTIERREZ"</f>
        <v>TUXTLA GUTIERREZ</v>
      </c>
      <c r="D39" s="2">
        <v>1</v>
      </c>
      <c r="E39" s="3">
        <v>2.3E-3</v>
      </c>
    </row>
    <row r="40" spans="2:5">
      <c r="B40" s="24"/>
      <c r="C40" s="1" t="str">
        <f>"TUZANTAN"</f>
        <v>TUZANTAN</v>
      </c>
      <c r="D40" s="2">
        <v>1</v>
      </c>
      <c r="E40" s="3">
        <v>2.3E-3</v>
      </c>
    </row>
    <row r="41" spans="2:5">
      <c r="B41" s="24"/>
      <c r="C41" s="1" t="str">
        <f>"UNION JUAREZ"</f>
        <v>UNION JUAREZ</v>
      </c>
      <c r="D41" s="2">
        <v>1</v>
      </c>
      <c r="E41" s="3">
        <v>2.3E-3</v>
      </c>
    </row>
    <row r="42" spans="2:5">
      <c r="B42" s="24"/>
      <c r="C42" s="1" t="str">
        <f>"VILLA COMALTITLAN"</f>
        <v>VILLA COMALTITLAN</v>
      </c>
      <c r="D42" s="2">
        <v>1</v>
      </c>
      <c r="E42" s="3">
        <v>2.3E-3</v>
      </c>
    </row>
    <row r="43" spans="2:5">
      <c r="B43" s="23"/>
      <c r="C43" s="18" t="str">
        <f>"Total"</f>
        <v>Total</v>
      </c>
      <c r="D43" s="19">
        <v>70</v>
      </c>
      <c r="E43" s="20">
        <v>0.16200000000000001</v>
      </c>
    </row>
    <row r="44" spans="2:5">
      <c r="B44" s="22" t="str">
        <f>"CHIHUAHUA"</f>
        <v>CHIHUAHUA</v>
      </c>
      <c r="C44" s="1" t="str">
        <f>"CHIHUAHUA"</f>
        <v>CHIHUAHUA</v>
      </c>
      <c r="D44" s="2">
        <v>3</v>
      </c>
      <c r="E44" s="3">
        <v>6.8999999999999999E-3</v>
      </c>
    </row>
    <row r="45" spans="2:5">
      <c r="B45" s="24"/>
      <c r="C45" s="1" t="str">
        <f>"GOMEZ FARIAS"</f>
        <v>GOMEZ FARIAS</v>
      </c>
      <c r="D45" s="2">
        <v>1</v>
      </c>
      <c r="E45" s="3">
        <v>2.3E-3</v>
      </c>
    </row>
    <row r="46" spans="2:5">
      <c r="B46" s="23"/>
      <c r="C46" s="18" t="str">
        <f>"Total"</f>
        <v>Total</v>
      </c>
      <c r="D46" s="19">
        <v>4</v>
      </c>
      <c r="E46" s="20">
        <v>9.2999999999999992E-3</v>
      </c>
    </row>
    <row r="47" spans="2:5">
      <c r="B47" s="22" t="str">
        <f>"COLIMA"</f>
        <v>COLIMA</v>
      </c>
      <c r="C47" s="1" t="str">
        <f>"COLIMA"</f>
        <v>COLIMA</v>
      </c>
      <c r="D47" s="2">
        <v>1</v>
      </c>
      <c r="E47" s="3">
        <v>2.3E-3</v>
      </c>
    </row>
    <row r="48" spans="2:5">
      <c r="B48" s="23"/>
      <c r="C48" s="18" t="str">
        <f>"Total"</f>
        <v>Total</v>
      </c>
      <c r="D48" s="19">
        <v>1</v>
      </c>
      <c r="E48" s="20">
        <v>2.3E-3</v>
      </c>
    </row>
    <row r="49" spans="2:5">
      <c r="B49" s="22" t="str">
        <f>"DISTRITO FEDERAL"</f>
        <v>DISTRITO FEDERAL</v>
      </c>
      <c r="C49" s="1" t="str">
        <f>"GUSTAVO A. MADERO"</f>
        <v>GUSTAVO A. MADERO</v>
      </c>
      <c r="D49" s="2">
        <v>36</v>
      </c>
      <c r="E49" s="3">
        <v>8.3299999999999999E-2</v>
      </c>
    </row>
    <row r="50" spans="2:5">
      <c r="B50" s="23"/>
      <c r="C50" s="18" t="str">
        <f>"Total"</f>
        <v>Total</v>
      </c>
      <c r="D50" s="19">
        <v>36</v>
      </c>
      <c r="E50" s="20">
        <v>8.3299999999999999E-2</v>
      </c>
    </row>
    <row r="51" spans="2:5">
      <c r="B51" s="22" t="str">
        <f>"DURANGO"</f>
        <v>DURANGO</v>
      </c>
      <c r="C51" s="1" t="str">
        <f>"SUCHIL"</f>
        <v>SUCHIL</v>
      </c>
      <c r="D51" s="2">
        <v>1</v>
      </c>
      <c r="E51" s="3">
        <v>2.3E-3</v>
      </c>
    </row>
    <row r="52" spans="2:5">
      <c r="B52" s="23"/>
      <c r="C52" s="18" t="str">
        <f>"Total"</f>
        <v>Total</v>
      </c>
      <c r="D52" s="19">
        <v>1</v>
      </c>
      <c r="E52" s="20">
        <v>2.3E-3</v>
      </c>
    </row>
    <row r="53" spans="2:5">
      <c r="B53" s="22" t="str">
        <f t="shared" ref="B53" si="1">"GUANAJUATO"</f>
        <v>GUANAJUATO</v>
      </c>
      <c r="C53" s="1" t="str">
        <f>"CELAYA"</f>
        <v>CELAYA</v>
      </c>
      <c r="D53" s="2">
        <v>4</v>
      </c>
      <c r="E53" s="3">
        <v>9.2999999999999992E-3</v>
      </c>
    </row>
    <row r="54" spans="2:5">
      <c r="B54" s="24"/>
      <c r="C54" s="1" t="str">
        <f>"CORONEO"</f>
        <v>CORONEO</v>
      </c>
      <c r="D54" s="2">
        <v>1</v>
      </c>
      <c r="E54" s="3">
        <v>2.3E-3</v>
      </c>
    </row>
    <row r="55" spans="2:5">
      <c r="B55" s="24"/>
      <c r="C55" s="1" t="str">
        <f>"DOLORES HIDALGO"</f>
        <v>DOLORES HIDALGO</v>
      </c>
      <c r="D55" s="2">
        <v>3</v>
      </c>
      <c r="E55" s="3">
        <v>6.8999999999999999E-3</v>
      </c>
    </row>
    <row r="56" spans="2:5">
      <c r="B56" s="24"/>
      <c r="C56" s="1" t="str">
        <f>"LEON"</f>
        <v>LEON</v>
      </c>
      <c r="D56" s="2">
        <v>3</v>
      </c>
      <c r="E56" s="3">
        <v>6.8999999999999999E-3</v>
      </c>
    </row>
    <row r="57" spans="2:5">
      <c r="B57" s="24"/>
      <c r="C57" s="1" t="str">
        <f>"SAN LUIS DE LA PAZ"</f>
        <v>SAN LUIS DE LA PAZ</v>
      </c>
      <c r="D57" s="2">
        <v>1</v>
      </c>
      <c r="E57" s="3">
        <v>2.3E-3</v>
      </c>
    </row>
    <row r="58" spans="2:5">
      <c r="B58" s="23"/>
      <c r="C58" s="18" t="str">
        <f>"Total"</f>
        <v>Total</v>
      </c>
      <c r="D58" s="19">
        <v>12</v>
      </c>
      <c r="E58" s="20">
        <v>2.7799999999999998E-2</v>
      </c>
    </row>
    <row r="59" spans="2:5">
      <c r="B59" s="22" t="str">
        <f t="shared" ref="B59" si="2">"GUERRERO"</f>
        <v>GUERRERO</v>
      </c>
      <c r="C59" s="1" t="str">
        <f>"ACAPULCO DE JUAREZ"</f>
        <v>ACAPULCO DE JUAREZ</v>
      </c>
      <c r="D59" s="2">
        <v>7</v>
      </c>
      <c r="E59" s="3">
        <v>1.6199999999999999E-2</v>
      </c>
    </row>
    <row r="60" spans="2:5">
      <c r="B60" s="24"/>
      <c r="C60" s="1" t="str">
        <f>"AJUCHITLAN DEL PROGRESO"</f>
        <v>AJUCHITLAN DEL PROGRESO</v>
      </c>
      <c r="D60" s="2">
        <v>1</v>
      </c>
      <c r="E60" s="3">
        <v>2.3E-3</v>
      </c>
    </row>
    <row r="61" spans="2:5">
      <c r="B61" s="24"/>
      <c r="C61" s="1" t="str">
        <f>"ATOYAC DE ALVAREZ"</f>
        <v>ATOYAC DE ALVAREZ</v>
      </c>
      <c r="D61" s="2">
        <v>1</v>
      </c>
      <c r="E61" s="3">
        <v>2.3E-3</v>
      </c>
    </row>
    <row r="62" spans="2:5">
      <c r="B62" s="24"/>
      <c r="C62" s="1" t="str">
        <f>"CHILAPA DE ALVAREZ"</f>
        <v>CHILAPA DE ALVAREZ</v>
      </c>
      <c r="D62" s="2">
        <v>2</v>
      </c>
      <c r="E62" s="3">
        <v>4.5999999999999999E-3</v>
      </c>
    </row>
    <row r="63" spans="2:5" ht="30">
      <c r="B63" s="24"/>
      <c r="C63" s="1" t="str">
        <f>"IXCATEOPAN DE CUAUHTEMOC"</f>
        <v>IXCATEOPAN DE CUAUHTEMOC</v>
      </c>
      <c r="D63" s="2">
        <v>1</v>
      </c>
      <c r="E63" s="3">
        <v>2.3E-3</v>
      </c>
    </row>
    <row r="64" spans="2:5">
      <c r="B64" s="24"/>
      <c r="C64" s="1" t="str">
        <f>"LEONARDO BRAVO"</f>
        <v>LEONARDO BRAVO</v>
      </c>
      <c r="D64" s="2">
        <v>1</v>
      </c>
      <c r="E64" s="3">
        <v>2.3E-3</v>
      </c>
    </row>
    <row r="65" spans="2:5">
      <c r="B65" s="24"/>
      <c r="C65" s="1" t="str">
        <f>"OLINALA"</f>
        <v>OLINALA</v>
      </c>
      <c r="D65" s="2">
        <v>1</v>
      </c>
      <c r="E65" s="3">
        <v>2.3E-3</v>
      </c>
    </row>
    <row r="66" spans="2:5">
      <c r="B66" s="24"/>
      <c r="C66" s="1" t="str">
        <f>"PUNGARABATO"</f>
        <v>PUNGARABATO</v>
      </c>
      <c r="D66" s="2">
        <v>1</v>
      </c>
      <c r="E66" s="3">
        <v>2.3E-3</v>
      </c>
    </row>
    <row r="67" spans="2:5">
      <c r="B67" s="24"/>
      <c r="C67" s="1" t="str">
        <f>"SAN LUIS ACATLAN"</f>
        <v>SAN LUIS ACATLAN</v>
      </c>
      <c r="D67" s="2">
        <v>5</v>
      </c>
      <c r="E67" s="3">
        <v>1.1599999999999999E-2</v>
      </c>
    </row>
    <row r="68" spans="2:5">
      <c r="B68" s="24"/>
      <c r="C68" s="1" t="str">
        <f>"ZAPOTITLAN TABLAS"</f>
        <v>ZAPOTITLAN TABLAS</v>
      </c>
      <c r="D68" s="2">
        <v>1</v>
      </c>
      <c r="E68" s="3">
        <v>2.3E-3</v>
      </c>
    </row>
    <row r="69" spans="2:5">
      <c r="B69" s="23"/>
      <c r="C69" s="18" t="str">
        <f>"Total"</f>
        <v>Total</v>
      </c>
      <c r="D69" s="19">
        <v>21</v>
      </c>
      <c r="E69" s="20">
        <v>4.8599999999999997E-2</v>
      </c>
    </row>
    <row r="70" spans="2:5">
      <c r="B70" s="22" t="str">
        <f t="shared" ref="B70" si="3">"HIDALGO"</f>
        <v>HIDALGO</v>
      </c>
      <c r="C70" s="1" t="str">
        <f>"ALFAJAYUCAN"</f>
        <v>ALFAJAYUCAN</v>
      </c>
      <c r="D70" s="2">
        <v>6</v>
      </c>
      <c r="E70" s="3">
        <v>1.3899999999999999E-2</v>
      </c>
    </row>
    <row r="71" spans="2:5">
      <c r="B71" s="24"/>
      <c r="C71" s="1" t="str">
        <f>"CHAPULHUACAN"</f>
        <v>CHAPULHUACAN</v>
      </c>
      <c r="D71" s="2">
        <v>1</v>
      </c>
      <c r="E71" s="3">
        <v>2.3E-3</v>
      </c>
    </row>
    <row r="72" spans="2:5">
      <c r="B72" s="24"/>
      <c r="C72" s="1" t="str">
        <f>"IXMIQUILPAN"</f>
        <v>IXMIQUILPAN</v>
      </c>
      <c r="D72" s="2">
        <v>1</v>
      </c>
      <c r="E72" s="3">
        <v>2.3E-3</v>
      </c>
    </row>
    <row r="73" spans="2:5">
      <c r="B73" s="24"/>
      <c r="C73" s="1" t="str">
        <f>"PACULA"</f>
        <v>PACULA</v>
      </c>
      <c r="D73" s="2">
        <v>1</v>
      </c>
      <c r="E73" s="3">
        <v>2.3E-3</v>
      </c>
    </row>
    <row r="74" spans="2:5">
      <c r="B74" s="24"/>
      <c r="C74" s="1" t="str">
        <f>"TULANCINGO DE BRAVO"</f>
        <v>TULANCINGO DE BRAVO</v>
      </c>
      <c r="D74" s="2">
        <v>1</v>
      </c>
      <c r="E74" s="3">
        <v>2.3E-3</v>
      </c>
    </row>
    <row r="75" spans="2:5">
      <c r="B75" s="23"/>
      <c r="C75" s="18" t="str">
        <f>"Total"</f>
        <v>Total</v>
      </c>
      <c r="D75" s="19">
        <v>10</v>
      </c>
      <c r="E75" s="20">
        <v>2.3099999999999999E-2</v>
      </c>
    </row>
    <row r="76" spans="2:5">
      <c r="B76" s="22" t="str">
        <f t="shared" ref="B76" si="4">"JALISCO"</f>
        <v>JALISCO</v>
      </c>
      <c r="C76" s="1" t="str">
        <f>"AMECA"</f>
        <v>AMECA</v>
      </c>
      <c r="D76" s="2">
        <v>1</v>
      </c>
      <c r="E76" s="3">
        <v>2.3E-3</v>
      </c>
    </row>
    <row r="77" spans="2:5">
      <c r="B77" s="24"/>
      <c r="C77" s="1" t="str">
        <f>"AYOTLAN"</f>
        <v>AYOTLAN</v>
      </c>
      <c r="D77" s="2">
        <v>1</v>
      </c>
      <c r="E77" s="3">
        <v>2.3E-3</v>
      </c>
    </row>
    <row r="78" spans="2:5">
      <c r="B78" s="24"/>
      <c r="C78" s="1" t="str">
        <f>"EL GRULLO"</f>
        <v>EL GRULLO</v>
      </c>
      <c r="D78" s="2">
        <v>1</v>
      </c>
      <c r="E78" s="3">
        <v>2.3E-3</v>
      </c>
    </row>
    <row r="79" spans="2:5">
      <c r="B79" s="24"/>
      <c r="C79" s="1" t="str">
        <f>"GUADALAJARA"</f>
        <v>GUADALAJARA</v>
      </c>
      <c r="D79" s="2">
        <v>25</v>
      </c>
      <c r="E79" s="3">
        <v>5.79E-2</v>
      </c>
    </row>
    <row r="80" spans="2:5">
      <c r="B80" s="24"/>
      <c r="C80" s="1" t="str">
        <f>"JALOSTOTITLAN"</f>
        <v>JALOSTOTITLAN</v>
      </c>
      <c r="D80" s="2">
        <v>1</v>
      </c>
      <c r="E80" s="3">
        <v>2.3E-3</v>
      </c>
    </row>
    <row r="81" spans="2:5">
      <c r="B81" s="24"/>
      <c r="C81" s="1" t="str">
        <f>"JESUS MARIA"</f>
        <v>JESUS MARIA</v>
      </c>
      <c r="D81" s="2">
        <v>1</v>
      </c>
      <c r="E81" s="3">
        <v>2.3E-3</v>
      </c>
    </row>
    <row r="82" spans="2:5">
      <c r="B82" s="24"/>
      <c r="C82" s="1" t="str">
        <f>"LA HUERTA"</f>
        <v>LA HUERTA</v>
      </c>
      <c r="D82" s="2">
        <v>1</v>
      </c>
      <c r="E82" s="3">
        <v>2.3E-3</v>
      </c>
    </row>
    <row r="83" spans="2:5">
      <c r="B83" s="24"/>
      <c r="C83" s="1" t="str">
        <f>"LA MANZANILLA DE LA PAZ"</f>
        <v>LA MANZANILLA DE LA PAZ</v>
      </c>
      <c r="D83" s="2">
        <v>1</v>
      </c>
      <c r="E83" s="3">
        <v>2.3E-3</v>
      </c>
    </row>
    <row r="84" spans="2:5">
      <c r="B84" s="24"/>
      <c r="C84" s="1" t="str">
        <f>"LAGOS DE MORENO"</f>
        <v>LAGOS DE MORENO</v>
      </c>
      <c r="D84" s="2">
        <v>3</v>
      </c>
      <c r="E84" s="3">
        <v>6.8999999999999999E-3</v>
      </c>
    </row>
    <row r="85" spans="2:5">
      <c r="B85" s="24"/>
      <c r="C85" s="1" t="str">
        <f>"TEOCALTICHE"</f>
        <v>TEOCALTICHE</v>
      </c>
      <c r="D85" s="2">
        <v>1</v>
      </c>
      <c r="E85" s="3">
        <v>2.3E-3</v>
      </c>
    </row>
    <row r="86" spans="2:5">
      <c r="B86" s="24"/>
      <c r="C86" s="1" t="str">
        <f>"TIZAPAN EL ALTO"</f>
        <v>TIZAPAN EL ALTO</v>
      </c>
      <c r="D86" s="2">
        <v>6</v>
      </c>
      <c r="E86" s="3">
        <v>1.3899999999999999E-2</v>
      </c>
    </row>
    <row r="87" spans="2:5">
      <c r="B87" s="24"/>
      <c r="C87" s="1" t="str">
        <f>"TLAJOMULCO DE ZUÑIGA"</f>
        <v>TLAJOMULCO DE ZUÑIGA</v>
      </c>
      <c r="D87" s="2">
        <v>2</v>
      </c>
      <c r="E87" s="3">
        <v>4.5999999999999999E-3</v>
      </c>
    </row>
    <row r="88" spans="2:5">
      <c r="B88" s="24"/>
      <c r="C88" s="1" t="str">
        <f>"TOMATLAN"</f>
        <v>TOMATLAN</v>
      </c>
      <c r="D88" s="2">
        <v>1</v>
      </c>
      <c r="E88" s="3">
        <v>2.3E-3</v>
      </c>
    </row>
    <row r="89" spans="2:5">
      <c r="B89" s="24"/>
      <c r="C89" s="1" t="str">
        <f>"TUXCUECA"</f>
        <v>TUXCUECA</v>
      </c>
      <c r="D89" s="2">
        <v>4</v>
      </c>
      <c r="E89" s="3">
        <v>9.2999999999999992E-3</v>
      </c>
    </row>
    <row r="90" spans="2:5">
      <c r="B90" s="24"/>
      <c r="C90" s="1" t="str">
        <f>"TUXPAN"</f>
        <v>TUXPAN</v>
      </c>
      <c r="D90" s="2">
        <v>1</v>
      </c>
      <c r="E90" s="3">
        <v>2.3E-3</v>
      </c>
    </row>
    <row r="91" spans="2:5">
      <c r="B91" s="24"/>
      <c r="C91" s="1" t="str">
        <f>"UNION DE SAN ANTONIO"</f>
        <v>UNION DE SAN ANTONIO</v>
      </c>
      <c r="D91" s="2">
        <v>1</v>
      </c>
      <c r="E91" s="3">
        <v>2.3E-3</v>
      </c>
    </row>
    <row r="92" spans="2:5">
      <c r="B92" s="24"/>
      <c r="C92" s="1" t="str">
        <f>"UNION DE TULA"</f>
        <v>UNION DE TULA</v>
      </c>
      <c r="D92" s="2">
        <v>3</v>
      </c>
      <c r="E92" s="3">
        <v>6.8999999999999999E-3</v>
      </c>
    </row>
    <row r="93" spans="2:5">
      <c r="B93" s="24"/>
      <c r="C93" s="1" t="str">
        <f>"ZAPOPAN"</f>
        <v>ZAPOPAN</v>
      </c>
      <c r="D93" s="2">
        <v>3</v>
      </c>
      <c r="E93" s="3">
        <v>6.8999999999999999E-3</v>
      </c>
    </row>
    <row r="94" spans="2:5">
      <c r="B94" s="24"/>
      <c r="C94" s="1" t="str">
        <f>"ZAPOTLANEJO"</f>
        <v>ZAPOTLANEJO</v>
      </c>
      <c r="D94" s="2">
        <v>1</v>
      </c>
      <c r="E94" s="3">
        <v>2.3E-3</v>
      </c>
    </row>
    <row r="95" spans="2:5">
      <c r="B95" s="23"/>
      <c r="C95" s="18" t="str">
        <f>"Total"</f>
        <v>Total</v>
      </c>
      <c r="D95" s="19">
        <v>58</v>
      </c>
      <c r="E95" s="20">
        <v>0.1343</v>
      </c>
    </row>
    <row r="96" spans="2:5">
      <c r="B96" s="22" t="str">
        <f t="shared" ref="B96" si="5">"MEXICO"</f>
        <v>MEXICO</v>
      </c>
      <c r="C96" s="1" t="str">
        <f>"ACAMBAY"</f>
        <v>ACAMBAY</v>
      </c>
      <c r="D96" s="2">
        <v>1</v>
      </c>
      <c r="E96" s="3">
        <v>2.3E-3</v>
      </c>
    </row>
    <row r="97" spans="2:5">
      <c r="B97" s="24"/>
      <c r="C97" s="1" t="str">
        <f>"CHALCO"</f>
        <v>CHALCO</v>
      </c>
      <c r="D97" s="2">
        <v>1</v>
      </c>
      <c r="E97" s="3">
        <v>2.3E-3</v>
      </c>
    </row>
    <row r="98" spans="2:5">
      <c r="B98" s="24"/>
      <c r="C98" s="1" t="str">
        <f>"CHICOLOAPAN"</f>
        <v>CHICOLOAPAN</v>
      </c>
      <c r="D98" s="2">
        <v>1</v>
      </c>
      <c r="E98" s="3">
        <v>2.3E-3</v>
      </c>
    </row>
    <row r="99" spans="2:5">
      <c r="B99" s="24"/>
      <c r="C99" s="1" t="str">
        <f>"CHIMALHUACAN"</f>
        <v>CHIMALHUACAN</v>
      </c>
      <c r="D99" s="2">
        <v>1</v>
      </c>
      <c r="E99" s="3">
        <v>2.3E-3</v>
      </c>
    </row>
    <row r="100" spans="2:5">
      <c r="B100" s="24"/>
      <c r="C100" s="1" t="str">
        <f>"COATEPEC HARINAS"</f>
        <v>COATEPEC HARINAS</v>
      </c>
      <c r="D100" s="2">
        <v>1</v>
      </c>
      <c r="E100" s="3">
        <v>2.3E-3</v>
      </c>
    </row>
    <row r="101" spans="2:5">
      <c r="B101" s="24"/>
      <c r="C101" s="1" t="str">
        <f>"IXTAPAN DE LA SAL"</f>
        <v>IXTAPAN DE LA SAL</v>
      </c>
      <c r="D101" s="2">
        <v>1</v>
      </c>
      <c r="E101" s="3">
        <v>2.3E-3</v>
      </c>
    </row>
    <row r="102" spans="2:5">
      <c r="B102" s="24"/>
      <c r="C102" s="1" t="str">
        <f>"NAUCALPAN DE JUAREZ"</f>
        <v>NAUCALPAN DE JUAREZ</v>
      </c>
      <c r="D102" s="2">
        <v>2</v>
      </c>
      <c r="E102" s="3">
        <v>4.5999999999999999E-3</v>
      </c>
    </row>
    <row r="103" spans="2:5">
      <c r="B103" s="24"/>
      <c r="C103" s="1" t="str">
        <f>"NEZAHUALCOYOTL"</f>
        <v>NEZAHUALCOYOTL</v>
      </c>
      <c r="D103" s="2">
        <v>5</v>
      </c>
      <c r="E103" s="3">
        <v>1.1599999999999999E-2</v>
      </c>
    </row>
    <row r="104" spans="2:5">
      <c r="B104" s="24"/>
      <c r="C104" s="1" t="str">
        <f>"TEJUPILCO"</f>
        <v>TEJUPILCO</v>
      </c>
      <c r="D104" s="2">
        <v>2</v>
      </c>
      <c r="E104" s="3">
        <v>4.5999999999999999E-3</v>
      </c>
    </row>
    <row r="105" spans="2:5">
      <c r="B105" s="24"/>
      <c r="C105" s="1" t="str">
        <f>"TENANGO DEL VALLE"</f>
        <v>TENANGO DEL VALLE</v>
      </c>
      <c r="D105" s="2">
        <v>1</v>
      </c>
      <c r="E105" s="3">
        <v>2.3E-3</v>
      </c>
    </row>
    <row r="106" spans="2:5">
      <c r="B106" s="24"/>
      <c r="C106" s="1" t="str">
        <f>"TEXCOCO"</f>
        <v>TEXCOCO</v>
      </c>
      <c r="D106" s="2">
        <v>1</v>
      </c>
      <c r="E106" s="3">
        <v>2.3E-3</v>
      </c>
    </row>
    <row r="107" spans="2:5">
      <c r="B107" s="24"/>
      <c r="C107" s="1" t="str">
        <f>"TOLUCA"</f>
        <v>TOLUCA</v>
      </c>
      <c r="D107" s="2">
        <v>1</v>
      </c>
      <c r="E107" s="3">
        <v>2.3E-3</v>
      </c>
    </row>
    <row r="108" spans="2:5">
      <c r="B108" s="24"/>
      <c r="C108" s="1" t="str">
        <f>"VILLA DEL CARBON"</f>
        <v>VILLA DEL CARBON</v>
      </c>
      <c r="D108" s="2">
        <v>1</v>
      </c>
      <c r="E108" s="3">
        <v>2.3E-3</v>
      </c>
    </row>
    <row r="109" spans="2:5">
      <c r="B109" s="24"/>
      <c r="C109" s="1" t="str">
        <f>"XONACATLAN"</f>
        <v>XONACATLAN</v>
      </c>
      <c r="D109" s="2">
        <v>1</v>
      </c>
      <c r="E109" s="3">
        <v>2.3E-3</v>
      </c>
    </row>
    <row r="110" spans="2:5">
      <c r="B110" s="23"/>
      <c r="C110" s="18" t="str">
        <f>"Total"</f>
        <v>Total</v>
      </c>
      <c r="D110" s="19">
        <v>20</v>
      </c>
      <c r="E110" s="20">
        <v>4.6300000000000001E-2</v>
      </c>
    </row>
    <row r="111" spans="2:5">
      <c r="B111" s="22" t="str">
        <f t="shared" ref="B111" si="6">"MICHOACAN DE OCAMPO"</f>
        <v>MICHOACAN DE OCAMPO</v>
      </c>
      <c r="C111" s="1" t="str">
        <f>"ANGANGUEO"</f>
        <v>ANGANGUEO</v>
      </c>
      <c r="D111" s="2">
        <v>1</v>
      </c>
      <c r="E111" s="3">
        <v>2.3E-3</v>
      </c>
    </row>
    <row r="112" spans="2:5">
      <c r="B112" s="24"/>
      <c r="C112" s="1" t="str">
        <f>"APATZINGAN"</f>
        <v>APATZINGAN</v>
      </c>
      <c r="D112" s="2">
        <v>2</v>
      </c>
      <c r="E112" s="3">
        <v>4.5999999999999999E-3</v>
      </c>
    </row>
    <row r="113" spans="2:5">
      <c r="B113" s="24"/>
      <c r="C113" s="1" t="str">
        <f>"MORELIA"</f>
        <v>MORELIA</v>
      </c>
      <c r="D113" s="2">
        <v>5</v>
      </c>
      <c r="E113" s="3">
        <v>1.1599999999999999E-2</v>
      </c>
    </row>
    <row r="114" spans="2:5">
      <c r="B114" s="24"/>
      <c r="C114" s="1" t="str">
        <f>"OCAMPO"</f>
        <v>OCAMPO</v>
      </c>
      <c r="D114" s="2">
        <v>1</v>
      </c>
      <c r="E114" s="3">
        <v>2.3E-3</v>
      </c>
    </row>
    <row r="115" spans="2:5">
      <c r="B115" s="24"/>
      <c r="C115" s="1" t="str">
        <f>"PAJACUARAN"</f>
        <v>PAJACUARAN</v>
      </c>
      <c r="D115" s="2">
        <v>2</v>
      </c>
      <c r="E115" s="3">
        <v>4.5999999999999999E-3</v>
      </c>
    </row>
    <row r="116" spans="2:5">
      <c r="B116" s="24"/>
      <c r="C116" s="1" t="str">
        <f>"PATZCUARO"</f>
        <v>PATZCUARO</v>
      </c>
      <c r="D116" s="2">
        <v>10</v>
      </c>
      <c r="E116" s="3">
        <v>2.3099999999999999E-2</v>
      </c>
    </row>
    <row r="117" spans="2:5">
      <c r="B117" s="24"/>
      <c r="C117" s="1" t="str">
        <f>"QUIROGA"</f>
        <v>QUIROGA</v>
      </c>
      <c r="D117" s="2">
        <v>1</v>
      </c>
      <c r="E117" s="3">
        <v>2.3E-3</v>
      </c>
    </row>
    <row r="118" spans="2:5">
      <c r="B118" s="24"/>
      <c r="C118" s="1" t="str">
        <f>"SAN LUCAS"</f>
        <v>SAN LUCAS</v>
      </c>
      <c r="D118" s="2">
        <v>1</v>
      </c>
      <c r="E118" s="3">
        <v>2.3E-3</v>
      </c>
    </row>
    <row r="119" spans="2:5">
      <c r="B119" s="24"/>
      <c r="C119" s="1" t="str">
        <f>"TUXPAN"</f>
        <v>TUXPAN</v>
      </c>
      <c r="D119" s="2">
        <v>3</v>
      </c>
      <c r="E119" s="3">
        <v>6.8999999999999999E-3</v>
      </c>
    </row>
    <row r="120" spans="2:5">
      <c r="B120" s="24"/>
      <c r="C120" s="1" t="str">
        <f>"URUAPAN"</f>
        <v>URUAPAN</v>
      </c>
      <c r="D120" s="2">
        <v>1</v>
      </c>
      <c r="E120" s="3">
        <v>2.3E-3</v>
      </c>
    </row>
    <row r="121" spans="2:5">
      <c r="B121" s="24"/>
      <c r="C121" s="1" t="str">
        <f>"ZAMORA"</f>
        <v>ZAMORA</v>
      </c>
      <c r="D121" s="2">
        <v>1</v>
      </c>
      <c r="E121" s="3">
        <v>2.3E-3</v>
      </c>
    </row>
    <row r="122" spans="2:5">
      <c r="B122" s="23"/>
      <c r="C122" s="18" t="str">
        <f>"Total"</f>
        <v>Total</v>
      </c>
      <c r="D122" s="19">
        <v>28</v>
      </c>
      <c r="E122" s="20">
        <v>6.4799999999999996E-2</v>
      </c>
    </row>
    <row r="123" spans="2:5">
      <c r="B123" s="22" t="str">
        <f>"MORELOS"</f>
        <v>MORELOS</v>
      </c>
      <c r="C123" s="1" t="str">
        <f>"AYALA"</f>
        <v>AYALA</v>
      </c>
      <c r="D123" s="2">
        <v>2</v>
      </c>
      <c r="E123" s="3">
        <v>4.5999999999999999E-3</v>
      </c>
    </row>
    <row r="124" spans="2:5">
      <c r="B124" s="24"/>
      <c r="C124" s="1" t="str">
        <f>"CUERNAVACA"</f>
        <v>CUERNAVACA</v>
      </c>
      <c r="D124" s="2">
        <v>2</v>
      </c>
      <c r="E124" s="3">
        <v>4.5999999999999999E-3</v>
      </c>
    </row>
    <row r="125" spans="2:5">
      <c r="B125" s="24"/>
      <c r="C125" s="1" t="str">
        <f>"OCUITUCO"</f>
        <v>OCUITUCO</v>
      </c>
      <c r="D125" s="2">
        <v>3</v>
      </c>
      <c r="E125" s="3">
        <v>6.8999999999999999E-3</v>
      </c>
    </row>
    <row r="126" spans="2:5">
      <c r="B126" s="24"/>
      <c r="C126" s="1" t="str">
        <f>"TETELA DEL VOLCAN"</f>
        <v>TETELA DEL VOLCAN</v>
      </c>
      <c r="D126" s="2">
        <v>1</v>
      </c>
      <c r="E126" s="3">
        <v>2.3E-3</v>
      </c>
    </row>
    <row r="127" spans="2:5">
      <c r="B127" s="23"/>
      <c r="C127" s="18" t="str">
        <f>"Total"</f>
        <v>Total</v>
      </c>
      <c r="D127" s="19">
        <v>8</v>
      </c>
      <c r="E127" s="20">
        <v>1.8499999999999999E-2</v>
      </c>
    </row>
    <row r="128" spans="2:5">
      <c r="B128" s="22" t="str">
        <f>"NUEVO LEON"</f>
        <v>NUEVO LEON</v>
      </c>
      <c r="C128" s="1" t="str">
        <f>"MONTERREY"</f>
        <v>MONTERREY</v>
      </c>
      <c r="D128" s="2">
        <v>3</v>
      </c>
      <c r="E128" s="3">
        <v>6.8999999999999999E-3</v>
      </c>
    </row>
    <row r="129" spans="2:5">
      <c r="B129" s="23"/>
      <c r="C129" s="18" t="str">
        <f>"Total"</f>
        <v>Total</v>
      </c>
      <c r="D129" s="19">
        <v>3</v>
      </c>
      <c r="E129" s="20">
        <v>6.8999999999999999E-3</v>
      </c>
    </row>
    <row r="130" spans="2:5">
      <c r="B130" s="22" t="str">
        <f t="shared" ref="B130" si="7">"OAXACA"</f>
        <v>OAXACA</v>
      </c>
      <c r="C130" s="1" t="str">
        <f>"JUCHITAN DE ZARAGOZA"</f>
        <v>JUCHITAN DE ZARAGOZA</v>
      </c>
      <c r="D130" s="2">
        <v>6</v>
      </c>
      <c r="E130" s="3">
        <v>1.3899999999999999E-2</v>
      </c>
    </row>
    <row r="131" spans="2:5" ht="30">
      <c r="B131" s="24"/>
      <c r="C131" s="1" t="str">
        <f>"MATIAS ROMERO AVENDAÑO"</f>
        <v>MATIAS ROMERO AVENDAÑO</v>
      </c>
      <c r="D131" s="2">
        <v>1</v>
      </c>
      <c r="E131" s="3">
        <v>2.3E-3</v>
      </c>
    </row>
    <row r="132" spans="2:5">
      <c r="B132" s="24"/>
      <c r="C132" s="1" t="str">
        <f>"OAXACA DE JUAREZ"</f>
        <v>OAXACA DE JUAREZ</v>
      </c>
      <c r="D132" s="2">
        <v>4</v>
      </c>
      <c r="E132" s="3">
        <v>9.2999999999999992E-3</v>
      </c>
    </row>
    <row r="133" spans="2:5">
      <c r="B133" s="24"/>
      <c r="C133" s="1" t="str">
        <f>"SAN AGUSTIN YATARENI"</f>
        <v>SAN AGUSTIN YATARENI</v>
      </c>
      <c r="D133" s="2">
        <v>2</v>
      </c>
      <c r="E133" s="3">
        <v>4.5999999999999999E-3</v>
      </c>
    </row>
    <row r="134" spans="2:5" ht="30">
      <c r="B134" s="24"/>
      <c r="C134" s="1" t="str">
        <f>"SAN ANTONINO MONTE VERDE"</f>
        <v>SAN ANTONINO MONTE VERDE</v>
      </c>
      <c r="D134" s="2">
        <v>1</v>
      </c>
      <c r="E134" s="3">
        <v>2.3E-3</v>
      </c>
    </row>
    <row r="135" spans="2:5">
      <c r="B135" s="24"/>
      <c r="C135" s="1" t="str">
        <f>"SAN DIONISIO DEL MAR"</f>
        <v>SAN DIONISIO DEL MAR</v>
      </c>
      <c r="D135" s="2">
        <v>6</v>
      </c>
      <c r="E135" s="3">
        <v>1.3899999999999999E-2</v>
      </c>
    </row>
    <row r="136" spans="2:5">
      <c r="B136" s="24"/>
      <c r="C136" s="1" t="str">
        <f>"SAN LORENZO CACAOTEPEC"</f>
        <v>SAN LORENZO CACAOTEPEC</v>
      </c>
      <c r="D136" s="2">
        <v>1</v>
      </c>
      <c r="E136" s="3">
        <v>2.3E-3</v>
      </c>
    </row>
    <row r="137" spans="2:5">
      <c r="B137" s="24"/>
      <c r="C137" s="1" t="str">
        <f>"SAN MARTIN ZACATEPEC"</f>
        <v>SAN MARTIN ZACATEPEC</v>
      </c>
      <c r="D137" s="2">
        <v>2</v>
      </c>
      <c r="E137" s="3">
        <v>4.5999999999999999E-3</v>
      </c>
    </row>
    <row r="138" spans="2:5">
      <c r="B138" s="24"/>
      <c r="C138" s="1" t="str">
        <f>"SANTA CRUZ ZENZONTEPEC"</f>
        <v>SANTA CRUZ ZENZONTEPEC</v>
      </c>
      <c r="D138" s="2">
        <v>6</v>
      </c>
      <c r="E138" s="3">
        <v>1.3899999999999999E-2</v>
      </c>
    </row>
    <row r="139" spans="2:5">
      <c r="B139" s="24"/>
      <c r="C139" s="1" t="str">
        <f>"SANTA MARIA TONAMECA"</f>
        <v>SANTA MARIA TONAMECA</v>
      </c>
      <c r="D139" s="2">
        <v>2</v>
      </c>
      <c r="E139" s="3">
        <v>4.5999999999999999E-3</v>
      </c>
    </row>
    <row r="140" spans="2:5">
      <c r="B140" s="24"/>
      <c r="C140" s="1" t="str">
        <f>"SANTIAGO CHAZUMBA"</f>
        <v>SANTIAGO CHAZUMBA</v>
      </c>
      <c r="D140" s="2">
        <v>1</v>
      </c>
      <c r="E140" s="3">
        <v>2.3E-3</v>
      </c>
    </row>
    <row r="141" spans="2:5">
      <c r="B141" s="24"/>
      <c r="C141" s="1" t="str">
        <f>"SANTIAGO HUAJOLOTITLAN"</f>
        <v>SANTIAGO HUAJOLOTITLAN</v>
      </c>
      <c r="D141" s="2">
        <v>1</v>
      </c>
      <c r="E141" s="3">
        <v>2.3E-3</v>
      </c>
    </row>
    <row r="142" spans="2:5">
      <c r="B142" s="23"/>
      <c r="C142" s="18" t="str">
        <f>"Total"</f>
        <v>Total</v>
      </c>
      <c r="D142" s="19">
        <v>33</v>
      </c>
      <c r="E142" s="20">
        <v>7.6399999999999996E-2</v>
      </c>
    </row>
    <row r="143" spans="2:5">
      <c r="B143" s="22" t="str">
        <f t="shared" ref="B143" si="8">"PUEBLA"</f>
        <v>PUEBLA</v>
      </c>
      <c r="C143" s="1" t="str">
        <f>"AHUATLAN"</f>
        <v>AHUATLAN</v>
      </c>
      <c r="D143" s="2">
        <v>1</v>
      </c>
      <c r="E143" s="3">
        <v>2.3E-3</v>
      </c>
    </row>
    <row r="144" spans="2:5">
      <c r="B144" s="24"/>
      <c r="C144" s="1" t="str">
        <f>"ATLIXCO"</f>
        <v>ATLIXCO</v>
      </c>
      <c r="D144" s="2">
        <v>16</v>
      </c>
      <c r="E144" s="3">
        <v>3.6999999999999998E-2</v>
      </c>
    </row>
    <row r="145" spans="2:5">
      <c r="B145" s="24"/>
      <c r="C145" s="1" t="str">
        <f>"CHALCHICOMULA DE SESMA"</f>
        <v>CHALCHICOMULA DE SESMA</v>
      </c>
      <c r="D145" s="2">
        <v>1</v>
      </c>
      <c r="E145" s="3">
        <v>2.3E-3</v>
      </c>
    </row>
    <row r="146" spans="2:5">
      <c r="B146" s="24"/>
      <c r="C146" s="1" t="str">
        <f>"CHAPULCO"</f>
        <v>CHAPULCO</v>
      </c>
      <c r="D146" s="2">
        <v>1</v>
      </c>
      <c r="E146" s="3">
        <v>2.3E-3</v>
      </c>
    </row>
    <row r="147" spans="2:5">
      <c r="B147" s="24"/>
      <c r="C147" s="1" t="str">
        <f>"CHIAUTZINGO"</f>
        <v>CHIAUTZINGO</v>
      </c>
      <c r="D147" s="2">
        <v>5</v>
      </c>
      <c r="E147" s="3">
        <v>1.1599999999999999E-2</v>
      </c>
    </row>
    <row r="148" spans="2:5">
      <c r="B148" s="24"/>
      <c r="C148" s="1" t="str">
        <f>"CHIGNAHUAPAN"</f>
        <v>CHIGNAHUAPAN</v>
      </c>
      <c r="D148" s="2">
        <v>2</v>
      </c>
      <c r="E148" s="3">
        <v>4.5999999999999999E-3</v>
      </c>
    </row>
    <row r="149" spans="2:5">
      <c r="B149" s="24"/>
      <c r="C149" s="1" t="str">
        <f>"CORONANGO"</f>
        <v>CORONANGO</v>
      </c>
      <c r="D149" s="2">
        <v>2</v>
      </c>
      <c r="E149" s="3">
        <v>4.5999999999999999E-3</v>
      </c>
    </row>
    <row r="150" spans="2:5">
      <c r="B150" s="24"/>
      <c r="C150" s="1" t="str">
        <f>"HUAQUECHULA"</f>
        <v>HUAQUECHULA</v>
      </c>
      <c r="D150" s="2">
        <v>1</v>
      </c>
      <c r="E150" s="3">
        <v>2.3E-3</v>
      </c>
    </row>
    <row r="151" spans="2:5">
      <c r="B151" s="24"/>
      <c r="C151" s="1" t="str">
        <f>"HUEJOTZINGO"</f>
        <v>HUEJOTZINGO</v>
      </c>
      <c r="D151" s="2">
        <v>2</v>
      </c>
      <c r="E151" s="3">
        <v>4.5999999999999999E-3</v>
      </c>
    </row>
    <row r="152" spans="2:5">
      <c r="B152" s="24"/>
      <c r="C152" s="1" t="str">
        <f>"IZUCAR DE MATAMOROS"</f>
        <v>IZUCAR DE MATAMOROS</v>
      </c>
      <c r="D152" s="2">
        <v>3</v>
      </c>
      <c r="E152" s="3">
        <v>6.8999999999999999E-3</v>
      </c>
    </row>
    <row r="153" spans="2:5">
      <c r="B153" s="24"/>
      <c r="C153" s="1" t="str">
        <f>"NEALTICAN"</f>
        <v>NEALTICAN</v>
      </c>
      <c r="D153" s="2">
        <v>1</v>
      </c>
      <c r="E153" s="3">
        <v>2.3E-3</v>
      </c>
    </row>
    <row r="154" spans="2:5">
      <c r="B154" s="24"/>
      <c r="C154" s="1" t="str">
        <f>"PUEBLA"</f>
        <v>PUEBLA</v>
      </c>
      <c r="D154" s="2">
        <v>15</v>
      </c>
      <c r="E154" s="3">
        <v>3.4700000000000002E-2</v>
      </c>
    </row>
    <row r="155" spans="2:5">
      <c r="B155" s="24"/>
      <c r="C155" s="1" t="str">
        <f>"SAN MARTIN TEXMELUCAN"</f>
        <v>SAN MARTIN TEXMELUCAN</v>
      </c>
      <c r="D155" s="2">
        <v>1</v>
      </c>
      <c r="E155" s="3">
        <v>2.3E-3</v>
      </c>
    </row>
    <row r="156" spans="2:5">
      <c r="B156" s="24"/>
      <c r="C156" s="1" t="str">
        <f>"SAN SALVADOR EL VERDE"</f>
        <v>SAN SALVADOR EL VERDE</v>
      </c>
      <c r="D156" s="2">
        <v>1</v>
      </c>
      <c r="E156" s="3">
        <v>2.3E-3</v>
      </c>
    </row>
    <row r="157" spans="2:5">
      <c r="B157" s="24"/>
      <c r="C157" s="1" t="str">
        <f>"TEPEXCO"</f>
        <v>TEPEXCO</v>
      </c>
      <c r="D157" s="2">
        <v>1</v>
      </c>
      <c r="E157" s="3">
        <v>2.3E-3</v>
      </c>
    </row>
    <row r="158" spans="2:5">
      <c r="B158" s="24"/>
      <c r="C158" s="1" t="str">
        <f>"TILAPA"</f>
        <v>TILAPA</v>
      </c>
      <c r="D158" s="2">
        <v>1</v>
      </c>
      <c r="E158" s="3">
        <v>2.3E-3</v>
      </c>
    </row>
    <row r="159" spans="2:5">
      <c r="B159" s="24"/>
      <c r="C159" s="1" t="str">
        <f>"TLAHUAPAN"</f>
        <v>TLAHUAPAN</v>
      </c>
      <c r="D159" s="2">
        <v>4</v>
      </c>
      <c r="E159" s="3">
        <v>9.2999999999999992E-3</v>
      </c>
    </row>
    <row r="160" spans="2:5">
      <c r="B160" s="24"/>
      <c r="C160" s="1" t="str">
        <f>"ZACATLAN"</f>
        <v>ZACATLAN</v>
      </c>
      <c r="D160" s="2">
        <v>1</v>
      </c>
      <c r="E160" s="3">
        <v>2.3E-3</v>
      </c>
    </row>
    <row r="161" spans="2:5">
      <c r="B161" s="24"/>
      <c r="C161" s="1" t="str">
        <f>"ZAUTLA"</f>
        <v>ZAUTLA</v>
      </c>
      <c r="D161" s="2">
        <v>1</v>
      </c>
      <c r="E161" s="3">
        <v>2.3E-3</v>
      </c>
    </row>
    <row r="162" spans="2:5">
      <c r="B162" s="23"/>
      <c r="C162" s="18" t="str">
        <f>"Total"</f>
        <v>Total</v>
      </c>
      <c r="D162" s="19">
        <v>60</v>
      </c>
      <c r="E162" s="20">
        <v>0.1389</v>
      </c>
    </row>
    <row r="163" spans="2:5">
      <c r="B163" s="22" t="str">
        <f>"QUERETARO DE ARTEAGA"</f>
        <v>QUERETARO DE ARTEAGA</v>
      </c>
      <c r="C163" s="1" t="str">
        <f>"AMEALCO DE BONFIL"</f>
        <v>AMEALCO DE BONFIL</v>
      </c>
      <c r="D163" s="2">
        <v>1</v>
      </c>
      <c r="E163" s="3">
        <v>2.3E-3</v>
      </c>
    </row>
    <row r="164" spans="2:5">
      <c r="B164" s="23"/>
      <c r="C164" s="18" t="str">
        <f>"Total"</f>
        <v>Total</v>
      </c>
      <c r="D164" s="19">
        <v>1</v>
      </c>
      <c r="E164" s="20">
        <v>2.3E-3</v>
      </c>
    </row>
    <row r="165" spans="2:5">
      <c r="B165" s="22" t="str">
        <f t="shared" ref="B165" si="9">"SAN LUIS POTOSI"</f>
        <v>SAN LUIS POTOSI</v>
      </c>
      <c r="C165" s="21" t="str">
        <f>"SALINAS"</f>
        <v>SALINAS</v>
      </c>
      <c r="D165" s="2">
        <v>1</v>
      </c>
      <c r="E165" s="3">
        <v>2.3E-3</v>
      </c>
    </row>
    <row r="166" spans="2:5">
      <c r="B166" s="24"/>
      <c r="C166" s="1" t="str">
        <f>"SAN LUIS POTOSI"</f>
        <v>SAN LUIS POTOSI</v>
      </c>
      <c r="D166" s="2">
        <v>4</v>
      </c>
      <c r="E166" s="3">
        <v>9.2999999999999992E-3</v>
      </c>
    </row>
    <row r="167" spans="2:5">
      <c r="B167" s="24"/>
      <c r="C167" s="1" t="str">
        <f>"SANTA MARIA DEL RIO"</f>
        <v>SANTA MARIA DEL RIO</v>
      </c>
      <c r="D167" s="2">
        <v>1</v>
      </c>
      <c r="E167" s="3">
        <v>2.3E-3</v>
      </c>
    </row>
    <row r="168" spans="2:5">
      <c r="B168" s="24"/>
      <c r="C168" s="1" t="str">
        <f>"VANEGAS"</f>
        <v>VANEGAS</v>
      </c>
      <c r="D168" s="2">
        <v>1</v>
      </c>
      <c r="E168" s="3">
        <v>2.3E-3</v>
      </c>
    </row>
    <row r="169" spans="2:5">
      <c r="B169" s="24"/>
      <c r="C169" s="1" t="str">
        <f>"VILLA DE REYES"</f>
        <v>VILLA DE REYES</v>
      </c>
      <c r="D169" s="2">
        <v>4</v>
      </c>
      <c r="E169" s="3">
        <v>9.2999999999999992E-3</v>
      </c>
    </row>
    <row r="170" spans="2:5">
      <c r="B170" s="23"/>
      <c r="C170" s="18" t="str">
        <f>"Total"</f>
        <v>Total</v>
      </c>
      <c r="D170" s="19">
        <v>11</v>
      </c>
      <c r="E170" s="20">
        <v>2.5499999999999998E-2</v>
      </c>
    </row>
    <row r="171" spans="2:5">
      <c r="B171" s="22" t="str">
        <f>"SINALOA"</f>
        <v>SINALOA</v>
      </c>
      <c r="C171" s="1" t="str">
        <f>"AHOME"</f>
        <v>AHOME</v>
      </c>
      <c r="D171" s="2">
        <v>1</v>
      </c>
      <c r="E171" s="3">
        <v>2.3E-3</v>
      </c>
    </row>
    <row r="172" spans="2:5">
      <c r="B172" s="24"/>
      <c r="C172" s="1" t="str">
        <f>"CULIACAN"</f>
        <v>CULIACAN</v>
      </c>
      <c r="D172" s="2">
        <v>2</v>
      </c>
      <c r="E172" s="3">
        <v>4.5999999999999999E-3</v>
      </c>
    </row>
    <row r="173" spans="2:5">
      <c r="B173" s="24"/>
      <c r="C173" s="1" t="str">
        <f>"MAZATLAN"</f>
        <v>MAZATLAN</v>
      </c>
      <c r="D173" s="2">
        <v>1</v>
      </c>
      <c r="E173" s="3">
        <v>2.3E-3</v>
      </c>
    </row>
    <row r="174" spans="2:5">
      <c r="B174" s="23"/>
      <c r="C174" s="18" t="str">
        <f>"Total"</f>
        <v>Total</v>
      </c>
      <c r="D174" s="19">
        <v>4</v>
      </c>
      <c r="E174" s="20">
        <v>9.2999999999999992E-3</v>
      </c>
    </row>
    <row r="175" spans="2:5">
      <c r="B175" s="22" t="str">
        <f>"SONORA"</f>
        <v>SONORA</v>
      </c>
      <c r="C175" s="1" t="str">
        <f>"CAJEME"</f>
        <v>CAJEME</v>
      </c>
      <c r="D175" s="2">
        <v>2</v>
      </c>
      <c r="E175" s="3">
        <v>4.5999999999999999E-3</v>
      </c>
    </row>
    <row r="176" spans="2:5">
      <c r="B176" s="23"/>
      <c r="C176" s="18" t="str">
        <f>"Total"</f>
        <v>Total</v>
      </c>
      <c r="D176" s="19">
        <v>2</v>
      </c>
      <c r="E176" s="20">
        <v>4.5999999999999999E-3</v>
      </c>
    </row>
    <row r="177" spans="2:5">
      <c r="B177" s="22" t="str">
        <f>"TABASCO"</f>
        <v>TABASCO</v>
      </c>
      <c r="C177" s="1" t="str">
        <f>"HUIMANGUILLO"</f>
        <v>HUIMANGUILLO</v>
      </c>
      <c r="D177" s="2">
        <v>1</v>
      </c>
      <c r="E177" s="3">
        <v>2.3E-3</v>
      </c>
    </row>
    <row r="178" spans="2:5">
      <c r="B178" s="23"/>
      <c r="C178" s="18" t="str">
        <f>"Total"</f>
        <v>Total</v>
      </c>
      <c r="D178" s="19">
        <v>1</v>
      </c>
      <c r="E178" s="20">
        <v>2.3E-3</v>
      </c>
    </row>
    <row r="179" spans="2:5">
      <c r="B179" s="22" t="str">
        <f>"TAMAULIPAS"</f>
        <v>TAMAULIPAS</v>
      </c>
      <c r="C179" s="1" t="str">
        <f>"MATAMOROS"</f>
        <v>MATAMOROS</v>
      </c>
      <c r="D179" s="2">
        <v>1</v>
      </c>
      <c r="E179" s="3">
        <v>2.3E-3</v>
      </c>
    </row>
    <row r="180" spans="2:5">
      <c r="B180" s="24"/>
      <c r="C180" s="1" t="str">
        <f>"NUEVO LAREDO"</f>
        <v>NUEVO LAREDO</v>
      </c>
      <c r="D180" s="2">
        <v>1</v>
      </c>
      <c r="E180" s="3">
        <v>2.3E-3</v>
      </c>
    </row>
    <row r="181" spans="2:5">
      <c r="B181" s="24"/>
      <c r="C181" s="1" t="str">
        <f>"TAMPICO"</f>
        <v>TAMPICO</v>
      </c>
      <c r="D181" s="2">
        <v>3</v>
      </c>
      <c r="E181" s="3">
        <v>6.8999999999999999E-3</v>
      </c>
    </row>
    <row r="182" spans="2:5">
      <c r="B182" s="23"/>
      <c r="C182" s="18" t="str">
        <f>"Total"</f>
        <v>Total</v>
      </c>
      <c r="D182" s="19">
        <v>5</v>
      </c>
      <c r="E182" s="20">
        <v>1.1599999999999999E-2</v>
      </c>
    </row>
    <row r="183" spans="2:5">
      <c r="B183" s="22" t="str">
        <f>"TLAXCALA"</f>
        <v>TLAXCALA</v>
      </c>
      <c r="C183" s="1" t="str">
        <f>"NATIVITAS"</f>
        <v>NATIVITAS</v>
      </c>
      <c r="D183" s="2">
        <v>1</v>
      </c>
      <c r="E183" s="3">
        <v>2.3E-3</v>
      </c>
    </row>
    <row r="184" spans="2:5">
      <c r="B184" s="24"/>
      <c r="C184" s="1" t="str">
        <f>"TERRENATE"</f>
        <v>TERRENATE</v>
      </c>
      <c r="D184" s="2">
        <v>1</v>
      </c>
      <c r="E184" s="3">
        <v>2.3E-3</v>
      </c>
    </row>
    <row r="185" spans="2:5">
      <c r="B185" s="24"/>
      <c r="C185" s="1" t="str">
        <f>"TLAXCALA"</f>
        <v>TLAXCALA</v>
      </c>
      <c r="D185" s="2">
        <v>2</v>
      </c>
      <c r="E185" s="3">
        <v>4.5999999999999999E-3</v>
      </c>
    </row>
    <row r="186" spans="2:5">
      <c r="B186" s="24"/>
      <c r="C186" s="1" t="str">
        <f>"TLAXCO"</f>
        <v>TLAXCO</v>
      </c>
      <c r="D186" s="2">
        <v>1</v>
      </c>
      <c r="E186" s="3">
        <v>2.3E-3</v>
      </c>
    </row>
    <row r="187" spans="2:5">
      <c r="B187" s="23"/>
      <c r="C187" s="18" t="str">
        <f>"Total"</f>
        <v>Total</v>
      </c>
      <c r="D187" s="19">
        <v>5</v>
      </c>
      <c r="E187" s="20">
        <v>1.1599999999999999E-2</v>
      </c>
    </row>
    <row r="188" spans="2:5">
      <c r="B188" s="22" t="str">
        <f t="shared" ref="B188" si="10">"VERACRUZ DE IGNACIO DE LA LLAVE"</f>
        <v>VERACRUZ DE IGNACIO DE LA LLAVE</v>
      </c>
      <c r="C188" s="1" t="str">
        <f>"CALCAHUALCO"</f>
        <v>CALCAHUALCO</v>
      </c>
      <c r="D188" s="2">
        <v>1</v>
      </c>
      <c r="E188" s="3">
        <v>2.3E-3</v>
      </c>
    </row>
    <row r="189" spans="2:5">
      <c r="B189" s="24"/>
      <c r="C189" s="1" t="str">
        <f>"CHACALTIANGUIS"</f>
        <v>CHACALTIANGUIS</v>
      </c>
      <c r="D189" s="2">
        <v>1</v>
      </c>
      <c r="E189" s="3">
        <v>2.3E-3</v>
      </c>
    </row>
    <row r="190" spans="2:5">
      <c r="B190" s="24"/>
      <c r="C190" s="1" t="str">
        <f>"COATEPEC"</f>
        <v>COATEPEC</v>
      </c>
      <c r="D190" s="2">
        <v>1</v>
      </c>
      <c r="E190" s="3">
        <v>2.3E-3</v>
      </c>
    </row>
    <row r="191" spans="2:5">
      <c r="B191" s="24"/>
      <c r="C191" s="1" t="str">
        <f>"COATZACOALCOS"</f>
        <v>COATZACOALCOS</v>
      </c>
      <c r="D191" s="2">
        <v>2</v>
      </c>
      <c r="E191" s="3">
        <v>4.5999999999999999E-3</v>
      </c>
    </row>
    <row r="192" spans="2:5">
      <c r="B192" s="24"/>
      <c r="C192" s="1" t="str">
        <f>"CORDOBA"</f>
        <v>CORDOBA</v>
      </c>
      <c r="D192" s="2">
        <v>2</v>
      </c>
      <c r="E192" s="3">
        <v>4.5999999999999999E-3</v>
      </c>
    </row>
    <row r="193" spans="2:5">
      <c r="B193" s="24"/>
      <c r="C193" s="1" t="str">
        <f>"EMILIANO ZAPATA"</f>
        <v>EMILIANO ZAPATA</v>
      </c>
      <c r="D193" s="2">
        <v>1</v>
      </c>
      <c r="E193" s="3">
        <v>2.3E-3</v>
      </c>
    </row>
    <row r="194" spans="2:5">
      <c r="B194" s="24"/>
      <c r="C194" s="1" t="str">
        <f>"ESPINAL"</f>
        <v>ESPINAL</v>
      </c>
      <c r="D194" s="2">
        <v>3</v>
      </c>
      <c r="E194" s="3">
        <v>6.8999999999999999E-3</v>
      </c>
    </row>
    <row r="195" spans="2:5">
      <c r="B195" s="24"/>
      <c r="C195" s="1" t="str">
        <f>"HUATUSCO"</f>
        <v>HUATUSCO</v>
      </c>
      <c r="D195" s="2">
        <v>1</v>
      </c>
      <c r="E195" s="3">
        <v>2.3E-3</v>
      </c>
    </row>
    <row r="196" spans="2:5">
      <c r="B196" s="24"/>
      <c r="C196" s="1" t="str">
        <f>"IXHUATLAN DE MADERO"</f>
        <v>IXHUATLAN DE MADERO</v>
      </c>
      <c r="D196" s="2">
        <v>1</v>
      </c>
      <c r="E196" s="3">
        <v>2.3E-3</v>
      </c>
    </row>
    <row r="197" spans="2:5">
      <c r="B197" s="24"/>
      <c r="C197" s="1" t="str">
        <f>"JESUS CARRANZA"</f>
        <v>JESUS CARRANZA</v>
      </c>
      <c r="D197" s="2">
        <v>1</v>
      </c>
      <c r="E197" s="3">
        <v>2.3E-3</v>
      </c>
    </row>
    <row r="198" spans="2:5">
      <c r="B198" s="24"/>
      <c r="C198" s="1" t="str">
        <f>"JOSE AZUETA"</f>
        <v>JOSE AZUETA</v>
      </c>
      <c r="D198" s="2">
        <v>3</v>
      </c>
      <c r="E198" s="3">
        <v>6.8999999999999999E-3</v>
      </c>
    </row>
    <row r="199" spans="2:5">
      <c r="B199" s="24"/>
      <c r="C199" s="1" t="str">
        <f>"MARTINEZ DE LA TORRE"</f>
        <v>MARTINEZ DE LA TORRE</v>
      </c>
      <c r="D199" s="2">
        <v>2</v>
      </c>
      <c r="E199" s="3">
        <v>4.5999999999999999E-3</v>
      </c>
    </row>
    <row r="200" spans="2:5">
      <c r="B200" s="24"/>
      <c r="C200" s="1" t="str">
        <f>"NAUTLA"</f>
        <v>NAUTLA</v>
      </c>
      <c r="D200" s="2">
        <v>1</v>
      </c>
      <c r="E200" s="3">
        <v>2.3E-3</v>
      </c>
    </row>
    <row r="201" spans="2:5">
      <c r="B201" s="24"/>
      <c r="C201" s="1" t="str">
        <f>"ORIZABA"</f>
        <v>ORIZABA</v>
      </c>
      <c r="D201" s="2">
        <v>1</v>
      </c>
      <c r="E201" s="3">
        <v>2.3E-3</v>
      </c>
    </row>
    <row r="202" spans="2:5">
      <c r="B202" s="24"/>
      <c r="C202" s="1" t="str">
        <f>"PEROTE"</f>
        <v>PEROTE</v>
      </c>
      <c r="D202" s="2">
        <v>1</v>
      </c>
      <c r="E202" s="3">
        <v>2.3E-3</v>
      </c>
    </row>
    <row r="203" spans="2:5">
      <c r="B203" s="24"/>
      <c r="C203" s="1" t="str">
        <f>"POZA RICA DE HIDALGO"</f>
        <v>POZA RICA DE HIDALGO</v>
      </c>
      <c r="D203" s="2">
        <v>1</v>
      </c>
      <c r="E203" s="3">
        <v>2.3E-3</v>
      </c>
    </row>
    <row r="204" spans="2:5">
      <c r="B204" s="24"/>
      <c r="C204" s="1" t="str">
        <f>"SAN ANDRES TUXTLA"</f>
        <v>SAN ANDRES TUXTLA</v>
      </c>
      <c r="D204" s="2">
        <v>1</v>
      </c>
      <c r="E204" s="3">
        <v>2.3E-3</v>
      </c>
    </row>
    <row r="205" spans="2:5">
      <c r="B205" s="24"/>
      <c r="C205" s="1" t="str">
        <f>"SAN JUAN EVANGELISTA"</f>
        <v>SAN JUAN EVANGELISTA</v>
      </c>
      <c r="D205" s="2">
        <v>1</v>
      </c>
      <c r="E205" s="3">
        <v>2.3E-3</v>
      </c>
    </row>
    <row r="206" spans="2:5">
      <c r="B206" s="24"/>
      <c r="C206" s="1" t="str">
        <f>"SANTIAGO TUXTLA"</f>
        <v>SANTIAGO TUXTLA</v>
      </c>
      <c r="D206" s="2">
        <v>1</v>
      </c>
      <c r="E206" s="3">
        <v>2.3E-3</v>
      </c>
    </row>
    <row r="207" spans="2:5">
      <c r="B207" s="24"/>
      <c r="C207" s="1" t="str">
        <f>"TIERRA BLANCA"</f>
        <v>TIERRA BLANCA</v>
      </c>
      <c r="D207" s="2">
        <v>2</v>
      </c>
      <c r="E207" s="3">
        <v>4.5999999999999999E-3</v>
      </c>
    </row>
    <row r="208" spans="2:5">
      <c r="B208" s="24"/>
      <c r="C208" s="1" t="str">
        <f>"TLALIXCOYAN"</f>
        <v>TLALIXCOYAN</v>
      </c>
      <c r="D208" s="2">
        <v>4</v>
      </c>
      <c r="E208" s="3">
        <v>9.2999999999999992E-3</v>
      </c>
    </row>
    <row r="209" spans="2:5">
      <c r="B209" s="24"/>
      <c r="C209" s="1" t="str">
        <f>"VERACRUZ"</f>
        <v>VERACRUZ</v>
      </c>
      <c r="D209" s="2">
        <v>1</v>
      </c>
      <c r="E209" s="3">
        <v>2.3E-3</v>
      </c>
    </row>
    <row r="210" spans="2:5">
      <c r="B210" s="24"/>
      <c r="C210" s="1" t="str">
        <f>"XALAPA"</f>
        <v>XALAPA</v>
      </c>
      <c r="D210" s="2">
        <v>2</v>
      </c>
      <c r="E210" s="3">
        <v>4.5999999999999999E-3</v>
      </c>
    </row>
    <row r="211" spans="2:5">
      <c r="B211" s="23"/>
      <c r="C211" s="18" t="str">
        <f>"Total"</f>
        <v>Total</v>
      </c>
      <c r="D211" s="19">
        <v>35</v>
      </c>
      <c r="E211" s="20">
        <v>8.1000000000000003E-2</v>
      </c>
    </row>
    <row r="212" spans="2:5">
      <c r="B212" s="22" t="str">
        <f>"ZACATECAS"</f>
        <v>ZACATECAS</v>
      </c>
      <c r="C212" s="1" t="str">
        <f>"FRESNILLO"</f>
        <v>FRESNILLO</v>
      </c>
      <c r="D212" s="2">
        <v>1</v>
      </c>
      <c r="E212" s="3">
        <v>2.3E-3</v>
      </c>
    </row>
    <row r="213" spans="2:5">
      <c r="B213" s="23"/>
      <c r="C213" s="18" t="str">
        <f>"Total"</f>
        <v>Total</v>
      </c>
      <c r="D213" s="19">
        <v>1</v>
      </c>
      <c r="E213" s="20">
        <v>2.3E-3</v>
      </c>
    </row>
    <row r="214" spans="2:5">
      <c r="B214" s="14" t="s">
        <v>1</v>
      </c>
      <c r="C214" s="15" t="str">
        <f>" "</f>
        <v> </v>
      </c>
      <c r="D214" s="16">
        <v>432</v>
      </c>
      <c r="E214" s="17">
        <v>1</v>
      </c>
    </row>
    <row r="216" spans="2:5" ht="16.5">
      <c r="B216" s="4" t="s">
        <v>2</v>
      </c>
      <c r="C216" s="5"/>
    </row>
    <row r="217" spans="2:5" ht="16.5">
      <c r="B217" s="4" t="s">
        <v>3</v>
      </c>
      <c r="C217" s="5"/>
    </row>
    <row r="218" spans="2:5" ht="16.5">
      <c r="B218" s="4" t="s">
        <v>4</v>
      </c>
      <c r="C218" s="5"/>
    </row>
    <row r="219" spans="2:5" ht="16.5">
      <c r="B219" s="4" t="s">
        <v>5</v>
      </c>
      <c r="C219" s="5"/>
    </row>
    <row r="220" spans="2:5">
      <c r="B220" s="4" t="s">
        <v>10</v>
      </c>
    </row>
  </sheetData>
  <mergeCells count="31">
    <mergeCell ref="B6:E7"/>
    <mergeCell ref="B8:B9"/>
    <mergeCell ref="C8:C9"/>
    <mergeCell ref="D8:D9"/>
    <mergeCell ref="E8:E9"/>
    <mergeCell ref="B10:B11"/>
    <mergeCell ref="B12:B13"/>
    <mergeCell ref="B14:B43"/>
    <mergeCell ref="B44:B46"/>
    <mergeCell ref="B47:B48"/>
    <mergeCell ref="B49:B50"/>
    <mergeCell ref="B51:B52"/>
    <mergeCell ref="B53:B58"/>
    <mergeCell ref="B59:B69"/>
    <mergeCell ref="B70:B75"/>
    <mergeCell ref="B76:B95"/>
    <mergeCell ref="B96:B110"/>
    <mergeCell ref="B111:B122"/>
    <mergeCell ref="B123:B127"/>
    <mergeCell ref="B128:B129"/>
    <mergeCell ref="B130:B142"/>
    <mergeCell ref="B143:B162"/>
    <mergeCell ref="B163:B164"/>
    <mergeCell ref="B165:B170"/>
    <mergeCell ref="B171:B174"/>
    <mergeCell ref="B212:B213"/>
    <mergeCell ref="B175:B176"/>
    <mergeCell ref="B177:B178"/>
    <mergeCell ref="B179:B182"/>
    <mergeCell ref="B183:B187"/>
    <mergeCell ref="B188:B211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easCARC9HF7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2012-03-09T17:50:56Z</dcterms:created>
  <dcterms:modified xsi:type="dcterms:W3CDTF">2012-03-15T20:23:12Z</dcterms:modified>
</cp:coreProperties>
</file>