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63GBLJ" sheetId="2" r:id="rId1"/>
  </sheets>
  <calcPr calcId="125725"/>
</workbook>
</file>

<file path=xl/calcChain.xml><?xml version="1.0" encoding="utf-8"?>
<calcChain xmlns="http://schemas.openxmlformats.org/spreadsheetml/2006/main">
  <c r="C86" i="2"/>
  <c r="C85"/>
  <c r="C84"/>
  <c r="C83"/>
  <c r="B83"/>
  <c r="C82"/>
  <c r="C81"/>
  <c r="C80"/>
  <c r="B80"/>
  <c r="C79"/>
  <c r="C78"/>
  <c r="C77"/>
  <c r="B77"/>
  <c r="C76"/>
  <c r="C75"/>
  <c r="C74"/>
  <c r="B74"/>
  <c r="C73"/>
  <c r="C72"/>
  <c r="C71"/>
  <c r="B71"/>
  <c r="C70"/>
  <c r="C69"/>
  <c r="B69"/>
  <c r="C68"/>
  <c r="C67"/>
  <c r="C66"/>
  <c r="B66"/>
  <c r="C65"/>
  <c r="C64"/>
  <c r="B64"/>
  <c r="C63"/>
  <c r="C62"/>
  <c r="C61"/>
  <c r="B61"/>
  <c r="C60"/>
  <c r="C59"/>
  <c r="B59"/>
  <c r="C58"/>
  <c r="C57"/>
  <c r="C56"/>
  <c r="B56"/>
  <c r="C55"/>
  <c r="C54"/>
  <c r="C53"/>
  <c r="B53"/>
  <c r="C52"/>
  <c r="C51"/>
  <c r="C50"/>
  <c r="B50"/>
  <c r="C49"/>
  <c r="C48"/>
  <c r="C47"/>
  <c r="B47"/>
  <c r="C46"/>
  <c r="C45"/>
  <c r="C44"/>
  <c r="B44"/>
  <c r="C43"/>
  <c r="C42"/>
  <c r="C41"/>
  <c r="B41"/>
  <c r="C40"/>
  <c r="C39"/>
  <c r="C38"/>
  <c r="B38"/>
  <c r="C37"/>
  <c r="C36"/>
  <c r="C35"/>
  <c r="B35"/>
  <c r="C34"/>
  <c r="C33"/>
  <c r="C32"/>
  <c r="B32"/>
  <c r="C31"/>
  <c r="C30"/>
  <c r="C29"/>
  <c r="B29"/>
  <c r="C28"/>
  <c r="C27"/>
  <c r="B27"/>
  <c r="C26"/>
  <c r="C25"/>
  <c r="C24"/>
  <c r="B24"/>
  <c r="C23"/>
  <c r="C22"/>
  <c r="B22"/>
  <c r="C21"/>
  <c r="C20"/>
  <c r="C19"/>
  <c r="B19"/>
  <c r="C18"/>
  <c r="C17"/>
  <c r="C16"/>
  <c r="B16"/>
  <c r="C15"/>
  <c r="C14"/>
  <c r="C13"/>
  <c r="B13"/>
  <c r="C12"/>
  <c r="C11"/>
  <c r="B11"/>
  <c r="C10"/>
  <c r="C9"/>
  <c r="C8"/>
  <c r="B8"/>
</calcChain>
</file>

<file path=xl/sharedStrings.xml><?xml version="1.0" encoding="utf-8"?>
<sst xmlns="http://schemas.openxmlformats.org/spreadsheetml/2006/main" count="11" uniqueCount="11">
  <si>
    <t>Género</t>
  </si>
  <si>
    <t>Número de Matrículas</t>
  </si>
  <si>
    <t>TOTAL</t>
  </si>
  <si>
    <t>Tamaño de la muestra: 842,321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</si>
  <si>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</si>
  <si>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</si>
  <si>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</si>
  <si>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Estado Origen</t>
  </si>
  <si>
    <t>Porcentaje de Matrículas</t>
  </si>
  <si>
    <t>MATRÍCULAS CONSULARES DE ALTA SEGURIDAD EXPEDIDAS DURANTE EL 2010 POR ESTADO DE LA REPÚBLICA MEXICANA Y GÉNERO EN EL ESTADO DE CONNECTICUT, EE.UU.</t>
  </si>
  <si>
    <t>Marzo del 2012</t>
  </si>
</sst>
</file>

<file path=xl/styles.xml><?xml version="1.0" encoding="utf-8"?>
<styleSheet xmlns="http://schemas.openxmlformats.org/spreadsheetml/2006/main"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"/>
      <family val="2"/>
    </font>
    <font>
      <b/>
      <sz val="11"/>
      <color rgb="FFFFFFFF"/>
      <name val="Arial Narrow"/>
      <family val="2"/>
    </font>
    <font>
      <b/>
      <sz val="11"/>
      <color indexed="9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25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0" fontId="20" fillId="0" borderId="0" xfId="0" applyFont="1"/>
    <xf numFmtId="0" fontId="21" fillId="0" borderId="0" xfId="0" applyFont="1"/>
    <xf numFmtId="0" fontId="22" fillId="0" borderId="0" xfId="0" applyFont="1"/>
    <xf numFmtId="0" fontId="13" fillId="33" borderId="10" xfId="0" applyFont="1" applyFill="1" applyBorder="1" applyAlignment="1">
      <alignment wrapText="1"/>
    </xf>
    <xf numFmtId="0" fontId="17" fillId="33" borderId="10" xfId="0" applyFont="1" applyFill="1" applyBorder="1" applyAlignment="1">
      <alignment horizontal="right" wrapText="1"/>
    </xf>
    <xf numFmtId="3" fontId="13" fillId="33" borderId="10" xfId="0" applyNumberFormat="1" applyFont="1" applyFill="1" applyBorder="1" applyAlignment="1">
      <alignment horizontal="right" wrapText="1"/>
    </xf>
    <xf numFmtId="10" fontId="13" fillId="33" borderId="10" xfId="0" applyNumberFormat="1" applyFont="1" applyFill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23" fillId="0" borderId="0" xfId="42" applyFont="1"/>
    <xf numFmtId="0" fontId="25" fillId="0" borderId="0" xfId="42" applyFont="1"/>
    <xf numFmtId="0" fontId="24" fillId="0" borderId="0" xfId="42" applyFont="1" applyBorder="1" applyAlignment="1">
      <alignment horizontal="center" vertical="center" wrapText="1"/>
    </xf>
    <xf numFmtId="0" fontId="26" fillId="34" borderId="11" xfId="42" applyFont="1" applyFill="1" applyBorder="1" applyAlignment="1">
      <alignment horizontal="center" vertical="center" wrapText="1"/>
    </xf>
    <xf numFmtId="0" fontId="27" fillId="35" borderId="12" xfId="42" applyFont="1" applyFill="1" applyBorder="1" applyAlignment="1">
      <alignment horizontal="center" vertical="center" wrapText="1"/>
    </xf>
    <xf numFmtId="0" fontId="27" fillId="35" borderId="13" xfId="42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horizontal="right" wrapText="1"/>
    </xf>
    <xf numFmtId="10" fontId="18" fillId="36" borderId="10" xfId="0" applyNumberFormat="1" applyFont="1" applyFill="1" applyBorder="1" applyAlignment="1">
      <alignment horizontal="right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4" fillId="0" borderId="0" xfId="42" applyFont="1" applyAlignment="1">
      <alignment horizontal="center" vertical="center" wrapText="1"/>
    </xf>
    <xf numFmtId="0" fontId="24" fillId="0" borderId="0" xfId="42" applyFont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923924</xdr:colOff>
      <xdr:row>0</xdr:row>
      <xdr:rowOff>57151</xdr:rowOff>
    </xdr:from>
    <xdr:to>
      <xdr:col>6</xdr:col>
      <xdr:colOff>85724</xdr:colOff>
      <xdr:row>2</xdr:row>
      <xdr:rowOff>118735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9774" y="57151"/>
          <a:ext cx="1000125" cy="4425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92"/>
  <sheetViews>
    <sheetView showGridLines="0" tabSelected="1" workbookViewId="0">
      <selection activeCell="A7" sqref="A7"/>
    </sheetView>
  </sheetViews>
  <sheetFormatPr baseColWidth="10" defaultRowHeight="15"/>
  <cols>
    <col min="2" max="2" width="42.42578125" customWidth="1"/>
    <col min="3" max="3" width="14" customWidth="1"/>
    <col min="4" max="5" width="16.140625" bestFit="1" customWidth="1"/>
  </cols>
  <sheetData>
    <row r="1" spans="2:7">
      <c r="B1" s="11"/>
      <c r="C1" s="11"/>
      <c r="D1" s="11"/>
      <c r="E1" s="11"/>
      <c r="F1" s="11"/>
      <c r="G1" s="11"/>
    </row>
    <row r="4" spans="2:7" ht="24" customHeight="1">
      <c r="B4" s="23" t="s">
        <v>9</v>
      </c>
      <c r="C4" s="23"/>
      <c r="D4" s="23"/>
      <c r="E4" s="23"/>
      <c r="F4" s="12"/>
      <c r="G4" s="11"/>
    </row>
    <row r="5" spans="2:7" ht="24" customHeight="1">
      <c r="B5" s="24"/>
      <c r="C5" s="24"/>
      <c r="D5" s="24"/>
      <c r="E5" s="24"/>
      <c r="F5" s="11"/>
      <c r="G5" s="11"/>
    </row>
    <row r="6" spans="2:7" ht="16.5">
      <c r="B6" s="13"/>
      <c r="C6" s="13"/>
      <c r="D6" s="13"/>
      <c r="E6" s="13"/>
      <c r="F6" s="11"/>
      <c r="G6" s="11"/>
    </row>
    <row r="7" spans="2:7" ht="33">
      <c r="B7" s="14" t="s">
        <v>7</v>
      </c>
      <c r="C7" s="15" t="s">
        <v>0</v>
      </c>
      <c r="D7" s="15" t="s">
        <v>1</v>
      </c>
      <c r="E7" s="16" t="s">
        <v>8</v>
      </c>
      <c r="F7" s="11"/>
      <c r="G7" s="11"/>
    </row>
    <row r="8" spans="2:7">
      <c r="B8" s="20" t="str">
        <f>"AGUASCALIENTES"</f>
        <v>AGUASCALIENTES</v>
      </c>
      <c r="C8" s="1" t="str">
        <f>"HOMBRE"</f>
        <v>HOMBRE</v>
      </c>
      <c r="D8" s="2">
        <v>6</v>
      </c>
      <c r="E8" s="10">
        <v>3.3999999999999998E-3</v>
      </c>
    </row>
    <row r="9" spans="2:7">
      <c r="B9" s="21"/>
      <c r="C9" s="1" t="str">
        <f>"MUJER"</f>
        <v>MUJER</v>
      </c>
      <c r="D9" s="2">
        <v>1</v>
      </c>
      <c r="E9" s="10">
        <v>5.9999999999999995E-4</v>
      </c>
    </row>
    <row r="10" spans="2:7">
      <c r="B10" s="22"/>
      <c r="C10" s="17" t="str">
        <f>"Total"</f>
        <v>Total</v>
      </c>
      <c r="D10" s="18">
        <v>7</v>
      </c>
      <c r="E10" s="19">
        <v>3.8999999999999998E-3</v>
      </c>
    </row>
    <row r="11" spans="2:7">
      <c r="B11" s="20" t="str">
        <f>"BAJA CALIFORNIA"</f>
        <v>BAJA CALIFORNIA</v>
      </c>
      <c r="C11" s="1" t="str">
        <f>"HOMBRE"</f>
        <v>HOMBRE</v>
      </c>
      <c r="D11" s="2">
        <v>2</v>
      </c>
      <c r="E11" s="10">
        <v>1.1000000000000001E-3</v>
      </c>
    </row>
    <row r="12" spans="2:7">
      <c r="B12" s="22"/>
      <c r="C12" s="17" t="str">
        <f>"Total"</f>
        <v>Total</v>
      </c>
      <c r="D12" s="18">
        <v>2</v>
      </c>
      <c r="E12" s="19">
        <v>1.1000000000000001E-3</v>
      </c>
    </row>
    <row r="13" spans="2:7">
      <c r="B13" s="20" t="str">
        <f>"CHIAPAS"</f>
        <v>CHIAPAS</v>
      </c>
      <c r="C13" s="1" t="str">
        <f>"HOMBRE"</f>
        <v>HOMBRE</v>
      </c>
      <c r="D13" s="2">
        <v>32</v>
      </c>
      <c r="E13" s="10">
        <v>1.7999999999999999E-2</v>
      </c>
    </row>
    <row r="14" spans="2:7">
      <c r="B14" s="21"/>
      <c r="C14" s="1" t="str">
        <f>"MUJER"</f>
        <v>MUJER</v>
      </c>
      <c r="D14" s="2">
        <v>10</v>
      </c>
      <c r="E14" s="10">
        <v>5.5999999999999999E-3</v>
      </c>
    </row>
    <row r="15" spans="2:7">
      <c r="B15" s="22"/>
      <c r="C15" s="17" t="str">
        <f>"Total"</f>
        <v>Total</v>
      </c>
      <c r="D15" s="18">
        <v>42</v>
      </c>
      <c r="E15" s="19">
        <v>2.3599999999999999E-2</v>
      </c>
    </row>
    <row r="16" spans="2:7">
      <c r="B16" s="20" t="str">
        <f>"CHIHUAHUA"</f>
        <v>CHIHUAHUA</v>
      </c>
      <c r="C16" s="1" t="str">
        <f>"HOMBRE"</f>
        <v>HOMBRE</v>
      </c>
      <c r="D16" s="2">
        <v>5</v>
      </c>
      <c r="E16" s="10">
        <v>2.8E-3</v>
      </c>
    </row>
    <row r="17" spans="2:5">
      <c r="B17" s="21"/>
      <c r="C17" s="1" t="str">
        <f>"MUJER"</f>
        <v>MUJER</v>
      </c>
      <c r="D17" s="2">
        <v>4</v>
      </c>
      <c r="E17" s="10">
        <v>2.2000000000000001E-3</v>
      </c>
    </row>
    <row r="18" spans="2:5">
      <c r="B18" s="22"/>
      <c r="C18" s="17" t="str">
        <f>"Total"</f>
        <v>Total</v>
      </c>
      <c r="D18" s="18">
        <v>9</v>
      </c>
      <c r="E18" s="19">
        <v>5.1000000000000004E-3</v>
      </c>
    </row>
    <row r="19" spans="2:5">
      <c r="B19" s="20" t="str">
        <f>"COAHUILA DE ZARAGOZA"</f>
        <v>COAHUILA DE ZARAGOZA</v>
      </c>
      <c r="C19" s="1" t="str">
        <f>"HOMBRE"</f>
        <v>HOMBRE</v>
      </c>
      <c r="D19" s="2">
        <v>4</v>
      </c>
      <c r="E19" s="10">
        <v>2.2000000000000001E-3</v>
      </c>
    </row>
    <row r="20" spans="2:5">
      <c r="B20" s="21"/>
      <c r="C20" s="1" t="str">
        <f>"MUJER"</f>
        <v>MUJER</v>
      </c>
      <c r="D20" s="2">
        <v>1</v>
      </c>
      <c r="E20" s="10">
        <v>5.9999999999999995E-4</v>
      </c>
    </row>
    <row r="21" spans="2:5">
      <c r="B21" s="22"/>
      <c r="C21" s="17" t="str">
        <f>"Total"</f>
        <v>Total</v>
      </c>
      <c r="D21" s="18">
        <v>5</v>
      </c>
      <c r="E21" s="19">
        <v>2.8E-3</v>
      </c>
    </row>
    <row r="22" spans="2:5">
      <c r="B22" s="20" t="str">
        <f>"COLIMA"</f>
        <v>COLIMA</v>
      </c>
      <c r="C22" s="1" t="str">
        <f>"HOMBRE"</f>
        <v>HOMBRE</v>
      </c>
      <c r="D22" s="2">
        <v>2</v>
      </c>
      <c r="E22" s="10">
        <v>1.1000000000000001E-3</v>
      </c>
    </row>
    <row r="23" spans="2:5">
      <c r="B23" s="22"/>
      <c r="C23" s="17" t="str">
        <f>"Total"</f>
        <v>Total</v>
      </c>
      <c r="D23" s="18">
        <v>2</v>
      </c>
      <c r="E23" s="19">
        <v>1.1000000000000001E-3</v>
      </c>
    </row>
    <row r="24" spans="2:5">
      <c r="B24" s="20" t="str">
        <f>"DISTRITO FEDERAL"</f>
        <v>DISTRITO FEDERAL</v>
      </c>
      <c r="C24" s="1" t="str">
        <f>"HOMBRE"</f>
        <v>HOMBRE</v>
      </c>
      <c r="D24" s="2">
        <v>91</v>
      </c>
      <c r="E24" s="10">
        <v>5.1200000000000002E-2</v>
      </c>
    </row>
    <row r="25" spans="2:5">
      <c r="B25" s="21"/>
      <c r="C25" s="1" t="str">
        <f>"MUJER"</f>
        <v>MUJER</v>
      </c>
      <c r="D25" s="2">
        <v>50</v>
      </c>
      <c r="E25" s="10">
        <v>2.81E-2</v>
      </c>
    </row>
    <row r="26" spans="2:5">
      <c r="B26" s="22"/>
      <c r="C26" s="17" t="str">
        <f>"Total"</f>
        <v>Total</v>
      </c>
      <c r="D26" s="18">
        <v>141</v>
      </c>
      <c r="E26" s="19">
        <v>7.9299999999999995E-2</v>
      </c>
    </row>
    <row r="27" spans="2:5">
      <c r="B27" s="20" t="str">
        <f>"DURANGO"</f>
        <v>DURANGO</v>
      </c>
      <c r="C27" s="1" t="str">
        <f>"HOMBRE"</f>
        <v>HOMBRE</v>
      </c>
      <c r="D27" s="2">
        <v>1</v>
      </c>
      <c r="E27" s="10">
        <v>5.9999999999999995E-4</v>
      </c>
    </row>
    <row r="28" spans="2:5">
      <c r="B28" s="22"/>
      <c r="C28" s="17" t="str">
        <f>"Total"</f>
        <v>Total</v>
      </c>
      <c r="D28" s="18">
        <v>1</v>
      </c>
      <c r="E28" s="19">
        <v>5.9999999999999995E-4</v>
      </c>
    </row>
    <row r="29" spans="2:5">
      <c r="B29" s="20" t="str">
        <f>"GUANAJUATO"</f>
        <v>GUANAJUATO</v>
      </c>
      <c r="C29" s="1" t="str">
        <f>"HOMBRE"</f>
        <v>HOMBRE</v>
      </c>
      <c r="D29" s="2">
        <v>28</v>
      </c>
      <c r="E29" s="10">
        <v>1.5699999999999999E-2</v>
      </c>
    </row>
    <row r="30" spans="2:5">
      <c r="B30" s="21"/>
      <c r="C30" s="1" t="str">
        <f>"MUJER"</f>
        <v>MUJER</v>
      </c>
      <c r="D30" s="2">
        <v>8</v>
      </c>
      <c r="E30" s="10">
        <v>4.4999999999999997E-3</v>
      </c>
    </row>
    <row r="31" spans="2:5">
      <c r="B31" s="22"/>
      <c r="C31" s="17" t="str">
        <f>"Total"</f>
        <v>Total</v>
      </c>
      <c r="D31" s="18">
        <v>36</v>
      </c>
      <c r="E31" s="19">
        <v>2.0199999999999999E-2</v>
      </c>
    </row>
    <row r="32" spans="2:5">
      <c r="B32" s="20" t="str">
        <f>"GUERRERO"</f>
        <v>GUERRERO</v>
      </c>
      <c r="C32" s="1" t="str">
        <f>"HOMBRE"</f>
        <v>HOMBRE</v>
      </c>
      <c r="D32" s="2">
        <v>59</v>
      </c>
      <c r="E32" s="10">
        <v>3.32E-2</v>
      </c>
    </row>
    <row r="33" spans="2:5">
      <c r="B33" s="21"/>
      <c r="C33" s="1" t="str">
        <f>"MUJER"</f>
        <v>MUJER</v>
      </c>
      <c r="D33" s="2">
        <v>31</v>
      </c>
      <c r="E33" s="10">
        <v>1.7399999999999999E-2</v>
      </c>
    </row>
    <row r="34" spans="2:5">
      <c r="B34" s="22"/>
      <c r="C34" s="17" t="str">
        <f>"Total"</f>
        <v>Total</v>
      </c>
      <c r="D34" s="18">
        <v>90</v>
      </c>
      <c r="E34" s="19">
        <v>5.0599999999999999E-2</v>
      </c>
    </row>
    <row r="35" spans="2:5">
      <c r="B35" s="20" t="str">
        <f>"HIDALGO"</f>
        <v>HIDALGO</v>
      </c>
      <c r="C35" s="1" t="str">
        <f>"HOMBRE"</f>
        <v>HOMBRE</v>
      </c>
      <c r="D35" s="2">
        <v>24</v>
      </c>
      <c r="E35" s="10">
        <v>1.35E-2</v>
      </c>
    </row>
    <row r="36" spans="2:5">
      <c r="B36" s="21"/>
      <c r="C36" s="1" t="str">
        <f>"MUJER"</f>
        <v>MUJER</v>
      </c>
      <c r="D36" s="2">
        <v>5</v>
      </c>
      <c r="E36" s="10">
        <v>2.8E-3</v>
      </c>
    </row>
    <row r="37" spans="2:5">
      <c r="B37" s="22"/>
      <c r="C37" s="17" t="str">
        <f>"Total"</f>
        <v>Total</v>
      </c>
      <c r="D37" s="18">
        <v>29</v>
      </c>
      <c r="E37" s="19">
        <v>1.6299999999999999E-2</v>
      </c>
    </row>
    <row r="38" spans="2:5">
      <c r="B38" s="20" t="str">
        <f>"JALISCO"</f>
        <v>JALISCO</v>
      </c>
      <c r="C38" s="1" t="str">
        <f>"HOMBRE"</f>
        <v>HOMBRE</v>
      </c>
      <c r="D38" s="2">
        <v>42</v>
      </c>
      <c r="E38" s="10">
        <v>2.3599999999999999E-2</v>
      </c>
    </row>
    <row r="39" spans="2:5">
      <c r="B39" s="21"/>
      <c r="C39" s="1" t="str">
        <f>"MUJER"</f>
        <v>MUJER</v>
      </c>
      <c r="D39" s="2">
        <v>13</v>
      </c>
      <c r="E39" s="10">
        <v>7.3000000000000001E-3</v>
      </c>
    </row>
    <row r="40" spans="2:5">
      <c r="B40" s="22"/>
      <c r="C40" s="17" t="str">
        <f>"Total"</f>
        <v>Total</v>
      </c>
      <c r="D40" s="18">
        <v>55</v>
      </c>
      <c r="E40" s="19">
        <v>3.09E-2</v>
      </c>
    </row>
    <row r="41" spans="2:5">
      <c r="B41" s="20" t="str">
        <f>"MEXICO"</f>
        <v>MEXICO</v>
      </c>
      <c r="C41" s="1" t="str">
        <f>"HOMBRE"</f>
        <v>HOMBRE</v>
      </c>
      <c r="D41" s="2">
        <v>38</v>
      </c>
      <c r="E41" s="10">
        <v>2.1399999999999999E-2</v>
      </c>
    </row>
    <row r="42" spans="2:5">
      <c r="B42" s="21"/>
      <c r="C42" s="1" t="str">
        <f>"MUJER"</f>
        <v>MUJER</v>
      </c>
      <c r="D42" s="2">
        <v>20</v>
      </c>
      <c r="E42" s="10">
        <v>1.12E-2</v>
      </c>
    </row>
    <row r="43" spans="2:5">
      <c r="B43" s="22"/>
      <c r="C43" s="17" t="str">
        <f>"Total"</f>
        <v>Total</v>
      </c>
      <c r="D43" s="18">
        <v>58</v>
      </c>
      <c r="E43" s="19">
        <v>3.2599999999999997E-2</v>
      </c>
    </row>
    <row r="44" spans="2:5">
      <c r="B44" s="20" t="str">
        <f>"MICHOACAN DE OCAMPO"</f>
        <v>MICHOACAN DE OCAMPO</v>
      </c>
      <c r="C44" s="1" t="str">
        <f>"HOMBRE"</f>
        <v>HOMBRE</v>
      </c>
      <c r="D44" s="2">
        <v>88</v>
      </c>
      <c r="E44" s="10">
        <v>4.9500000000000002E-2</v>
      </c>
    </row>
    <row r="45" spans="2:5">
      <c r="B45" s="21"/>
      <c r="C45" s="1" t="str">
        <f>"MUJER"</f>
        <v>MUJER</v>
      </c>
      <c r="D45" s="2">
        <v>50</v>
      </c>
      <c r="E45" s="10">
        <v>2.81E-2</v>
      </c>
    </row>
    <row r="46" spans="2:5">
      <c r="B46" s="22"/>
      <c r="C46" s="17" t="str">
        <f>"Total"</f>
        <v>Total</v>
      </c>
      <c r="D46" s="18">
        <v>138</v>
      </c>
      <c r="E46" s="19">
        <v>7.7600000000000002E-2</v>
      </c>
    </row>
    <row r="47" spans="2:5">
      <c r="B47" s="20" t="str">
        <f>"MORELOS"</f>
        <v>MORELOS</v>
      </c>
      <c r="C47" s="1" t="str">
        <f>"HOMBRE"</f>
        <v>HOMBRE</v>
      </c>
      <c r="D47" s="2">
        <v>41</v>
      </c>
      <c r="E47" s="10">
        <v>2.3099999999999999E-2</v>
      </c>
    </row>
    <row r="48" spans="2:5">
      <c r="B48" s="21"/>
      <c r="C48" s="1" t="str">
        <f>"MUJER"</f>
        <v>MUJER</v>
      </c>
      <c r="D48" s="2">
        <v>19</v>
      </c>
      <c r="E48" s="10">
        <v>1.0699999999999999E-2</v>
      </c>
    </row>
    <row r="49" spans="2:5">
      <c r="B49" s="22"/>
      <c r="C49" s="17" t="str">
        <f>"Total"</f>
        <v>Total</v>
      </c>
      <c r="D49" s="18">
        <v>60</v>
      </c>
      <c r="E49" s="19">
        <v>3.3700000000000001E-2</v>
      </c>
    </row>
    <row r="50" spans="2:5">
      <c r="B50" s="20" t="str">
        <f>"NUEVO LEON"</f>
        <v>NUEVO LEON</v>
      </c>
      <c r="C50" s="1" t="str">
        <f>"HOMBRE"</f>
        <v>HOMBRE</v>
      </c>
      <c r="D50" s="2">
        <v>4</v>
      </c>
      <c r="E50" s="10">
        <v>2.2000000000000001E-3</v>
      </c>
    </row>
    <row r="51" spans="2:5">
      <c r="B51" s="21"/>
      <c r="C51" s="1" t="str">
        <f>"MUJER"</f>
        <v>MUJER</v>
      </c>
      <c r="D51" s="2">
        <v>1</v>
      </c>
      <c r="E51" s="10">
        <v>5.9999999999999995E-4</v>
      </c>
    </row>
    <row r="52" spans="2:5">
      <c r="B52" s="22"/>
      <c r="C52" s="17" t="str">
        <f>"Total"</f>
        <v>Total</v>
      </c>
      <c r="D52" s="18">
        <v>5</v>
      </c>
      <c r="E52" s="19">
        <v>2.8E-3</v>
      </c>
    </row>
    <row r="53" spans="2:5">
      <c r="B53" s="20" t="str">
        <f>"OAXACA"</f>
        <v>OAXACA</v>
      </c>
      <c r="C53" s="1" t="str">
        <f>"HOMBRE"</f>
        <v>HOMBRE</v>
      </c>
      <c r="D53" s="2">
        <v>125</v>
      </c>
      <c r="E53" s="10">
        <v>7.0300000000000001E-2</v>
      </c>
    </row>
    <row r="54" spans="2:5">
      <c r="B54" s="21"/>
      <c r="C54" s="1" t="str">
        <f>"MUJER"</f>
        <v>MUJER</v>
      </c>
      <c r="D54" s="2">
        <v>36</v>
      </c>
      <c r="E54" s="10">
        <v>2.0199999999999999E-2</v>
      </c>
    </row>
    <row r="55" spans="2:5">
      <c r="B55" s="22"/>
      <c r="C55" s="17" t="str">
        <f>"Total"</f>
        <v>Total</v>
      </c>
      <c r="D55" s="18">
        <v>161</v>
      </c>
      <c r="E55" s="19">
        <v>9.06E-2</v>
      </c>
    </row>
    <row r="56" spans="2:5">
      <c r="B56" s="20" t="str">
        <f>"PUEBLA"</f>
        <v>PUEBLA</v>
      </c>
      <c r="C56" s="1" t="str">
        <f>"HOMBRE"</f>
        <v>HOMBRE</v>
      </c>
      <c r="D56" s="2">
        <v>423</v>
      </c>
      <c r="E56" s="10">
        <v>0.2379</v>
      </c>
    </row>
    <row r="57" spans="2:5">
      <c r="B57" s="21"/>
      <c r="C57" s="1" t="str">
        <f>"MUJER"</f>
        <v>MUJER</v>
      </c>
      <c r="D57" s="2">
        <v>203</v>
      </c>
      <c r="E57" s="10">
        <v>0.1142</v>
      </c>
    </row>
    <row r="58" spans="2:5">
      <c r="B58" s="22"/>
      <c r="C58" s="17" t="str">
        <f>"Total"</f>
        <v>Total</v>
      </c>
      <c r="D58" s="18">
        <v>626</v>
      </c>
      <c r="E58" s="19">
        <v>0.35210000000000002</v>
      </c>
    </row>
    <row r="59" spans="2:5">
      <c r="B59" s="20" t="str">
        <f>"QUERETARO DE ARTEAGA"</f>
        <v>QUERETARO DE ARTEAGA</v>
      </c>
      <c r="C59" s="1" t="str">
        <f>"HOMBRE"</f>
        <v>HOMBRE</v>
      </c>
      <c r="D59" s="2">
        <v>3</v>
      </c>
      <c r="E59" s="10">
        <v>1.6999999999999999E-3</v>
      </c>
    </row>
    <row r="60" spans="2:5">
      <c r="B60" s="22"/>
      <c r="C60" s="17" t="str">
        <f>"Total"</f>
        <v>Total</v>
      </c>
      <c r="D60" s="18">
        <v>3</v>
      </c>
      <c r="E60" s="19">
        <v>1.6999999999999999E-3</v>
      </c>
    </row>
    <row r="61" spans="2:5">
      <c r="B61" s="20" t="str">
        <f>"SAN LUIS POTOSI"</f>
        <v>SAN LUIS POTOSI</v>
      </c>
      <c r="C61" s="1" t="str">
        <f>"HOMBRE"</f>
        <v>HOMBRE</v>
      </c>
      <c r="D61" s="2">
        <v>18</v>
      </c>
      <c r="E61" s="10">
        <v>1.01E-2</v>
      </c>
    </row>
    <row r="62" spans="2:5">
      <c r="B62" s="21"/>
      <c r="C62" s="1" t="str">
        <f>"MUJER"</f>
        <v>MUJER</v>
      </c>
      <c r="D62" s="2">
        <v>6</v>
      </c>
      <c r="E62" s="10">
        <v>3.3999999999999998E-3</v>
      </c>
    </row>
    <row r="63" spans="2:5">
      <c r="B63" s="22"/>
      <c r="C63" s="17" t="str">
        <f>"Total"</f>
        <v>Total</v>
      </c>
      <c r="D63" s="18">
        <v>24</v>
      </c>
      <c r="E63" s="19">
        <v>1.35E-2</v>
      </c>
    </row>
    <row r="64" spans="2:5">
      <c r="B64" s="20" t="str">
        <f>"SINALOA"</f>
        <v>SINALOA</v>
      </c>
      <c r="C64" s="1" t="str">
        <f>"HOMBRE"</f>
        <v>HOMBRE</v>
      </c>
      <c r="D64" s="2">
        <v>4</v>
      </c>
      <c r="E64" s="10">
        <v>2.2000000000000001E-3</v>
      </c>
    </row>
    <row r="65" spans="2:5">
      <c r="B65" s="22"/>
      <c r="C65" s="17" t="str">
        <f>"Total"</f>
        <v>Total</v>
      </c>
      <c r="D65" s="18">
        <v>4</v>
      </c>
      <c r="E65" s="19">
        <v>2.2000000000000001E-3</v>
      </c>
    </row>
    <row r="66" spans="2:5">
      <c r="B66" s="20" t="str">
        <f>"SONORA"</f>
        <v>SONORA</v>
      </c>
      <c r="C66" s="1" t="str">
        <f>"HOMBRE"</f>
        <v>HOMBRE</v>
      </c>
      <c r="D66" s="2">
        <v>1</v>
      </c>
      <c r="E66" s="10">
        <v>5.9999999999999995E-4</v>
      </c>
    </row>
    <row r="67" spans="2:5">
      <c r="B67" s="21"/>
      <c r="C67" s="1" t="str">
        <f>"MUJER"</f>
        <v>MUJER</v>
      </c>
      <c r="D67" s="2">
        <v>1</v>
      </c>
      <c r="E67" s="10">
        <v>5.9999999999999995E-4</v>
      </c>
    </row>
    <row r="68" spans="2:5">
      <c r="B68" s="22"/>
      <c r="C68" s="17" t="str">
        <f>"Total"</f>
        <v>Total</v>
      </c>
      <c r="D68" s="18">
        <v>2</v>
      </c>
      <c r="E68" s="19">
        <v>1.1000000000000001E-3</v>
      </c>
    </row>
    <row r="69" spans="2:5">
      <c r="B69" s="20" t="str">
        <f>"TABASCO"</f>
        <v>TABASCO</v>
      </c>
      <c r="C69" s="1" t="str">
        <f>"HOMBRE"</f>
        <v>HOMBRE</v>
      </c>
      <c r="D69" s="2">
        <v>9</v>
      </c>
      <c r="E69" s="10">
        <v>5.1000000000000004E-3</v>
      </c>
    </row>
    <row r="70" spans="2:5">
      <c r="B70" s="22"/>
      <c r="C70" s="17" t="str">
        <f>"Total"</f>
        <v>Total</v>
      </c>
      <c r="D70" s="18">
        <v>9</v>
      </c>
      <c r="E70" s="19">
        <v>5.1000000000000004E-3</v>
      </c>
    </row>
    <row r="71" spans="2:5">
      <c r="B71" s="20" t="str">
        <f>"TAMAULIPAS"</f>
        <v>TAMAULIPAS</v>
      </c>
      <c r="C71" s="1" t="str">
        <f>"HOMBRE"</f>
        <v>HOMBRE</v>
      </c>
      <c r="D71" s="2">
        <v>3</v>
      </c>
      <c r="E71" s="10">
        <v>1.6999999999999999E-3</v>
      </c>
    </row>
    <row r="72" spans="2:5">
      <c r="B72" s="21"/>
      <c r="C72" s="1" t="str">
        <f>"MUJER"</f>
        <v>MUJER</v>
      </c>
      <c r="D72" s="2">
        <v>3</v>
      </c>
      <c r="E72" s="10">
        <v>1.6999999999999999E-3</v>
      </c>
    </row>
    <row r="73" spans="2:5">
      <c r="B73" s="22"/>
      <c r="C73" s="17" t="str">
        <f>"Total"</f>
        <v>Total</v>
      </c>
      <c r="D73" s="18">
        <v>6</v>
      </c>
      <c r="E73" s="19">
        <v>3.3999999999999998E-3</v>
      </c>
    </row>
    <row r="74" spans="2:5">
      <c r="B74" s="20" t="str">
        <f>"TLAXCALA"</f>
        <v>TLAXCALA</v>
      </c>
      <c r="C74" s="1" t="str">
        <f>"HOMBRE"</f>
        <v>HOMBRE</v>
      </c>
      <c r="D74" s="2">
        <v>149</v>
      </c>
      <c r="E74" s="10">
        <v>8.3799999999999999E-2</v>
      </c>
    </row>
    <row r="75" spans="2:5">
      <c r="B75" s="21"/>
      <c r="C75" s="1" t="str">
        <f>"MUJER"</f>
        <v>MUJER</v>
      </c>
      <c r="D75" s="2">
        <v>37</v>
      </c>
      <c r="E75" s="10">
        <v>2.0799999999999999E-2</v>
      </c>
    </row>
    <row r="76" spans="2:5">
      <c r="B76" s="22"/>
      <c r="C76" s="17" t="str">
        <f>"Total"</f>
        <v>Total</v>
      </c>
      <c r="D76" s="18">
        <v>186</v>
      </c>
      <c r="E76" s="19">
        <v>0.1046</v>
      </c>
    </row>
    <row r="77" spans="2:5">
      <c r="B77" s="20" t="str">
        <f>"VERACRUZ DE IGNACIO DE LA LLAVE"</f>
        <v>VERACRUZ DE IGNACIO DE LA LLAVE</v>
      </c>
      <c r="C77" s="1" t="str">
        <f>"HOMBRE"</f>
        <v>HOMBRE</v>
      </c>
      <c r="D77" s="2">
        <v>56</v>
      </c>
      <c r="E77" s="10">
        <v>3.15E-2</v>
      </c>
    </row>
    <row r="78" spans="2:5">
      <c r="B78" s="21"/>
      <c r="C78" s="1" t="str">
        <f>"MUJER"</f>
        <v>MUJER</v>
      </c>
      <c r="D78" s="2">
        <v>14</v>
      </c>
      <c r="E78" s="10">
        <v>7.9000000000000008E-3</v>
      </c>
    </row>
    <row r="79" spans="2:5">
      <c r="B79" s="22"/>
      <c r="C79" s="17" t="str">
        <f>"Total"</f>
        <v>Total</v>
      </c>
      <c r="D79" s="18">
        <v>70</v>
      </c>
      <c r="E79" s="19">
        <v>3.9399999999999998E-2</v>
      </c>
    </row>
    <row r="80" spans="2:5">
      <c r="B80" s="20" t="str">
        <f>"YUCATAN"</f>
        <v>YUCATAN</v>
      </c>
      <c r="C80" s="1" t="str">
        <f>"HOMBRE"</f>
        <v>HOMBRE</v>
      </c>
      <c r="D80" s="2">
        <v>2</v>
      </c>
      <c r="E80" s="10">
        <v>1.1000000000000001E-3</v>
      </c>
    </row>
    <row r="81" spans="2:5">
      <c r="B81" s="21"/>
      <c r="C81" s="1" t="str">
        <f>"MUJER"</f>
        <v>MUJER</v>
      </c>
      <c r="D81" s="2">
        <v>1</v>
      </c>
      <c r="E81" s="10">
        <v>5.9999999999999995E-4</v>
      </c>
    </row>
    <row r="82" spans="2:5">
      <c r="B82" s="22"/>
      <c r="C82" s="17" t="str">
        <f>"Total"</f>
        <v>Total</v>
      </c>
      <c r="D82" s="18">
        <v>3</v>
      </c>
      <c r="E82" s="19">
        <v>1.6999999999999999E-3</v>
      </c>
    </row>
    <row r="83" spans="2:5">
      <c r="B83" s="20" t="str">
        <f>"ZACATECAS"</f>
        <v>ZACATECAS</v>
      </c>
      <c r="C83" s="1" t="str">
        <f>"HOMBRE"</f>
        <v>HOMBRE</v>
      </c>
      <c r="D83" s="2">
        <v>2</v>
      </c>
      <c r="E83" s="10">
        <v>1.1000000000000001E-3</v>
      </c>
    </row>
    <row r="84" spans="2:5">
      <c r="B84" s="21"/>
      <c r="C84" s="1" t="str">
        <f>"MUJER"</f>
        <v>MUJER</v>
      </c>
      <c r="D84" s="2">
        <v>2</v>
      </c>
      <c r="E84" s="10">
        <v>1.1000000000000001E-3</v>
      </c>
    </row>
    <row r="85" spans="2:5">
      <c r="B85" s="22"/>
      <c r="C85" s="17" t="str">
        <f>"Total"</f>
        <v>Total</v>
      </c>
      <c r="D85" s="18">
        <v>4</v>
      </c>
      <c r="E85" s="19">
        <v>2.2000000000000001E-3</v>
      </c>
    </row>
    <row r="86" spans="2:5">
      <c r="B86" s="6" t="s">
        <v>2</v>
      </c>
      <c r="C86" s="7" t="str">
        <f>" "</f>
        <v> </v>
      </c>
      <c r="D86" s="8">
        <v>1778</v>
      </c>
      <c r="E86" s="9">
        <v>1</v>
      </c>
    </row>
    <row r="88" spans="2:5" ht="16.5">
      <c r="B88" s="3" t="s">
        <v>3</v>
      </c>
      <c r="C88" s="4"/>
      <c r="D88" s="5"/>
      <c r="E88" s="5"/>
    </row>
    <row r="89" spans="2:5" ht="16.5">
      <c r="B89" s="3" t="s">
        <v>4</v>
      </c>
      <c r="C89" s="4"/>
      <c r="D89" s="5"/>
      <c r="E89" s="5"/>
    </row>
    <row r="90" spans="2:5" ht="16.5">
      <c r="B90" s="3" t="s">
        <v>5</v>
      </c>
      <c r="C90" s="4"/>
      <c r="D90" s="5"/>
      <c r="E90" s="5"/>
    </row>
    <row r="91" spans="2:5" ht="16.5">
      <c r="B91" s="3" t="s">
        <v>6</v>
      </c>
      <c r="C91" s="4"/>
      <c r="D91" s="5"/>
      <c r="E91" s="5"/>
    </row>
    <row r="92" spans="2:5">
      <c r="B92" s="3" t="s">
        <v>10</v>
      </c>
    </row>
  </sheetData>
  <mergeCells count="29">
    <mergeCell ref="B4:E5"/>
    <mergeCell ref="B8:B10"/>
    <mergeCell ref="B11:B12"/>
    <mergeCell ref="B13:B15"/>
    <mergeCell ref="B16:B18"/>
    <mergeCell ref="B19:B21"/>
    <mergeCell ref="B22:B23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0"/>
    <mergeCell ref="B61:B63"/>
    <mergeCell ref="B64:B65"/>
    <mergeCell ref="B66:B68"/>
    <mergeCell ref="B83:B85"/>
    <mergeCell ref="B69:B70"/>
    <mergeCell ref="B71:B73"/>
    <mergeCell ref="B74:B76"/>
    <mergeCell ref="B77:B79"/>
    <mergeCell ref="B80:B82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easCA63GBLJ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2012-02-27T18:40:44Z</dcterms:created>
  <dcterms:modified xsi:type="dcterms:W3CDTF">2012-03-15T19:25:03Z</dcterms:modified>
</cp:coreProperties>
</file>