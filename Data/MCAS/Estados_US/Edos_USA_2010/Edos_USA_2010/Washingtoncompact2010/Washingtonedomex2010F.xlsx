
<file path=[Content_Types].xml><?xml version="1.0" encoding="utf-8"?>
<Types xmlns="http://schemas.openxmlformats.org/package/2006/content-types">
  <Default Extension="bin" ContentType="application/vnd.openxmlformats-officedocument.oleObject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35" windowWidth="20730" windowHeight="9780"/>
  </bookViews>
  <sheets>
    <sheet name="easCAC5HSTO" sheetId="2" r:id="rId1"/>
  </sheets>
  <calcPr calcId="125725"/>
</workbook>
</file>

<file path=xl/calcChain.xml><?xml version="1.0" encoding="utf-8"?>
<calcChain xmlns="http://schemas.openxmlformats.org/spreadsheetml/2006/main">
  <c r="B42" i="2"/>
  <c r="B41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</calcChain>
</file>

<file path=xl/sharedStrings.xml><?xml version="1.0" encoding="utf-8"?>
<sst xmlns="http://schemas.openxmlformats.org/spreadsheetml/2006/main" count="12" uniqueCount="12">
  <si>
    <t>TOTAL</t>
  </si>
  <si>
    <t>Tamaño de la muestra: 842, 321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</si>
  <si>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</si>
  <si>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</si>
  <si>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</si>
  <si>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Marzo del 2012</t>
  </si>
  <si>
    <t xml:space="preserve">MATRÍCULAS CONSULARES DE ALTA SEGURIDAD EXPEDIDAS EN EL ESTADO DE </t>
  </si>
  <si>
    <t>(Tabla  en orden descendente)</t>
  </si>
  <si>
    <t>Estado de Origen</t>
  </si>
  <si>
    <t xml:space="preserve">Número de Matrículas </t>
  </si>
  <si>
    <t>Porcentaje de Matrículas</t>
  </si>
  <si>
    <t>WASHINGTON POR ESTADO DE LA REPÚBLICA MEXICANA, 2010</t>
  </si>
</sst>
</file>

<file path=xl/styles.xml><?xml version="1.0" encoding="utf-8"?>
<styleSheet xmlns="http://schemas.openxmlformats.org/spreadsheetml/2006/main"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0"/>
      <name val="Arial Narrow"/>
      <family val="2"/>
    </font>
    <font>
      <b/>
      <sz val="11"/>
      <name val="Arial Narrow"/>
      <family val="2"/>
    </font>
    <font>
      <i/>
      <sz val="11"/>
      <name val="Arial Narrow"/>
      <family val="2"/>
    </font>
    <font>
      <sz val="11"/>
      <name val="Arial Narrow"/>
      <family val="2"/>
    </font>
    <font>
      <sz val="11"/>
      <color indexed="8"/>
      <name val="Calibri"/>
      <family val="2"/>
    </font>
    <font>
      <b/>
      <sz val="11"/>
      <color indexed="9"/>
      <name val="Arial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17"/>
        <bgColor indexed="64"/>
      </patternFill>
    </fill>
    <fill>
      <patternFill patternType="solid">
        <fgColor theme="0" tint="-0.49998474074526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3" fillId="0" borderId="0"/>
  </cellStyleXfs>
  <cellXfs count="17">
    <xf numFmtId="0" fontId="0" fillId="0" borderId="0" xfId="0"/>
    <xf numFmtId="0" fontId="18" fillId="0" borderId="10" xfId="0" applyFont="1" applyBorder="1" applyAlignment="1">
      <alignment wrapText="1"/>
    </xf>
    <xf numFmtId="3" fontId="18" fillId="0" borderId="10" xfId="0" applyNumberFormat="1" applyFont="1" applyBorder="1" applyAlignment="1">
      <alignment horizontal="right" wrapText="1"/>
    </xf>
    <xf numFmtId="10" fontId="18" fillId="0" borderId="10" xfId="0" applyNumberFormat="1" applyFont="1" applyBorder="1" applyAlignment="1">
      <alignment horizontal="right" wrapText="1"/>
    </xf>
    <xf numFmtId="0" fontId="18" fillId="0" borderId="10" xfId="0" applyFont="1" applyBorder="1" applyAlignment="1">
      <alignment horizontal="right" wrapText="1"/>
    </xf>
    <xf numFmtId="0" fontId="19" fillId="0" borderId="0" xfId="0" applyFont="1"/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24" fillId="0" borderId="0" xfId="42" applyFont="1" applyFill="1" applyBorder="1" applyAlignment="1">
      <alignment horizontal="center" vertical="center" wrapText="1"/>
    </xf>
    <xf numFmtId="0" fontId="0" fillId="0" borderId="0" xfId="0" applyFill="1"/>
    <xf numFmtId="0" fontId="24" fillId="33" borderId="10" xfId="42" applyFont="1" applyFill="1" applyBorder="1" applyAlignment="1">
      <alignment horizontal="center" vertical="center" wrapText="1"/>
    </xf>
    <xf numFmtId="10" fontId="22" fillId="0" borderId="0" xfId="42" applyNumberFormat="1" applyFont="1" applyFill="1" applyBorder="1" applyAlignment="1">
      <alignment horizontal="right" wrapText="1"/>
    </xf>
    <xf numFmtId="0" fontId="0" fillId="0" borderId="0" xfId="0" applyFill="1" applyBorder="1"/>
    <xf numFmtId="0" fontId="13" fillId="34" borderId="10" xfId="0" applyFont="1" applyFill="1" applyBorder="1" applyAlignment="1">
      <alignment wrapText="1"/>
    </xf>
    <xf numFmtId="3" fontId="13" fillId="34" borderId="10" xfId="0" applyNumberFormat="1" applyFont="1" applyFill="1" applyBorder="1" applyAlignment="1">
      <alignment horizontal="right" wrapText="1"/>
    </xf>
    <xf numFmtId="10" fontId="13" fillId="34" borderId="10" xfId="0" applyNumberFormat="1" applyFont="1" applyFill="1" applyBorder="1" applyAlignment="1">
      <alignment horizontal="right" wrapText="1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_Hoja1" xfId="42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257175</xdr:colOff>
      <xdr:row>0</xdr:row>
      <xdr:rowOff>28575</xdr:rowOff>
    </xdr:from>
    <xdr:to>
      <xdr:col>4</xdr:col>
      <xdr:colOff>238125</xdr:colOff>
      <xdr:row>3</xdr:row>
      <xdr:rowOff>123825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72000" y="28575"/>
          <a:ext cx="1276350" cy="581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9"/>
  <sheetViews>
    <sheetView showGridLines="0" tabSelected="1" workbookViewId="0">
      <selection activeCell="A10" sqref="A10"/>
    </sheetView>
  </sheetViews>
  <sheetFormatPr baseColWidth="10" defaultRowHeight="15"/>
  <cols>
    <col min="2" max="2" width="45.5703125" customWidth="1"/>
    <col min="3" max="4" width="16.140625" bestFit="1" customWidth="1"/>
  </cols>
  <sheetData>
    <row r="1" spans="1:7" ht="12.75"/>
    <row r="2" spans="1:7" ht="12.75"/>
    <row r="3" spans="1:7" ht="12.75"/>
    <row r="4" spans="1:7" ht="12.75"/>
    <row r="5" spans="1:7" ht="12.75"/>
    <row r="6" spans="1:7" ht="16.5">
      <c r="A6" s="6" t="s">
        <v>6</v>
      </c>
      <c r="B6" s="6"/>
      <c r="C6" s="6"/>
      <c r="D6" s="6"/>
      <c r="E6" s="6"/>
    </row>
    <row r="7" spans="1:7" ht="16.5">
      <c r="A7" s="6" t="s">
        <v>11</v>
      </c>
      <c r="B7" s="6"/>
      <c r="C7" s="6"/>
      <c r="D7" s="6"/>
      <c r="E7" s="6"/>
    </row>
    <row r="8" spans="1:7" ht="12.75"/>
    <row r="9" spans="1:7" ht="16.5">
      <c r="B9" s="7" t="s">
        <v>7</v>
      </c>
      <c r="C9" s="8"/>
      <c r="D9" s="8"/>
      <c r="E9" s="9"/>
    </row>
    <row r="10" spans="1:7" ht="33">
      <c r="A10" s="10"/>
      <c r="B10" s="11" t="s">
        <v>8</v>
      </c>
      <c r="C10" s="11" t="s">
        <v>9</v>
      </c>
      <c r="D10" s="11" t="s">
        <v>10</v>
      </c>
      <c r="E10" s="12"/>
      <c r="F10" s="13"/>
      <c r="G10" s="13"/>
    </row>
    <row r="11" spans="1:7">
      <c r="B11" s="1" t="str">
        <f>"MICHOACAN DE OCAMPO"</f>
        <v>MICHOACAN DE OCAMPO</v>
      </c>
      <c r="C11" s="2">
        <v>1706</v>
      </c>
      <c r="D11" s="3">
        <v>0.19639999999999999</v>
      </c>
    </row>
    <row r="12" spans="1:7">
      <c r="B12" s="1" t="str">
        <f>"OAXACA"</f>
        <v>OAXACA</v>
      </c>
      <c r="C12" s="2">
        <v>1065</v>
      </c>
      <c r="D12" s="3">
        <v>0.1226</v>
      </c>
    </row>
    <row r="13" spans="1:7">
      <c r="B13" s="1" t="str">
        <f>"JALISCO"</f>
        <v>JALISCO</v>
      </c>
      <c r="C13" s="4">
        <v>897</v>
      </c>
      <c r="D13" s="3">
        <v>0.1032</v>
      </c>
    </row>
    <row r="14" spans="1:7">
      <c r="B14" s="1" t="str">
        <f>"GUERRERO"</f>
        <v>GUERRERO</v>
      </c>
      <c r="C14" s="4">
        <v>848</v>
      </c>
      <c r="D14" s="3">
        <v>9.7600000000000006E-2</v>
      </c>
    </row>
    <row r="15" spans="1:7">
      <c r="B15" s="1" t="str">
        <f>"PUEBLA"</f>
        <v>PUEBLA</v>
      </c>
      <c r="C15" s="4">
        <v>481</v>
      </c>
      <c r="D15" s="3">
        <v>5.5399999999999998E-2</v>
      </c>
    </row>
    <row r="16" spans="1:7">
      <c r="B16" s="1" t="str">
        <f>"DISTRITO FEDERAL"</f>
        <v>DISTRITO FEDERAL</v>
      </c>
      <c r="C16" s="4">
        <v>433</v>
      </c>
      <c r="D16" s="3">
        <v>4.9799999999999997E-2</v>
      </c>
    </row>
    <row r="17" spans="2:4">
      <c r="B17" s="1" t="str">
        <f>"MEXICO"</f>
        <v>MEXICO</v>
      </c>
      <c r="C17" s="4">
        <v>392</v>
      </c>
      <c r="D17" s="3">
        <v>4.5100000000000001E-2</v>
      </c>
    </row>
    <row r="18" spans="2:4">
      <c r="B18" s="1" t="str">
        <f>"NAYARIT"</f>
        <v>NAYARIT</v>
      </c>
      <c r="C18" s="4">
        <v>322</v>
      </c>
      <c r="D18" s="3">
        <v>3.7100000000000001E-2</v>
      </c>
    </row>
    <row r="19" spans="2:4">
      <c r="B19" s="1" t="str">
        <f>"VERACRUZ DE IGNACIO DE LA LLAVE"</f>
        <v>VERACRUZ DE IGNACIO DE LA LLAVE</v>
      </c>
      <c r="C19" s="4">
        <v>321</v>
      </c>
      <c r="D19" s="3">
        <v>3.6900000000000002E-2</v>
      </c>
    </row>
    <row r="20" spans="2:4">
      <c r="B20" s="1" t="str">
        <f>"GUANAJUATO"</f>
        <v>GUANAJUATO</v>
      </c>
      <c r="C20" s="4">
        <v>317</v>
      </c>
      <c r="D20" s="3">
        <v>3.6499999999999998E-2</v>
      </c>
    </row>
    <row r="21" spans="2:4">
      <c r="B21" s="1" t="str">
        <f>"HIDALGO"</f>
        <v>HIDALGO</v>
      </c>
      <c r="C21" s="4">
        <v>277</v>
      </c>
      <c r="D21" s="3">
        <v>3.1899999999999998E-2</v>
      </c>
    </row>
    <row r="22" spans="2:4">
      <c r="B22" s="1" t="str">
        <f>"COLIMA"</f>
        <v>COLIMA</v>
      </c>
      <c r="C22" s="4">
        <v>228</v>
      </c>
      <c r="D22" s="3">
        <v>2.6200000000000001E-2</v>
      </c>
    </row>
    <row r="23" spans="2:4">
      <c r="B23" s="1" t="str">
        <f>"ZACATECAS"</f>
        <v>ZACATECAS</v>
      </c>
      <c r="C23" s="4">
        <v>163</v>
      </c>
      <c r="D23" s="3">
        <v>1.8800000000000001E-2</v>
      </c>
    </row>
    <row r="24" spans="2:4">
      <c r="B24" s="1" t="str">
        <f>"MORELOS"</f>
        <v>MORELOS</v>
      </c>
      <c r="C24" s="4">
        <v>162</v>
      </c>
      <c r="D24" s="3">
        <v>1.8599999999999998E-2</v>
      </c>
    </row>
    <row r="25" spans="2:4">
      <c r="B25" s="1" t="str">
        <f>"CHIAPAS"</f>
        <v>CHIAPAS</v>
      </c>
      <c r="C25" s="4">
        <v>150</v>
      </c>
      <c r="D25" s="3">
        <v>1.7299999999999999E-2</v>
      </c>
    </row>
    <row r="26" spans="2:4">
      <c r="B26" s="1" t="str">
        <f>"SINALOA"</f>
        <v>SINALOA</v>
      </c>
      <c r="C26" s="4">
        <v>142</v>
      </c>
      <c r="D26" s="3">
        <v>1.6299999999999999E-2</v>
      </c>
    </row>
    <row r="27" spans="2:4">
      <c r="B27" s="1" t="str">
        <f>"DURANGO"</f>
        <v>DURANGO</v>
      </c>
      <c r="C27" s="4">
        <v>133</v>
      </c>
      <c r="D27" s="3">
        <v>1.5299999999999999E-2</v>
      </c>
    </row>
    <row r="28" spans="2:4">
      <c r="B28" s="1" t="str">
        <f>"SAN LUIS POTOSI"</f>
        <v>SAN LUIS POTOSI</v>
      </c>
      <c r="C28" s="4">
        <v>79</v>
      </c>
      <c r="D28" s="3">
        <v>9.1000000000000004E-3</v>
      </c>
    </row>
    <row r="29" spans="2:4">
      <c r="B29" s="1" t="str">
        <f>"AGUASCALIENTES"</f>
        <v>AGUASCALIENTES</v>
      </c>
      <c r="C29" s="4">
        <v>79</v>
      </c>
      <c r="D29" s="3">
        <v>9.1000000000000004E-3</v>
      </c>
    </row>
    <row r="30" spans="2:4">
      <c r="B30" s="1" t="str">
        <f>"BAJA CALIFORNIA"</f>
        <v>BAJA CALIFORNIA</v>
      </c>
      <c r="C30" s="4">
        <v>73</v>
      </c>
      <c r="D30" s="3">
        <v>8.3999999999999995E-3</v>
      </c>
    </row>
    <row r="31" spans="2:4">
      <c r="B31" s="1" t="str">
        <f>"QUERETARO DE ARTEAGA"</f>
        <v>QUERETARO DE ARTEAGA</v>
      </c>
      <c r="C31" s="4">
        <v>69</v>
      </c>
      <c r="D31" s="3">
        <v>7.9000000000000008E-3</v>
      </c>
    </row>
    <row r="32" spans="2:4">
      <c r="B32" s="1" t="str">
        <f>"CHIHUAHUA"</f>
        <v>CHIHUAHUA</v>
      </c>
      <c r="C32" s="4">
        <v>63</v>
      </c>
      <c r="D32" s="3">
        <v>7.3000000000000001E-3</v>
      </c>
    </row>
    <row r="33" spans="2:4">
      <c r="B33" s="1" t="str">
        <f>"SONORA"</f>
        <v>SONORA</v>
      </c>
      <c r="C33" s="4">
        <v>53</v>
      </c>
      <c r="D33" s="3">
        <v>6.1000000000000004E-3</v>
      </c>
    </row>
    <row r="34" spans="2:4">
      <c r="B34" s="1" t="str">
        <f>"TLAXCALA"</f>
        <v>TLAXCALA</v>
      </c>
      <c r="C34" s="4">
        <v>50</v>
      </c>
      <c r="D34" s="3">
        <v>5.7999999999999996E-3</v>
      </c>
    </row>
    <row r="35" spans="2:4">
      <c r="B35" s="1" t="str">
        <f>"YUCATAN"</f>
        <v>YUCATAN</v>
      </c>
      <c r="C35" s="4">
        <v>46</v>
      </c>
      <c r="D35" s="3">
        <v>5.3E-3</v>
      </c>
    </row>
    <row r="36" spans="2:4">
      <c r="B36" s="1" t="str">
        <f>"NUEVO LEON"</f>
        <v>NUEVO LEON</v>
      </c>
      <c r="C36" s="4">
        <v>39</v>
      </c>
      <c r="D36" s="3">
        <v>4.4999999999999997E-3</v>
      </c>
    </row>
    <row r="37" spans="2:4">
      <c r="B37" s="1" t="str">
        <f>"TAMAULIPAS"</f>
        <v>TAMAULIPAS</v>
      </c>
      <c r="C37" s="4">
        <v>37</v>
      </c>
      <c r="D37" s="3">
        <v>4.3E-3</v>
      </c>
    </row>
    <row r="38" spans="2:4">
      <c r="B38" s="1" t="str">
        <f>"TABASCO"</f>
        <v>TABASCO</v>
      </c>
      <c r="C38" s="4">
        <v>21</v>
      </c>
      <c r="D38" s="3">
        <v>2.3999999999999998E-3</v>
      </c>
    </row>
    <row r="39" spans="2:4">
      <c r="B39" s="1" t="str">
        <f>"COAHUILA DE ZARAGOZA"</f>
        <v>COAHUILA DE ZARAGOZA</v>
      </c>
      <c r="C39" s="4">
        <v>16</v>
      </c>
      <c r="D39" s="3">
        <v>1.8E-3</v>
      </c>
    </row>
    <row r="40" spans="2:4">
      <c r="B40" s="1" t="str">
        <f>"CAMPECHE"</f>
        <v>CAMPECHE</v>
      </c>
      <c r="C40" s="4">
        <v>13</v>
      </c>
      <c r="D40" s="3">
        <v>1.5E-3</v>
      </c>
    </row>
    <row r="41" spans="2:4">
      <c r="B41" s="1" t="str">
        <f>"QUINTANA ROO"</f>
        <v>QUINTANA ROO</v>
      </c>
      <c r="C41" s="4">
        <v>8</v>
      </c>
      <c r="D41" s="3">
        <v>8.9999999999999998E-4</v>
      </c>
    </row>
    <row r="42" spans="2:4">
      <c r="B42" s="1" t="str">
        <f>"BAJA CALIFORNIA SUR"</f>
        <v>BAJA CALIFORNIA SUR</v>
      </c>
      <c r="C42" s="4">
        <v>5</v>
      </c>
      <c r="D42" s="3">
        <v>5.9999999999999995E-4</v>
      </c>
    </row>
    <row r="43" spans="2:4">
      <c r="B43" s="14" t="s">
        <v>0</v>
      </c>
      <c r="C43" s="15">
        <v>8688</v>
      </c>
      <c r="D43" s="16">
        <v>1</v>
      </c>
    </row>
    <row r="45" spans="2:4">
      <c r="B45" s="5" t="s">
        <v>1</v>
      </c>
    </row>
    <row r="46" spans="2:4">
      <c r="B46" s="5" t="s">
        <v>2</v>
      </c>
    </row>
    <row r="47" spans="2:4">
      <c r="B47" s="5" t="s">
        <v>3</v>
      </c>
    </row>
    <row r="48" spans="2:4">
      <c r="B48" s="5" t="s">
        <v>4</v>
      </c>
    </row>
    <row r="49" spans="2:2">
      <c r="B49" s="5" t="s">
        <v>5</v>
      </c>
    </row>
  </sheetData>
  <mergeCells count="3">
    <mergeCell ref="A6:E6"/>
    <mergeCell ref="A7:E7"/>
    <mergeCell ref="B9:D9"/>
  </mergeCells>
  <pageMargins left="0.75" right="0.75" top="1" bottom="1" header="0.5" footer="0.5"/>
  <drawing r:id="rId1"/>
  <legacyDrawing r:id="rId2"/>
  <oleObjects>
    <oleObject shapeId="1025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easCAC5HSTO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 Ramírez, Edith</dc:creator>
  <cp:lastModifiedBy>ghurtado</cp:lastModifiedBy>
  <dcterms:created xsi:type="dcterms:W3CDTF">2012-02-29T20:17:29Z</dcterms:created>
  <dcterms:modified xsi:type="dcterms:W3CDTF">2012-03-28T21:13:37Z</dcterms:modified>
</cp:coreProperties>
</file>