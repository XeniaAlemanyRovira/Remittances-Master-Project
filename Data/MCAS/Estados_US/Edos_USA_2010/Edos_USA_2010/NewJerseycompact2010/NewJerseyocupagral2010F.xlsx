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25" i="2"/>
  <c r="A24"/>
  <c r="A23"/>
  <c r="A22"/>
  <c r="A21"/>
  <c r="A20"/>
  <c r="A19"/>
  <c r="A18"/>
  <c r="A17"/>
  <c r="A16"/>
  <c r="A15"/>
  <c r="A14"/>
  <c r="A13"/>
  <c r="A12"/>
  <c r="A11"/>
  <c r="A10"/>
  <c r="A9"/>
  <c r="A8"/>
  <c r="A7"/>
  <c r="A6"/>
  <c r="A5"/>
  <c r="A4"/>
  <c r="A3"/>
</calcChain>
</file>

<file path=xl/sharedStrings.xml><?xml version="1.0" encoding="utf-8"?>
<sst xmlns="http://schemas.openxmlformats.org/spreadsheetml/2006/main" count="5" uniqueCount="4">
  <si>
    <t>Ene 2010/</t>
  </si>
  <si>
    <t>Dic 2010 Ocupacion</t>
  </si>
  <si>
    <t>Número de Matrículas</t>
  </si>
  <si>
    <t>(%)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</si>
</sst>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010000"/>
      <name val="MS Sans Serif"/>
      <family val="2"/>
    </font>
    <font>
      <b/>
      <sz val="11"/>
      <color rgb="FF408080"/>
      <name val="Calibri"/>
      <family val="2"/>
      <scheme val="minor"/>
    </font>
    <font>
      <b/>
      <sz val="11"/>
      <color rgb="FFEFB8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1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AFAD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/>
      <top/>
      <bottom style="thin">
        <color rgb="FFC0C0C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33" borderId="10" xfId="0" applyFont="1" applyFill="1" applyBorder="1" applyAlignment="1">
      <alignment horizontal="center" vertical="center" wrapText="1"/>
    </xf>
    <xf numFmtId="0" fontId="18" fillId="33" borderId="11" xfId="0" applyFont="1" applyFill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3" fontId="19" fillId="0" borderId="10" xfId="0" applyNumberFormat="1" applyFont="1" applyBorder="1" applyAlignment="1">
      <alignment horizontal="right" wrapText="1"/>
    </xf>
    <xf numFmtId="10" fontId="19" fillId="0" borderId="10" xfId="0" applyNumberFormat="1" applyFont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2" fillId="0" borderId="10" xfId="0" applyFont="1" applyBorder="1" applyAlignment="1">
      <alignment wrapText="1"/>
    </xf>
    <xf numFmtId="0" fontId="22" fillId="0" borderId="12" xfId="0" applyFont="1" applyBorder="1" applyAlignment="1">
      <alignment wrapText="1"/>
    </xf>
    <xf numFmtId="3" fontId="19" fillId="0" borderId="12" xfId="0" applyNumberFormat="1" applyFont="1" applyBorder="1" applyAlignment="1">
      <alignment horizontal="right" wrapText="1"/>
    </xf>
    <xf numFmtId="10" fontId="19" fillId="0" borderId="12" xfId="0" applyNumberFormat="1" applyFont="1" applyBorder="1" applyAlignment="1">
      <alignment horizontal="right" wrapText="1"/>
    </xf>
    <xf numFmtId="0" fontId="18" fillId="33" borderId="13" xfId="0" applyFont="1" applyFill="1" applyBorder="1" applyAlignment="1">
      <alignment horizontal="center" vertical="center" wrapText="1"/>
    </xf>
    <xf numFmtId="0" fontId="18" fillId="33" borderId="14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5"/>
  <sheetViews>
    <sheetView showGridLines="0" tabSelected="1" workbookViewId="0"/>
  </sheetViews>
  <sheetFormatPr baseColWidth="10" defaultRowHeight="15"/>
  <cols>
    <col min="1" max="1" width="46.7109375" customWidth="1"/>
    <col min="2" max="3" width="16.140625" bestFit="1" customWidth="1"/>
  </cols>
  <sheetData>
    <row r="1" spans="1:3">
      <c r="A1" s="1" t="s">
        <v>0</v>
      </c>
      <c r="B1" s="14" t="s">
        <v>2</v>
      </c>
      <c r="C1" s="1" t="s">
        <v>2</v>
      </c>
    </row>
    <row r="2" spans="1:3">
      <c r="A2" s="2" t="s">
        <v>1</v>
      </c>
      <c r="B2" s="15"/>
      <c r="C2" s="2" t="s">
        <v>3</v>
      </c>
    </row>
    <row r="3" spans="1:3">
      <c r="A3" s="3" t="str">
        <f>"EMPLEADO(A)"</f>
        <v>EMPLEADO(A)</v>
      </c>
      <c r="B3" s="4">
        <v>7314</v>
      </c>
      <c r="C3" s="5">
        <v>0.66010000000000002</v>
      </c>
    </row>
    <row r="4" spans="1:3">
      <c r="A4" s="3" t="str">
        <f>"HOGAR"</f>
        <v>HOGAR</v>
      </c>
      <c r="B4" s="4">
        <v>1905</v>
      </c>
      <c r="C4" s="5">
        <v>0.1719</v>
      </c>
    </row>
    <row r="5" spans="1:3">
      <c r="A5" s="3" t="str">
        <f>"OBRERO(A)"</f>
        <v>OBRERO(A)</v>
      </c>
      <c r="B5" s="6">
        <v>519</v>
      </c>
      <c r="C5" s="7">
        <v>4.6800000000000001E-2</v>
      </c>
    </row>
    <row r="6" spans="1:3">
      <c r="A6" s="3" t="str">
        <f>"COCINERO(A)"</f>
        <v>COCINERO(A)</v>
      </c>
      <c r="B6" s="8">
        <v>339</v>
      </c>
      <c r="C6" s="9">
        <v>3.0599999999999999E-2</v>
      </c>
    </row>
    <row r="7" spans="1:3">
      <c r="A7" s="3" t="str">
        <f>"CAMPESINO(A)"</f>
        <v>CAMPESINO(A)</v>
      </c>
      <c r="B7" s="8">
        <v>320</v>
      </c>
      <c r="C7" s="9">
        <v>2.8899999999999999E-2</v>
      </c>
    </row>
    <row r="8" spans="1:3">
      <c r="A8" s="3" t="str">
        <f>"ESTUDIANTE"</f>
        <v>ESTUDIANTE</v>
      </c>
      <c r="B8" s="8">
        <v>250</v>
      </c>
      <c r="C8" s="9">
        <v>2.2599999999999999E-2</v>
      </c>
    </row>
    <row r="9" spans="1:3">
      <c r="A9" s="3" t="str">
        <f>"JARDINERO(A)"</f>
        <v>JARDINERO(A)</v>
      </c>
      <c r="B9" s="8">
        <v>115</v>
      </c>
      <c r="C9" s="9">
        <v>1.04E-2</v>
      </c>
    </row>
    <row r="10" spans="1:3">
      <c r="A10" s="3" t="str">
        <f>"MESERO(A)"</f>
        <v>MESERO(A)</v>
      </c>
      <c r="B10" s="8">
        <v>55</v>
      </c>
      <c r="C10" s="9">
        <v>5.0000000000000001E-3</v>
      </c>
    </row>
    <row r="11" spans="1:3">
      <c r="A11" s="3" t="str">
        <f>"ALBANIL"</f>
        <v>ALBANIL</v>
      </c>
      <c r="B11" s="8">
        <v>49</v>
      </c>
      <c r="C11" s="9">
        <v>4.4000000000000003E-3</v>
      </c>
    </row>
    <row r="12" spans="1:3">
      <c r="A12" s="3" t="str">
        <f>"PINTOR(A)"</f>
        <v>PINTOR(A)</v>
      </c>
      <c r="B12" s="8">
        <v>45</v>
      </c>
      <c r="C12" s="9">
        <v>4.1000000000000003E-3</v>
      </c>
    </row>
    <row r="13" spans="1:3">
      <c r="A13" s="3" t="str">
        <f>"COMERCIANTE"</f>
        <v>COMERCIANTE</v>
      </c>
      <c r="B13" s="8">
        <v>31</v>
      </c>
      <c r="C13" s="9">
        <v>2.8E-3</v>
      </c>
    </row>
    <row r="14" spans="1:3">
      <c r="A14" s="3" t="str">
        <f>"OTRO"</f>
        <v>OTRO</v>
      </c>
      <c r="B14" s="8">
        <v>28</v>
      </c>
      <c r="C14" s="9">
        <v>2.5000000000000001E-3</v>
      </c>
    </row>
    <row r="15" spans="1:3">
      <c r="A15" s="3" t="str">
        <f>"CHOFER"</f>
        <v>CHOFER</v>
      </c>
      <c r="B15" s="8">
        <v>27</v>
      </c>
      <c r="C15" s="9">
        <v>2.3999999999999998E-3</v>
      </c>
    </row>
    <row r="16" spans="1:3">
      <c r="A16" s="3" t="str">
        <f>"CAJERO(A)"</f>
        <v>CAJERO(A)</v>
      </c>
      <c r="B16" s="8">
        <v>26</v>
      </c>
      <c r="C16" s="9">
        <v>2.3E-3</v>
      </c>
    </row>
    <row r="17" spans="1:3">
      <c r="A17" s="3" t="str">
        <f>"PANADERO(A)"</f>
        <v>PANADERO(A)</v>
      </c>
      <c r="B17" s="8">
        <v>24</v>
      </c>
      <c r="C17" s="9">
        <v>2.2000000000000001E-3</v>
      </c>
    </row>
    <row r="18" spans="1:3">
      <c r="A18" s="3" t="str">
        <f>"OPERARIO(A)"</f>
        <v>OPERARIO(A)</v>
      </c>
      <c r="B18" s="8">
        <v>11</v>
      </c>
      <c r="C18" s="9">
        <v>1E-3</v>
      </c>
    </row>
    <row r="19" spans="1:3">
      <c r="A19" s="3" t="str">
        <f>"CARNICERO"</f>
        <v>CARNICERO</v>
      </c>
      <c r="B19" s="8">
        <v>10</v>
      </c>
      <c r="C19" s="9">
        <v>8.9999999999999998E-4</v>
      </c>
    </row>
    <row r="20" spans="1:3">
      <c r="A20" s="3" t="str">
        <f>"PROFESIONISTA"</f>
        <v>PROFESIONISTA</v>
      </c>
      <c r="B20" s="8">
        <v>8</v>
      </c>
      <c r="C20" s="9">
        <v>6.9999999999999999E-4</v>
      </c>
    </row>
    <row r="21" spans="1:3">
      <c r="A21" s="3" t="str">
        <f>"JUBILADO(A)"</f>
        <v>JUBILADO(A)</v>
      </c>
      <c r="B21" s="8">
        <v>2</v>
      </c>
      <c r="C21" s="9">
        <v>2.0000000000000001E-4</v>
      </c>
    </row>
    <row r="22" spans="1:3">
      <c r="A22" s="3" t="str">
        <f>"PLANCHADOR(A)"</f>
        <v>PLANCHADOR(A)</v>
      </c>
      <c r="B22" s="8">
        <v>1</v>
      </c>
      <c r="C22" s="9">
        <v>1E-4</v>
      </c>
    </row>
    <row r="23" spans="1:3">
      <c r="A23" s="3" t="str">
        <f>"SACERDOTE"</f>
        <v>SACERDOTE</v>
      </c>
      <c r="B23" s="8">
        <v>1</v>
      </c>
      <c r="C23" s="9">
        <v>1E-4</v>
      </c>
    </row>
    <row r="24" spans="1:3">
      <c r="A24" s="10" t="str">
        <f>"ESTADOS UNIDOS DE AMERICA-New Jersey"</f>
        <v>ESTADOS UNIDOS DE AMERICA-New Jersey</v>
      </c>
      <c r="B24" s="4">
        <v>11080</v>
      </c>
      <c r="C24" s="5">
        <v>1</v>
      </c>
    </row>
    <row r="25" spans="1:3">
      <c r="A25" s="11" t="str">
        <f>"ESTADOS UNIDOS DE AMERICA"</f>
        <v>ESTADOS UNIDOS DE AMERICA</v>
      </c>
      <c r="B25" s="12">
        <v>11080</v>
      </c>
      <c r="C25" s="13">
        <v>1</v>
      </c>
    </row>
  </sheetData>
  <mergeCells count="1">
    <mergeCell ref="B1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2012-03-05T19:47:53Z</dcterms:created>
  <dcterms:modified xsi:type="dcterms:W3CDTF">2012-03-05T19:47:53Z</dcterms:modified>
</cp:coreProperties>
</file>