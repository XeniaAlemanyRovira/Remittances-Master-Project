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20" activeTab="1"/>
  </bookViews>
  <sheets>
    <sheet name="Índice" sheetId="10" r:id="rId1"/>
    <sheet name="New Hampshire_Edomexgral" sheetId="2" r:id="rId2"/>
    <sheet name="New Hampshire_EDOMEX" sheetId="14" r:id="rId3"/>
    <sheet name="New Hampshire_Educagral" sheetId="12" r:id="rId4"/>
    <sheet name="New Hampshire_Eduedo" sheetId="13" r:id="rId5"/>
    <sheet name="New Hampshire_gengral" sheetId="6" r:id="rId6"/>
    <sheet name="New Hampshire_edomexgen" sheetId="7" r:id="rId7"/>
    <sheet name="New Hampshire_edadgen" sheetId="8" r:id="rId8"/>
    <sheet name="New Hampshire_ocupgral" sheetId="9" r:id="rId9"/>
  </sheets>
  <definedNames>
    <definedName name="_xlnm._FilterDatabase" localSheetId="7" hidden="1">'New Hampshire_edadgen'!$B$9:$E$9</definedName>
    <definedName name="_xlnm._FilterDatabase" localSheetId="2" hidden="1">'New Hampshire_EDOMEX'!$B$9:$E$9</definedName>
    <definedName name="_xlnm._FilterDatabase" localSheetId="6" hidden="1">'New Hampshire_edomexgen'!$B$9:$E$9</definedName>
    <definedName name="_xlnm._FilterDatabase" localSheetId="1" hidden="1">'New Hampshire_Edomexgral'!$B$11:$D$11</definedName>
    <definedName name="_xlnm._FilterDatabase" localSheetId="3" hidden="1">'New Hampshire_Educagral'!$B$11:$D$11</definedName>
    <definedName name="_xlnm._FilterDatabase" localSheetId="4" hidden="1">'New Hampshire_Eduedo'!$B$9:$E$9</definedName>
    <definedName name="_xlnm._FilterDatabase" localSheetId="5" hidden="1">'New Hampshire_gengral'!$B$11:$D$11</definedName>
    <definedName name="_xlnm._FilterDatabase" localSheetId="8" hidden="1">'New Hampshire_ocupgral'!$B$11:$D$11</definedName>
    <definedName name="_xlnm.Print_Area" localSheetId="7">'New Hampshire_edadgen'!$A$1:$E$9</definedName>
    <definedName name="_xlnm.Print_Area" localSheetId="2">'New Hampshire_EDOMEX'!$A$1:$E$9</definedName>
    <definedName name="_xlnm.Print_Area" localSheetId="6">'New Hampshire_edomexgen'!$A$1:$E$9</definedName>
    <definedName name="_xlnm.Print_Area" localSheetId="4">'New Hampshire_Eduedo'!$A$1:$E$9</definedName>
    <definedName name="_xlnm.Print_Titles" localSheetId="7">'New Hampshire_edadgen'!$1:$9</definedName>
    <definedName name="_xlnm.Print_Titles" localSheetId="2">'New Hampshire_EDOMEX'!$1:$9</definedName>
    <definedName name="_xlnm.Print_Titles" localSheetId="6">'New Hampshire_edomexgen'!$1:$9</definedName>
    <definedName name="_xlnm.Print_Titles" localSheetId="1">'New Hampshire_Edomexgral'!$1:$11</definedName>
    <definedName name="_xlnm.Print_Titles" localSheetId="3">'New Hampshire_Educagral'!$1:$11</definedName>
    <definedName name="_xlnm.Print_Titles" localSheetId="4">'New Hampshire_Eduedo'!$1:$9</definedName>
    <definedName name="_xlnm.Print_Titles" localSheetId="5">'New Hampshire_gengral'!$1:$11</definedName>
    <definedName name="_xlnm.Print_Titles" localSheetId="8">'New Hampshire_ocupgral'!$1:$11</definedName>
  </definedNames>
  <calcPr calcId="152511"/>
</workbook>
</file>

<file path=xl/calcChain.xml><?xml version="1.0" encoding="utf-8"?>
<calcChain xmlns="http://schemas.openxmlformats.org/spreadsheetml/2006/main">
  <c r="D65" i="7" l="1"/>
  <c r="D92" i="14"/>
</calcChain>
</file>

<file path=xl/sharedStrings.xml><?xml version="1.0" encoding="utf-8"?>
<sst xmlns="http://schemas.openxmlformats.org/spreadsheetml/2006/main" count="402" uniqueCount="139">
  <si>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</si>
  <si>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</si>
  <si>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</si>
  <si>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</si>
  <si>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Tamaulipas</t>
  </si>
  <si>
    <t>Oaxaca</t>
  </si>
  <si>
    <t>Baja California</t>
  </si>
  <si>
    <t>Michoacán</t>
  </si>
  <si>
    <t>Durango</t>
  </si>
  <si>
    <t>Guanajuato</t>
  </si>
  <si>
    <t>Ciudad de México</t>
  </si>
  <si>
    <t>Puebla</t>
  </si>
  <si>
    <t>Estado de México</t>
  </si>
  <si>
    <t>Colima</t>
  </si>
  <si>
    <t>Zacatecas</t>
  </si>
  <si>
    <t>Veracruz</t>
  </si>
  <si>
    <t>Guerrero</t>
  </si>
  <si>
    <t>Jalisco</t>
  </si>
  <si>
    <t>Chiapas</t>
  </si>
  <si>
    <t>Querétaro</t>
  </si>
  <si>
    <t>Porcentaje de Matrículas</t>
  </si>
  <si>
    <t>Número de Matrículas</t>
  </si>
  <si>
    <t>Estado de Origen</t>
  </si>
  <si>
    <t>Sombrerete</t>
  </si>
  <si>
    <t>Landa de Matamoros</t>
  </si>
  <si>
    <t>El Marqués</t>
  </si>
  <si>
    <t>Guadalajara</t>
  </si>
  <si>
    <t>Mártir de Cuilapan</t>
  </si>
  <si>
    <t>Manzanillo</t>
  </si>
  <si>
    <t>Municipio Origen</t>
  </si>
  <si>
    <t>Profesional Titulado</t>
  </si>
  <si>
    <t>Preparatoria con certificado</t>
  </si>
  <si>
    <t>Preparatoria sin certificado</t>
  </si>
  <si>
    <t>Secundaria con certificado</t>
  </si>
  <si>
    <t>2° Secundaria</t>
  </si>
  <si>
    <t>Primaria con certificado</t>
  </si>
  <si>
    <t>6° Primaria</t>
  </si>
  <si>
    <t>3° Primaria</t>
  </si>
  <si>
    <t>Nivel de Estudios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</si>
  <si>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</si>
  <si>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</si>
  <si>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</si>
  <si>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</si>
  <si>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</si>
  <si>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</si>
  <si>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</si>
  <si>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</si>
  <si>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</si>
  <si>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</si>
  <si>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Edad cumplida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</si>
  <si>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</si>
  <si>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</si>
  <si>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</si>
  <si>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</si>
  <si>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</si>
  <si>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</si>
  <si>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</si>
  <si>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</si>
  <si>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</si>
  <si>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</si>
  <si>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</si>
  <si>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</si>
  <si>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</si>
  <si>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</si>
  <si>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</si>
  <si>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</si>
  <si>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EN EL ESTADO DE NEW HAMPSHIRE EN EE.UU. POR NIVEL DE EDUCACIÓN</t>
  </si>
  <si>
    <t>Profesional titulado</t>
  </si>
  <si>
    <t>Tabasco</t>
  </si>
  <si>
    <t>Hidalgo</t>
  </si>
  <si>
    <t>Acapulco de Juárez</t>
  </si>
  <si>
    <t>San Luis Acatlán</t>
  </si>
  <si>
    <t>Tijuana</t>
  </si>
  <si>
    <t>Vicente Guerrero</t>
  </si>
  <si>
    <t>Igualapa</t>
  </si>
  <si>
    <t>La Piedad</t>
  </si>
  <si>
    <t>Heroica Ciudad de Ejutla de Crespo</t>
  </si>
  <si>
    <t>Hermenegildo Galeana</t>
  </si>
  <si>
    <t>Jalpan de Serra</t>
  </si>
  <si>
    <t>José Azueta</t>
  </si>
  <si>
    <t>5° Primaria</t>
  </si>
  <si>
    <t>Profesional pasante</t>
  </si>
  <si>
    <t>Entre 66 y 75 Años</t>
  </si>
  <si>
    <t>Más de 75 Años</t>
  </si>
  <si>
    <t>Matrículas consulares expedidas a mexicanos  en el estado de New Hampshire en el 2022.</t>
  </si>
  <si>
    <t>Ensenada</t>
  </si>
  <si>
    <t>Chamula</t>
  </si>
  <si>
    <t>Chanal</t>
  </si>
  <si>
    <t>Ixtapa</t>
  </si>
  <si>
    <t>La Trinitaria</t>
  </si>
  <si>
    <t>Mapastepec</t>
  </si>
  <si>
    <t>Teopisca</t>
  </si>
  <si>
    <t>Coahuila</t>
  </si>
  <si>
    <t>Torreón</t>
  </si>
  <si>
    <t>Coquimatlán</t>
  </si>
  <si>
    <t>Azcapotzalco</t>
  </si>
  <si>
    <t>Ecatepec de Morelos</t>
  </si>
  <si>
    <t>Tultitlán</t>
  </si>
  <si>
    <t>Cortazar</t>
  </si>
  <si>
    <t>Manuel Doblado</t>
  </si>
  <si>
    <t>San Luis de la Paz</t>
  </si>
  <si>
    <t>Atlamajalcingo del Monte</t>
  </si>
  <si>
    <t>Malinaltepec</t>
  </si>
  <si>
    <t>Xalpatláhuac</t>
  </si>
  <si>
    <t>Huehuetla</t>
  </si>
  <si>
    <t>Ameca</t>
  </si>
  <si>
    <t>Ecuandureo</t>
  </si>
  <si>
    <t>Lázaro Cárdenas</t>
  </si>
  <si>
    <t>Morelos</t>
  </si>
  <si>
    <t>Tepalcingo</t>
  </si>
  <si>
    <t>Miahuatlán de Porfirio Díaz</t>
  </si>
  <si>
    <t>San Antonino Monte Verde</t>
  </si>
  <si>
    <t>San Juan Quiahije</t>
  </si>
  <si>
    <t>San Juan Quiotepec</t>
  </si>
  <si>
    <t>Huehuetlán el Chico</t>
  </si>
  <si>
    <t>Tepeaca</t>
  </si>
  <si>
    <t>Amealco de Bonfil</t>
  </si>
  <si>
    <t>San Juan del Río</t>
  </si>
  <si>
    <t>Sinaloa</t>
  </si>
  <si>
    <t>Guasave</t>
  </si>
  <si>
    <t>Cárdenas</t>
  </si>
  <si>
    <t>Huimanguillo</t>
  </si>
  <si>
    <t>Tampico</t>
  </si>
  <si>
    <t>Coscomatepec</t>
  </si>
  <si>
    <t>Pánuco</t>
  </si>
  <si>
    <t>Soledad de Doblado</t>
  </si>
  <si>
    <t>Xalapa</t>
  </si>
  <si>
    <t>Yucatán</t>
  </si>
  <si>
    <t>Valladolid</t>
  </si>
  <si>
    <t>Tamaño de la muestra: 566,547</t>
  </si>
  <si>
    <t>Mayo de 2023</t>
  </si>
  <si>
    <t>MATRÍCULAS CONSULARES DE ALTA SEGURIDAD EXPEDIDAS EN EL ESTADO DE NEW HAMPSHIRE EN EE.UU. POR ESTADO DE LA REPÚBLICA MEXICANA</t>
  </si>
  <si>
    <t>MATRÍCULAS CONSULARES DE ALTA SEGURIDAD EXPEDIDAS EN EE.UU A MEXICANOS EN EL ESTADO DE  NEW HAMPSHIRE, POR PERFIL OCUPACIONAL</t>
  </si>
  <si>
    <t>Estudiante</t>
  </si>
  <si>
    <t>Mesero(a)</t>
  </si>
  <si>
    <t>Otro</t>
  </si>
  <si>
    <t xml:space="preserve">MATRÍCULAS CONSULARES DE ALTA SEGURIDAD EXPEDIDAS EN EE.UU A MEXICANOS EN EL ESTADO DE NEW HAMPSHIRE, POR GÉNERO </t>
  </si>
  <si>
    <t>Entre 11 y 17 Años</t>
  </si>
  <si>
    <t>2°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</si>
</sst>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1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78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0" fontId="16" fillId="3" borderId="0" xfId="0" applyFont="1" applyFill="1"/>
    <xf numFmtId="0" fontId="9" fillId="3" borderId="0" xfId="0" applyFont="1" applyFill="1"/>
    <xf numFmtId="0" fontId="17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9" fillId="0" borderId="0" xfId="0" applyFont="1"/>
    <xf numFmtId="0" fontId="20" fillId="0" borderId="8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20" fillId="0" borderId="8" xfId="0" applyFont="1" applyBorder="1" applyAlignment="1"/>
    <xf numFmtId="0" fontId="20" fillId="0" borderId="0" xfId="0" applyFont="1" applyBorder="1" applyAlignment="1"/>
    <xf numFmtId="0" fontId="20" fillId="0" borderId="9" xfId="0" applyFont="1" applyBorder="1" applyAlignment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1" fillId="0" borderId="0" xfId="4" quotePrefix="1"/>
    <xf numFmtId="0" fontId="23" fillId="0" borderId="8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14" fillId="0" borderId="0" xfId="0" applyFont="1" applyAlignment="1">
      <alignment horizontal="justify" vertical="center"/>
    </xf>
    <xf numFmtId="0" fontId="14" fillId="0" borderId="0" xfId="0" applyFont="1" applyAlignment="1">
      <alignment vertical="top"/>
    </xf>
    <xf numFmtId="0" fontId="24" fillId="5" borderId="2" xfId="3" applyFont="1" applyFill="1" applyBorder="1" applyAlignment="1">
      <alignment horizontal="center" vertical="center" wrapText="1"/>
    </xf>
    <xf numFmtId="1" fontId="24" fillId="5" borderId="2" xfId="3" applyNumberFormat="1" applyFont="1" applyFill="1" applyBorder="1" applyAlignment="1">
      <alignment horizontal="center" vertical="center" wrapText="1"/>
    </xf>
    <xf numFmtId="49" fontId="15" fillId="6" borderId="1" xfId="2" applyNumberFormat="1" applyFont="1" applyFill="1" applyBorder="1" applyAlignment="1">
      <alignment vertical="center" wrapText="1"/>
    </xf>
    <xf numFmtId="166" fontId="15" fillId="6" borderId="1" xfId="2" applyNumberFormat="1" applyFont="1" applyFill="1" applyBorder="1" applyAlignment="1">
      <alignment horizontal="right" vertical="center" wrapText="1"/>
    </xf>
    <xf numFmtId="164" fontId="15" fillId="6" borderId="1" xfId="2" applyNumberFormat="1" applyFont="1" applyFill="1" applyBorder="1" applyAlignment="1">
      <alignment horizontal="right" vertical="center" wrapText="1"/>
    </xf>
    <xf numFmtId="49" fontId="24" fillId="7" borderId="1" xfId="2" applyNumberFormat="1" applyFont="1" applyFill="1" applyBorder="1" applyAlignment="1">
      <alignment vertical="center" wrapText="1"/>
    </xf>
    <xf numFmtId="3" fontId="24" fillId="7" borderId="1" xfId="2" applyNumberFormat="1" applyFont="1" applyFill="1" applyBorder="1" applyAlignment="1">
      <alignment horizontal="right" vertical="center" wrapText="1"/>
    </xf>
    <xf numFmtId="165" fontId="24" fillId="7" borderId="1" xfId="1" applyNumberFormat="1" applyFont="1" applyFill="1" applyBorder="1" applyAlignment="1">
      <alignment vertical="center" wrapText="1"/>
    </xf>
    <xf numFmtId="3" fontId="24" fillId="8" borderId="1" xfId="0" applyNumberFormat="1" applyFont="1" applyFill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5" fillId="6" borderId="0" xfId="0" applyFont="1" applyFill="1" applyBorder="1"/>
    <xf numFmtId="0" fontId="25" fillId="6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top"/>
    </xf>
    <xf numFmtId="0" fontId="22" fillId="0" borderId="0" xfId="4" applyFont="1" applyBorder="1" applyAlignment="1">
      <alignment horizontal="left"/>
    </xf>
    <xf numFmtId="0" fontId="22" fillId="0" borderId="9" xfId="4" applyFont="1" applyBorder="1" applyAlignment="1">
      <alignment horizontal="left"/>
    </xf>
    <xf numFmtId="0" fontId="22" fillId="0" borderId="8" xfId="4" applyFont="1" applyBorder="1" applyAlignment="1">
      <alignment horizontal="left"/>
    </xf>
    <xf numFmtId="0" fontId="18" fillId="2" borderId="0" xfId="0" applyFont="1" applyFill="1" applyAlignment="1">
      <alignment horizontal="center" wrapText="1"/>
    </xf>
    <xf numFmtId="0" fontId="20" fillId="0" borderId="8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5" fillId="6" borderId="2" xfId="2" applyNumberFormat="1" applyFont="1" applyFill="1" applyBorder="1" applyAlignment="1">
      <alignment horizontal="center" vertical="center" wrapText="1"/>
    </xf>
    <xf numFmtId="49" fontId="15" fillId="6" borderId="7" xfId="2" applyNumberFormat="1" applyFont="1" applyFill="1" applyBorder="1" applyAlignment="1">
      <alignment horizontal="center" vertical="center" wrapText="1"/>
    </xf>
    <xf numFmtId="49" fontId="15" fillId="6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24" fillId="8" borderId="5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480117</xdr:colOff>
      <xdr:row>2</xdr:row>
      <xdr:rowOff>212681</xdr:rowOff>
    </xdr:from>
    <xdr:to>
      <xdr:col>3</xdr:col>
      <xdr:colOff>992214</xdr:colOff>
      <xdr:row>3</xdr:row>
      <xdr:rowOff>212682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4342" y="984206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133350</xdr:rowOff>
    </xdr:from>
    <xdr:to>
      <xdr:col>5</xdr:col>
      <xdr:colOff>64422</xdr:colOff>
      <xdr:row>8</xdr:row>
      <xdr:rowOff>122145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6573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NEW HAMPSHIRE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142875</xdr:rowOff>
    </xdr:from>
    <xdr:to>
      <xdr:col>4</xdr:col>
      <xdr:colOff>1064547</xdr:colOff>
      <xdr:row>7</xdr:row>
      <xdr:rowOff>333376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NEW HAMPSHIRE,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548701</xdr:colOff>
      <xdr:row>7</xdr:row>
      <xdr:rowOff>51006</xdr:rowOff>
    </xdr:from>
    <xdr:to>
      <xdr:col>5</xdr:col>
      <xdr:colOff>1060798</xdr:colOff>
      <xdr:row>7</xdr:row>
      <xdr:rowOff>241507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308525" y="17991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38100</xdr:rowOff>
    </xdr:from>
    <xdr:to>
      <xdr:col>5</xdr:col>
      <xdr:colOff>235872</xdr:colOff>
      <xdr:row>8</xdr:row>
      <xdr:rowOff>26895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72025" y="15621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HAMPSHIRE,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118241</xdr:rowOff>
    </xdr:from>
    <xdr:to>
      <xdr:col>4</xdr:col>
      <xdr:colOff>1096735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2328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HAMPSHIRE,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170793</xdr:rowOff>
    </xdr:from>
    <xdr:to>
      <xdr:col>4</xdr:col>
      <xdr:colOff>1031045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HAMPSHIRE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7</xdr:row>
      <xdr:rowOff>133350</xdr:rowOff>
    </xdr:from>
    <xdr:to>
      <xdr:col>5</xdr:col>
      <xdr:colOff>131097</xdr:colOff>
      <xdr:row>8</xdr:row>
      <xdr:rowOff>122145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6573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F7" sqref="F7"/>
    </sheetView>
  </sheetViews>
  <sheetFormatPr baseColWidth="10" defaultColWidth="11.42578125" defaultRowHeight="18"/>
  <cols>
    <col min="1" max="1" width="5.140625" style="34" customWidth="1"/>
    <col min="2" max="2" width="20" style="34" customWidth="1"/>
    <col min="3" max="3" width="24.7109375" style="34" customWidth="1"/>
    <col min="4" max="4" width="28.85546875" style="34" customWidth="1"/>
    <col min="5" max="16384" width="11.42578125" style="34"/>
  </cols>
  <sheetData>
    <row r="1" spans="1:4" ht="42" customHeight="1">
      <c r="A1" s="67" t="s">
        <v>84</v>
      </c>
      <c r="B1" s="67"/>
      <c r="C1" s="67"/>
      <c r="D1" s="67"/>
    </row>
    <row r="2" spans="1:4" ht="18.75">
      <c r="A2" s="45"/>
      <c r="B2" s="46"/>
      <c r="C2" s="46"/>
      <c r="D2" s="47"/>
    </row>
    <row r="3" spans="1:4">
      <c r="A3" s="68" t="s">
        <v>54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35"/>
      <c r="B5" s="36"/>
      <c r="C5" s="36"/>
      <c r="D5" s="37"/>
    </row>
    <row r="6" spans="1:4" ht="18.75">
      <c r="A6" s="66" t="s">
        <v>55</v>
      </c>
      <c r="B6" s="64"/>
      <c r="C6" s="64"/>
      <c r="D6" s="65"/>
    </row>
    <row r="7" spans="1:4" ht="18.75">
      <c r="A7" s="38"/>
      <c r="B7" s="39"/>
      <c r="C7" s="39"/>
      <c r="D7" s="40"/>
    </row>
    <row r="8" spans="1:4" ht="18.75">
      <c r="A8" s="38" t="s">
        <v>56</v>
      </c>
      <c r="B8" s="39"/>
      <c r="C8" s="39"/>
      <c r="D8" s="40"/>
    </row>
    <row r="9" spans="1:4" ht="18.75">
      <c r="A9" s="38"/>
      <c r="B9" s="64" t="s">
        <v>57</v>
      </c>
      <c r="C9" s="64"/>
      <c r="D9" s="65"/>
    </row>
    <row r="10" spans="1:4" ht="18.75">
      <c r="A10" s="38" t="s">
        <v>58</v>
      </c>
      <c r="B10" s="39"/>
      <c r="C10" s="39"/>
      <c r="D10" s="40"/>
    </row>
    <row r="11" spans="1:4" ht="18.75">
      <c r="A11" s="38"/>
      <c r="B11" s="64" t="s">
        <v>59</v>
      </c>
      <c r="C11" s="64"/>
      <c r="D11" s="65"/>
    </row>
    <row r="12" spans="1:4" ht="18.75">
      <c r="A12" s="38"/>
      <c r="B12" s="64" t="s">
        <v>60</v>
      </c>
      <c r="C12" s="64"/>
      <c r="D12" s="65"/>
    </row>
    <row r="13" spans="1:4" ht="18.75">
      <c r="A13" s="38"/>
      <c r="B13" s="39"/>
      <c r="C13" s="39"/>
      <c r="D13" s="40"/>
    </row>
    <row r="14" spans="1:4" ht="18.75">
      <c r="A14" s="38" t="s">
        <v>61</v>
      </c>
      <c r="B14" s="39"/>
      <c r="C14" s="39"/>
      <c r="D14" s="40"/>
    </row>
    <row r="15" spans="1:4" ht="18.75">
      <c r="A15" s="38"/>
      <c r="B15" s="64" t="s">
        <v>62</v>
      </c>
      <c r="C15" s="64"/>
      <c r="D15" s="65"/>
    </row>
    <row r="16" spans="1:4" ht="18.75">
      <c r="A16" s="38"/>
      <c r="B16" s="64" t="s">
        <v>63</v>
      </c>
      <c r="C16" s="64"/>
      <c r="D16" s="65"/>
    </row>
    <row r="17" spans="1:4" ht="18.75">
      <c r="A17" s="38"/>
      <c r="B17" s="39"/>
      <c r="C17" s="39"/>
      <c r="D17" s="40"/>
    </row>
    <row r="18" spans="1:4" ht="18.75">
      <c r="A18" s="66" t="s">
        <v>64</v>
      </c>
      <c r="B18" s="64"/>
      <c r="C18" s="64"/>
      <c r="D18" s="65"/>
    </row>
    <row r="19" spans="1:4" ht="18.75">
      <c r="A19" s="38"/>
      <c r="B19" s="39"/>
      <c r="C19" s="39"/>
      <c r="D19" s="40"/>
    </row>
    <row r="20" spans="1:4" ht="18.75">
      <c r="A20" s="66" t="s">
        <v>65</v>
      </c>
      <c r="B20" s="64"/>
      <c r="C20" s="64"/>
      <c r="D20" s="65"/>
    </row>
    <row r="21" spans="1:4" ht="19.5" thickBot="1">
      <c r="A21" s="41"/>
      <c r="B21" s="42"/>
      <c r="C21" s="42"/>
      <c r="D21" s="4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Hampshire_Edomexgral'!A1" display="1. Por Estados de la República Mexicana"/>
    <hyperlink ref="B9" location="Nebraska_EDOMEX!A1" display="2.1 Por estado de la República Mexicana y municipio de origen"/>
    <hyperlink ref="B11:D11" location="'New Hampshire_Educagral'!A1" display="3.1 Educación general"/>
    <hyperlink ref="B12:D12" location="'New Hampshire_Eduedo'!A1" display="3.2 Por Estado de la República Mexicana"/>
    <hyperlink ref="B15:D15" location="'New Hampshire_gengral'!A1" display="4.1 Género General"/>
    <hyperlink ref="B16:D16" location="'New Hampshire_edomexgen'!A1" display="4.2 Por Estados de la República Mexicana"/>
    <hyperlink ref="A18:D18" location="'New Hampshire_edadgen'!A1" display="5. Por estructura de Edad"/>
    <hyperlink ref="A20:D20" location="'New Hampshire_ocupgral'!A1" display="6. Por Ocupación"/>
    <hyperlink ref="B9:D9" location="'New Hampshire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0"/>
  <sheetViews>
    <sheetView showGridLines="0" tabSelected="1" topLeftCell="A13" zoomScaleNormal="100" zoomScaleSheetLayoutView="115" workbookViewId="0">
      <selection activeCell="G32" sqref="G3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131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22</v>
      </c>
      <c r="C11" s="15" t="s">
        <v>21</v>
      </c>
      <c r="D11" s="14" t="s">
        <v>20</v>
      </c>
    </row>
    <row r="12" spans="1:5">
      <c r="B12" s="11" t="s">
        <v>16</v>
      </c>
      <c r="C12" s="10">
        <v>17</v>
      </c>
      <c r="D12" s="9">
        <v>0.17708333333333334</v>
      </c>
    </row>
    <row r="13" spans="1:5">
      <c r="B13" s="11" t="s">
        <v>19</v>
      </c>
      <c r="C13" s="10">
        <v>14</v>
      </c>
      <c r="D13" s="9">
        <v>0.14583333333333334</v>
      </c>
    </row>
    <row r="14" spans="1:5">
      <c r="A14" s="12"/>
      <c r="B14" s="11" t="s">
        <v>15</v>
      </c>
      <c r="C14" s="10">
        <v>9</v>
      </c>
      <c r="D14" s="9">
        <v>9.375E-2</v>
      </c>
      <c r="E14" s="12"/>
    </row>
    <row r="15" spans="1:5">
      <c r="A15" s="12"/>
      <c r="B15" s="11" t="s">
        <v>13</v>
      </c>
      <c r="C15" s="10">
        <v>7</v>
      </c>
      <c r="D15" s="9">
        <v>7.2916666666666671E-2</v>
      </c>
      <c r="E15" s="12"/>
    </row>
    <row r="16" spans="1:5">
      <c r="B16" s="11" t="s">
        <v>18</v>
      </c>
      <c r="C16" s="10">
        <v>6</v>
      </c>
      <c r="D16" s="9">
        <v>6.25E-2</v>
      </c>
    </row>
    <row r="17" spans="2:4">
      <c r="B17" s="11" t="s">
        <v>5</v>
      </c>
      <c r="C17" s="10">
        <v>6</v>
      </c>
      <c r="D17" s="9">
        <v>6.25E-2</v>
      </c>
    </row>
    <row r="18" spans="2:4">
      <c r="B18" s="11" t="s">
        <v>14</v>
      </c>
      <c r="C18" s="10">
        <v>6</v>
      </c>
      <c r="D18" s="9">
        <v>6.25E-2</v>
      </c>
    </row>
    <row r="19" spans="2:4">
      <c r="B19" s="11" t="s">
        <v>11</v>
      </c>
      <c r="C19" s="10">
        <v>5</v>
      </c>
      <c r="D19" s="9">
        <v>5.2083333333333336E-2</v>
      </c>
    </row>
    <row r="20" spans="2:4">
      <c r="B20" s="11" t="s">
        <v>9</v>
      </c>
      <c r="C20" s="10">
        <v>4</v>
      </c>
      <c r="D20" s="9">
        <v>4.1666666666666664E-2</v>
      </c>
    </row>
    <row r="21" spans="2:4">
      <c r="B21" s="11" t="s">
        <v>8</v>
      </c>
      <c r="C21" s="10">
        <v>3</v>
      </c>
      <c r="D21" s="9">
        <v>3.125E-2</v>
      </c>
    </row>
    <row r="22" spans="2:4">
      <c r="B22" s="11" t="s">
        <v>7</v>
      </c>
      <c r="C22" s="10">
        <v>3</v>
      </c>
      <c r="D22" s="9">
        <v>3.125E-2</v>
      </c>
    </row>
    <row r="23" spans="2:4">
      <c r="B23" s="11" t="s">
        <v>68</v>
      </c>
      <c r="C23" s="10">
        <v>3</v>
      </c>
      <c r="D23" s="9">
        <v>3.125E-2</v>
      </c>
    </row>
    <row r="24" spans="2:4">
      <c r="B24" s="11" t="s">
        <v>6</v>
      </c>
      <c r="C24" s="10">
        <v>2</v>
      </c>
      <c r="D24" s="9">
        <v>2.0833333333333332E-2</v>
      </c>
    </row>
    <row r="25" spans="2:4">
      <c r="B25" s="11" t="s">
        <v>12</v>
      </c>
      <c r="C25" s="10">
        <v>2</v>
      </c>
      <c r="D25" s="9">
        <v>2.0833333333333332E-2</v>
      </c>
    </row>
    <row r="26" spans="2:4">
      <c r="B26" s="11" t="s">
        <v>17</v>
      </c>
      <c r="C26" s="10">
        <v>2</v>
      </c>
      <c r="D26" s="9">
        <v>2.0833333333333332E-2</v>
      </c>
    </row>
    <row r="27" spans="2:4">
      <c r="B27" s="11" t="s">
        <v>92</v>
      </c>
      <c r="C27" s="10">
        <v>1</v>
      </c>
      <c r="D27" s="9">
        <v>1.0416666666666666E-2</v>
      </c>
    </row>
    <row r="28" spans="2:4">
      <c r="B28" s="11" t="s">
        <v>10</v>
      </c>
      <c r="C28" s="10">
        <v>1</v>
      </c>
      <c r="D28" s="9">
        <v>1.0416666666666666E-2</v>
      </c>
    </row>
    <row r="29" spans="2:4">
      <c r="B29" s="11" t="s">
        <v>69</v>
      </c>
      <c r="C29" s="10">
        <v>1</v>
      </c>
      <c r="D29" s="9">
        <v>1.0416666666666666E-2</v>
      </c>
    </row>
    <row r="30" spans="2:4">
      <c r="B30" s="11" t="s">
        <v>108</v>
      </c>
      <c r="C30" s="10">
        <v>1</v>
      </c>
      <c r="D30" s="9">
        <v>1.0416666666666666E-2</v>
      </c>
    </row>
    <row r="31" spans="2:4">
      <c r="B31" s="11" t="s">
        <v>118</v>
      </c>
      <c r="C31" s="10">
        <v>1</v>
      </c>
      <c r="D31" s="9">
        <v>1.0416666666666666E-2</v>
      </c>
    </row>
    <row r="32" spans="2:4">
      <c r="B32" s="11" t="s">
        <v>4</v>
      </c>
      <c r="C32" s="10">
        <v>1</v>
      </c>
      <c r="D32" s="9">
        <v>1.0416666666666666E-2</v>
      </c>
    </row>
    <row r="33" spans="2:4">
      <c r="B33" s="11" t="s">
        <v>127</v>
      </c>
      <c r="C33" s="10">
        <v>1</v>
      </c>
      <c r="D33" s="9">
        <v>1.0416666666666666E-2</v>
      </c>
    </row>
    <row r="34" spans="2:4">
      <c r="B34" s="8" t="s">
        <v>3</v>
      </c>
      <c r="C34" s="7">
        <v>96</v>
      </c>
      <c r="D34" s="6">
        <v>1</v>
      </c>
    </row>
    <row r="36" spans="2:4">
      <c r="B36" s="3" t="s">
        <v>129</v>
      </c>
    </row>
    <row r="37" spans="2:4">
      <c r="B37" s="5" t="s">
        <v>2</v>
      </c>
    </row>
    <row r="38" spans="2:4">
      <c r="B38" s="4" t="s">
        <v>1</v>
      </c>
    </row>
    <row r="39" spans="2:4">
      <c r="B39" s="3" t="s">
        <v>0</v>
      </c>
    </row>
    <row r="40" spans="2:4">
      <c r="B40" s="3" t="s">
        <v>130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88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8" customFormat="1" ht="12" customHeight="1">
      <c r="B1" s="32"/>
      <c r="C1" s="31"/>
      <c r="D1" s="31"/>
      <c r="E1" s="31"/>
    </row>
    <row r="2" spans="1:5" s="28" customFormat="1" ht="15" customHeight="1">
      <c r="C2" s="30"/>
    </row>
    <row r="3" spans="1:5" s="28" customFormat="1" ht="15" customHeight="1">
      <c r="C3" s="30"/>
    </row>
    <row r="4" spans="1:5" s="28" customFormat="1" ht="30" customHeight="1">
      <c r="C4" s="30"/>
      <c r="D4" s="29"/>
    </row>
    <row r="5" spans="1:5" s="28" customFormat="1" ht="15" customHeight="1">
      <c r="C5" s="30"/>
      <c r="D5" s="29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75"/>
      <c r="C7" s="75"/>
      <c r="D7" s="75"/>
      <c r="E7" s="75"/>
    </row>
    <row r="8" spans="1:5" s="25" customFormat="1" ht="33" customHeight="1">
      <c r="A8" s="26"/>
      <c r="B8" s="75"/>
      <c r="C8" s="75"/>
      <c r="D8" s="75"/>
      <c r="E8" s="75"/>
    </row>
    <row r="9" spans="1:5" s="13" customFormat="1" ht="40.5" customHeight="1">
      <c r="B9" s="50" t="s">
        <v>22</v>
      </c>
      <c r="C9" s="50" t="s">
        <v>29</v>
      </c>
      <c r="D9" s="51" t="s">
        <v>21</v>
      </c>
      <c r="E9" s="50" t="s">
        <v>20</v>
      </c>
    </row>
    <row r="10" spans="1:5" ht="15" customHeight="1">
      <c r="B10" s="72" t="s">
        <v>6</v>
      </c>
      <c r="C10" s="52" t="s">
        <v>85</v>
      </c>
      <c r="D10" s="53">
        <v>1</v>
      </c>
      <c r="E10" s="54">
        <v>1.0416666666666666E-2</v>
      </c>
    </row>
    <row r="11" spans="1:5" ht="15" customHeight="1">
      <c r="B11" s="73"/>
      <c r="C11" s="52" t="s">
        <v>72</v>
      </c>
      <c r="D11" s="53">
        <v>1</v>
      </c>
      <c r="E11" s="54">
        <v>1.0416666666666666E-2</v>
      </c>
    </row>
    <row r="12" spans="1:5" ht="15" customHeight="1">
      <c r="B12" s="74"/>
      <c r="C12" s="55" t="s">
        <v>3</v>
      </c>
      <c r="D12" s="56">
        <v>2</v>
      </c>
      <c r="E12" s="57">
        <v>2.0833333333333332E-2</v>
      </c>
    </row>
    <row r="13" spans="1:5" ht="15" customHeight="1">
      <c r="B13" s="72" t="s">
        <v>18</v>
      </c>
      <c r="C13" s="52" t="s">
        <v>86</v>
      </c>
      <c r="D13" s="53">
        <v>1</v>
      </c>
      <c r="E13" s="54">
        <v>1.0416666666666666E-2</v>
      </c>
    </row>
    <row r="14" spans="1:5" ht="15" customHeight="1">
      <c r="B14" s="73"/>
      <c r="C14" s="52" t="s">
        <v>87</v>
      </c>
      <c r="D14" s="53">
        <v>1</v>
      </c>
      <c r="E14" s="54">
        <v>1.0416666666666666E-2</v>
      </c>
    </row>
    <row r="15" spans="1:5" ht="15" customHeight="1">
      <c r="B15" s="73"/>
      <c r="C15" s="52" t="s">
        <v>88</v>
      </c>
      <c r="D15" s="53">
        <v>1</v>
      </c>
      <c r="E15" s="54">
        <v>1.0416666666666666E-2</v>
      </c>
    </row>
    <row r="16" spans="1:5" ht="15" customHeight="1">
      <c r="B16" s="73"/>
      <c r="C16" s="52" t="s">
        <v>89</v>
      </c>
      <c r="D16" s="53">
        <v>1</v>
      </c>
      <c r="E16" s="54">
        <v>1.0416666666666666E-2</v>
      </c>
    </row>
    <row r="17" spans="2:5" ht="15" customHeight="1">
      <c r="B17" s="73"/>
      <c r="C17" s="52" t="s">
        <v>90</v>
      </c>
      <c r="D17" s="53">
        <v>1</v>
      </c>
      <c r="E17" s="54">
        <v>1.0416666666666666E-2</v>
      </c>
    </row>
    <row r="18" spans="2:5" ht="15" customHeight="1">
      <c r="B18" s="73"/>
      <c r="C18" s="52" t="s">
        <v>91</v>
      </c>
      <c r="D18" s="53">
        <v>1</v>
      </c>
      <c r="E18" s="54">
        <v>1.0416666666666666E-2</v>
      </c>
    </row>
    <row r="19" spans="2:5" ht="15" customHeight="1">
      <c r="B19" s="74"/>
      <c r="C19" s="55" t="s">
        <v>3</v>
      </c>
      <c r="D19" s="56">
        <v>6</v>
      </c>
      <c r="E19" s="57">
        <v>6.25E-2</v>
      </c>
    </row>
    <row r="20" spans="2:5" ht="15" customHeight="1">
      <c r="B20" s="72" t="s">
        <v>92</v>
      </c>
      <c r="C20" s="52" t="s">
        <v>93</v>
      </c>
      <c r="D20" s="53">
        <v>1</v>
      </c>
      <c r="E20" s="54">
        <v>1.0416666666666666E-2</v>
      </c>
    </row>
    <row r="21" spans="2:5" ht="15" customHeight="1">
      <c r="B21" s="74"/>
      <c r="C21" s="55" t="s">
        <v>3</v>
      </c>
      <c r="D21" s="56">
        <v>1</v>
      </c>
      <c r="E21" s="57">
        <v>1.0416666666666666E-2</v>
      </c>
    </row>
    <row r="22" spans="2:5" ht="15" customHeight="1">
      <c r="B22" s="72" t="s">
        <v>13</v>
      </c>
      <c r="C22" s="52" t="s">
        <v>13</v>
      </c>
      <c r="D22" s="53">
        <v>2</v>
      </c>
      <c r="E22" s="54">
        <v>2.0833333333333332E-2</v>
      </c>
    </row>
    <row r="23" spans="2:5" ht="15" customHeight="1">
      <c r="B23" s="73"/>
      <c r="C23" s="52" t="s">
        <v>94</v>
      </c>
      <c r="D23" s="53">
        <v>1</v>
      </c>
      <c r="E23" s="54">
        <v>1.0416666666666666E-2</v>
      </c>
    </row>
    <row r="24" spans="2:5" ht="15" customHeight="1">
      <c r="B24" s="73"/>
      <c r="C24" s="52" t="s">
        <v>28</v>
      </c>
      <c r="D24" s="53">
        <v>4</v>
      </c>
      <c r="E24" s="54">
        <v>4.1666666666666664E-2</v>
      </c>
    </row>
    <row r="25" spans="2:5" ht="15" customHeight="1">
      <c r="B25" s="74"/>
      <c r="C25" s="55" t="s">
        <v>3</v>
      </c>
      <c r="D25" s="56">
        <v>7</v>
      </c>
      <c r="E25" s="57">
        <v>7.2916666666666671E-2</v>
      </c>
    </row>
    <row r="26" spans="2:5" ht="15" customHeight="1">
      <c r="B26" s="72" t="s">
        <v>10</v>
      </c>
      <c r="C26" s="52" t="s">
        <v>95</v>
      </c>
      <c r="D26" s="53">
        <v>1</v>
      </c>
      <c r="E26" s="54">
        <v>1.0416666666666666E-2</v>
      </c>
    </row>
    <row r="27" spans="2:5" ht="15" customHeight="1">
      <c r="B27" s="74"/>
      <c r="C27" s="55" t="s">
        <v>3</v>
      </c>
      <c r="D27" s="56">
        <v>1</v>
      </c>
      <c r="E27" s="57">
        <v>1.0416666666666666E-2</v>
      </c>
    </row>
    <row r="28" spans="2:5" ht="15" customHeight="1">
      <c r="B28" s="72" t="s">
        <v>8</v>
      </c>
      <c r="C28" s="52" t="s">
        <v>73</v>
      </c>
      <c r="D28" s="53">
        <v>3</v>
      </c>
      <c r="E28" s="54">
        <v>3.125E-2</v>
      </c>
    </row>
    <row r="29" spans="2:5" ht="15" customHeight="1">
      <c r="B29" s="74"/>
      <c r="C29" s="55" t="s">
        <v>3</v>
      </c>
      <c r="D29" s="56">
        <v>3</v>
      </c>
      <c r="E29" s="57">
        <v>3.125E-2</v>
      </c>
    </row>
    <row r="30" spans="2:5" ht="15" customHeight="1">
      <c r="B30" s="72" t="s">
        <v>12</v>
      </c>
      <c r="C30" s="52" t="s">
        <v>96</v>
      </c>
      <c r="D30" s="53">
        <v>1</v>
      </c>
      <c r="E30" s="54">
        <v>1.0416666666666666E-2</v>
      </c>
    </row>
    <row r="31" spans="2:5" ht="15" customHeight="1">
      <c r="B31" s="73"/>
      <c r="C31" s="52" t="s">
        <v>97</v>
      </c>
      <c r="D31" s="53">
        <v>1</v>
      </c>
      <c r="E31" s="54">
        <v>1.0416666666666666E-2</v>
      </c>
    </row>
    <row r="32" spans="2:5" ht="15" customHeight="1">
      <c r="B32" s="74"/>
      <c r="C32" s="55" t="s">
        <v>3</v>
      </c>
      <c r="D32" s="56">
        <v>2</v>
      </c>
      <c r="E32" s="57">
        <v>2.0833333333333332E-2</v>
      </c>
    </row>
    <row r="33" spans="2:5" ht="15" customHeight="1">
      <c r="B33" s="72" t="s">
        <v>9</v>
      </c>
      <c r="C33" s="52" t="s">
        <v>98</v>
      </c>
      <c r="D33" s="53">
        <v>2</v>
      </c>
      <c r="E33" s="54">
        <v>2.0833333333333332E-2</v>
      </c>
    </row>
    <row r="34" spans="2:5" ht="15" customHeight="1">
      <c r="B34" s="73"/>
      <c r="C34" s="52" t="s">
        <v>99</v>
      </c>
      <c r="D34" s="53">
        <v>1</v>
      </c>
      <c r="E34" s="54">
        <v>1.0416666666666666E-2</v>
      </c>
    </row>
    <row r="35" spans="2:5" ht="15" customHeight="1">
      <c r="B35" s="73"/>
      <c r="C35" s="52" t="s">
        <v>100</v>
      </c>
      <c r="D35" s="53">
        <v>1</v>
      </c>
      <c r="E35" s="54">
        <v>1.0416666666666666E-2</v>
      </c>
    </row>
    <row r="36" spans="2:5" ht="15" customHeight="1">
      <c r="B36" s="74"/>
      <c r="C36" s="55" t="s">
        <v>3</v>
      </c>
      <c r="D36" s="56">
        <v>4</v>
      </c>
      <c r="E36" s="57">
        <v>4.1666666666666664E-2</v>
      </c>
    </row>
    <row r="37" spans="2:5" ht="15" customHeight="1">
      <c r="B37" s="72" t="s">
        <v>16</v>
      </c>
      <c r="C37" s="52" t="s">
        <v>70</v>
      </c>
      <c r="D37" s="53">
        <v>1</v>
      </c>
      <c r="E37" s="54">
        <v>1.0416666666666666E-2</v>
      </c>
    </row>
    <row r="38" spans="2:5" ht="15" customHeight="1">
      <c r="B38" s="73"/>
      <c r="C38" s="52" t="s">
        <v>101</v>
      </c>
      <c r="D38" s="53">
        <v>2</v>
      </c>
      <c r="E38" s="54">
        <v>2.0833333333333332E-2</v>
      </c>
    </row>
    <row r="39" spans="2:5" ht="15" customHeight="1">
      <c r="B39" s="73"/>
      <c r="C39" s="52" t="s">
        <v>74</v>
      </c>
      <c r="D39" s="53">
        <v>1</v>
      </c>
      <c r="E39" s="54">
        <v>1.0416666666666666E-2</v>
      </c>
    </row>
    <row r="40" spans="2:5" ht="15" customHeight="1">
      <c r="B40" s="73"/>
      <c r="C40" s="52" t="s">
        <v>102</v>
      </c>
      <c r="D40" s="53">
        <v>1</v>
      </c>
      <c r="E40" s="54">
        <v>1.0416666666666666E-2</v>
      </c>
    </row>
    <row r="41" spans="2:5" ht="15" customHeight="1">
      <c r="B41" s="73"/>
      <c r="C41" s="52" t="s">
        <v>27</v>
      </c>
      <c r="D41" s="53">
        <v>1</v>
      </c>
      <c r="E41" s="54">
        <v>1.0416666666666666E-2</v>
      </c>
    </row>
    <row r="42" spans="2:5" ht="15" customHeight="1">
      <c r="B42" s="73"/>
      <c r="C42" s="52" t="s">
        <v>71</v>
      </c>
      <c r="D42" s="53">
        <v>10</v>
      </c>
      <c r="E42" s="54">
        <v>0.10416666666666667</v>
      </c>
    </row>
    <row r="43" spans="2:5" ht="15" customHeight="1">
      <c r="B43" s="73"/>
      <c r="C43" s="52" t="s">
        <v>103</v>
      </c>
      <c r="D43" s="53">
        <v>1</v>
      </c>
      <c r="E43" s="54">
        <v>1.0416666666666666E-2</v>
      </c>
    </row>
    <row r="44" spans="2:5" ht="15" customHeight="1">
      <c r="B44" s="74"/>
      <c r="C44" s="55" t="s">
        <v>3</v>
      </c>
      <c r="D44" s="56">
        <v>17</v>
      </c>
      <c r="E44" s="57">
        <v>0.17708333333333334</v>
      </c>
    </row>
    <row r="45" spans="2:5" ht="15" customHeight="1">
      <c r="B45" s="72" t="s">
        <v>69</v>
      </c>
      <c r="C45" s="52" t="s">
        <v>104</v>
      </c>
      <c r="D45" s="53">
        <v>1</v>
      </c>
      <c r="E45" s="54">
        <v>1.0416666666666666E-2</v>
      </c>
    </row>
    <row r="46" spans="2:5" ht="15" customHeight="1">
      <c r="B46" s="74"/>
      <c r="C46" s="55" t="s">
        <v>3</v>
      </c>
      <c r="D46" s="56">
        <v>1</v>
      </c>
      <c r="E46" s="57">
        <v>1.0416666666666666E-2</v>
      </c>
    </row>
    <row r="47" spans="2:5" ht="15" customHeight="1">
      <c r="B47" s="72" t="s">
        <v>17</v>
      </c>
      <c r="C47" s="52" t="s">
        <v>105</v>
      </c>
      <c r="D47" s="53">
        <v>1</v>
      </c>
      <c r="E47" s="54">
        <v>1.0416666666666666E-2</v>
      </c>
    </row>
    <row r="48" spans="2:5" ht="15" customHeight="1">
      <c r="B48" s="73"/>
      <c r="C48" s="52" t="s">
        <v>26</v>
      </c>
      <c r="D48" s="53">
        <v>1</v>
      </c>
      <c r="E48" s="54">
        <v>1.0416666666666666E-2</v>
      </c>
    </row>
    <row r="49" spans="2:5" ht="15" customHeight="1">
      <c r="B49" s="74"/>
      <c r="C49" s="55" t="s">
        <v>3</v>
      </c>
      <c r="D49" s="56">
        <v>2</v>
      </c>
      <c r="E49" s="57">
        <v>2.0833333333333332E-2</v>
      </c>
    </row>
    <row r="50" spans="2:5" ht="15" customHeight="1">
      <c r="B50" s="72" t="s">
        <v>7</v>
      </c>
      <c r="C50" s="52" t="s">
        <v>106</v>
      </c>
      <c r="D50" s="53">
        <v>1</v>
      </c>
      <c r="E50" s="54">
        <v>1.0416666666666666E-2</v>
      </c>
    </row>
    <row r="51" spans="2:5" ht="15" customHeight="1">
      <c r="B51" s="73"/>
      <c r="C51" s="52" t="s">
        <v>75</v>
      </c>
      <c r="D51" s="53">
        <v>1</v>
      </c>
      <c r="E51" s="54">
        <v>1.0416666666666666E-2</v>
      </c>
    </row>
    <row r="52" spans="2:5" ht="15" customHeight="1">
      <c r="B52" s="73"/>
      <c r="C52" s="52" t="s">
        <v>107</v>
      </c>
      <c r="D52" s="53">
        <v>1</v>
      </c>
      <c r="E52" s="54">
        <v>1.0416666666666666E-2</v>
      </c>
    </row>
    <row r="53" spans="2:5" ht="15" customHeight="1">
      <c r="B53" s="74"/>
      <c r="C53" s="55" t="s">
        <v>3</v>
      </c>
      <c r="D53" s="56">
        <v>3</v>
      </c>
      <c r="E53" s="57">
        <v>3.125E-2</v>
      </c>
    </row>
    <row r="54" spans="2:5" ht="15" customHeight="1">
      <c r="B54" s="72" t="s">
        <v>108</v>
      </c>
      <c r="C54" s="52" t="s">
        <v>109</v>
      </c>
      <c r="D54" s="53">
        <v>1</v>
      </c>
      <c r="E54" s="54">
        <v>1.0416666666666666E-2</v>
      </c>
    </row>
    <row r="55" spans="2:5" ht="15" customHeight="1">
      <c r="B55" s="74"/>
      <c r="C55" s="55" t="s">
        <v>3</v>
      </c>
      <c r="D55" s="56">
        <v>1</v>
      </c>
      <c r="E55" s="57">
        <v>1.0416666666666666E-2</v>
      </c>
    </row>
    <row r="56" spans="2:5" ht="15" customHeight="1">
      <c r="B56" s="72" t="s">
        <v>5</v>
      </c>
      <c r="C56" s="52" t="s">
        <v>76</v>
      </c>
      <c r="D56" s="53">
        <v>1</v>
      </c>
      <c r="E56" s="54">
        <v>1.0416666666666666E-2</v>
      </c>
    </row>
    <row r="57" spans="2:5" ht="15" customHeight="1">
      <c r="B57" s="73"/>
      <c r="C57" s="52" t="s">
        <v>110</v>
      </c>
      <c r="D57" s="53">
        <v>1</v>
      </c>
      <c r="E57" s="54">
        <v>1.0416666666666666E-2</v>
      </c>
    </row>
    <row r="58" spans="2:5" ht="15" customHeight="1">
      <c r="B58" s="73"/>
      <c r="C58" s="52" t="s">
        <v>111</v>
      </c>
      <c r="D58" s="53">
        <v>2</v>
      </c>
      <c r="E58" s="54">
        <v>2.0833333333333332E-2</v>
      </c>
    </row>
    <row r="59" spans="2:5" ht="15" customHeight="1">
      <c r="B59" s="73"/>
      <c r="C59" s="52" t="s">
        <v>112</v>
      </c>
      <c r="D59" s="53">
        <v>1</v>
      </c>
      <c r="E59" s="54">
        <v>1.0416666666666666E-2</v>
      </c>
    </row>
    <row r="60" spans="2:5" ht="15" customHeight="1">
      <c r="B60" s="73"/>
      <c r="C60" s="52" t="s">
        <v>113</v>
      </c>
      <c r="D60" s="53">
        <v>1</v>
      </c>
      <c r="E60" s="54">
        <v>1.0416666666666666E-2</v>
      </c>
    </row>
    <row r="61" spans="2:5" ht="15" customHeight="1">
      <c r="B61" s="74"/>
      <c r="C61" s="55" t="s">
        <v>3</v>
      </c>
      <c r="D61" s="56">
        <v>6</v>
      </c>
      <c r="E61" s="57">
        <v>6.25E-2</v>
      </c>
    </row>
    <row r="62" spans="2:5" ht="15" customHeight="1">
      <c r="B62" s="72" t="s">
        <v>11</v>
      </c>
      <c r="C62" s="52" t="s">
        <v>77</v>
      </c>
      <c r="D62" s="53">
        <v>1</v>
      </c>
      <c r="E62" s="54">
        <v>1.0416666666666666E-2</v>
      </c>
    </row>
    <row r="63" spans="2:5" ht="15" customHeight="1">
      <c r="B63" s="73"/>
      <c r="C63" s="52" t="s">
        <v>114</v>
      </c>
      <c r="D63" s="53">
        <v>1</v>
      </c>
      <c r="E63" s="54">
        <v>1.0416666666666666E-2</v>
      </c>
    </row>
    <row r="64" spans="2:5" ht="15" customHeight="1">
      <c r="B64" s="73"/>
      <c r="C64" s="52" t="s">
        <v>11</v>
      </c>
      <c r="D64" s="53">
        <v>2</v>
      </c>
      <c r="E64" s="54">
        <v>2.0833333333333332E-2</v>
      </c>
    </row>
    <row r="65" spans="2:6" ht="15" customHeight="1">
      <c r="B65" s="73"/>
      <c r="C65" s="52" t="s">
        <v>115</v>
      </c>
      <c r="D65" s="53">
        <v>1</v>
      </c>
      <c r="E65" s="54">
        <v>1.0416666666666666E-2</v>
      </c>
    </row>
    <row r="66" spans="2:6" ht="15" customHeight="1">
      <c r="B66" s="74"/>
      <c r="C66" s="55" t="s">
        <v>3</v>
      </c>
      <c r="D66" s="56">
        <v>5</v>
      </c>
      <c r="E66" s="57">
        <v>5.2083333333333336E-2</v>
      </c>
    </row>
    <row r="67" spans="2:6" ht="15" customHeight="1">
      <c r="B67" s="72" t="s">
        <v>19</v>
      </c>
      <c r="C67" s="52" t="s">
        <v>116</v>
      </c>
      <c r="D67" s="53">
        <v>1</v>
      </c>
      <c r="E67" s="54">
        <v>1.0416666666666666E-2</v>
      </c>
    </row>
    <row r="68" spans="2:6" ht="15" customHeight="1">
      <c r="B68" s="73"/>
      <c r="C68" s="52" t="s">
        <v>25</v>
      </c>
      <c r="D68" s="53">
        <v>4</v>
      </c>
      <c r="E68" s="54">
        <v>4.1666666666666664E-2</v>
      </c>
      <c r="F68" s="1"/>
    </row>
    <row r="69" spans="2:6" ht="15" customHeight="1">
      <c r="B69" s="73"/>
      <c r="C69" s="52" t="s">
        <v>78</v>
      </c>
      <c r="D69" s="53">
        <v>1</v>
      </c>
      <c r="E69" s="54">
        <v>1.0416666666666666E-2</v>
      </c>
      <c r="F69" s="1"/>
    </row>
    <row r="70" spans="2:6" ht="15" customHeight="1">
      <c r="B70" s="73"/>
      <c r="C70" s="52" t="s">
        <v>24</v>
      </c>
      <c r="D70" s="53">
        <v>1</v>
      </c>
      <c r="E70" s="54">
        <v>1.0416666666666666E-2</v>
      </c>
      <c r="F70" s="1"/>
    </row>
    <row r="71" spans="2:6" ht="15" customHeight="1">
      <c r="B71" s="73"/>
      <c r="C71" s="52" t="s">
        <v>19</v>
      </c>
      <c r="D71" s="53">
        <v>6</v>
      </c>
      <c r="E71" s="54">
        <v>6.25E-2</v>
      </c>
      <c r="F71" s="1"/>
    </row>
    <row r="72" spans="2:6" ht="15" customHeight="1">
      <c r="B72" s="73"/>
      <c r="C72" s="52" t="s">
        <v>117</v>
      </c>
      <c r="D72" s="53">
        <v>1</v>
      </c>
      <c r="E72" s="54">
        <v>1.0416666666666666E-2</v>
      </c>
      <c r="F72" s="1"/>
    </row>
    <row r="73" spans="2:6" ht="15" customHeight="1">
      <c r="B73" s="74"/>
      <c r="C73" s="55" t="s">
        <v>3</v>
      </c>
      <c r="D73" s="56">
        <v>14</v>
      </c>
      <c r="E73" s="57">
        <v>0.14583333333333334</v>
      </c>
    </row>
    <row r="74" spans="2:6" ht="15" customHeight="1">
      <c r="B74" s="72" t="s">
        <v>118</v>
      </c>
      <c r="C74" s="52" t="s">
        <v>119</v>
      </c>
      <c r="D74" s="53">
        <v>1</v>
      </c>
      <c r="E74" s="54">
        <v>1.0416666666666666E-2</v>
      </c>
    </row>
    <row r="75" spans="2:6" ht="15" customHeight="1">
      <c r="B75" s="74"/>
      <c r="C75" s="55" t="s">
        <v>3</v>
      </c>
      <c r="D75" s="56">
        <v>1</v>
      </c>
      <c r="E75" s="57">
        <v>1.0416666666666666E-2</v>
      </c>
    </row>
    <row r="76" spans="2:6" ht="15" customHeight="1">
      <c r="B76" s="72" t="s">
        <v>68</v>
      </c>
      <c r="C76" s="52" t="s">
        <v>120</v>
      </c>
      <c r="D76" s="53">
        <v>2</v>
      </c>
      <c r="E76" s="54">
        <v>2.0833333333333332E-2</v>
      </c>
    </row>
    <row r="77" spans="2:6" ht="15" customHeight="1">
      <c r="B77" s="73"/>
      <c r="C77" s="52" t="s">
        <v>121</v>
      </c>
      <c r="D77" s="53">
        <v>1</v>
      </c>
      <c r="E77" s="54">
        <v>1.0416666666666666E-2</v>
      </c>
    </row>
    <row r="78" spans="2:6" ht="15" customHeight="1">
      <c r="B78" s="74"/>
      <c r="C78" s="55" t="s">
        <v>3</v>
      </c>
      <c r="D78" s="56">
        <v>3</v>
      </c>
      <c r="E78" s="57">
        <v>3.125E-2</v>
      </c>
    </row>
    <row r="79" spans="2:6" ht="15" customHeight="1">
      <c r="B79" s="72" t="s">
        <v>4</v>
      </c>
      <c r="C79" s="52" t="s">
        <v>122</v>
      </c>
      <c r="D79" s="53">
        <v>1</v>
      </c>
      <c r="E79" s="54">
        <v>1.0416666666666666E-2</v>
      </c>
    </row>
    <row r="80" spans="2:6" ht="15" customHeight="1">
      <c r="B80" s="74"/>
      <c r="C80" s="55" t="s">
        <v>3</v>
      </c>
      <c r="D80" s="56">
        <v>1</v>
      </c>
      <c r="E80" s="57">
        <v>1.0416666666666666E-2</v>
      </c>
    </row>
    <row r="81" spans="2:5" ht="15" customHeight="1">
      <c r="B81" s="72" t="s">
        <v>15</v>
      </c>
      <c r="C81" s="52" t="s">
        <v>123</v>
      </c>
      <c r="D81" s="53">
        <v>1</v>
      </c>
      <c r="E81" s="54">
        <v>1.0416666666666666E-2</v>
      </c>
    </row>
    <row r="82" spans="2:5" ht="15" customHeight="1">
      <c r="B82" s="73"/>
      <c r="C82" s="52" t="s">
        <v>79</v>
      </c>
      <c r="D82" s="53">
        <v>1</v>
      </c>
      <c r="E82" s="54">
        <v>1.0416666666666666E-2</v>
      </c>
    </row>
    <row r="83" spans="2:5" ht="15" customHeight="1">
      <c r="B83" s="73"/>
      <c r="C83" s="52" t="s">
        <v>124</v>
      </c>
      <c r="D83" s="53">
        <v>1</v>
      </c>
      <c r="E83" s="54">
        <v>1.0416666666666666E-2</v>
      </c>
    </row>
    <row r="84" spans="2:5" ht="15" customHeight="1">
      <c r="B84" s="73"/>
      <c r="C84" s="52" t="s">
        <v>125</v>
      </c>
      <c r="D84" s="53">
        <v>5</v>
      </c>
      <c r="E84" s="54">
        <v>5.2083333333333336E-2</v>
      </c>
    </row>
    <row r="85" spans="2:5" ht="15" customHeight="1">
      <c r="B85" s="73"/>
      <c r="C85" s="52" t="s">
        <v>126</v>
      </c>
      <c r="D85" s="53">
        <v>1</v>
      </c>
      <c r="E85" s="54">
        <v>1.0416666666666666E-2</v>
      </c>
    </row>
    <row r="86" spans="2:5" ht="15" customHeight="1">
      <c r="B86" s="74"/>
      <c r="C86" s="55" t="s">
        <v>3</v>
      </c>
      <c r="D86" s="56">
        <v>9</v>
      </c>
      <c r="E86" s="57">
        <v>9.375E-2</v>
      </c>
    </row>
    <row r="87" spans="2:5" ht="15" customHeight="1">
      <c r="B87" s="72" t="s">
        <v>127</v>
      </c>
      <c r="C87" s="52" t="s">
        <v>128</v>
      </c>
      <c r="D87" s="53">
        <v>1</v>
      </c>
      <c r="E87" s="54">
        <v>1.0416666666666666E-2</v>
      </c>
    </row>
    <row r="88" spans="2:5" ht="15" customHeight="1">
      <c r="B88" s="74"/>
      <c r="C88" s="55" t="s">
        <v>3</v>
      </c>
      <c r="D88" s="56">
        <v>1</v>
      </c>
      <c r="E88" s="57">
        <v>1.0416666666666666E-2</v>
      </c>
    </row>
    <row r="89" spans="2:5" ht="15" customHeight="1">
      <c r="B89" s="72" t="s">
        <v>14</v>
      </c>
      <c r="C89" s="52" t="s">
        <v>23</v>
      </c>
      <c r="D89" s="53">
        <v>5</v>
      </c>
      <c r="E89" s="54">
        <v>5.2083333333333336E-2</v>
      </c>
    </row>
    <row r="90" spans="2:5" ht="15" customHeight="1">
      <c r="B90" s="73"/>
      <c r="C90" s="52" t="s">
        <v>14</v>
      </c>
      <c r="D90" s="53">
        <v>1</v>
      </c>
      <c r="E90" s="54">
        <v>1.0416666666666666E-2</v>
      </c>
    </row>
    <row r="91" spans="2:5" ht="15" customHeight="1">
      <c r="B91" s="74"/>
      <c r="C91" s="55" t="s">
        <v>3</v>
      </c>
      <c r="D91" s="56">
        <v>6</v>
      </c>
      <c r="E91" s="57">
        <v>6.25E-2</v>
      </c>
    </row>
    <row r="92" spans="2:5" ht="15" customHeight="1">
      <c r="B92" s="76" t="s">
        <v>3</v>
      </c>
      <c r="C92" s="77"/>
      <c r="D92" s="58">
        <f>SUMIF(C$10:C91,"Total",D$10:D91)</f>
        <v>96</v>
      </c>
      <c r="E92" s="59">
        <v>1</v>
      </c>
    </row>
    <row r="93" spans="2:5" ht="15" customHeight="1">
      <c r="B93" s="60"/>
      <c r="C93" s="60"/>
      <c r="D93" s="60"/>
      <c r="E93" s="60"/>
    </row>
    <row r="94" spans="2:5" ht="15" customHeight="1">
      <c r="B94" s="61" t="s">
        <v>129</v>
      </c>
      <c r="C94" s="60"/>
      <c r="D94" s="60"/>
      <c r="E94" s="60"/>
    </row>
    <row r="95" spans="2:5" ht="15" customHeight="1">
      <c r="B95" s="62" t="s">
        <v>2</v>
      </c>
      <c r="C95" s="60"/>
      <c r="D95" s="60"/>
      <c r="E95" s="60"/>
    </row>
    <row r="96" spans="2:5" ht="15" customHeight="1">
      <c r="B96" s="63" t="s">
        <v>1</v>
      </c>
      <c r="C96" s="60"/>
      <c r="D96" s="60"/>
      <c r="E96" s="60"/>
    </row>
    <row r="97" spans="2:5" ht="15" customHeight="1">
      <c r="B97" s="61" t="s">
        <v>0</v>
      </c>
      <c r="C97" s="60"/>
      <c r="D97" s="60"/>
      <c r="E97" s="60"/>
    </row>
    <row r="98" spans="2:5" ht="15" customHeight="1">
      <c r="B98" s="61" t="s">
        <v>130</v>
      </c>
      <c r="C98" s="60"/>
      <c r="D98" s="60"/>
      <c r="E98" s="60"/>
    </row>
    <row r="384" spans="1:2" s="21" customFormat="1" ht="15" customHeight="1">
      <c r="A384" s="20"/>
      <c r="B384" s="22"/>
    </row>
    <row r="385" spans="1:2" s="21" customFormat="1" ht="15" customHeight="1">
      <c r="A385" s="20"/>
      <c r="B385" s="23"/>
    </row>
    <row r="386" spans="1:2" s="21" customFormat="1" ht="15" customHeight="1">
      <c r="A386" s="20"/>
      <c r="B386" s="23"/>
    </row>
    <row r="387" spans="1:2" s="21" customFormat="1" ht="15" customHeight="1">
      <c r="A387" s="20"/>
      <c r="B387" s="22"/>
    </row>
    <row r="388" spans="1:2" s="21" customFormat="1" ht="15" customHeight="1">
      <c r="A388" s="20"/>
      <c r="B388" s="22"/>
    </row>
  </sheetData>
  <mergeCells count="24">
    <mergeCell ref="B92:C92"/>
    <mergeCell ref="B47:B49"/>
    <mergeCell ref="B50:B53"/>
    <mergeCell ref="B54:B55"/>
    <mergeCell ref="B56:B61"/>
    <mergeCell ref="B62:B66"/>
    <mergeCell ref="B67:B73"/>
    <mergeCell ref="B74:B75"/>
    <mergeCell ref="B76:B78"/>
    <mergeCell ref="B79:B80"/>
    <mergeCell ref="B81:B86"/>
    <mergeCell ref="B87:B88"/>
    <mergeCell ref="B89:B91"/>
    <mergeCell ref="B37:B44"/>
    <mergeCell ref="B45:B46"/>
    <mergeCell ref="B7:E8"/>
    <mergeCell ref="B10:B12"/>
    <mergeCell ref="B13:B19"/>
    <mergeCell ref="B20:B21"/>
    <mergeCell ref="B28:B29"/>
    <mergeCell ref="B22:B25"/>
    <mergeCell ref="B26:B27"/>
    <mergeCell ref="B30:B32"/>
    <mergeCell ref="B33:B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2"/>
  <sheetViews>
    <sheetView showGridLines="0" zoomScaleNormal="100" zoomScaleSheetLayoutView="115" workbookViewId="0">
      <selection activeCell="E9" sqref="E9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1" t="s">
        <v>66</v>
      </c>
      <c r="C7" s="71"/>
      <c r="D7" s="71"/>
    </row>
    <row r="8" spans="1:4" s="13" customFormat="1" ht="15" customHeight="1">
      <c r="B8" s="71"/>
      <c r="C8" s="71"/>
      <c r="D8" s="71"/>
    </row>
    <row r="9" spans="1:4" s="13" customFormat="1" ht="33" customHeight="1">
      <c r="B9" s="71"/>
      <c r="C9" s="71"/>
      <c r="D9" s="71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38</v>
      </c>
      <c r="C11" s="15" t="s">
        <v>21</v>
      </c>
      <c r="D11" s="14" t="s">
        <v>20</v>
      </c>
    </row>
    <row r="12" spans="1:4">
      <c r="B12" s="11" t="s">
        <v>138</v>
      </c>
      <c r="C12" s="10">
        <v>1</v>
      </c>
      <c r="D12" s="9">
        <v>1.0416666666666666E-2</v>
      </c>
    </row>
    <row r="13" spans="1:4">
      <c r="B13" s="11" t="s">
        <v>37</v>
      </c>
      <c r="C13" s="10">
        <v>1</v>
      </c>
      <c r="D13" s="9">
        <v>1.0416666666666666E-2</v>
      </c>
    </row>
    <row r="14" spans="1:4">
      <c r="A14" s="12"/>
      <c r="B14" s="11" t="s">
        <v>80</v>
      </c>
      <c r="C14" s="10">
        <v>1</v>
      </c>
      <c r="D14" s="9">
        <v>1.0416666666666666E-2</v>
      </c>
    </row>
    <row r="15" spans="1:4">
      <c r="A15" s="12"/>
      <c r="B15" s="11" t="s">
        <v>36</v>
      </c>
      <c r="C15" s="10">
        <v>9</v>
      </c>
      <c r="D15" s="9">
        <v>9.375E-2</v>
      </c>
    </row>
    <row r="16" spans="1:4">
      <c r="B16" s="11" t="s">
        <v>35</v>
      </c>
      <c r="C16" s="10">
        <v>12</v>
      </c>
      <c r="D16" s="9">
        <v>0.125</v>
      </c>
    </row>
    <row r="17" spans="2:4">
      <c r="B17" s="11" t="s">
        <v>34</v>
      </c>
      <c r="C17" s="10">
        <v>2</v>
      </c>
      <c r="D17" s="9">
        <v>2.0833333333333332E-2</v>
      </c>
    </row>
    <row r="18" spans="2:4">
      <c r="B18" s="11" t="s">
        <v>33</v>
      </c>
      <c r="C18" s="10">
        <v>41</v>
      </c>
      <c r="D18" s="9">
        <v>0.42708333333333331</v>
      </c>
    </row>
    <row r="19" spans="2:4">
      <c r="B19" s="11" t="s">
        <v>32</v>
      </c>
      <c r="C19" s="10">
        <v>6</v>
      </c>
      <c r="D19" s="9">
        <v>6.25E-2</v>
      </c>
    </row>
    <row r="20" spans="2:4">
      <c r="B20" s="11" t="s">
        <v>31</v>
      </c>
      <c r="C20" s="10">
        <v>19</v>
      </c>
      <c r="D20" s="9">
        <v>0.19791666666666666</v>
      </c>
    </row>
    <row r="21" spans="2:4">
      <c r="B21" s="11" t="s">
        <v>81</v>
      </c>
      <c r="C21" s="10">
        <v>1</v>
      </c>
      <c r="D21" s="9">
        <v>1.0416666666666666E-2</v>
      </c>
    </row>
    <row r="22" spans="2:4">
      <c r="B22" s="11" t="s">
        <v>30</v>
      </c>
      <c r="C22" s="10">
        <v>3</v>
      </c>
      <c r="D22" s="9">
        <v>3.125E-2</v>
      </c>
    </row>
    <row r="23" spans="2:4">
      <c r="B23" s="8" t="s">
        <v>3</v>
      </c>
      <c r="C23" s="7">
        <v>96</v>
      </c>
      <c r="D23" s="6">
        <v>1</v>
      </c>
    </row>
    <row r="25" spans="2:4">
      <c r="B25" s="3" t="s">
        <v>129</v>
      </c>
    </row>
    <row r="26" spans="2:4">
      <c r="B26" s="5" t="s">
        <v>2</v>
      </c>
    </row>
    <row r="27" spans="2:4">
      <c r="B27" s="4" t="s">
        <v>1</v>
      </c>
    </row>
    <row r="28" spans="2:4">
      <c r="B28" s="3" t="s">
        <v>0</v>
      </c>
    </row>
    <row r="29" spans="2:4">
      <c r="B29" s="3" t="s">
        <v>130</v>
      </c>
    </row>
    <row r="30" spans="2:4">
      <c r="B30" s="4"/>
    </row>
    <row r="31" spans="2:4">
      <c r="B31" s="3"/>
    </row>
    <row r="32" spans="2:4">
      <c r="B32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9"/>
  <sheetViews>
    <sheetView showGridLines="0" topLeftCell="A55" zoomScaleNormal="100" zoomScaleSheetLayoutView="100" workbookViewId="0">
      <selection activeCell="F77" sqref="F7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8" customFormat="1" ht="12" customHeight="1">
      <c r="B1" s="32"/>
      <c r="C1" s="31"/>
      <c r="D1" s="31"/>
      <c r="E1" s="31"/>
    </row>
    <row r="2" spans="1:5" s="28" customFormat="1" ht="15" customHeight="1">
      <c r="C2" s="30"/>
    </row>
    <row r="3" spans="1:5" s="28" customFormat="1" ht="15" customHeight="1">
      <c r="C3" s="30"/>
    </row>
    <row r="4" spans="1:5" s="28" customFormat="1" ht="30" customHeight="1">
      <c r="C4" s="30"/>
      <c r="D4" s="29"/>
    </row>
    <row r="5" spans="1:5" s="28" customFormat="1" ht="15" customHeight="1">
      <c r="C5" s="30"/>
      <c r="D5" s="29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75"/>
      <c r="C7" s="75"/>
      <c r="D7" s="75"/>
      <c r="E7" s="75"/>
    </row>
    <row r="8" spans="1:5" s="25" customFormat="1" ht="33" customHeight="1">
      <c r="A8" s="26"/>
      <c r="B8" s="75"/>
      <c r="C8" s="75"/>
      <c r="D8" s="75"/>
      <c r="E8" s="75"/>
    </row>
    <row r="9" spans="1:5" s="13" customFormat="1" ht="40.5" customHeight="1">
      <c r="B9" s="50" t="s">
        <v>38</v>
      </c>
      <c r="C9" s="50" t="s">
        <v>22</v>
      </c>
      <c r="D9" s="51" t="s">
        <v>21</v>
      </c>
      <c r="E9" s="50" t="s">
        <v>20</v>
      </c>
    </row>
    <row r="10" spans="1:5" ht="15" customHeight="1">
      <c r="B10" s="72" t="s">
        <v>138</v>
      </c>
      <c r="C10" s="52" t="s">
        <v>19</v>
      </c>
      <c r="D10" s="53">
        <v>1</v>
      </c>
      <c r="E10" s="54">
        <v>1.0416666666666666E-2</v>
      </c>
    </row>
    <row r="11" spans="1:5" ht="15" customHeight="1">
      <c r="B11" s="74"/>
      <c r="C11" s="55" t="s">
        <v>3</v>
      </c>
      <c r="D11" s="56">
        <v>1</v>
      </c>
      <c r="E11" s="57">
        <v>1.0416666666666666E-2</v>
      </c>
    </row>
    <row r="12" spans="1:5" ht="15" customHeight="1">
      <c r="B12" s="72" t="s">
        <v>37</v>
      </c>
      <c r="C12" s="52" t="s">
        <v>127</v>
      </c>
      <c r="D12" s="53">
        <v>1</v>
      </c>
      <c r="E12" s="54">
        <v>1.0416666666666666E-2</v>
      </c>
    </row>
    <row r="13" spans="1:5" ht="15" customHeight="1">
      <c r="B13" s="74"/>
      <c r="C13" s="55" t="s">
        <v>3</v>
      </c>
      <c r="D13" s="56">
        <v>1</v>
      </c>
      <c r="E13" s="57">
        <v>1.0416666666666666E-2</v>
      </c>
    </row>
    <row r="14" spans="1:5" ht="15" customHeight="1">
      <c r="B14" s="72" t="s">
        <v>80</v>
      </c>
      <c r="C14" s="52" t="s">
        <v>14</v>
      </c>
      <c r="D14" s="53">
        <v>1</v>
      </c>
      <c r="E14" s="54">
        <v>1.0416666666666666E-2</v>
      </c>
    </row>
    <row r="15" spans="1:5" ht="15" customHeight="1">
      <c r="B15" s="74"/>
      <c r="C15" s="55" t="s">
        <v>3</v>
      </c>
      <c r="D15" s="56">
        <v>1</v>
      </c>
      <c r="E15" s="57">
        <v>1.0416666666666666E-2</v>
      </c>
    </row>
    <row r="16" spans="1:5" ht="15" customHeight="1">
      <c r="B16" s="72" t="s">
        <v>36</v>
      </c>
      <c r="C16" s="52" t="s">
        <v>18</v>
      </c>
      <c r="D16" s="53">
        <v>1</v>
      </c>
      <c r="E16" s="54">
        <v>1.0416666666666666E-2</v>
      </c>
    </row>
    <row r="17" spans="2:5" ht="15" customHeight="1">
      <c r="B17" s="73"/>
      <c r="C17" s="52" t="s">
        <v>16</v>
      </c>
      <c r="D17" s="53">
        <v>1</v>
      </c>
      <c r="E17" s="54">
        <v>1.0416666666666666E-2</v>
      </c>
    </row>
    <row r="18" spans="2:5" ht="15" customHeight="1">
      <c r="B18" s="73"/>
      <c r="C18" s="52" t="s">
        <v>17</v>
      </c>
      <c r="D18" s="53">
        <v>1</v>
      </c>
      <c r="E18" s="54">
        <v>1.0416666666666666E-2</v>
      </c>
    </row>
    <row r="19" spans="2:5" ht="15" customHeight="1">
      <c r="B19" s="73"/>
      <c r="C19" s="52" t="s">
        <v>108</v>
      </c>
      <c r="D19" s="53">
        <v>1</v>
      </c>
      <c r="E19" s="54">
        <v>1.0416666666666666E-2</v>
      </c>
    </row>
    <row r="20" spans="2:5" ht="15" customHeight="1">
      <c r="B20" s="73"/>
      <c r="C20" s="52" t="s">
        <v>11</v>
      </c>
      <c r="D20" s="53">
        <v>2</v>
      </c>
      <c r="E20" s="54">
        <v>2.0833333333333332E-2</v>
      </c>
    </row>
    <row r="21" spans="2:5" ht="15" customHeight="1">
      <c r="B21" s="73"/>
      <c r="C21" s="52" t="s">
        <v>19</v>
      </c>
      <c r="D21" s="53">
        <v>3</v>
      </c>
      <c r="E21" s="54">
        <v>3.125E-2</v>
      </c>
    </row>
    <row r="22" spans="2:5" ht="15" customHeight="1">
      <c r="B22" s="74"/>
      <c r="C22" s="55" t="s">
        <v>3</v>
      </c>
      <c r="D22" s="56">
        <v>9</v>
      </c>
      <c r="E22" s="57">
        <v>9.375E-2</v>
      </c>
    </row>
    <row r="23" spans="2:5" ht="15" customHeight="1">
      <c r="B23" s="72" t="s">
        <v>35</v>
      </c>
      <c r="C23" s="52" t="s">
        <v>18</v>
      </c>
      <c r="D23" s="53">
        <v>1</v>
      </c>
      <c r="E23" s="54">
        <v>1.0416666666666666E-2</v>
      </c>
    </row>
    <row r="24" spans="2:5" ht="15" customHeight="1">
      <c r="B24" s="73"/>
      <c r="C24" s="52" t="s">
        <v>10</v>
      </c>
      <c r="D24" s="53">
        <v>1</v>
      </c>
      <c r="E24" s="54">
        <v>1.0416666666666666E-2</v>
      </c>
    </row>
    <row r="25" spans="2:5" ht="15" customHeight="1">
      <c r="B25" s="73"/>
      <c r="C25" s="52" t="s">
        <v>8</v>
      </c>
      <c r="D25" s="53">
        <v>2</v>
      </c>
      <c r="E25" s="54">
        <v>2.0833333333333332E-2</v>
      </c>
    </row>
    <row r="26" spans="2:5" ht="15" customHeight="1">
      <c r="B26" s="73"/>
      <c r="C26" s="52" t="s">
        <v>16</v>
      </c>
      <c r="D26" s="53">
        <v>1</v>
      </c>
      <c r="E26" s="54">
        <v>1.0416666666666666E-2</v>
      </c>
    </row>
    <row r="27" spans="2:5" ht="15" customHeight="1">
      <c r="B27" s="73"/>
      <c r="C27" s="52" t="s">
        <v>5</v>
      </c>
      <c r="D27" s="53">
        <v>2</v>
      </c>
      <c r="E27" s="54">
        <v>2.0833333333333332E-2</v>
      </c>
    </row>
    <row r="28" spans="2:5" ht="15" customHeight="1">
      <c r="B28" s="73"/>
      <c r="C28" s="52" t="s">
        <v>19</v>
      </c>
      <c r="D28" s="53">
        <v>1</v>
      </c>
      <c r="E28" s="54">
        <v>1.0416666666666666E-2</v>
      </c>
    </row>
    <row r="29" spans="2:5" ht="15" customHeight="1">
      <c r="B29" s="73"/>
      <c r="C29" s="52" t="s">
        <v>15</v>
      </c>
      <c r="D29" s="53">
        <v>3</v>
      </c>
      <c r="E29" s="54">
        <v>3.125E-2</v>
      </c>
    </row>
    <row r="30" spans="2:5" ht="15" customHeight="1">
      <c r="B30" s="73"/>
      <c r="C30" s="52" t="s">
        <v>14</v>
      </c>
      <c r="D30" s="53">
        <v>1</v>
      </c>
      <c r="E30" s="54">
        <v>1.0416666666666666E-2</v>
      </c>
    </row>
    <row r="31" spans="2:5" ht="15" customHeight="1">
      <c r="B31" s="74"/>
      <c r="C31" s="55" t="s">
        <v>3</v>
      </c>
      <c r="D31" s="56">
        <v>12</v>
      </c>
      <c r="E31" s="57">
        <v>0.125</v>
      </c>
    </row>
    <row r="32" spans="2:5" ht="15" customHeight="1">
      <c r="B32" s="72" t="s">
        <v>34</v>
      </c>
      <c r="C32" s="52" t="s">
        <v>15</v>
      </c>
      <c r="D32" s="53">
        <v>1</v>
      </c>
      <c r="E32" s="54">
        <v>1.0416666666666666E-2</v>
      </c>
    </row>
    <row r="33" spans="2:5" ht="15" customHeight="1">
      <c r="B33" s="73"/>
      <c r="C33" s="52" t="s">
        <v>14</v>
      </c>
      <c r="D33" s="53">
        <v>1</v>
      </c>
      <c r="E33" s="54">
        <v>1.0416666666666666E-2</v>
      </c>
    </row>
    <row r="34" spans="2:5" ht="15" customHeight="1">
      <c r="B34" s="74"/>
      <c r="C34" s="55" t="s">
        <v>3</v>
      </c>
      <c r="D34" s="56">
        <v>2</v>
      </c>
      <c r="E34" s="57">
        <v>2.0833333333333332E-2</v>
      </c>
    </row>
    <row r="35" spans="2:5" ht="15" customHeight="1">
      <c r="B35" s="72" t="s">
        <v>33</v>
      </c>
      <c r="C35" s="52" t="s">
        <v>18</v>
      </c>
      <c r="D35" s="53">
        <v>3</v>
      </c>
      <c r="E35" s="54">
        <v>3.125E-2</v>
      </c>
    </row>
    <row r="36" spans="2:5" ht="15" customHeight="1">
      <c r="B36" s="73"/>
      <c r="C36" s="52" t="s">
        <v>13</v>
      </c>
      <c r="D36" s="53">
        <v>5</v>
      </c>
      <c r="E36" s="54">
        <v>5.2083333333333336E-2</v>
      </c>
    </row>
    <row r="37" spans="2:5" ht="15" customHeight="1">
      <c r="B37" s="73"/>
      <c r="C37" s="52" t="s">
        <v>8</v>
      </c>
      <c r="D37" s="53">
        <v>1</v>
      </c>
      <c r="E37" s="54">
        <v>1.0416666666666666E-2</v>
      </c>
    </row>
    <row r="38" spans="2:5" ht="15" customHeight="1">
      <c r="B38" s="73"/>
      <c r="C38" s="52" t="s">
        <v>12</v>
      </c>
      <c r="D38" s="53">
        <v>1</v>
      </c>
      <c r="E38" s="54">
        <v>1.0416666666666666E-2</v>
      </c>
    </row>
    <row r="39" spans="2:5" ht="15" customHeight="1">
      <c r="B39" s="73"/>
      <c r="C39" s="52" t="s">
        <v>9</v>
      </c>
      <c r="D39" s="53">
        <v>3</v>
      </c>
      <c r="E39" s="54">
        <v>3.125E-2</v>
      </c>
    </row>
    <row r="40" spans="2:5" ht="15" customHeight="1">
      <c r="B40" s="73"/>
      <c r="C40" s="52" t="s">
        <v>16</v>
      </c>
      <c r="D40" s="53">
        <v>7</v>
      </c>
      <c r="E40" s="54">
        <v>7.2916666666666671E-2</v>
      </c>
    </row>
    <row r="41" spans="2:5" ht="15" customHeight="1">
      <c r="B41" s="73"/>
      <c r="C41" s="52" t="s">
        <v>17</v>
      </c>
      <c r="D41" s="53">
        <v>1</v>
      </c>
      <c r="E41" s="54">
        <v>1.0416666666666666E-2</v>
      </c>
    </row>
    <row r="42" spans="2:5" ht="15" customHeight="1">
      <c r="B42" s="73"/>
      <c r="C42" s="52" t="s">
        <v>7</v>
      </c>
      <c r="D42" s="53">
        <v>1</v>
      </c>
      <c r="E42" s="54">
        <v>1.0416666666666666E-2</v>
      </c>
    </row>
    <row r="43" spans="2:5" ht="15" customHeight="1">
      <c r="B43" s="73"/>
      <c r="C43" s="52" t="s">
        <v>5</v>
      </c>
      <c r="D43" s="53">
        <v>4</v>
      </c>
      <c r="E43" s="54">
        <v>4.1666666666666664E-2</v>
      </c>
    </row>
    <row r="44" spans="2:5" ht="15" customHeight="1">
      <c r="B44" s="73"/>
      <c r="C44" s="52" t="s">
        <v>19</v>
      </c>
      <c r="D44" s="53">
        <v>7</v>
      </c>
      <c r="E44" s="54">
        <v>7.2916666666666671E-2</v>
      </c>
    </row>
    <row r="45" spans="2:5" ht="15" customHeight="1">
      <c r="B45" s="73"/>
      <c r="C45" s="52" t="s">
        <v>68</v>
      </c>
      <c r="D45" s="53">
        <v>2</v>
      </c>
      <c r="E45" s="54">
        <v>2.0833333333333332E-2</v>
      </c>
    </row>
    <row r="46" spans="2:5" ht="15" customHeight="1">
      <c r="B46" s="73"/>
      <c r="C46" s="52" t="s">
        <v>4</v>
      </c>
      <c r="D46" s="53">
        <v>1</v>
      </c>
      <c r="E46" s="54">
        <v>1.0416666666666666E-2</v>
      </c>
    </row>
    <row r="47" spans="2:5" ht="15" customHeight="1">
      <c r="B47" s="73"/>
      <c r="C47" s="52" t="s">
        <v>15</v>
      </c>
      <c r="D47" s="53">
        <v>2</v>
      </c>
      <c r="E47" s="54">
        <v>2.0833333333333332E-2</v>
      </c>
    </row>
    <row r="48" spans="2:5" ht="15" customHeight="1">
      <c r="B48" s="73"/>
      <c r="C48" s="52" t="s">
        <v>14</v>
      </c>
      <c r="D48" s="53">
        <v>3</v>
      </c>
      <c r="E48" s="54">
        <v>3.125E-2</v>
      </c>
    </row>
    <row r="49" spans="2:5" ht="15" customHeight="1">
      <c r="B49" s="74"/>
      <c r="C49" s="55" t="s">
        <v>3</v>
      </c>
      <c r="D49" s="56">
        <v>41</v>
      </c>
      <c r="E49" s="57">
        <v>0.42708333333333331</v>
      </c>
    </row>
    <row r="50" spans="2:5" ht="15" customHeight="1">
      <c r="B50" s="72" t="s">
        <v>32</v>
      </c>
      <c r="C50" s="52" t="s">
        <v>6</v>
      </c>
      <c r="D50" s="53">
        <v>1</v>
      </c>
      <c r="E50" s="54">
        <v>1.0416666666666666E-2</v>
      </c>
    </row>
    <row r="51" spans="2:5" ht="15" customHeight="1">
      <c r="B51" s="73"/>
      <c r="C51" s="52" t="s">
        <v>13</v>
      </c>
      <c r="D51" s="53">
        <v>1</v>
      </c>
      <c r="E51" s="54">
        <v>1.0416666666666666E-2</v>
      </c>
    </row>
    <row r="52" spans="2:5" ht="15" customHeight="1">
      <c r="B52" s="73"/>
      <c r="C52" s="52" t="s">
        <v>16</v>
      </c>
      <c r="D52" s="53">
        <v>2</v>
      </c>
      <c r="E52" s="54">
        <v>2.0833333333333332E-2</v>
      </c>
    </row>
    <row r="53" spans="2:5" ht="15" customHeight="1">
      <c r="B53" s="73"/>
      <c r="C53" s="52" t="s">
        <v>69</v>
      </c>
      <c r="D53" s="53">
        <v>1</v>
      </c>
      <c r="E53" s="54">
        <v>1.0416666666666666E-2</v>
      </c>
    </row>
    <row r="54" spans="2:5" ht="15" customHeight="1">
      <c r="B54" s="73"/>
      <c r="C54" s="52" t="s">
        <v>15</v>
      </c>
      <c r="D54" s="53">
        <v>1</v>
      </c>
      <c r="E54" s="54">
        <v>1.0416666666666666E-2</v>
      </c>
    </row>
    <row r="55" spans="2:5" ht="15" customHeight="1">
      <c r="B55" s="74"/>
      <c r="C55" s="55" t="s">
        <v>3</v>
      </c>
      <c r="D55" s="56">
        <v>6</v>
      </c>
      <c r="E55" s="57">
        <v>6.25E-2</v>
      </c>
    </row>
    <row r="56" spans="2:5" ht="15" customHeight="1">
      <c r="B56" s="72" t="s">
        <v>31</v>
      </c>
      <c r="C56" s="52" t="s">
        <v>6</v>
      </c>
      <c r="D56" s="53">
        <v>1</v>
      </c>
      <c r="E56" s="54">
        <v>1.0416666666666666E-2</v>
      </c>
    </row>
    <row r="57" spans="2:5" ht="15" customHeight="1">
      <c r="B57" s="73"/>
      <c r="C57" s="52" t="s">
        <v>18</v>
      </c>
      <c r="D57" s="53">
        <v>1</v>
      </c>
      <c r="E57" s="54">
        <v>1.0416666666666666E-2</v>
      </c>
    </row>
    <row r="58" spans="2:5" ht="15" customHeight="1">
      <c r="B58" s="73"/>
      <c r="C58" s="52" t="s">
        <v>92</v>
      </c>
      <c r="D58" s="53">
        <v>1</v>
      </c>
      <c r="E58" s="54">
        <v>1.0416666666666666E-2</v>
      </c>
    </row>
    <row r="59" spans="2:5" ht="15" customHeight="1">
      <c r="B59" s="73"/>
      <c r="C59" s="52" t="s">
        <v>12</v>
      </c>
      <c r="D59" s="53">
        <v>1</v>
      </c>
      <c r="E59" s="54">
        <v>1.0416666666666666E-2</v>
      </c>
    </row>
    <row r="60" spans="2:5" ht="15" customHeight="1">
      <c r="B60" s="73"/>
      <c r="C60" s="52" t="s">
        <v>16</v>
      </c>
      <c r="D60" s="53">
        <v>6</v>
      </c>
      <c r="E60" s="54">
        <v>6.25E-2</v>
      </c>
    </row>
    <row r="61" spans="2:5" ht="15" customHeight="1">
      <c r="B61" s="73"/>
      <c r="C61" s="52" t="s">
        <v>7</v>
      </c>
      <c r="D61" s="53">
        <v>2</v>
      </c>
      <c r="E61" s="54">
        <v>2.0833333333333332E-2</v>
      </c>
    </row>
    <row r="62" spans="2:5" ht="15" customHeight="1">
      <c r="B62" s="73"/>
      <c r="C62" s="52" t="s">
        <v>11</v>
      </c>
      <c r="D62" s="53">
        <v>3</v>
      </c>
      <c r="E62" s="54">
        <v>3.125E-2</v>
      </c>
    </row>
    <row r="63" spans="2:5" ht="15" customHeight="1">
      <c r="B63" s="73"/>
      <c r="C63" s="52" t="s">
        <v>19</v>
      </c>
      <c r="D63" s="53">
        <v>1</v>
      </c>
      <c r="E63" s="54">
        <v>1.0416666666666666E-2</v>
      </c>
    </row>
    <row r="64" spans="2:5" ht="15" customHeight="1">
      <c r="B64" s="73"/>
      <c r="C64" s="52" t="s">
        <v>68</v>
      </c>
      <c r="D64" s="53">
        <v>1</v>
      </c>
      <c r="E64" s="54">
        <v>1.0416666666666666E-2</v>
      </c>
    </row>
    <row r="65" spans="2:6" ht="15" customHeight="1">
      <c r="B65" s="73"/>
      <c r="C65" s="52" t="s">
        <v>15</v>
      </c>
      <c r="D65" s="53">
        <v>2</v>
      </c>
      <c r="E65" s="54">
        <v>2.0833333333333332E-2</v>
      </c>
      <c r="F65" s="1"/>
    </row>
    <row r="66" spans="2:6" ht="15" customHeight="1">
      <c r="B66" s="74"/>
      <c r="C66" s="55" t="s">
        <v>3</v>
      </c>
      <c r="D66" s="56">
        <v>19</v>
      </c>
      <c r="E66" s="57">
        <v>0.19791666666666666</v>
      </c>
      <c r="F66" s="1"/>
    </row>
    <row r="67" spans="2:6" ht="15" customHeight="1">
      <c r="B67" s="72" t="s">
        <v>81</v>
      </c>
      <c r="C67" s="52" t="s">
        <v>19</v>
      </c>
      <c r="D67" s="53">
        <v>1</v>
      </c>
      <c r="E67" s="54">
        <v>1.0416666666666666E-2</v>
      </c>
      <c r="F67" s="1"/>
    </row>
    <row r="68" spans="2:6" ht="15" customHeight="1">
      <c r="B68" s="74"/>
      <c r="C68" s="55" t="s">
        <v>3</v>
      </c>
      <c r="D68" s="56">
        <v>1</v>
      </c>
      <c r="E68" s="57">
        <v>1.0416666666666666E-2</v>
      </c>
      <c r="F68" s="1"/>
    </row>
    <row r="69" spans="2:6" ht="15" customHeight="1">
      <c r="B69" s="72" t="s">
        <v>67</v>
      </c>
      <c r="C69" s="52" t="s">
        <v>13</v>
      </c>
      <c r="D69" s="53">
        <v>1</v>
      </c>
      <c r="E69" s="54">
        <v>1.0416666666666666E-2</v>
      </c>
      <c r="F69" s="1"/>
    </row>
    <row r="70" spans="2:6" ht="15" customHeight="1">
      <c r="B70" s="73"/>
      <c r="C70" s="52" t="s">
        <v>9</v>
      </c>
      <c r="D70" s="53">
        <v>1</v>
      </c>
      <c r="E70" s="54">
        <v>1.0416666666666666E-2</v>
      </c>
    </row>
    <row r="71" spans="2:6" ht="15" customHeight="1">
      <c r="B71" s="73"/>
      <c r="C71" s="52" t="s">
        <v>118</v>
      </c>
      <c r="D71" s="53">
        <v>1</v>
      </c>
      <c r="E71" s="54">
        <v>1.0416666666666666E-2</v>
      </c>
    </row>
    <row r="72" spans="2:6" ht="15" customHeight="1">
      <c r="B72" s="74"/>
      <c r="C72" s="55" t="s">
        <v>3</v>
      </c>
      <c r="D72" s="56">
        <v>3</v>
      </c>
      <c r="E72" s="57">
        <v>3.125E-2</v>
      </c>
    </row>
    <row r="73" spans="2:6" ht="15" customHeight="1">
      <c r="B73" s="76" t="s">
        <v>3</v>
      </c>
      <c r="C73" s="77"/>
      <c r="D73" s="58">
        <v>96</v>
      </c>
      <c r="E73" s="59">
        <v>1</v>
      </c>
    </row>
    <row r="74" spans="2:6" ht="15" customHeight="1">
      <c r="B74" s="60"/>
      <c r="C74" s="60"/>
      <c r="D74" s="60"/>
      <c r="E74" s="60"/>
    </row>
    <row r="75" spans="2:6" ht="15" customHeight="1">
      <c r="B75" s="61" t="s">
        <v>129</v>
      </c>
      <c r="C75" s="60"/>
      <c r="D75" s="60"/>
      <c r="E75" s="60"/>
    </row>
    <row r="76" spans="2:6" ht="15" customHeight="1">
      <c r="B76" s="62" t="s">
        <v>2</v>
      </c>
      <c r="C76" s="60"/>
      <c r="D76" s="60"/>
      <c r="E76" s="60"/>
    </row>
    <row r="77" spans="2:6" ht="15" customHeight="1">
      <c r="B77" s="63" t="s">
        <v>1</v>
      </c>
      <c r="C77" s="60"/>
      <c r="D77" s="60"/>
      <c r="E77" s="60"/>
    </row>
    <row r="78" spans="2:6" ht="15" customHeight="1">
      <c r="B78" s="61" t="s">
        <v>0</v>
      </c>
      <c r="C78" s="60"/>
      <c r="D78" s="60"/>
      <c r="E78" s="60"/>
    </row>
    <row r="79" spans="2:6" ht="15" customHeight="1">
      <c r="B79" s="61" t="s">
        <v>130</v>
      </c>
      <c r="C79" s="60"/>
      <c r="D79" s="60"/>
      <c r="E79" s="60"/>
    </row>
  </sheetData>
  <mergeCells count="13">
    <mergeCell ref="B73:C73"/>
    <mergeCell ref="B56:B66"/>
    <mergeCell ref="B67:B68"/>
    <mergeCell ref="B69:B72"/>
    <mergeCell ref="B7:E8"/>
    <mergeCell ref="B10:B11"/>
    <mergeCell ref="B12:B13"/>
    <mergeCell ref="B14:B15"/>
    <mergeCell ref="B16:B22"/>
    <mergeCell ref="B23:B31"/>
    <mergeCell ref="B32:B34"/>
    <mergeCell ref="B35:B49"/>
    <mergeCell ref="B50:B5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H21" sqref="H2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A1" s="44"/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136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42</v>
      </c>
      <c r="C11" s="15" t="s">
        <v>21</v>
      </c>
      <c r="D11" s="14" t="s">
        <v>20</v>
      </c>
    </row>
    <row r="12" spans="1:5">
      <c r="B12" s="11" t="s">
        <v>41</v>
      </c>
      <c r="C12" s="10">
        <v>72</v>
      </c>
      <c r="D12" s="9">
        <v>0.75</v>
      </c>
    </row>
    <row r="13" spans="1:5">
      <c r="B13" s="11" t="s">
        <v>40</v>
      </c>
      <c r="C13" s="10">
        <v>24</v>
      </c>
      <c r="D13" s="9">
        <v>0.25</v>
      </c>
    </row>
    <row r="14" spans="1:5">
      <c r="B14" s="8" t="s">
        <v>39</v>
      </c>
      <c r="C14" s="7">
        <v>96</v>
      </c>
      <c r="D14" s="6">
        <v>1</v>
      </c>
    </row>
    <row r="15" spans="1:5">
      <c r="A15" s="12"/>
      <c r="B15" s="12"/>
      <c r="C15" s="33"/>
      <c r="D15" s="12"/>
      <c r="E15" s="12"/>
    </row>
    <row r="16" spans="1:5">
      <c r="B16" s="3" t="s">
        <v>129</v>
      </c>
      <c r="C16" s="33"/>
      <c r="D16" s="12"/>
    </row>
    <row r="17" spans="2:4">
      <c r="B17" s="5" t="s">
        <v>2</v>
      </c>
      <c r="C17" s="48"/>
      <c r="D17" s="48"/>
    </row>
    <row r="18" spans="2:4">
      <c r="B18" s="4" t="s">
        <v>1</v>
      </c>
      <c r="C18" s="49"/>
      <c r="D18" s="49"/>
    </row>
    <row r="19" spans="2:4">
      <c r="B19" s="3" t="s">
        <v>0</v>
      </c>
    </row>
    <row r="20" spans="2:4">
      <c r="B20" s="3" t="s">
        <v>130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8" customFormat="1" ht="12" customHeight="1">
      <c r="B1" s="32"/>
      <c r="C1" s="31"/>
      <c r="D1" s="31"/>
      <c r="E1" s="31"/>
    </row>
    <row r="2" spans="1:5" s="28" customFormat="1" ht="15" customHeight="1">
      <c r="C2" s="30"/>
    </row>
    <row r="3" spans="1:5" s="28" customFormat="1" ht="15" customHeight="1">
      <c r="C3" s="30"/>
    </row>
    <row r="4" spans="1:5" s="28" customFormat="1" ht="30" customHeight="1">
      <c r="C4" s="30"/>
      <c r="D4" s="29"/>
    </row>
    <row r="5" spans="1:5" s="28" customFormat="1" ht="15" customHeight="1">
      <c r="C5" s="30"/>
      <c r="D5" s="29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75"/>
      <c r="C7" s="75"/>
      <c r="D7" s="75"/>
      <c r="E7" s="75"/>
    </row>
    <row r="8" spans="1:5" s="25" customFormat="1" ht="33" customHeight="1">
      <c r="A8" s="26"/>
      <c r="B8" s="75"/>
      <c r="C8" s="75"/>
      <c r="D8" s="75"/>
      <c r="E8" s="75"/>
    </row>
    <row r="9" spans="1:5" s="13" customFormat="1" ht="40.5" customHeight="1">
      <c r="B9" s="50" t="s">
        <v>22</v>
      </c>
      <c r="C9" s="50" t="s">
        <v>42</v>
      </c>
      <c r="D9" s="51" t="s">
        <v>21</v>
      </c>
      <c r="E9" s="50" t="s">
        <v>20</v>
      </c>
    </row>
    <row r="10" spans="1:5" ht="15" customHeight="1">
      <c r="B10" s="72" t="s">
        <v>6</v>
      </c>
      <c r="C10" s="52" t="s">
        <v>44</v>
      </c>
      <c r="D10" s="53">
        <v>2</v>
      </c>
      <c r="E10" s="54">
        <v>2.0833333333333332E-2</v>
      </c>
    </row>
    <row r="11" spans="1:5" ht="15" customHeight="1">
      <c r="B11" s="74"/>
      <c r="C11" s="55" t="s">
        <v>3</v>
      </c>
      <c r="D11" s="56">
        <v>2</v>
      </c>
      <c r="E11" s="57">
        <v>2.0833333333333332E-2</v>
      </c>
    </row>
    <row r="12" spans="1:5" ht="15" customHeight="1">
      <c r="B12" s="72" t="s">
        <v>18</v>
      </c>
      <c r="C12" s="52" t="s">
        <v>44</v>
      </c>
      <c r="D12" s="53">
        <v>6</v>
      </c>
      <c r="E12" s="54">
        <v>6.25E-2</v>
      </c>
    </row>
    <row r="13" spans="1:5" ht="15" customHeight="1">
      <c r="B13" s="74"/>
      <c r="C13" s="55" t="s">
        <v>3</v>
      </c>
      <c r="D13" s="56">
        <v>6</v>
      </c>
      <c r="E13" s="57">
        <v>6.25E-2</v>
      </c>
    </row>
    <row r="14" spans="1:5" ht="15" customHeight="1">
      <c r="B14" s="72" t="s">
        <v>92</v>
      </c>
      <c r="C14" s="52" t="s">
        <v>44</v>
      </c>
      <c r="D14" s="53">
        <v>1</v>
      </c>
      <c r="E14" s="54">
        <v>1.0416666666666666E-2</v>
      </c>
    </row>
    <row r="15" spans="1:5" ht="15" customHeight="1">
      <c r="B15" s="74"/>
      <c r="C15" s="55" t="s">
        <v>3</v>
      </c>
      <c r="D15" s="56">
        <v>1</v>
      </c>
      <c r="E15" s="57">
        <v>1.0416666666666666E-2</v>
      </c>
    </row>
    <row r="16" spans="1:5" ht="15" customHeight="1">
      <c r="B16" s="72" t="s">
        <v>13</v>
      </c>
      <c r="C16" s="52" t="s">
        <v>44</v>
      </c>
      <c r="D16" s="53">
        <v>4</v>
      </c>
      <c r="E16" s="54">
        <v>4.1666666666666664E-2</v>
      </c>
    </row>
    <row r="17" spans="2:5" ht="15" customHeight="1">
      <c r="B17" s="73"/>
      <c r="C17" s="52" t="s">
        <v>43</v>
      </c>
      <c r="D17" s="53">
        <v>3</v>
      </c>
      <c r="E17" s="54">
        <v>3.125E-2</v>
      </c>
    </row>
    <row r="18" spans="2:5" ht="15" customHeight="1">
      <c r="B18" s="74"/>
      <c r="C18" s="55" t="s">
        <v>3</v>
      </c>
      <c r="D18" s="56">
        <v>7</v>
      </c>
      <c r="E18" s="57">
        <v>7.2916666666666671E-2</v>
      </c>
    </row>
    <row r="19" spans="2:5" ht="15" customHeight="1">
      <c r="B19" s="72" t="s">
        <v>10</v>
      </c>
      <c r="C19" s="52" t="s">
        <v>44</v>
      </c>
      <c r="D19" s="53">
        <v>1</v>
      </c>
      <c r="E19" s="54">
        <v>1.0416666666666666E-2</v>
      </c>
    </row>
    <row r="20" spans="2:5" ht="15" customHeight="1">
      <c r="B20" s="74"/>
      <c r="C20" s="55" t="s">
        <v>3</v>
      </c>
      <c r="D20" s="56">
        <v>1</v>
      </c>
      <c r="E20" s="57">
        <v>1.0416666666666666E-2</v>
      </c>
    </row>
    <row r="21" spans="2:5" ht="15" customHeight="1">
      <c r="B21" s="72" t="s">
        <v>8</v>
      </c>
      <c r="C21" s="52" t="s">
        <v>44</v>
      </c>
      <c r="D21" s="53">
        <v>1</v>
      </c>
      <c r="E21" s="54">
        <v>1.0416666666666666E-2</v>
      </c>
    </row>
    <row r="22" spans="2:5" ht="15" customHeight="1">
      <c r="B22" s="73"/>
      <c r="C22" s="52" t="s">
        <v>43</v>
      </c>
      <c r="D22" s="53">
        <v>2</v>
      </c>
      <c r="E22" s="54">
        <v>2.0833333333333332E-2</v>
      </c>
    </row>
    <row r="23" spans="2:5" ht="15" customHeight="1">
      <c r="B23" s="74"/>
      <c r="C23" s="55" t="s">
        <v>3</v>
      </c>
      <c r="D23" s="56">
        <v>3</v>
      </c>
      <c r="E23" s="57">
        <v>3.125E-2</v>
      </c>
    </row>
    <row r="24" spans="2:5" ht="15" customHeight="1">
      <c r="B24" s="72" t="s">
        <v>12</v>
      </c>
      <c r="C24" s="52" t="s">
        <v>44</v>
      </c>
      <c r="D24" s="53">
        <v>2</v>
      </c>
      <c r="E24" s="54">
        <v>2.0833333333333332E-2</v>
      </c>
    </row>
    <row r="25" spans="2:5" ht="15" customHeight="1">
      <c r="B25" s="74"/>
      <c r="C25" s="55" t="s">
        <v>3</v>
      </c>
      <c r="D25" s="56">
        <v>2</v>
      </c>
      <c r="E25" s="57">
        <v>2.0833333333333332E-2</v>
      </c>
    </row>
    <row r="26" spans="2:5" ht="15" customHeight="1">
      <c r="B26" s="72" t="s">
        <v>9</v>
      </c>
      <c r="C26" s="52" t="s">
        <v>44</v>
      </c>
      <c r="D26" s="53">
        <v>3</v>
      </c>
      <c r="E26" s="54">
        <v>3.125E-2</v>
      </c>
    </row>
    <row r="27" spans="2:5" ht="15" customHeight="1">
      <c r="B27" s="73"/>
      <c r="C27" s="52" t="s">
        <v>43</v>
      </c>
      <c r="D27" s="53">
        <v>1</v>
      </c>
      <c r="E27" s="54">
        <v>1.0416666666666666E-2</v>
      </c>
    </row>
    <row r="28" spans="2:5" ht="15" customHeight="1">
      <c r="B28" s="74"/>
      <c r="C28" s="55" t="s">
        <v>3</v>
      </c>
      <c r="D28" s="56">
        <v>4</v>
      </c>
      <c r="E28" s="57">
        <v>4.1666666666666664E-2</v>
      </c>
    </row>
    <row r="29" spans="2:5" ht="15" customHeight="1">
      <c r="B29" s="72" t="s">
        <v>16</v>
      </c>
      <c r="C29" s="52" t="s">
        <v>44</v>
      </c>
      <c r="D29" s="53">
        <v>12</v>
      </c>
      <c r="E29" s="54">
        <v>0.125</v>
      </c>
    </row>
    <row r="30" spans="2:5" ht="15" customHeight="1">
      <c r="B30" s="73"/>
      <c r="C30" s="52" t="s">
        <v>43</v>
      </c>
      <c r="D30" s="53">
        <v>5</v>
      </c>
      <c r="E30" s="54">
        <v>5.2083333333333336E-2</v>
      </c>
    </row>
    <row r="31" spans="2:5" ht="15" customHeight="1">
      <c r="B31" s="74"/>
      <c r="C31" s="55" t="s">
        <v>3</v>
      </c>
      <c r="D31" s="56">
        <v>17</v>
      </c>
      <c r="E31" s="57">
        <v>0.17708333333333334</v>
      </c>
    </row>
    <row r="32" spans="2:5" ht="15" customHeight="1">
      <c r="B32" s="72" t="s">
        <v>69</v>
      </c>
      <c r="C32" s="52" t="s">
        <v>44</v>
      </c>
      <c r="D32" s="53">
        <v>1</v>
      </c>
      <c r="E32" s="54">
        <v>1.0416666666666666E-2</v>
      </c>
    </row>
    <row r="33" spans="2:5" ht="15" customHeight="1">
      <c r="B33" s="74"/>
      <c r="C33" s="55" t="s">
        <v>3</v>
      </c>
      <c r="D33" s="56">
        <v>1</v>
      </c>
      <c r="E33" s="57">
        <v>1.0416666666666666E-2</v>
      </c>
    </row>
    <row r="34" spans="2:5" ht="15" customHeight="1">
      <c r="B34" s="72" t="s">
        <v>17</v>
      </c>
      <c r="C34" s="52" t="s">
        <v>44</v>
      </c>
      <c r="D34" s="53">
        <v>1</v>
      </c>
      <c r="E34" s="54">
        <v>1.0416666666666666E-2</v>
      </c>
    </row>
    <row r="35" spans="2:5" ht="15" customHeight="1">
      <c r="B35" s="73"/>
      <c r="C35" s="52" t="s">
        <v>43</v>
      </c>
      <c r="D35" s="53">
        <v>1</v>
      </c>
      <c r="E35" s="54">
        <v>1.0416666666666666E-2</v>
      </c>
    </row>
    <row r="36" spans="2:5" ht="15" customHeight="1">
      <c r="B36" s="74"/>
      <c r="C36" s="55" t="s">
        <v>3</v>
      </c>
      <c r="D36" s="56">
        <v>2</v>
      </c>
      <c r="E36" s="57">
        <v>2.0833333333333332E-2</v>
      </c>
    </row>
    <row r="37" spans="2:5" ht="15" customHeight="1">
      <c r="B37" s="72" t="s">
        <v>7</v>
      </c>
      <c r="C37" s="52" t="s">
        <v>44</v>
      </c>
      <c r="D37" s="53">
        <v>2</v>
      </c>
      <c r="E37" s="54">
        <v>2.0833333333333332E-2</v>
      </c>
    </row>
    <row r="38" spans="2:5" ht="15" customHeight="1">
      <c r="B38" s="73"/>
      <c r="C38" s="52" t="s">
        <v>43</v>
      </c>
      <c r="D38" s="53">
        <v>1</v>
      </c>
      <c r="E38" s="54">
        <v>1.0416666666666666E-2</v>
      </c>
    </row>
    <row r="39" spans="2:5" ht="15" customHeight="1">
      <c r="B39" s="74"/>
      <c r="C39" s="55" t="s">
        <v>3</v>
      </c>
      <c r="D39" s="56">
        <v>3</v>
      </c>
      <c r="E39" s="57">
        <v>3.125E-2</v>
      </c>
    </row>
    <row r="40" spans="2:5" ht="15" customHeight="1">
      <c r="B40" s="72" t="s">
        <v>108</v>
      </c>
      <c r="C40" s="52" t="s">
        <v>44</v>
      </c>
      <c r="D40" s="53">
        <v>1</v>
      </c>
      <c r="E40" s="54">
        <v>1.0416666666666666E-2</v>
      </c>
    </row>
    <row r="41" spans="2:5" ht="15" customHeight="1">
      <c r="B41" s="74"/>
      <c r="C41" s="55" t="s">
        <v>3</v>
      </c>
      <c r="D41" s="56">
        <v>1</v>
      </c>
      <c r="E41" s="57">
        <v>1.0416666666666666E-2</v>
      </c>
    </row>
    <row r="42" spans="2:5" ht="15" customHeight="1">
      <c r="B42" s="72" t="s">
        <v>5</v>
      </c>
      <c r="C42" s="52" t="s">
        <v>44</v>
      </c>
      <c r="D42" s="53">
        <v>4</v>
      </c>
      <c r="E42" s="54">
        <v>4.1666666666666664E-2</v>
      </c>
    </row>
    <row r="43" spans="2:5" ht="15" customHeight="1">
      <c r="B43" s="73"/>
      <c r="C43" s="52" t="s">
        <v>43</v>
      </c>
      <c r="D43" s="53">
        <v>2</v>
      </c>
      <c r="E43" s="54">
        <v>2.0833333333333332E-2</v>
      </c>
    </row>
    <row r="44" spans="2:5" ht="15" customHeight="1">
      <c r="B44" s="74"/>
      <c r="C44" s="55" t="s">
        <v>3</v>
      </c>
      <c r="D44" s="56">
        <v>6</v>
      </c>
      <c r="E44" s="57">
        <v>6.25E-2</v>
      </c>
    </row>
    <row r="45" spans="2:5" ht="15" customHeight="1">
      <c r="B45" s="72" t="s">
        <v>11</v>
      </c>
      <c r="C45" s="52" t="s">
        <v>44</v>
      </c>
      <c r="D45" s="53">
        <v>4</v>
      </c>
      <c r="E45" s="54">
        <v>4.1666666666666664E-2</v>
      </c>
    </row>
    <row r="46" spans="2:5" ht="15" customHeight="1">
      <c r="B46" s="73"/>
      <c r="C46" s="52" t="s">
        <v>43</v>
      </c>
      <c r="D46" s="53">
        <v>1</v>
      </c>
      <c r="E46" s="54">
        <v>1.0416666666666666E-2</v>
      </c>
    </row>
    <row r="47" spans="2:5" ht="15" customHeight="1">
      <c r="B47" s="74"/>
      <c r="C47" s="55" t="s">
        <v>3</v>
      </c>
      <c r="D47" s="56">
        <v>5</v>
      </c>
      <c r="E47" s="57">
        <v>5.2083333333333336E-2</v>
      </c>
    </row>
    <row r="48" spans="2:5" ht="15" customHeight="1">
      <c r="B48" s="72" t="s">
        <v>19</v>
      </c>
      <c r="C48" s="52" t="s">
        <v>44</v>
      </c>
      <c r="D48" s="53">
        <v>12</v>
      </c>
      <c r="E48" s="54">
        <v>0.125</v>
      </c>
    </row>
    <row r="49" spans="2:6" ht="15" customHeight="1">
      <c r="B49" s="73"/>
      <c r="C49" s="52" t="s">
        <v>43</v>
      </c>
      <c r="D49" s="53">
        <v>2</v>
      </c>
      <c r="E49" s="54">
        <v>2.0833333333333332E-2</v>
      </c>
    </row>
    <row r="50" spans="2:6" ht="15" customHeight="1">
      <c r="B50" s="74"/>
      <c r="C50" s="55" t="s">
        <v>3</v>
      </c>
      <c r="D50" s="56">
        <v>14</v>
      </c>
      <c r="E50" s="57">
        <v>0.14583333333333334</v>
      </c>
    </row>
    <row r="51" spans="2:6" ht="15" customHeight="1">
      <c r="B51" s="72" t="s">
        <v>118</v>
      </c>
      <c r="C51" s="52" t="s">
        <v>43</v>
      </c>
      <c r="D51" s="53">
        <v>1</v>
      </c>
      <c r="E51" s="54">
        <v>1.0416666666666666E-2</v>
      </c>
    </row>
    <row r="52" spans="2:6" ht="15" customHeight="1">
      <c r="B52" s="74"/>
      <c r="C52" s="55" t="s">
        <v>3</v>
      </c>
      <c r="D52" s="56">
        <v>1</v>
      </c>
      <c r="E52" s="57">
        <v>1.0416666666666666E-2</v>
      </c>
    </row>
    <row r="53" spans="2:6" ht="15" customHeight="1">
      <c r="B53" s="72" t="s">
        <v>68</v>
      </c>
      <c r="C53" s="52" t="s">
        <v>44</v>
      </c>
      <c r="D53" s="53">
        <v>3</v>
      </c>
      <c r="E53" s="54">
        <v>3.125E-2</v>
      </c>
    </row>
    <row r="54" spans="2:6" ht="15" customHeight="1">
      <c r="B54" s="74"/>
      <c r="C54" s="55" t="s">
        <v>3</v>
      </c>
      <c r="D54" s="56">
        <v>3</v>
      </c>
      <c r="E54" s="57">
        <v>3.125E-2</v>
      </c>
    </row>
    <row r="55" spans="2:6" ht="15" customHeight="1">
      <c r="B55" s="72" t="s">
        <v>4</v>
      </c>
      <c r="C55" s="52" t="s">
        <v>44</v>
      </c>
      <c r="D55" s="53">
        <v>1</v>
      </c>
      <c r="E55" s="54">
        <v>1.0416666666666666E-2</v>
      </c>
      <c r="F55" s="1"/>
    </row>
    <row r="56" spans="2:6" ht="15" customHeight="1">
      <c r="B56" s="74"/>
      <c r="C56" s="55" t="s">
        <v>3</v>
      </c>
      <c r="D56" s="56">
        <v>1</v>
      </c>
      <c r="E56" s="57">
        <v>1.0416666666666666E-2</v>
      </c>
      <c r="F56" s="1"/>
    </row>
    <row r="57" spans="2:6" ht="15" customHeight="1">
      <c r="B57" s="72" t="s">
        <v>15</v>
      </c>
      <c r="C57" s="52" t="s">
        <v>44</v>
      </c>
      <c r="D57" s="53">
        <v>7</v>
      </c>
      <c r="E57" s="54">
        <v>7.2916666666666671E-2</v>
      </c>
      <c r="F57" s="1"/>
    </row>
    <row r="58" spans="2:6" ht="15" customHeight="1">
      <c r="B58" s="73"/>
      <c r="C58" s="52" t="s">
        <v>43</v>
      </c>
      <c r="D58" s="53">
        <v>2</v>
      </c>
      <c r="E58" s="54">
        <v>2.0833333333333332E-2</v>
      </c>
      <c r="F58" s="1"/>
    </row>
    <row r="59" spans="2:6" ht="15" customHeight="1">
      <c r="B59" s="74"/>
      <c r="C59" s="55" t="s">
        <v>3</v>
      </c>
      <c r="D59" s="56">
        <v>9</v>
      </c>
      <c r="E59" s="57">
        <v>9.375E-2</v>
      </c>
      <c r="F59" s="1"/>
    </row>
    <row r="60" spans="2:6" ht="15" customHeight="1">
      <c r="B60" s="72" t="s">
        <v>127</v>
      </c>
      <c r="C60" s="52" t="s">
        <v>44</v>
      </c>
      <c r="D60" s="53">
        <v>1</v>
      </c>
      <c r="E60" s="54">
        <v>1.0416666666666666E-2</v>
      </c>
    </row>
    <row r="61" spans="2:6" ht="15" customHeight="1">
      <c r="B61" s="74"/>
      <c r="C61" s="55" t="s">
        <v>3</v>
      </c>
      <c r="D61" s="56">
        <v>1</v>
      </c>
      <c r="E61" s="57">
        <v>1.0416666666666666E-2</v>
      </c>
    </row>
    <row r="62" spans="2:6" ht="15" customHeight="1">
      <c r="B62" s="72" t="s">
        <v>14</v>
      </c>
      <c r="C62" s="52" t="s">
        <v>44</v>
      </c>
      <c r="D62" s="53">
        <v>3</v>
      </c>
      <c r="E62" s="54">
        <v>3.125E-2</v>
      </c>
    </row>
    <row r="63" spans="2:6" ht="15" customHeight="1">
      <c r="B63" s="73"/>
      <c r="C63" s="52" t="s">
        <v>43</v>
      </c>
      <c r="D63" s="53">
        <v>3</v>
      </c>
      <c r="E63" s="54">
        <v>3.125E-2</v>
      </c>
    </row>
    <row r="64" spans="2:6" ht="15" customHeight="1">
      <c r="B64" s="74"/>
      <c r="C64" s="55" t="s">
        <v>3</v>
      </c>
      <c r="D64" s="56">
        <v>6</v>
      </c>
      <c r="E64" s="57">
        <v>6.25E-2</v>
      </c>
    </row>
    <row r="65" spans="2:5" ht="15" customHeight="1">
      <c r="B65" s="76" t="s">
        <v>3</v>
      </c>
      <c r="C65" s="77"/>
      <c r="D65" s="58">
        <f>SUMIF(C10:C64,"TOTAL",D10:D64)</f>
        <v>96</v>
      </c>
      <c r="E65" s="59">
        <v>1</v>
      </c>
    </row>
    <row r="66" spans="2:5" ht="15" customHeight="1">
      <c r="B66" s="60"/>
      <c r="C66" s="60"/>
      <c r="D66" s="60"/>
      <c r="E66" s="60"/>
    </row>
    <row r="67" spans="2:5" ht="15" customHeight="1">
      <c r="B67" s="61" t="s">
        <v>129</v>
      </c>
      <c r="C67" s="60"/>
      <c r="D67" s="60"/>
      <c r="E67" s="60"/>
    </row>
    <row r="68" spans="2:5" ht="15" customHeight="1">
      <c r="B68" s="62" t="s">
        <v>2</v>
      </c>
      <c r="C68" s="60"/>
      <c r="D68" s="60"/>
      <c r="E68" s="60"/>
    </row>
    <row r="69" spans="2:5" ht="15" customHeight="1">
      <c r="B69" s="63" t="s">
        <v>1</v>
      </c>
      <c r="C69" s="60"/>
      <c r="D69" s="60"/>
      <c r="E69" s="60"/>
    </row>
    <row r="70" spans="2:5" ht="15" customHeight="1">
      <c r="B70" s="61" t="s">
        <v>0</v>
      </c>
      <c r="C70" s="60"/>
      <c r="D70" s="60"/>
      <c r="E70" s="60"/>
    </row>
    <row r="71" spans="2:5" ht="15" customHeight="1">
      <c r="B71" s="61" t="s">
        <v>130</v>
      </c>
      <c r="C71" s="60"/>
      <c r="D71" s="60"/>
      <c r="E71" s="60"/>
    </row>
    <row r="72" spans="2:5" ht="15" customHeight="1">
      <c r="B72" s="4"/>
    </row>
    <row r="73" spans="2:5" ht="15" customHeight="1">
      <c r="B73" s="3"/>
    </row>
    <row r="74" spans="2:5" ht="15" customHeight="1">
      <c r="B74" s="3"/>
    </row>
    <row r="377" spans="2:2" s="21" customFormat="1" ht="15" customHeight="1">
      <c r="B377" s="22"/>
    </row>
    <row r="378" spans="2:2" s="21" customFormat="1" ht="15" customHeight="1">
      <c r="B378" s="23"/>
    </row>
    <row r="379" spans="2:2" s="21" customFormat="1" ht="15" customHeight="1">
      <c r="B379" s="23"/>
    </row>
    <row r="380" spans="2:2" s="21" customFormat="1" ht="15" customHeight="1">
      <c r="B380" s="22"/>
    </row>
    <row r="381" spans="2:2" s="21" customFormat="1" ht="15" customHeight="1">
      <c r="B381" s="22"/>
    </row>
  </sheetData>
  <mergeCells count="24">
    <mergeCell ref="B53:B54"/>
    <mergeCell ref="B55:B56"/>
    <mergeCell ref="B48:B50"/>
    <mergeCell ref="B10:B11"/>
    <mergeCell ref="B12:B13"/>
    <mergeCell ref="B14:B15"/>
    <mergeCell ref="B16:B18"/>
    <mergeCell ref="B7:E8"/>
    <mergeCell ref="B65:C65"/>
    <mergeCell ref="B21:B23"/>
    <mergeCell ref="B19:B20"/>
    <mergeCell ref="B57:B59"/>
    <mergeCell ref="B60:B61"/>
    <mergeCell ref="B62:B64"/>
    <mergeCell ref="B24:B25"/>
    <mergeCell ref="B26:B28"/>
    <mergeCell ref="B32:B33"/>
    <mergeCell ref="B34:B36"/>
    <mergeCell ref="B40:B41"/>
    <mergeCell ref="B37:B39"/>
    <mergeCell ref="B29:B31"/>
    <mergeCell ref="B42:B44"/>
    <mergeCell ref="B45:B47"/>
    <mergeCell ref="B51:B5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7"/>
  <sheetViews>
    <sheetView showGridLines="0" zoomScaleNormal="100" zoomScaleSheetLayoutView="100" workbookViewId="0">
      <selection activeCell="F22" sqref="F22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8" customFormat="1" ht="12" customHeight="1">
      <c r="B1" s="32"/>
      <c r="C1" s="31"/>
      <c r="D1" s="31"/>
      <c r="E1" s="31"/>
    </row>
    <row r="2" spans="1:5" s="28" customFormat="1" ht="15" customHeight="1">
      <c r="C2" s="30"/>
    </row>
    <row r="3" spans="1:5" s="28" customFormat="1" ht="15" customHeight="1">
      <c r="C3" s="30"/>
    </row>
    <row r="4" spans="1:5" s="28" customFormat="1" ht="30" customHeight="1">
      <c r="C4" s="30"/>
      <c r="D4" s="29"/>
    </row>
    <row r="5" spans="1:5" s="28" customFormat="1" ht="15" customHeight="1">
      <c r="C5" s="30"/>
      <c r="D5" s="29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75"/>
      <c r="C7" s="75"/>
      <c r="D7" s="75"/>
      <c r="E7" s="75"/>
    </row>
    <row r="8" spans="1:5" s="25" customFormat="1" ht="33" customHeight="1">
      <c r="A8" s="26"/>
      <c r="B8" s="75"/>
      <c r="C8" s="75"/>
      <c r="D8" s="75"/>
      <c r="E8" s="75"/>
    </row>
    <row r="9" spans="1:5" s="13" customFormat="1" ht="40.5" customHeight="1">
      <c r="B9" s="50" t="s">
        <v>42</v>
      </c>
      <c r="C9" s="50" t="s">
        <v>49</v>
      </c>
      <c r="D9" s="51" t="s">
        <v>21</v>
      </c>
      <c r="E9" s="50" t="s">
        <v>20</v>
      </c>
    </row>
    <row r="10" spans="1:5" ht="15" customHeight="1">
      <c r="B10" s="72" t="s">
        <v>44</v>
      </c>
      <c r="C10" s="52" t="s">
        <v>137</v>
      </c>
      <c r="D10" s="53">
        <v>1</v>
      </c>
      <c r="E10" s="54">
        <v>1.0416666666666666E-2</v>
      </c>
    </row>
    <row r="11" spans="1:5" ht="15" customHeight="1">
      <c r="B11" s="73"/>
      <c r="C11" s="52" t="s">
        <v>48</v>
      </c>
      <c r="D11" s="53">
        <v>23</v>
      </c>
      <c r="E11" s="54">
        <v>0.23958333333333334</v>
      </c>
    </row>
    <row r="12" spans="1:5" ht="15" customHeight="1">
      <c r="B12" s="73"/>
      <c r="C12" s="52" t="s">
        <v>47</v>
      </c>
      <c r="D12" s="53">
        <v>30</v>
      </c>
      <c r="E12" s="54">
        <v>0.3125</v>
      </c>
    </row>
    <row r="13" spans="1:5" ht="15" customHeight="1">
      <c r="B13" s="73"/>
      <c r="C13" s="52" t="s">
        <v>46</v>
      </c>
      <c r="D13" s="53">
        <v>13</v>
      </c>
      <c r="E13" s="54">
        <v>0.13541666666666666</v>
      </c>
    </row>
    <row r="14" spans="1:5" ht="15" customHeight="1">
      <c r="B14" s="73"/>
      <c r="C14" s="52" t="s">
        <v>45</v>
      </c>
      <c r="D14" s="53">
        <v>3</v>
      </c>
      <c r="E14" s="54">
        <v>3.125E-2</v>
      </c>
    </row>
    <row r="15" spans="1:5" ht="15" customHeight="1">
      <c r="B15" s="73"/>
      <c r="C15" s="52" t="s">
        <v>82</v>
      </c>
      <c r="D15" s="53">
        <v>1</v>
      </c>
      <c r="E15" s="54">
        <v>1.0416666666666666E-2</v>
      </c>
    </row>
    <row r="16" spans="1:5" ht="15" customHeight="1">
      <c r="B16" s="74"/>
      <c r="C16" s="52" t="s">
        <v>83</v>
      </c>
      <c r="D16" s="53">
        <v>1</v>
      </c>
      <c r="E16" s="54">
        <v>1.0416666666666666E-2</v>
      </c>
    </row>
    <row r="17" spans="2:6" ht="15" customHeight="1">
      <c r="B17" s="72" t="s">
        <v>43</v>
      </c>
      <c r="C17" s="52" t="s">
        <v>48</v>
      </c>
      <c r="D17" s="53">
        <v>4</v>
      </c>
      <c r="E17" s="54">
        <v>4.1666666666666664E-2</v>
      </c>
    </row>
    <row r="18" spans="2:6" ht="15" customHeight="1">
      <c r="B18" s="73"/>
      <c r="C18" s="52" t="s">
        <v>47</v>
      </c>
      <c r="D18" s="53">
        <v>8</v>
      </c>
      <c r="E18" s="54">
        <v>8.3333333333333329E-2</v>
      </c>
    </row>
    <row r="19" spans="2:6" ht="15" customHeight="1">
      <c r="B19" s="73"/>
      <c r="C19" s="52" t="s">
        <v>46</v>
      </c>
      <c r="D19" s="53">
        <v>9</v>
      </c>
      <c r="E19" s="54">
        <v>9.375E-2</v>
      </c>
    </row>
    <row r="20" spans="2:6" ht="15" customHeight="1">
      <c r="B20" s="74"/>
      <c r="C20" s="52" t="s">
        <v>45</v>
      </c>
      <c r="D20" s="53">
        <v>3</v>
      </c>
      <c r="E20" s="54">
        <v>3.125E-2</v>
      </c>
      <c r="F20" s="1"/>
    </row>
    <row r="21" spans="2:6" ht="15" customHeight="1">
      <c r="B21" s="76" t="s">
        <v>3</v>
      </c>
      <c r="C21" s="77"/>
      <c r="D21" s="58">
        <v>96</v>
      </c>
      <c r="E21" s="59">
        <v>1</v>
      </c>
      <c r="F21" s="1"/>
    </row>
    <row r="22" spans="2:6" ht="15" customHeight="1">
      <c r="B22" s="60"/>
      <c r="C22" s="60"/>
      <c r="D22" s="60"/>
      <c r="E22" s="60"/>
      <c r="F22" s="1"/>
    </row>
    <row r="23" spans="2:6" ht="15" customHeight="1">
      <c r="B23" s="61" t="s">
        <v>129</v>
      </c>
      <c r="C23" s="60"/>
      <c r="D23" s="60"/>
      <c r="E23" s="60"/>
      <c r="F23" s="1"/>
    </row>
    <row r="24" spans="2:6" ht="15" customHeight="1">
      <c r="B24" s="62" t="s">
        <v>2</v>
      </c>
      <c r="C24" s="60"/>
      <c r="D24" s="60"/>
      <c r="E24" s="60"/>
      <c r="F24" s="1"/>
    </row>
    <row r="25" spans="2:6" ht="15" customHeight="1">
      <c r="B25" s="63" t="s">
        <v>1</v>
      </c>
      <c r="C25" s="60"/>
      <c r="D25" s="60"/>
      <c r="E25" s="60"/>
    </row>
    <row r="26" spans="2:6" ht="15" customHeight="1">
      <c r="B26" s="61" t="s">
        <v>0</v>
      </c>
      <c r="C26" s="60"/>
      <c r="D26" s="60"/>
      <c r="E26" s="60"/>
    </row>
    <row r="27" spans="2:6" ht="15" customHeight="1">
      <c r="B27" s="61" t="s">
        <v>130</v>
      </c>
      <c r="C27" s="60"/>
      <c r="D27" s="60"/>
      <c r="E27" s="60"/>
    </row>
    <row r="28" spans="2:6" ht="15" customHeight="1">
      <c r="B28" s="3"/>
    </row>
    <row r="463" spans="2:2" s="21" customFormat="1" ht="15" customHeight="1">
      <c r="B463" s="22"/>
    </row>
    <row r="464" spans="2:2" s="21" customFormat="1" ht="15" customHeight="1">
      <c r="B464" s="23"/>
    </row>
    <row r="465" spans="2:2" s="21" customFormat="1" ht="15" customHeight="1">
      <c r="B465" s="23"/>
    </row>
    <row r="466" spans="2:2" s="21" customFormat="1" ht="15" customHeight="1">
      <c r="B466" s="22"/>
    </row>
    <row r="467" spans="2:2" s="21" customFormat="1" ht="15" customHeight="1">
      <c r="B467" s="22"/>
    </row>
  </sheetData>
  <mergeCells count="4">
    <mergeCell ref="B7:E8"/>
    <mergeCell ref="B10:B16"/>
    <mergeCell ref="B17:B20"/>
    <mergeCell ref="B21:C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4"/>
  <sheetViews>
    <sheetView showGridLines="0" zoomScaleNormal="100" zoomScaleSheetLayoutView="115" workbookViewId="0">
      <selection activeCell="G20" sqref="G20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132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53</v>
      </c>
      <c r="C11" s="15" t="s">
        <v>21</v>
      </c>
      <c r="D11" s="14" t="s">
        <v>20</v>
      </c>
    </row>
    <row r="12" spans="1:5">
      <c r="B12" s="11" t="s">
        <v>52</v>
      </c>
      <c r="C12" s="10">
        <v>78</v>
      </c>
      <c r="D12" s="9">
        <v>0.8125</v>
      </c>
    </row>
    <row r="13" spans="1:5">
      <c r="B13" s="11" t="s">
        <v>51</v>
      </c>
      <c r="C13" s="10">
        <v>12</v>
      </c>
      <c r="D13" s="9">
        <v>0.125</v>
      </c>
    </row>
    <row r="14" spans="1:5">
      <c r="A14" s="12"/>
      <c r="B14" s="11" t="s">
        <v>133</v>
      </c>
      <c r="C14" s="10">
        <v>2</v>
      </c>
      <c r="D14" s="9">
        <v>2.0833333333333332E-2</v>
      </c>
      <c r="E14" s="12"/>
    </row>
    <row r="15" spans="1:5">
      <c r="A15" s="12"/>
      <c r="B15" s="11" t="s">
        <v>50</v>
      </c>
      <c r="C15" s="10">
        <v>2</v>
      </c>
      <c r="D15" s="9">
        <v>2.0833333333333332E-2</v>
      </c>
      <c r="E15" s="12"/>
    </row>
    <row r="16" spans="1:5">
      <c r="B16" s="11" t="s">
        <v>134</v>
      </c>
      <c r="C16" s="10">
        <v>1</v>
      </c>
      <c r="D16" s="9">
        <v>1.0416666666666666E-2</v>
      </c>
    </row>
    <row r="17" spans="2:4">
      <c r="B17" s="11" t="s">
        <v>135</v>
      </c>
      <c r="C17" s="10">
        <v>1</v>
      </c>
      <c r="D17" s="9">
        <v>1.0416666666666666E-2</v>
      </c>
    </row>
    <row r="18" spans="2:4">
      <c r="B18" s="8" t="s">
        <v>3</v>
      </c>
      <c r="C18" s="7">
        <v>96</v>
      </c>
      <c r="D18" s="6">
        <v>1</v>
      </c>
    </row>
    <row r="19" spans="2:4">
      <c r="B19" s="3"/>
    </row>
    <row r="20" spans="2:4">
      <c r="B20" s="3" t="s">
        <v>129</v>
      </c>
    </row>
    <row r="21" spans="2:4">
      <c r="B21" s="5" t="s">
        <v>2</v>
      </c>
    </row>
    <row r="22" spans="2:4">
      <c r="B22" s="4" t="s">
        <v>1</v>
      </c>
    </row>
    <row r="23" spans="2:4">
      <c r="B23" s="3" t="s">
        <v>0</v>
      </c>
    </row>
    <row r="24" spans="2:4">
      <c r="B24" s="3" t="s">
        <v>130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Hampshire_Edomexgral</vt:lpstr>
      <vt:lpstr>New Hampshire_EDOMEX</vt:lpstr>
      <vt:lpstr>New Hampshire_Educagral</vt:lpstr>
      <vt:lpstr>New Hampshire_Eduedo</vt:lpstr>
      <vt:lpstr>New Hampshire_gengral</vt:lpstr>
      <vt:lpstr>New Hampshire_edomexgen</vt:lpstr>
      <vt:lpstr>New Hampshire_edadgen</vt:lpstr>
      <vt:lpstr>New Hampshire_ocupgral</vt:lpstr>
      <vt:lpstr>'New Hampshire_edadgen'!Área_de_impresión</vt:lpstr>
      <vt:lpstr>'New Hampshire_EDOMEX'!Área_de_impresión</vt:lpstr>
      <vt:lpstr>'New Hampshire_edomexgen'!Área_de_impresión</vt:lpstr>
      <vt:lpstr>'New Hampshire_Eduedo'!Área_de_impresión</vt:lpstr>
      <vt:lpstr>'New Hampshire_edadgen'!Títulos_a_imprimir</vt:lpstr>
      <vt:lpstr>'New Hampshire_EDOMEX'!Títulos_a_imprimir</vt:lpstr>
      <vt:lpstr>'New Hampshire_edomexgen'!Títulos_a_imprimir</vt:lpstr>
      <vt:lpstr>'New Hampshire_Edomexgral'!Títulos_a_imprimir</vt:lpstr>
      <vt:lpstr>'New Hampshire_Educagral'!Títulos_a_imprimir</vt:lpstr>
      <vt:lpstr>'New Hampshire_Eduedo'!Títulos_a_imprimir</vt:lpstr>
      <vt:lpstr>'New Hampshire_gengral'!Títulos_a_imprimir</vt:lpstr>
      <vt:lpstr>'New Hampshire_ocupgral'!Títulos_a_imprimir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2020-05-15T18:21:40Z</dcterms:created>
  <dcterms:modified xsi:type="dcterms:W3CDTF">2023-05-24T20:35:28Z</dcterms:modified>
</cp:coreProperties>
</file>