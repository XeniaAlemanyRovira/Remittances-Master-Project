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2\USA\Finales_USA\"/>
    </mc:Choice>
  </mc:AlternateContent>
  <bookViews>
    <workbookView xWindow="0" yWindow="0" windowWidth="24000" windowHeight="9735" tabRatio="740" firstSheet="1" activeTab="1"/>
  </bookViews>
  <sheets>
    <sheet name="Índice" sheetId="1" r:id="rId1"/>
    <sheet name="Hawaii_Edomexgral" sheetId="2" r:id="rId2"/>
    <sheet name="Hawaii_EDOMEX" sheetId="11" r:id="rId3"/>
    <sheet name="Hawaii_Educagral" sheetId="4" r:id="rId4"/>
    <sheet name="Hawaii_Eduedo" sheetId="10" r:id="rId5"/>
    <sheet name="Hawaii_gengral" sheetId="6" r:id="rId6"/>
    <sheet name="Hawaii_edomexgen" sheetId="7" r:id="rId7"/>
    <sheet name="Hawaii_edadgen" sheetId="8" r:id="rId8"/>
    <sheet name="Hawaii_ocupgral" sheetId="9" r:id="rId9"/>
  </sheets>
  <definedNames>
    <definedName name="_xlnm._FilterDatabase" localSheetId="7" hidden="1">Hawaii_edadgen!$B$9:$E$9</definedName>
    <definedName name="_xlnm._FilterDatabase" localSheetId="2" hidden="1">Hawaii_EDOMEX!$B$9:$E$9</definedName>
    <definedName name="_xlnm._FilterDatabase" localSheetId="6" hidden="1">Hawaii_edomexgen!$B$9:$E$9</definedName>
    <definedName name="_xlnm._FilterDatabase" localSheetId="1" hidden="1">Hawaii_Edomexgral!$B$11:$D$11</definedName>
    <definedName name="_xlnm._FilterDatabase" localSheetId="3" hidden="1">Hawaii_Educagral!$B$11:$D$11</definedName>
    <definedName name="_xlnm._FilterDatabase" localSheetId="4" hidden="1">Hawaii_Eduedo!$B$9:$E$9</definedName>
    <definedName name="_xlnm._FilterDatabase" localSheetId="5" hidden="1">Hawaii_gengral!$B$11:$D$11</definedName>
    <definedName name="_xlnm._FilterDatabase" localSheetId="8" hidden="1">Hawaii_ocupgral!$B$11:$D$11</definedName>
    <definedName name="_xlnm.Print_Area" localSheetId="7">Hawaii_edadgen!$A$1:$E$9</definedName>
    <definedName name="_xlnm.Print_Area" localSheetId="2">Hawaii_EDOMEX!$A$1:$E$9</definedName>
    <definedName name="_xlnm.Print_Area" localSheetId="6">Hawaii_edomexgen!$A$1:$E$9</definedName>
    <definedName name="_xlnm.Print_Area" localSheetId="4">Hawaii_Eduedo!$A$1:$E$9</definedName>
    <definedName name="_xlnm.Print_Titles" localSheetId="7">Hawaii_edadgen!$1:$9</definedName>
    <definedName name="_xlnm.Print_Titles" localSheetId="2">Hawaii_EDOMEX!$1:$9</definedName>
    <definedName name="_xlnm.Print_Titles" localSheetId="6">Hawaii_edomexgen!$1:$9</definedName>
    <definedName name="_xlnm.Print_Titles" localSheetId="1">Hawaii_Edomexgral!$1:$11</definedName>
    <definedName name="_xlnm.Print_Titles" localSheetId="3">Hawaii_Educagral!$1:$11</definedName>
    <definedName name="_xlnm.Print_Titles" localSheetId="4">Hawaii_Eduedo!$1:$9</definedName>
    <definedName name="_xlnm.Print_Titles" localSheetId="5">Hawaii_gengral!$1:$11</definedName>
    <definedName name="_xlnm.Print_Titles" localSheetId="8">Hawaii_ocupgral!$1:$11</definedName>
  </definedNames>
  <calcPr calcId="152511"/>
</workbook>
</file>

<file path=xl/calcChain.xml><?xml version="1.0" encoding="utf-8"?>
<calcChain xmlns="http://schemas.openxmlformats.org/spreadsheetml/2006/main">
  <c r="D74" i="7" l="1"/>
  <c r="D162" i="11"/>
</calcChain>
</file>

<file path=xl/sharedStrings.xml><?xml version="1.0" encoding="utf-8"?>
<sst xmlns="http://schemas.openxmlformats.org/spreadsheetml/2006/main" count="567" uniqueCount="219">
  <si>
    <t xml:space="preserve">Da clic al texto para ir a la información, selecciona                 para regresar. </t>
  </si>
  <si>
    <t>1. Por Estados de la República Mexicana</t>
  </si>
  <si>
    <t>2. Por Municipio de origen</t>
  </si>
  <si>
    <t>2.1 Por estado de la República Mexicana y municipio de origen</t>
  </si>
  <si>
    <t>3. Por Nivel Educativo</t>
  </si>
  <si>
    <t>3.1 Educación general</t>
  </si>
  <si>
    <t>3.2 Por Estado de la República Mexicana</t>
  </si>
  <si>
    <t>4. Por Género</t>
  </si>
  <si>
    <t>4.1 Género General</t>
  </si>
  <si>
    <t>4.2 Por Estados de la República Mexicana</t>
  </si>
  <si>
    <t>5. Por estructura de Edad</t>
  </si>
  <si>
    <t>6.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</si>
  <si>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</si>
  <si>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</si>
  <si>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</si>
  <si>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</si>
  <si>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Zacatecas</t>
  </si>
  <si>
    <t>Puebla</t>
  </si>
  <si>
    <t>Nayarit</t>
  </si>
  <si>
    <t>Ciudad de México</t>
  </si>
  <si>
    <t>Jalisco</t>
  </si>
  <si>
    <t>Porcentaje de Matrículas</t>
  </si>
  <si>
    <t>Número de Matrículas</t>
  </si>
  <si>
    <t>Estado de Origen</t>
  </si>
  <si>
    <t>Municipio Origen</t>
  </si>
  <si>
    <t>Preparatoria con certificado</t>
  </si>
  <si>
    <t>Secundaria con certificado</t>
  </si>
  <si>
    <t>Nivel de Estudios</t>
  </si>
  <si>
    <t>MATRÍCULAS CONSULARES EXPEDIDAS EN EL ESTADO DE HAWAII EN EE.UU. POR NIVEL DE EDUCACIÓN</t>
  </si>
  <si>
    <t>TOTAL</t>
  </si>
  <si>
    <t>MUJER</t>
  </si>
  <si>
    <t>HOMBRE</t>
  </si>
  <si>
    <t>Género</t>
  </si>
  <si>
    <t>Hombre</t>
  </si>
  <si>
    <t>Entre 50 y 65 Años</t>
  </si>
  <si>
    <t>Entre 40 y 49 Años</t>
  </si>
  <si>
    <t>Edad cumplida</t>
  </si>
  <si>
    <t>Empleado(a)</t>
  </si>
  <si>
    <t>Ocupación</t>
  </si>
  <si>
    <t>Álvaro Obregón</t>
  </si>
  <si>
    <t>Guadalajara</t>
  </si>
  <si>
    <t>Tuxpan</t>
  </si>
  <si>
    <t>Primaria con certificado</t>
  </si>
  <si>
    <t>Mujer</t>
  </si>
  <si>
    <t>Entre 18 y 28 Años</t>
  </si>
  <si>
    <t>Hogar</t>
  </si>
  <si>
    <t>Matrículas consulares expedidas a mexicanos  en el estado de Hawaii en el 2022.</t>
  </si>
  <si>
    <t>Aguascalientes</t>
  </si>
  <si>
    <t>Calvillo</t>
  </si>
  <si>
    <t>Baja California</t>
  </si>
  <si>
    <t>Mexicali</t>
  </si>
  <si>
    <t>Tijuana</t>
  </si>
  <si>
    <t>Baja California Sur</t>
  </si>
  <si>
    <t>La Paz</t>
  </si>
  <si>
    <t>Chiapas</t>
  </si>
  <si>
    <t>Acapetahua</t>
  </si>
  <si>
    <t>Chenalhó</t>
  </si>
  <si>
    <t>Chicomuselo</t>
  </si>
  <si>
    <t>Mapastepec</t>
  </si>
  <si>
    <t>Motozintla</t>
  </si>
  <si>
    <t>Ocozocoautla de Espinosa</t>
  </si>
  <si>
    <t>Coahuila</t>
  </si>
  <si>
    <t>San Juan de Sabinas</t>
  </si>
  <si>
    <t>Colima</t>
  </si>
  <si>
    <t>Villa de Álvarez</t>
  </si>
  <si>
    <t>Azcapotzalco</t>
  </si>
  <si>
    <t>Benito Juárez</t>
  </si>
  <si>
    <t>Coyoacán</t>
  </si>
  <si>
    <t>Cuauhtémoc</t>
  </si>
  <si>
    <t>Iztapalapa</t>
  </si>
  <si>
    <t>Miguel Hidalgo</t>
  </si>
  <si>
    <t>Venustiano Carranza</t>
  </si>
  <si>
    <t>Xochimilco</t>
  </si>
  <si>
    <t>Durango</t>
  </si>
  <si>
    <t>Canelas</t>
  </si>
  <si>
    <t>Guadalupe Victoria</t>
  </si>
  <si>
    <t>Estado de México</t>
  </si>
  <si>
    <t>Amatepec</t>
  </si>
  <si>
    <t>Ecatepec de Morelos</t>
  </si>
  <si>
    <t>Ixtapan de la Sal</t>
  </si>
  <si>
    <t>Malinalco</t>
  </si>
  <si>
    <t>Nezahualcóyotl</t>
  </si>
  <si>
    <t>Ozumba</t>
  </si>
  <si>
    <t>San Felipe del Progreso</t>
  </si>
  <si>
    <t>Sultepec</t>
  </si>
  <si>
    <t>Temascalcingo</t>
  </si>
  <si>
    <t>Texcoco</t>
  </si>
  <si>
    <t>Tlalnepantla de Baz</t>
  </si>
  <si>
    <t>Toluca</t>
  </si>
  <si>
    <t>Tultepec</t>
  </si>
  <si>
    <t>Guanajuato</t>
  </si>
  <si>
    <t>Huanímaro</t>
  </si>
  <si>
    <t>León</t>
  </si>
  <si>
    <t>Moroleón</t>
  </si>
  <si>
    <t>Salamanca</t>
  </si>
  <si>
    <t>Tarimoro</t>
  </si>
  <si>
    <t>Guerrero</t>
  </si>
  <si>
    <t>Acapulco de Juárez</t>
  </si>
  <si>
    <t>Ayutla de los Libres</t>
  </si>
  <si>
    <t>Buenavista de Cuéllar</t>
  </si>
  <si>
    <t>Cuajinicuilapa</t>
  </si>
  <si>
    <t>Zirándaro</t>
  </si>
  <si>
    <t>Hidalgo</t>
  </si>
  <si>
    <t>Acaxochitlán</t>
  </si>
  <si>
    <t>Ajacuba</t>
  </si>
  <si>
    <t>Chapantongo</t>
  </si>
  <si>
    <t>Ameca</t>
  </si>
  <si>
    <t>Huejúcar</t>
  </si>
  <si>
    <t>Jilotlán de los Dolores</t>
  </si>
  <si>
    <t>La Huerta</t>
  </si>
  <si>
    <t>La Manzanilla de la Paz</t>
  </si>
  <si>
    <t>Magdalena</t>
  </si>
  <si>
    <t>San Martín Hidalgo</t>
  </si>
  <si>
    <t>Teocaltiche</t>
  </si>
  <si>
    <t>Tizapán el Alto</t>
  </si>
  <si>
    <t>Unión de Tula</t>
  </si>
  <si>
    <t>Villa Corona</t>
  </si>
  <si>
    <t>Zapopan</t>
  </si>
  <si>
    <t>Zapotlán el Grande</t>
  </si>
  <si>
    <t>Michoacán</t>
  </si>
  <si>
    <t>Apatzingán</t>
  </si>
  <si>
    <t>Indaparapeo</t>
  </si>
  <si>
    <t>Jiquilpan</t>
  </si>
  <si>
    <t>La Piedad</t>
  </si>
  <si>
    <t>Puruándiro</t>
  </si>
  <si>
    <t>Sahuayo</t>
  </si>
  <si>
    <t>Tacámbaro</t>
  </si>
  <si>
    <t>Tangamandapio</t>
  </si>
  <si>
    <t>Ixtlán del Río</t>
  </si>
  <si>
    <t>La Yesca</t>
  </si>
  <si>
    <t>Rosamorada</t>
  </si>
  <si>
    <t>San Blas</t>
  </si>
  <si>
    <t>Santiago Ixcuintla</t>
  </si>
  <si>
    <t>Tepic</t>
  </si>
  <si>
    <t>Oaxaca</t>
  </si>
  <si>
    <t>Chalcatongo de Hidalgo</t>
  </si>
  <si>
    <t>Cosolapa</t>
  </si>
  <si>
    <t>Heroica Ciudad de Tlaxiaco</t>
  </si>
  <si>
    <t>Ixtlán de Juárez</t>
  </si>
  <si>
    <t>Putla Villa de Guerrero</t>
  </si>
  <si>
    <t>San Esteban Atatlahuca</t>
  </si>
  <si>
    <t>San Juan Atepec</t>
  </si>
  <si>
    <t>San Juan Bautista Valle Nacional</t>
  </si>
  <si>
    <t>Santa Catarina Juquila</t>
  </si>
  <si>
    <t>Santa Cruz Zenzontepec</t>
  </si>
  <si>
    <t>Santa María Cortijo</t>
  </si>
  <si>
    <t>Santiago Choápam</t>
  </si>
  <si>
    <t>Santiago Comaltepec</t>
  </si>
  <si>
    <t>Santiago Pinotepa Nacional</t>
  </si>
  <si>
    <t>Santo Tomás Ocotepec</t>
  </si>
  <si>
    <t>Villa de Tututepec de Melchor Ocampo</t>
  </si>
  <si>
    <t>Atlixco</t>
  </si>
  <si>
    <t>Chinantla</t>
  </si>
  <si>
    <t>Huehuetlán el Chico</t>
  </si>
  <si>
    <t>Los Reyes de Juárez</t>
  </si>
  <si>
    <t>San Andrés Cholula</t>
  </si>
  <si>
    <t>San Pedro Cholula</t>
  </si>
  <si>
    <t>Soltepec</t>
  </si>
  <si>
    <t>Tehuacán</t>
  </si>
  <si>
    <t>Tepeaca</t>
  </si>
  <si>
    <t>Tetela de Ocampo</t>
  </si>
  <si>
    <t>Tianguismanalco</t>
  </si>
  <si>
    <t>Tochimilco</t>
  </si>
  <si>
    <t>Querétaro</t>
  </si>
  <si>
    <t>San Luis Potosí</t>
  </si>
  <si>
    <t>Sonora</t>
  </si>
  <si>
    <t>Cajeme</t>
  </si>
  <si>
    <t>Empalme</t>
  </si>
  <si>
    <t>Guaymas</t>
  </si>
  <si>
    <t>Naco</t>
  </si>
  <si>
    <t>Nogales</t>
  </si>
  <si>
    <t>Tlaxcala</t>
  </si>
  <si>
    <t>Apizaco</t>
  </si>
  <si>
    <t>Atlangatepec</t>
  </si>
  <si>
    <t>Huamantla</t>
  </si>
  <si>
    <t>Natívitas</t>
  </si>
  <si>
    <t>Panotla</t>
  </si>
  <si>
    <t>Terrenate</t>
  </si>
  <si>
    <t>Veracruz</t>
  </si>
  <si>
    <t>Cuitláhuac</t>
  </si>
  <si>
    <t>Ignacio de la Llave</t>
  </si>
  <si>
    <t>Jalpa</t>
  </si>
  <si>
    <t>Tamaño de la muestra: 566,547</t>
  </si>
  <si>
    <t>Mayo de 2023</t>
  </si>
  <si>
    <t>MATRÍCULAS CONSULARES DE ALTA SEGURIDAD EXPEDIDAS EN EL ESTADO DE HAWAII EN EE.UU. POR ESTADO DE LA REPÚBLICA MEXICANA</t>
  </si>
  <si>
    <t xml:space="preserve">MATRÍCULAS CONSULARES DE ALTA SEGURIDAD EXPEDIDAS EN EE.UU A MEXICANOS EN EL ESTADO DE  HAWAII, POR PERFIL OCUPACIONAL </t>
  </si>
  <si>
    <t>Obrero(a)</t>
  </si>
  <si>
    <t>Campesino(a)</t>
  </si>
  <si>
    <t>Cocinero(a)</t>
  </si>
  <si>
    <t>Otro</t>
  </si>
  <si>
    <t>Estudiante</t>
  </si>
  <si>
    <t>Jardinero(a)</t>
  </si>
  <si>
    <t>Jubilado(a)</t>
  </si>
  <si>
    <t>Profesionista</t>
  </si>
  <si>
    <t>Chofer</t>
  </si>
  <si>
    <t>Pintor(a)</t>
  </si>
  <si>
    <t>MATRÍCULAS CONSULARES DE ALTA SEGURIDAD EXPEDIDAS EN EE.UU A MEXICANOS EN EL ESTADO DE HAWAII, POR GÉNERO</t>
  </si>
  <si>
    <t>Entre 11 y 17 Años</t>
  </si>
  <si>
    <t>Entre 29 y 39 Años</t>
  </si>
  <si>
    <t>Entre 66 y 75 Años</t>
  </si>
  <si>
    <t>Hasta 10 Años</t>
  </si>
  <si>
    <t>Sin Estudios</t>
  </si>
  <si>
    <t>2° Primaria</t>
  </si>
  <si>
    <t>3° Primaria</t>
  </si>
  <si>
    <t>5° Primaria</t>
  </si>
  <si>
    <t>6° Primaria</t>
  </si>
  <si>
    <t>1° Secundaria</t>
  </si>
  <si>
    <t>2° Secundaria</t>
  </si>
  <si>
    <t>3° Secundaria</t>
  </si>
  <si>
    <t>Capacitación técnica</t>
  </si>
  <si>
    <t>Preparatoria sin certificado</t>
  </si>
  <si>
    <t>Profesional pasante</t>
  </si>
  <si>
    <t>Profesional titulado</t>
  </si>
  <si>
    <t>Menores De Edad</t>
  </si>
  <si>
    <t>Posgrado [Maestría]</t>
  </si>
  <si>
    <t>Capacitación Técnica</t>
  </si>
  <si>
    <t>Profesional Titulado</t>
  </si>
  <si>
    <t>Menores de edad</t>
  </si>
  <si>
    <t>Posgrado [Doctorado]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</si>
</sst>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25"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11"/>
      <name val="Arial Narrow"/>
      <family val="2"/>
    </font>
    <font>
      <u/>
      <sz val="12"/>
      <color theme="10"/>
      <name val="Montserrat"/>
    </font>
    <font>
      <b/>
      <sz val="9"/>
      <color rgb="FFFFFFFF"/>
      <name val="Montserrat"/>
    </font>
    <font>
      <sz val="7"/>
      <color rgb="FF000000"/>
      <name val="Montserrat"/>
    </font>
  </fonts>
  <fills count="9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757171"/>
        <bgColor rgb="FF000000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0" fontId="4" fillId="0" borderId="0" applyNumberFormat="0" applyFill="0" applyBorder="0" applyAlignment="0" applyProtection="0"/>
    <xf numFmtId="0" fontId="5" fillId="0" borderId="0"/>
    <xf numFmtId="9" fontId="6" fillId="0" borderId="0" applyFont="0" applyFill="0" applyBorder="0" applyAlignment="0" applyProtection="0"/>
    <xf numFmtId="0" fontId="20" fillId="0" borderId="0"/>
  </cellStyleXfs>
  <cellXfs count="83">
    <xf numFmtId="0" fontId="0" fillId="0" borderId="0" xfId="0"/>
    <xf numFmtId="0" fontId="2" fillId="0" borderId="0" xfId="0" applyFont="1"/>
    <xf numFmtId="0" fontId="3" fillId="0" borderId="4" xfId="0" applyFont="1" applyBorder="1" applyAlignment="1">
      <alignment horizontal="left"/>
    </xf>
    <xf numFmtId="0" fontId="3" fillId="0" borderId="0" xfId="0" applyFont="1" applyBorder="1" applyAlignment="1">
      <alignment horizontal="left"/>
    </xf>
    <xf numFmtId="0" fontId="3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 applyAlignment="1"/>
    <xf numFmtId="0" fontId="3" fillId="0" borderId="0" xfId="0" applyFont="1" applyBorder="1" applyAlignment="1"/>
    <xf numFmtId="0" fontId="3" fillId="0" borderId="5" xfId="0" applyFont="1" applyBorder="1" applyAlignment="1"/>
    <xf numFmtId="0" fontId="3" fillId="0" borderId="4" xfId="0" applyFont="1" applyBorder="1"/>
    <xf numFmtId="0" fontId="3" fillId="0" borderId="0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top" wrapText="1"/>
    </xf>
    <xf numFmtId="3" fontId="8" fillId="4" borderId="9" xfId="0" applyNumberFormat="1" applyFont="1" applyFill="1" applyBorder="1" applyAlignment="1">
      <alignment horizontal="right" vertical="top" wrapText="1"/>
    </xf>
    <xf numFmtId="49" fontId="8" fillId="4" borderId="9" xfId="0" applyNumberFormat="1" applyFont="1" applyFill="1" applyBorder="1" applyAlignment="1">
      <alignment vertical="top" wrapText="1"/>
    </xf>
    <xf numFmtId="164" fontId="9" fillId="3" borderId="9" xfId="0" applyNumberFormat="1" applyFont="1" applyFill="1" applyBorder="1" applyAlignment="1">
      <alignment horizontal="right" vertical="top" wrapText="1"/>
    </xf>
    <xf numFmtId="3" fontId="9" fillId="3" borderId="9" xfId="0" applyNumberFormat="1" applyFont="1" applyFill="1" applyBorder="1" applyAlignment="1">
      <alignment horizontal="right" vertical="top" wrapText="1"/>
    </xf>
    <xf numFmtId="49" fontId="10" fillId="3" borderId="9" xfId="0" applyNumberFormat="1" applyFont="1" applyFill="1" applyBorder="1" applyAlignment="1">
      <alignment vertical="top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0" fontId="17" fillId="0" borderId="0" xfId="0" applyFont="1" applyBorder="1"/>
    <xf numFmtId="0" fontId="17" fillId="0" borderId="0" xfId="0" applyFont="1" applyBorder="1" applyAlignment="1">
      <alignment vertical="top"/>
    </xf>
    <xf numFmtId="0" fontId="19" fillId="3" borderId="0" xfId="0" applyFont="1" applyFill="1"/>
    <xf numFmtId="0" fontId="12" fillId="3" borderId="0" xfId="0" applyFont="1" applyFill="1"/>
    <xf numFmtId="0" fontId="21" fillId="3" borderId="0" xfId="0" applyFont="1" applyFill="1" applyAlignment="1"/>
    <xf numFmtId="0" fontId="19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9" fillId="3" borderId="0" xfId="0" applyFont="1" applyFill="1" applyBorder="1"/>
    <xf numFmtId="0" fontId="19" fillId="3" borderId="0" xfId="0" applyFont="1" applyFill="1" applyBorder="1" applyAlignment="1">
      <alignment vertical="center"/>
    </xf>
    <xf numFmtId="0" fontId="17" fillId="0" borderId="0" xfId="0" applyFont="1" applyAlignment="1">
      <alignment horizontal="justify" vertical="center"/>
    </xf>
    <xf numFmtId="3" fontId="11" fillId="3" borderId="0" xfId="0" applyNumberFormat="1" applyFont="1" applyFill="1"/>
    <xf numFmtId="0" fontId="17" fillId="0" borderId="0" xfId="0" applyFont="1" applyAlignment="1">
      <alignment vertical="top"/>
    </xf>
    <xf numFmtId="0" fontId="23" fillId="5" borderId="10" xfId="4" applyFont="1" applyFill="1" applyBorder="1" applyAlignment="1">
      <alignment horizontal="center" vertical="center" wrapText="1"/>
    </xf>
    <xf numFmtId="1" fontId="23" fillId="5" borderId="10" xfId="4" applyNumberFormat="1" applyFont="1" applyFill="1" applyBorder="1" applyAlignment="1">
      <alignment horizontal="center" vertical="center" wrapText="1"/>
    </xf>
    <xf numFmtId="49" fontId="18" fillId="6" borderId="9" xfId="2" applyNumberFormat="1" applyFont="1" applyFill="1" applyBorder="1" applyAlignment="1">
      <alignment vertical="center" wrapText="1"/>
    </xf>
    <xf numFmtId="166" fontId="18" fillId="6" borderId="9" xfId="2" applyNumberFormat="1" applyFont="1" applyFill="1" applyBorder="1" applyAlignment="1">
      <alignment horizontal="right" vertical="center" wrapText="1"/>
    </xf>
    <xf numFmtId="164" fontId="18" fillId="6" borderId="9" xfId="2" applyNumberFormat="1" applyFont="1" applyFill="1" applyBorder="1" applyAlignment="1">
      <alignment horizontal="right" vertical="center" wrapText="1"/>
    </xf>
    <xf numFmtId="49" fontId="23" fillId="7" borderId="9" xfId="2" applyNumberFormat="1" applyFont="1" applyFill="1" applyBorder="1" applyAlignment="1">
      <alignment vertical="center" wrapText="1"/>
    </xf>
    <xf numFmtId="3" fontId="23" fillId="7" borderId="9" xfId="2" applyNumberFormat="1" applyFont="1" applyFill="1" applyBorder="1" applyAlignment="1">
      <alignment horizontal="right" vertical="center" wrapText="1"/>
    </xf>
    <xf numFmtId="165" fontId="23" fillId="7" borderId="9" xfId="3" applyNumberFormat="1" applyFont="1" applyFill="1" applyBorder="1" applyAlignment="1">
      <alignment vertical="center" wrapText="1"/>
    </xf>
    <xf numFmtId="3" fontId="23" fillId="8" borderId="9" xfId="0" applyNumberFormat="1" applyFont="1" applyFill="1" applyBorder="1" applyAlignment="1">
      <alignment horizontal="right" vertical="center" wrapText="1"/>
    </xf>
    <xf numFmtId="164" fontId="23" fillId="8" borderId="9" xfId="0" applyNumberFormat="1" applyFont="1" applyFill="1" applyBorder="1" applyAlignment="1">
      <alignment horizontal="right" vertical="center" wrapText="1"/>
    </xf>
    <xf numFmtId="0" fontId="16" fillId="6" borderId="0" xfId="0" applyFont="1" applyFill="1" applyBorder="1"/>
    <xf numFmtId="0" fontId="24" fillId="6" borderId="0" xfId="0" applyFont="1" applyFill="1" applyBorder="1"/>
    <xf numFmtId="0" fontId="24" fillId="6" borderId="0" xfId="0" applyFont="1" applyFill="1" applyBorder="1" applyAlignment="1">
      <alignment vertical="center"/>
    </xf>
    <xf numFmtId="0" fontId="24" fillId="6" borderId="0" xfId="0" applyFont="1" applyFill="1" applyBorder="1" applyAlignment="1">
      <alignment vertical="top"/>
    </xf>
    <xf numFmtId="0" fontId="22" fillId="0" borderId="4" xfId="1" applyFont="1" applyBorder="1" applyAlignment="1">
      <alignment horizontal="left"/>
    </xf>
    <xf numFmtId="0" fontId="22" fillId="0" borderId="0" xfId="1" applyFont="1" applyBorder="1" applyAlignment="1">
      <alignment horizontal="left"/>
    </xf>
    <xf numFmtId="0" fontId="22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14" fillId="0" borderId="0" xfId="0" applyFont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18" fillId="6" borderId="10" xfId="2" applyNumberFormat="1" applyFont="1" applyFill="1" applyBorder="1" applyAlignment="1">
      <alignment horizontal="center" vertical="center" wrapText="1"/>
    </xf>
    <xf numFmtId="49" fontId="18" fillId="6" borderId="14" xfId="2" applyNumberFormat="1" applyFont="1" applyFill="1" applyBorder="1" applyAlignment="1">
      <alignment horizontal="center" vertical="center" wrapText="1"/>
    </xf>
    <xf numFmtId="49" fontId="18" fillId="6" borderId="15" xfId="2" applyNumberFormat="1" applyFont="1" applyFill="1" applyBorder="1" applyAlignment="1">
      <alignment horizontal="center" vertical="center" wrapText="1"/>
    </xf>
    <xf numFmtId="49" fontId="23" fillId="8" borderId="13" xfId="0" applyNumberFormat="1" applyFont="1" applyFill="1" applyBorder="1" applyAlignment="1">
      <alignment horizontal="center" vertical="center" wrapText="1"/>
    </xf>
    <xf numFmtId="49" fontId="23" fillId="8" borderId="12" xfId="0" applyNumberFormat="1" applyFont="1" applyFill="1" applyBorder="1" applyAlignment="1">
      <alignment horizontal="center" vertical="center" wrapText="1"/>
    </xf>
  </cellXfs>
  <cellStyles count="5">
    <cellStyle name="Hipervínculo" xfId="1" builtinId="8"/>
    <cellStyle name="Normal" xfId="0" builtinId="0"/>
    <cellStyle name="Normal 2" xfId="2"/>
    <cellStyle name="Normal_Hoja1" xfId="4"/>
    <cellStyle name="Porcentaje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465548</xdr:colOff>
      <xdr:row>1</xdr:row>
      <xdr:rowOff>219405</xdr:rowOff>
    </xdr:from>
    <xdr:to>
      <xdr:col>3</xdr:col>
      <xdr:colOff>977645</xdr:colOff>
      <xdr:row>2</xdr:row>
      <xdr:rowOff>209881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789773" y="752805"/>
          <a:ext cx="512097" cy="2286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HAWAII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7</xdr:row>
      <xdr:rowOff>161925</xdr:rowOff>
    </xdr:from>
    <xdr:to>
      <xdr:col>5</xdr:col>
      <xdr:colOff>102522</xdr:colOff>
      <xdr:row>8</xdr:row>
      <xdr:rowOff>161926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38675" y="1685925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ESTADO DE HAWAII DE EE.UU. POR ESTADO Y MUNICIPIO DE LA REPÚBLICA MEXICANA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5657435" cy="10774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HAWAII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28403" y="2028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65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602602</xdr:colOff>
      <xdr:row>7</xdr:row>
      <xdr:rowOff>106913</xdr:rowOff>
    </xdr:from>
    <xdr:to>
      <xdr:col>4</xdr:col>
      <xdr:colOff>1114699</xdr:colOff>
      <xdr:row>7</xdr:row>
      <xdr:rowOff>286208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41277" y="1849988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HAWAII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161925</xdr:colOff>
      <xdr:row>8</xdr:row>
      <xdr:rowOff>0</xdr:rowOff>
    </xdr:from>
    <xdr:to>
      <xdr:col>5</xdr:col>
      <xdr:colOff>54897</xdr:colOff>
      <xdr:row>8</xdr:row>
      <xdr:rowOff>190501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181600" y="171450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 HAWAII, POR NIVEL DE EDUCACIÓN Y ESTADO DE LA REPÚBLICA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HAWAII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575468</xdr:colOff>
      <xdr:row>7</xdr:row>
      <xdr:rowOff>158750</xdr:rowOff>
    </xdr:from>
    <xdr:to>
      <xdr:col>4</xdr:col>
      <xdr:colOff>1087565</xdr:colOff>
      <xdr:row>7</xdr:row>
      <xdr:rowOff>349251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18906" y="1895078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HAWAII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180975</xdr:colOff>
      <xdr:row>7</xdr:row>
      <xdr:rowOff>180975</xdr:rowOff>
    </xdr:from>
    <xdr:to>
      <xdr:col>5</xdr:col>
      <xdr:colOff>73947</xdr:colOff>
      <xdr:row>8</xdr:row>
      <xdr:rowOff>180976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0100" y="1704975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HAWAII, POR ESTADO DE LA REPÚBLICA MEXICANA Y GÉNERO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HAWAII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525517</xdr:colOff>
      <xdr:row>7</xdr:row>
      <xdr:rowOff>157655</xdr:rowOff>
    </xdr:from>
    <xdr:to>
      <xdr:col>4</xdr:col>
      <xdr:colOff>1037614</xdr:colOff>
      <xdr:row>7</xdr:row>
      <xdr:rowOff>348156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63207" y="1898431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HAWAII, POR GÉNERO Y RANGO DE EDAD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HAWAII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400707</xdr:colOff>
      <xdr:row>7</xdr:row>
      <xdr:rowOff>118241</xdr:rowOff>
    </xdr:from>
    <xdr:to>
      <xdr:col>4</xdr:col>
      <xdr:colOff>912804</xdr:colOff>
      <xdr:row>7</xdr:row>
      <xdr:rowOff>308742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38397" y="1859017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HAWAII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8</xdr:row>
      <xdr:rowOff>0</xdr:rowOff>
    </xdr:from>
    <xdr:to>
      <xdr:col>5</xdr:col>
      <xdr:colOff>102522</xdr:colOff>
      <xdr:row>8</xdr:row>
      <xdr:rowOff>190501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38675" y="171450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Views>
    <sheetView showGridLines="0" view="pageBreakPreview" zoomScaleNormal="100" zoomScaleSheetLayoutView="100" workbookViewId="0">
      <selection activeCell="F3" sqref="F3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8.85546875" style="1" customWidth="1"/>
    <col min="5" max="16384" width="11.42578125" style="1"/>
  </cols>
  <sheetData>
    <row r="1" spans="1:4" ht="42" customHeight="1" thickBot="1">
      <c r="A1" s="70" t="s">
        <v>46</v>
      </c>
      <c r="B1" s="71"/>
      <c r="C1" s="71"/>
      <c r="D1" s="72"/>
    </row>
    <row r="2" spans="1:4" ht="18.75">
      <c r="A2" s="2"/>
      <c r="B2" s="3"/>
      <c r="C2" s="3"/>
      <c r="D2" s="4"/>
    </row>
    <row r="3" spans="1:4">
      <c r="A3" s="73" t="s">
        <v>0</v>
      </c>
      <c r="B3" s="74"/>
      <c r="C3" s="74"/>
      <c r="D3" s="75"/>
    </row>
    <row r="4" spans="1:4">
      <c r="A4" s="73"/>
      <c r="B4" s="74"/>
      <c r="C4" s="74"/>
      <c r="D4" s="75"/>
    </row>
    <row r="5" spans="1:4" ht="18.75">
      <c r="A5" s="5"/>
      <c r="B5" s="6"/>
      <c r="C5" s="6"/>
      <c r="D5" s="7"/>
    </row>
    <row r="6" spans="1:4" ht="18.75">
      <c r="A6" s="67" t="s">
        <v>1</v>
      </c>
      <c r="B6" s="68"/>
      <c r="C6" s="68"/>
      <c r="D6" s="69"/>
    </row>
    <row r="7" spans="1:4" ht="18.75">
      <c r="A7" s="8"/>
      <c r="B7" s="9"/>
      <c r="C7" s="9"/>
      <c r="D7" s="10"/>
    </row>
    <row r="8" spans="1:4" ht="18.75">
      <c r="A8" s="11" t="s">
        <v>2</v>
      </c>
      <c r="B8" s="12"/>
      <c r="C8" s="12"/>
      <c r="D8" s="13"/>
    </row>
    <row r="9" spans="1:4" ht="18.75">
      <c r="A9" s="11"/>
      <c r="B9" s="67" t="s">
        <v>3</v>
      </c>
      <c r="C9" s="68"/>
      <c r="D9" s="68"/>
    </row>
    <row r="10" spans="1:4" ht="18.75">
      <c r="A10" s="11" t="s">
        <v>4</v>
      </c>
      <c r="B10" s="12"/>
      <c r="C10" s="12"/>
      <c r="D10" s="13"/>
    </row>
    <row r="11" spans="1:4" ht="18.75">
      <c r="A11" s="11"/>
      <c r="B11" s="67" t="s">
        <v>5</v>
      </c>
      <c r="C11" s="68"/>
      <c r="D11" s="68"/>
    </row>
    <row r="12" spans="1:4" ht="18.75">
      <c r="A12" s="11"/>
      <c r="B12" s="67" t="s">
        <v>6</v>
      </c>
      <c r="C12" s="68"/>
      <c r="D12" s="68"/>
    </row>
    <row r="13" spans="1:4" ht="18.75">
      <c r="A13" s="11"/>
      <c r="B13" s="12"/>
      <c r="C13" s="12"/>
      <c r="D13" s="13"/>
    </row>
    <row r="14" spans="1:4" ht="18.75">
      <c r="A14" s="11" t="s">
        <v>7</v>
      </c>
      <c r="B14" s="12"/>
      <c r="C14" s="12"/>
      <c r="D14" s="13"/>
    </row>
    <row r="15" spans="1:4" ht="18.75">
      <c r="A15" s="11"/>
      <c r="B15" s="67" t="s">
        <v>8</v>
      </c>
      <c r="C15" s="68"/>
      <c r="D15" s="68"/>
    </row>
    <row r="16" spans="1:4" ht="18.75">
      <c r="A16" s="11"/>
      <c r="B16" s="67" t="s">
        <v>9</v>
      </c>
      <c r="C16" s="68"/>
      <c r="D16" s="68"/>
    </row>
    <row r="17" spans="1:4" ht="18.75">
      <c r="A17" s="11"/>
      <c r="B17" s="12"/>
      <c r="C17" s="12"/>
      <c r="D17" s="13"/>
    </row>
    <row r="18" spans="1:4" ht="18.75">
      <c r="A18" s="67" t="s">
        <v>10</v>
      </c>
      <c r="B18" s="68"/>
      <c r="C18" s="68"/>
      <c r="D18" s="69"/>
    </row>
    <row r="19" spans="1:4" ht="18.75">
      <c r="A19" s="11"/>
      <c r="B19" s="12"/>
      <c r="C19" s="12"/>
      <c r="D19" s="13"/>
    </row>
    <row r="20" spans="1:4" ht="18.75">
      <c r="A20" s="67" t="s">
        <v>11</v>
      </c>
      <c r="B20" s="68"/>
      <c r="C20" s="68"/>
      <c r="D20" s="69"/>
    </row>
    <row r="21" spans="1:4" ht="19.5" thickBot="1">
      <c r="A21" s="14"/>
      <c r="B21" s="15"/>
      <c r="C21" s="15"/>
      <c r="D21" s="16"/>
    </row>
    <row r="22" spans="1:4" ht="18.75">
      <c r="A22" s="17"/>
      <c r="B22" s="17"/>
      <c r="C22" s="17"/>
      <c r="D22" s="17"/>
    </row>
  </sheetData>
  <mergeCells count="10">
    <mergeCell ref="B15:D15"/>
    <mergeCell ref="B16:D16"/>
    <mergeCell ref="A18:D18"/>
    <mergeCell ref="A20:D20"/>
    <mergeCell ref="A1:D1"/>
    <mergeCell ref="A3:D4"/>
    <mergeCell ref="A6:D6"/>
    <mergeCell ref="B9:D9"/>
    <mergeCell ref="B11:D11"/>
    <mergeCell ref="B12:D12"/>
  </mergeCells>
  <hyperlinks>
    <hyperlink ref="A6" location="Aguascalientes_EdoUsa!A1" display="1. Por Estados de USA"/>
    <hyperlink ref="B11" location="Aguascalientes_educ_gral!A1" display="4.1 Educación general"/>
    <hyperlink ref="B12" location="Aguascalientes_NivelE_Cons!A1" display="4.2 Por Estado de USA"/>
    <hyperlink ref="B15" location="Aguascalientes_GenGral!A1" display="5.1 Género General"/>
    <hyperlink ref="B16" location="Aguascalientes_GENERO!A1" display="5.3 Por Circunscripción Consular"/>
    <hyperlink ref="A18" location="Aguascalientes_Gen_Edad!A1" display="6. Por estructura de Edad"/>
    <hyperlink ref="A20" location="Aguascalientes_ocup_gral!A1" display="7. Por Ocupación"/>
    <hyperlink ref="A6:D6" location="Hawaii_Edomexgral!A1" display="1. Por Estados de la República Mexicana"/>
    <hyperlink ref="B9" location="Alabama_EDOMEX!Área_de_impresión" display="2.1 Por estado de la República Mexicana y municipio de origen"/>
    <hyperlink ref="B11:D11" location="Hawaii_Educagral!A1" display="3.1 Educación general"/>
    <hyperlink ref="B12:D12" location="Hawaii_Eduedo!A1" display="3.2 Por Estado de la República Mexicana"/>
    <hyperlink ref="B15:D15" location="Hawaii_gengral!A1" display="4.1 Género General"/>
    <hyperlink ref="B16:D16" location="Hawaii_edomexgen!A1" display="4.2 Por Estados de la República Mexicana"/>
    <hyperlink ref="A18:D18" location="Hawaii_edadgen!A1" display="5. Por estructura de Edad"/>
    <hyperlink ref="A20:D20" location="Hawaii_ocupgral!A1" display="6. Por Ocupación"/>
    <hyperlink ref="B9:D9" location="Hawaii_EDOMEX!A1" display="2.1 Por estado de la República Mexicana y municipio de orige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E41"/>
  <sheetViews>
    <sheetView showGridLines="0" tabSelected="1" topLeftCell="A10" zoomScaleNormal="100" zoomScaleSheetLayoutView="115" workbookViewId="0">
      <selection activeCell="F28" sqref="F28"/>
    </sheetView>
  </sheetViews>
  <sheetFormatPr baseColWidth="10" defaultColWidth="11.42578125" defaultRowHeight="15"/>
  <cols>
    <col min="1" max="1" width="9.28515625" style="18" customWidth="1"/>
    <col min="2" max="2" width="21.7109375" style="18" customWidth="1"/>
    <col min="3" max="3" width="17.7109375" style="19" customWidth="1"/>
    <col min="4" max="4" width="17.7109375" style="18" customWidth="1"/>
    <col min="5" max="5" width="9.28515625" style="18" customWidth="1"/>
    <col min="6" max="6" width="5.7109375" style="18" customWidth="1"/>
    <col min="7" max="16384" width="11.42578125" style="18"/>
  </cols>
  <sheetData>
    <row r="1" spans="1:5" s="30" customFormat="1" ht="15" customHeight="1">
      <c r="C1" s="36"/>
    </row>
    <row r="2" spans="1:5" s="30" customFormat="1" ht="15" customHeight="1">
      <c r="C2" s="36"/>
    </row>
    <row r="3" spans="1:5" s="30" customFormat="1" ht="15" customHeight="1">
      <c r="C3" s="36"/>
    </row>
    <row r="4" spans="1:5" s="30" customFormat="1" ht="30" customHeight="1">
      <c r="C4" s="36"/>
      <c r="D4" s="35"/>
    </row>
    <row r="5" spans="1:5" s="30" customFormat="1" ht="15" customHeight="1">
      <c r="C5" s="36"/>
      <c r="D5" s="35"/>
    </row>
    <row r="6" spans="1:5" s="30" customFormat="1" ht="15" customHeight="1">
      <c r="C6" s="36"/>
      <c r="D6" s="35"/>
    </row>
    <row r="7" spans="1:5" s="30" customFormat="1" ht="15" customHeight="1">
      <c r="B7" s="76" t="s">
        <v>184</v>
      </c>
      <c r="C7" s="76"/>
      <c r="D7" s="76"/>
    </row>
    <row r="8" spans="1:5" s="30" customFormat="1" ht="15" customHeight="1">
      <c r="B8" s="76"/>
      <c r="C8" s="76"/>
      <c r="D8" s="76"/>
    </row>
    <row r="9" spans="1:5" s="30" customFormat="1" ht="33" customHeight="1">
      <c r="B9" s="76"/>
      <c r="C9" s="76"/>
      <c r="D9" s="76"/>
    </row>
    <row r="10" spans="1:5" s="30" customFormat="1" ht="4.5" customHeight="1">
      <c r="B10" s="34"/>
      <c r="C10" s="34"/>
      <c r="D10" s="34"/>
    </row>
    <row r="11" spans="1:5" s="30" customFormat="1" ht="33" customHeight="1">
      <c r="B11" s="33" t="s">
        <v>23</v>
      </c>
      <c r="C11" s="32" t="s">
        <v>22</v>
      </c>
      <c r="D11" s="31" t="s">
        <v>21</v>
      </c>
    </row>
    <row r="12" spans="1:5">
      <c r="B12" s="28" t="s">
        <v>20</v>
      </c>
      <c r="C12" s="27">
        <v>38</v>
      </c>
      <c r="D12" s="26">
        <v>0.14503816793893129</v>
      </c>
    </row>
    <row r="13" spans="1:5">
      <c r="B13" s="28" t="s">
        <v>19</v>
      </c>
      <c r="C13" s="27">
        <v>32</v>
      </c>
      <c r="D13" s="26">
        <v>0.12213740458015267</v>
      </c>
    </row>
    <row r="14" spans="1:5">
      <c r="A14" s="29"/>
      <c r="B14" s="28" t="s">
        <v>119</v>
      </c>
      <c r="C14" s="27">
        <v>28</v>
      </c>
      <c r="D14" s="26">
        <v>0.10687022900763359</v>
      </c>
      <c r="E14" s="29"/>
    </row>
    <row r="15" spans="1:5">
      <c r="A15" s="29"/>
      <c r="B15" s="28" t="s">
        <v>134</v>
      </c>
      <c r="C15" s="27">
        <v>27</v>
      </c>
      <c r="D15" s="26">
        <v>0.10305343511450382</v>
      </c>
      <c r="E15" s="29"/>
    </row>
    <row r="16" spans="1:5">
      <c r="B16" s="28" t="s">
        <v>17</v>
      </c>
      <c r="C16" s="27">
        <v>23</v>
      </c>
      <c r="D16" s="26">
        <v>8.7786259541984726E-2</v>
      </c>
    </row>
    <row r="17" spans="2:4">
      <c r="B17" s="28" t="s">
        <v>76</v>
      </c>
      <c r="C17" s="27">
        <v>21</v>
      </c>
      <c r="D17" s="26">
        <v>8.0152671755725186E-2</v>
      </c>
    </row>
    <row r="18" spans="2:4">
      <c r="B18" s="28" t="s">
        <v>54</v>
      </c>
      <c r="C18" s="27">
        <v>16</v>
      </c>
      <c r="D18" s="26">
        <v>6.1068702290076333E-2</v>
      </c>
    </row>
    <row r="19" spans="2:4">
      <c r="B19" s="28" t="s">
        <v>18</v>
      </c>
      <c r="C19" s="27">
        <v>13</v>
      </c>
      <c r="D19" s="26">
        <v>4.9618320610687022E-2</v>
      </c>
    </row>
    <row r="20" spans="2:4">
      <c r="B20" s="28" t="s">
        <v>90</v>
      </c>
      <c r="C20" s="27">
        <v>11</v>
      </c>
      <c r="D20" s="26">
        <v>4.1984732824427481E-2</v>
      </c>
    </row>
    <row r="21" spans="2:4">
      <c r="B21" s="28" t="s">
        <v>102</v>
      </c>
      <c r="C21" s="27">
        <v>8</v>
      </c>
      <c r="D21" s="26">
        <v>3.0534351145038167E-2</v>
      </c>
    </row>
    <row r="22" spans="2:4">
      <c r="B22" s="28" t="s">
        <v>171</v>
      </c>
      <c r="C22" s="27">
        <v>8</v>
      </c>
      <c r="D22" s="26">
        <v>3.0534351145038167E-2</v>
      </c>
    </row>
    <row r="23" spans="2:4">
      <c r="B23" s="28" t="s">
        <v>96</v>
      </c>
      <c r="C23" s="27">
        <v>7</v>
      </c>
      <c r="D23" s="26">
        <v>2.6717557251908396E-2</v>
      </c>
    </row>
    <row r="24" spans="2:4">
      <c r="B24" s="28" t="s">
        <v>165</v>
      </c>
      <c r="C24" s="27">
        <v>7</v>
      </c>
      <c r="D24" s="26">
        <v>2.6717557251908396E-2</v>
      </c>
    </row>
    <row r="25" spans="2:4">
      <c r="B25" s="28" t="s">
        <v>73</v>
      </c>
      <c r="C25" s="27">
        <v>6</v>
      </c>
      <c r="D25" s="26">
        <v>2.2900763358778626E-2</v>
      </c>
    </row>
    <row r="26" spans="2:4">
      <c r="B26" s="28" t="s">
        <v>178</v>
      </c>
      <c r="C26" s="27">
        <v>3</v>
      </c>
      <c r="D26" s="26">
        <v>1.1450381679389313E-2</v>
      </c>
    </row>
    <row r="27" spans="2:4">
      <c r="B27" s="28" t="s">
        <v>16</v>
      </c>
      <c r="C27" s="27">
        <v>3</v>
      </c>
      <c r="D27" s="26">
        <v>1.1450381679389313E-2</v>
      </c>
    </row>
    <row r="28" spans="2:4">
      <c r="B28" s="28" t="s">
        <v>47</v>
      </c>
      <c r="C28" s="27">
        <v>2</v>
      </c>
      <c r="D28" s="26">
        <v>7.6335877862595417E-3</v>
      </c>
    </row>
    <row r="29" spans="2:4">
      <c r="B29" s="28" t="s">
        <v>49</v>
      </c>
      <c r="C29" s="27">
        <v>2</v>
      </c>
      <c r="D29" s="26">
        <v>7.6335877862595417E-3</v>
      </c>
    </row>
    <row r="30" spans="2:4">
      <c r="B30" s="28" t="s">
        <v>61</v>
      </c>
      <c r="C30" s="27">
        <v>2</v>
      </c>
      <c r="D30" s="26">
        <v>7.6335877862595417E-3</v>
      </c>
    </row>
    <row r="31" spans="2:4">
      <c r="B31" s="28" t="s">
        <v>63</v>
      </c>
      <c r="C31" s="27">
        <v>2</v>
      </c>
      <c r="D31" s="26">
        <v>7.6335877862595417E-3</v>
      </c>
    </row>
    <row r="32" spans="2:4">
      <c r="B32" s="28" t="s">
        <v>52</v>
      </c>
      <c r="C32" s="27">
        <v>1</v>
      </c>
      <c r="D32" s="26">
        <v>3.8167938931297708E-3</v>
      </c>
    </row>
    <row r="33" spans="2:4">
      <c r="B33" s="28" t="s">
        <v>163</v>
      </c>
      <c r="C33" s="27">
        <v>1</v>
      </c>
      <c r="D33" s="26">
        <v>3.8167938931297708E-3</v>
      </c>
    </row>
    <row r="34" spans="2:4">
      <c r="B34" s="28" t="s">
        <v>164</v>
      </c>
      <c r="C34" s="27">
        <v>1</v>
      </c>
      <c r="D34" s="26">
        <v>3.8167938931297708E-3</v>
      </c>
    </row>
    <row r="35" spans="2:4">
      <c r="B35" s="25" t="s">
        <v>15</v>
      </c>
      <c r="C35" s="24">
        <v>262</v>
      </c>
      <c r="D35" s="23">
        <v>1</v>
      </c>
    </row>
    <row r="37" spans="2:4">
      <c r="B37" s="20" t="s">
        <v>182</v>
      </c>
    </row>
    <row r="38" spans="2:4">
      <c r="B38" s="22" t="s">
        <v>14</v>
      </c>
    </row>
    <row r="39" spans="2:4">
      <c r="B39" s="21" t="s">
        <v>13</v>
      </c>
    </row>
    <row r="40" spans="2:4">
      <c r="B40" s="20" t="s">
        <v>12</v>
      </c>
    </row>
    <row r="41" spans="2:4">
      <c r="B41" s="20" t="s">
        <v>183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F345"/>
  <sheetViews>
    <sheetView showGridLines="0" topLeftCell="A150" zoomScale="98" zoomScaleNormal="98" zoomScaleSheetLayoutView="100" workbookViewId="0">
      <selection activeCell="F171" sqref="F171"/>
    </sheetView>
  </sheetViews>
  <sheetFormatPr baseColWidth="10" defaultColWidth="35" defaultRowHeight="15" customHeight="1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45" customFormat="1" ht="12" customHeight="1">
      <c r="B1" s="49"/>
      <c r="C1" s="48"/>
      <c r="D1" s="48"/>
      <c r="E1" s="48"/>
    </row>
    <row r="2" spans="1:5" s="45" customFormat="1" ht="15" customHeight="1">
      <c r="C2" s="47"/>
    </row>
    <row r="3" spans="1:5" s="45" customFormat="1" ht="15" customHeight="1">
      <c r="C3" s="47"/>
    </row>
    <row r="4" spans="1:5" s="45" customFormat="1" ht="30" customHeight="1">
      <c r="C4" s="47"/>
      <c r="D4" s="46"/>
    </row>
    <row r="5" spans="1:5" s="45" customFormat="1" ht="15" customHeight="1">
      <c r="C5" s="47"/>
      <c r="D5" s="46"/>
    </row>
    <row r="6" spans="1:5" s="42" customFormat="1" ht="24" customHeight="1">
      <c r="B6" s="44"/>
      <c r="C6" s="41"/>
      <c r="D6" s="41"/>
      <c r="E6" s="41"/>
    </row>
    <row r="7" spans="1:5" s="42" customFormat="1" ht="26.25" customHeight="1">
      <c r="A7" s="43"/>
      <c r="B7" s="77"/>
      <c r="C7" s="77"/>
      <c r="D7" s="77"/>
      <c r="E7" s="77"/>
    </row>
    <row r="8" spans="1:5" s="42" customFormat="1" ht="33" customHeight="1">
      <c r="A8" s="43"/>
      <c r="B8" s="77"/>
      <c r="C8" s="77"/>
      <c r="D8" s="77"/>
      <c r="E8" s="77"/>
    </row>
    <row r="9" spans="1:5" s="30" customFormat="1" ht="40.5" customHeight="1">
      <c r="B9" s="53" t="s">
        <v>23</v>
      </c>
      <c r="C9" s="53" t="s">
        <v>24</v>
      </c>
      <c r="D9" s="54" t="s">
        <v>22</v>
      </c>
      <c r="E9" s="53" t="s">
        <v>21</v>
      </c>
    </row>
    <row r="10" spans="1:5" ht="15" customHeight="1">
      <c r="B10" s="78" t="s">
        <v>47</v>
      </c>
      <c r="C10" s="55" t="s">
        <v>47</v>
      </c>
      <c r="D10" s="56">
        <v>1</v>
      </c>
      <c r="E10" s="57">
        <v>3.8167938931297708E-3</v>
      </c>
    </row>
    <row r="11" spans="1:5" ht="15" customHeight="1">
      <c r="B11" s="80"/>
      <c r="C11" s="55" t="s">
        <v>48</v>
      </c>
      <c r="D11" s="56">
        <v>1</v>
      </c>
      <c r="E11" s="57">
        <v>3.8167938931297708E-3</v>
      </c>
    </row>
    <row r="12" spans="1:5" ht="15" customHeight="1">
      <c r="B12" s="79"/>
      <c r="C12" s="58" t="s">
        <v>15</v>
      </c>
      <c r="D12" s="59">
        <v>2</v>
      </c>
      <c r="E12" s="60">
        <v>7.6335877862595417E-3</v>
      </c>
    </row>
    <row r="13" spans="1:5" ht="15" customHeight="1">
      <c r="B13" s="78" t="s">
        <v>49</v>
      </c>
      <c r="C13" s="55" t="s">
        <v>50</v>
      </c>
      <c r="D13" s="56">
        <v>1</v>
      </c>
      <c r="E13" s="57">
        <v>3.8167938931297708E-3</v>
      </c>
    </row>
    <row r="14" spans="1:5" ht="15" customHeight="1">
      <c r="B14" s="80"/>
      <c r="C14" s="55" t="s">
        <v>51</v>
      </c>
      <c r="D14" s="56">
        <v>1</v>
      </c>
      <c r="E14" s="57">
        <v>3.8167938931297708E-3</v>
      </c>
    </row>
    <row r="15" spans="1:5" ht="15" customHeight="1">
      <c r="B15" s="79"/>
      <c r="C15" s="58" t="s">
        <v>15</v>
      </c>
      <c r="D15" s="59">
        <v>2</v>
      </c>
      <c r="E15" s="60">
        <v>7.6335877862595417E-3</v>
      </c>
    </row>
    <row r="16" spans="1:5" ht="15" customHeight="1">
      <c r="B16" s="78" t="s">
        <v>52</v>
      </c>
      <c r="C16" s="55" t="s">
        <v>53</v>
      </c>
      <c r="D16" s="56">
        <v>1</v>
      </c>
      <c r="E16" s="57">
        <v>3.8167938931297708E-3</v>
      </c>
    </row>
    <row r="17" spans="2:6" ht="15" customHeight="1">
      <c r="B17" s="79"/>
      <c r="C17" s="58" t="s">
        <v>15</v>
      </c>
      <c r="D17" s="59">
        <v>1</v>
      </c>
      <c r="E17" s="60">
        <v>3.8167938931297708E-3</v>
      </c>
    </row>
    <row r="18" spans="2:6" ht="15" customHeight="1">
      <c r="B18" s="78" t="s">
        <v>54</v>
      </c>
      <c r="C18" s="55" t="s">
        <v>55</v>
      </c>
      <c r="D18" s="56">
        <v>2</v>
      </c>
      <c r="E18" s="57">
        <v>7.6335877862595417E-3</v>
      </c>
    </row>
    <row r="19" spans="2:6" ht="15" customHeight="1">
      <c r="B19" s="80"/>
      <c r="C19" s="55" t="s">
        <v>56</v>
      </c>
      <c r="D19" s="56">
        <v>1</v>
      </c>
      <c r="E19" s="57">
        <v>3.8167938931297708E-3</v>
      </c>
    </row>
    <row r="20" spans="2:6" ht="15" customHeight="1">
      <c r="B20" s="80"/>
      <c r="C20" s="55" t="s">
        <v>57</v>
      </c>
      <c r="D20" s="56">
        <v>1</v>
      </c>
      <c r="E20" s="57">
        <v>3.8167938931297708E-3</v>
      </c>
      <c r="F20" s="18"/>
    </row>
    <row r="21" spans="2:6" ht="15" customHeight="1">
      <c r="B21" s="80"/>
      <c r="C21" s="55" t="s">
        <v>58</v>
      </c>
      <c r="D21" s="56">
        <v>10</v>
      </c>
      <c r="E21" s="57">
        <v>3.8167938931297711E-2</v>
      </c>
      <c r="F21" s="18"/>
    </row>
    <row r="22" spans="2:6" ht="15" customHeight="1">
      <c r="B22" s="80"/>
      <c r="C22" s="55" t="s">
        <v>59</v>
      </c>
      <c r="D22" s="56">
        <v>1</v>
      </c>
      <c r="E22" s="57">
        <v>3.8167938931297708E-3</v>
      </c>
      <c r="F22" s="18"/>
    </row>
    <row r="23" spans="2:6" ht="15" customHeight="1">
      <c r="B23" s="80"/>
      <c r="C23" s="55" t="s">
        <v>60</v>
      </c>
      <c r="D23" s="56">
        <v>1</v>
      </c>
      <c r="E23" s="57">
        <v>3.8167938931297708E-3</v>
      </c>
      <c r="F23" s="18"/>
    </row>
    <row r="24" spans="2:6" ht="15" customHeight="1">
      <c r="B24" s="79"/>
      <c r="C24" s="58" t="s">
        <v>15</v>
      </c>
      <c r="D24" s="59">
        <v>16</v>
      </c>
      <c r="E24" s="60">
        <v>6.1068702290076333E-2</v>
      </c>
      <c r="F24" s="18"/>
    </row>
    <row r="25" spans="2:6" ht="15" customHeight="1">
      <c r="B25" s="78" t="s">
        <v>61</v>
      </c>
      <c r="C25" s="55" t="s">
        <v>62</v>
      </c>
      <c r="D25" s="56">
        <v>2</v>
      </c>
      <c r="E25" s="57">
        <v>7.6335877862595417E-3</v>
      </c>
    </row>
    <row r="26" spans="2:6" ht="15" customHeight="1">
      <c r="B26" s="79"/>
      <c r="C26" s="58" t="s">
        <v>15</v>
      </c>
      <c r="D26" s="59">
        <v>2</v>
      </c>
      <c r="E26" s="60">
        <v>7.6335877862595417E-3</v>
      </c>
    </row>
    <row r="27" spans="2:6" ht="15" customHeight="1">
      <c r="B27" s="78" t="s">
        <v>63</v>
      </c>
      <c r="C27" s="55" t="s">
        <v>64</v>
      </c>
      <c r="D27" s="56">
        <v>2</v>
      </c>
      <c r="E27" s="57">
        <v>7.6335877862595417E-3</v>
      </c>
    </row>
    <row r="28" spans="2:6" ht="15" customHeight="1">
      <c r="B28" s="79"/>
      <c r="C28" s="58" t="s">
        <v>15</v>
      </c>
      <c r="D28" s="59">
        <v>2</v>
      </c>
      <c r="E28" s="60">
        <v>7.6335877862595417E-3</v>
      </c>
    </row>
    <row r="29" spans="2:6" ht="15" customHeight="1">
      <c r="B29" s="78" t="s">
        <v>19</v>
      </c>
      <c r="C29" s="55" t="s">
        <v>39</v>
      </c>
      <c r="D29" s="56">
        <v>1</v>
      </c>
      <c r="E29" s="57">
        <v>3.8167938931297708E-3</v>
      </c>
    </row>
    <row r="30" spans="2:6" ht="15" customHeight="1">
      <c r="B30" s="80"/>
      <c r="C30" s="55" t="s">
        <v>65</v>
      </c>
      <c r="D30" s="56">
        <v>1</v>
      </c>
      <c r="E30" s="57">
        <v>3.8167938931297708E-3</v>
      </c>
    </row>
    <row r="31" spans="2:6" ht="15" customHeight="1">
      <c r="B31" s="80"/>
      <c r="C31" s="55" t="s">
        <v>66</v>
      </c>
      <c r="D31" s="56">
        <v>1</v>
      </c>
      <c r="E31" s="57">
        <v>3.8167938931297708E-3</v>
      </c>
    </row>
    <row r="32" spans="2:6" ht="15" customHeight="1">
      <c r="B32" s="80"/>
      <c r="C32" s="55" t="s">
        <v>67</v>
      </c>
      <c r="D32" s="56">
        <v>6</v>
      </c>
      <c r="E32" s="57">
        <v>2.2900763358778626E-2</v>
      </c>
    </row>
    <row r="33" spans="2:5" ht="15" customHeight="1">
      <c r="B33" s="80"/>
      <c r="C33" s="55" t="s">
        <v>68</v>
      </c>
      <c r="D33" s="56">
        <v>7</v>
      </c>
      <c r="E33" s="57">
        <v>2.6717557251908396E-2</v>
      </c>
    </row>
    <row r="34" spans="2:5" ht="15" customHeight="1">
      <c r="B34" s="80"/>
      <c r="C34" s="55" t="s">
        <v>69</v>
      </c>
      <c r="D34" s="56">
        <v>4</v>
      </c>
      <c r="E34" s="57">
        <v>1.5267175572519083E-2</v>
      </c>
    </row>
    <row r="35" spans="2:5" ht="15" customHeight="1">
      <c r="B35" s="80"/>
      <c r="C35" s="55" t="s">
        <v>70</v>
      </c>
      <c r="D35" s="56">
        <v>2</v>
      </c>
      <c r="E35" s="57">
        <v>7.6335877862595417E-3</v>
      </c>
    </row>
    <row r="36" spans="2:5" ht="15" customHeight="1">
      <c r="B36" s="80"/>
      <c r="C36" s="55" t="s">
        <v>71</v>
      </c>
      <c r="D36" s="56">
        <v>1</v>
      </c>
      <c r="E36" s="57">
        <v>3.8167938931297708E-3</v>
      </c>
    </row>
    <row r="37" spans="2:5" ht="15" customHeight="1">
      <c r="B37" s="80"/>
      <c r="C37" s="55" t="s">
        <v>72</v>
      </c>
      <c r="D37" s="56">
        <v>9</v>
      </c>
      <c r="E37" s="57">
        <v>3.4351145038167941E-2</v>
      </c>
    </row>
    <row r="38" spans="2:5" ht="15" customHeight="1">
      <c r="B38" s="79"/>
      <c r="C38" s="58" t="s">
        <v>15</v>
      </c>
      <c r="D38" s="59">
        <v>32</v>
      </c>
      <c r="E38" s="60">
        <v>0.12213740458015267</v>
      </c>
    </row>
    <row r="39" spans="2:5" ht="15" customHeight="1">
      <c r="B39" s="78" t="s">
        <v>73</v>
      </c>
      <c r="C39" s="55" t="s">
        <v>74</v>
      </c>
      <c r="D39" s="56">
        <v>1</v>
      </c>
      <c r="E39" s="57">
        <v>3.8167938931297708E-3</v>
      </c>
    </row>
    <row r="40" spans="2:5" ht="15" customHeight="1">
      <c r="B40" s="80"/>
      <c r="C40" s="55" t="s">
        <v>73</v>
      </c>
      <c r="D40" s="56">
        <v>2</v>
      </c>
      <c r="E40" s="57">
        <v>7.6335877862595417E-3</v>
      </c>
    </row>
    <row r="41" spans="2:5" ht="15" customHeight="1">
      <c r="B41" s="80"/>
      <c r="C41" s="55" t="s">
        <v>75</v>
      </c>
      <c r="D41" s="56">
        <v>3</v>
      </c>
      <c r="E41" s="57">
        <v>1.1450381679389313E-2</v>
      </c>
    </row>
    <row r="42" spans="2:5" ht="15" customHeight="1">
      <c r="B42" s="79"/>
      <c r="C42" s="58" t="s">
        <v>15</v>
      </c>
      <c r="D42" s="59">
        <v>6</v>
      </c>
      <c r="E42" s="60">
        <v>2.2900763358778626E-2</v>
      </c>
    </row>
    <row r="43" spans="2:5" ht="15" customHeight="1">
      <c r="B43" s="78" t="s">
        <v>76</v>
      </c>
      <c r="C43" s="55" t="s">
        <v>77</v>
      </c>
      <c r="D43" s="56">
        <v>1</v>
      </c>
      <c r="E43" s="57">
        <v>3.8167938931297708E-3</v>
      </c>
    </row>
    <row r="44" spans="2:5" ht="15" customHeight="1">
      <c r="B44" s="80"/>
      <c r="C44" s="55" t="s">
        <v>78</v>
      </c>
      <c r="D44" s="56">
        <v>2</v>
      </c>
      <c r="E44" s="57">
        <v>7.6335877862595417E-3</v>
      </c>
    </row>
    <row r="45" spans="2:5" ht="15" customHeight="1">
      <c r="B45" s="80"/>
      <c r="C45" s="55" t="s">
        <v>79</v>
      </c>
      <c r="D45" s="56">
        <v>1</v>
      </c>
      <c r="E45" s="57">
        <v>3.8167938931297708E-3</v>
      </c>
    </row>
    <row r="46" spans="2:5" ht="15" customHeight="1">
      <c r="B46" s="80"/>
      <c r="C46" s="55" t="s">
        <v>80</v>
      </c>
      <c r="D46" s="56">
        <v>1</v>
      </c>
      <c r="E46" s="57">
        <v>3.8167938931297708E-3</v>
      </c>
    </row>
    <row r="47" spans="2:5" ht="15" customHeight="1">
      <c r="B47" s="80"/>
      <c r="C47" s="55" t="s">
        <v>81</v>
      </c>
      <c r="D47" s="56">
        <v>6</v>
      </c>
      <c r="E47" s="57">
        <v>2.2900763358778626E-2</v>
      </c>
    </row>
    <row r="48" spans="2:5" ht="15" customHeight="1">
      <c r="B48" s="80"/>
      <c r="C48" s="55" t="s">
        <v>82</v>
      </c>
      <c r="D48" s="56">
        <v>1</v>
      </c>
      <c r="E48" s="57">
        <v>3.8167938931297708E-3</v>
      </c>
    </row>
    <row r="49" spans="2:5" ht="15" customHeight="1">
      <c r="B49" s="80"/>
      <c r="C49" s="55" t="s">
        <v>83</v>
      </c>
      <c r="D49" s="56">
        <v>2</v>
      </c>
      <c r="E49" s="57">
        <v>7.6335877862595417E-3</v>
      </c>
    </row>
    <row r="50" spans="2:5" ht="15" customHeight="1">
      <c r="B50" s="80"/>
      <c r="C50" s="55" t="s">
        <v>84</v>
      </c>
      <c r="D50" s="56">
        <v>2</v>
      </c>
      <c r="E50" s="57">
        <v>7.6335877862595417E-3</v>
      </c>
    </row>
    <row r="51" spans="2:5" ht="15" customHeight="1">
      <c r="B51" s="80"/>
      <c r="C51" s="55" t="s">
        <v>85</v>
      </c>
      <c r="D51" s="56">
        <v>1</v>
      </c>
      <c r="E51" s="57">
        <v>3.8167938931297708E-3</v>
      </c>
    </row>
    <row r="52" spans="2:5" ht="15" customHeight="1">
      <c r="B52" s="80"/>
      <c r="C52" s="55" t="s">
        <v>86</v>
      </c>
      <c r="D52" s="56">
        <v>1</v>
      </c>
      <c r="E52" s="57">
        <v>3.8167938931297708E-3</v>
      </c>
    </row>
    <row r="53" spans="2:5" ht="15" customHeight="1">
      <c r="B53" s="80"/>
      <c r="C53" s="55" t="s">
        <v>87</v>
      </c>
      <c r="D53" s="56">
        <v>1</v>
      </c>
      <c r="E53" s="57">
        <v>3.8167938931297708E-3</v>
      </c>
    </row>
    <row r="54" spans="2:5" ht="15" customHeight="1">
      <c r="B54" s="80"/>
      <c r="C54" s="55" t="s">
        <v>88</v>
      </c>
      <c r="D54" s="56">
        <v>1</v>
      </c>
      <c r="E54" s="57">
        <v>3.8167938931297708E-3</v>
      </c>
    </row>
    <row r="55" spans="2:5" ht="15" customHeight="1">
      <c r="B55" s="80"/>
      <c r="C55" s="55" t="s">
        <v>89</v>
      </c>
      <c r="D55" s="56">
        <v>1</v>
      </c>
      <c r="E55" s="57">
        <v>3.8167938931297708E-3</v>
      </c>
    </row>
    <row r="56" spans="2:5" ht="15" customHeight="1">
      <c r="B56" s="79"/>
      <c r="C56" s="58" t="s">
        <v>15</v>
      </c>
      <c r="D56" s="59">
        <v>21</v>
      </c>
      <c r="E56" s="60">
        <v>8.0152671755725186E-2</v>
      </c>
    </row>
    <row r="57" spans="2:5" ht="15" customHeight="1">
      <c r="B57" s="78" t="s">
        <v>90</v>
      </c>
      <c r="C57" s="55" t="s">
        <v>90</v>
      </c>
      <c r="D57" s="56">
        <v>1</v>
      </c>
      <c r="E57" s="57">
        <v>3.8167938931297708E-3</v>
      </c>
    </row>
    <row r="58" spans="2:5" ht="15" customHeight="1">
      <c r="B58" s="80"/>
      <c r="C58" s="55" t="s">
        <v>91</v>
      </c>
      <c r="D58" s="56">
        <v>1</v>
      </c>
      <c r="E58" s="57">
        <v>3.8167938931297708E-3</v>
      </c>
    </row>
    <row r="59" spans="2:5" ht="15" customHeight="1">
      <c r="B59" s="80"/>
      <c r="C59" s="55" t="s">
        <v>92</v>
      </c>
      <c r="D59" s="56">
        <v>2</v>
      </c>
      <c r="E59" s="57">
        <v>7.6335877862595417E-3</v>
      </c>
    </row>
    <row r="60" spans="2:5" ht="15" customHeight="1">
      <c r="B60" s="80"/>
      <c r="C60" s="55" t="s">
        <v>93</v>
      </c>
      <c r="D60" s="56">
        <v>1</v>
      </c>
      <c r="E60" s="57">
        <v>3.8167938931297708E-3</v>
      </c>
    </row>
    <row r="61" spans="2:5" ht="15" customHeight="1">
      <c r="B61" s="80"/>
      <c r="C61" s="55" t="s">
        <v>94</v>
      </c>
      <c r="D61" s="56">
        <v>3</v>
      </c>
      <c r="E61" s="57">
        <v>1.1450381679389313E-2</v>
      </c>
    </row>
    <row r="62" spans="2:5" ht="15" customHeight="1">
      <c r="B62" s="80"/>
      <c r="C62" s="55" t="s">
        <v>95</v>
      </c>
      <c r="D62" s="56">
        <v>3</v>
      </c>
      <c r="E62" s="57">
        <v>1.1450381679389313E-2</v>
      </c>
    </row>
    <row r="63" spans="2:5" ht="15" customHeight="1">
      <c r="B63" s="79"/>
      <c r="C63" s="58" t="s">
        <v>15</v>
      </c>
      <c r="D63" s="59">
        <v>11</v>
      </c>
      <c r="E63" s="60">
        <v>4.1984732824427481E-2</v>
      </c>
    </row>
    <row r="64" spans="2:5" ht="15" customHeight="1">
      <c r="B64" s="78" t="s">
        <v>96</v>
      </c>
      <c r="C64" s="55" t="s">
        <v>97</v>
      </c>
      <c r="D64" s="56">
        <v>3</v>
      </c>
      <c r="E64" s="57">
        <v>1.1450381679389313E-2</v>
      </c>
    </row>
    <row r="65" spans="2:5" ht="15" customHeight="1">
      <c r="B65" s="80"/>
      <c r="C65" s="55" t="s">
        <v>98</v>
      </c>
      <c r="D65" s="56">
        <v>1</v>
      </c>
      <c r="E65" s="57">
        <v>3.8167938931297708E-3</v>
      </c>
    </row>
    <row r="66" spans="2:5" ht="15" customHeight="1">
      <c r="B66" s="80"/>
      <c r="C66" s="55" t="s">
        <v>99</v>
      </c>
      <c r="D66" s="56">
        <v>1</v>
      </c>
      <c r="E66" s="57">
        <v>3.8167938931297708E-3</v>
      </c>
    </row>
    <row r="67" spans="2:5" ht="15" customHeight="1">
      <c r="B67" s="80"/>
      <c r="C67" s="55" t="s">
        <v>100</v>
      </c>
      <c r="D67" s="56">
        <v>1</v>
      </c>
      <c r="E67" s="57">
        <v>3.8167938931297708E-3</v>
      </c>
    </row>
    <row r="68" spans="2:5" ht="15" customHeight="1">
      <c r="B68" s="80"/>
      <c r="C68" s="55" t="s">
        <v>101</v>
      </c>
      <c r="D68" s="56">
        <v>1</v>
      </c>
      <c r="E68" s="57">
        <v>3.8167938931297708E-3</v>
      </c>
    </row>
    <row r="69" spans="2:5" ht="15" customHeight="1">
      <c r="B69" s="79"/>
      <c r="C69" s="58" t="s">
        <v>15</v>
      </c>
      <c r="D69" s="59">
        <v>7</v>
      </c>
      <c r="E69" s="60">
        <v>2.6717557251908396E-2</v>
      </c>
    </row>
    <row r="70" spans="2:5" ht="15" customHeight="1">
      <c r="B70" s="78" t="s">
        <v>102</v>
      </c>
      <c r="C70" s="55" t="s">
        <v>103</v>
      </c>
      <c r="D70" s="56">
        <v>6</v>
      </c>
      <c r="E70" s="57">
        <v>2.2900763358778626E-2</v>
      </c>
    </row>
    <row r="71" spans="2:5" ht="15" customHeight="1">
      <c r="B71" s="80"/>
      <c r="C71" s="55" t="s">
        <v>104</v>
      </c>
      <c r="D71" s="56">
        <v>1</v>
      </c>
      <c r="E71" s="57">
        <v>3.8167938931297708E-3</v>
      </c>
    </row>
    <row r="72" spans="2:5" ht="15" customHeight="1">
      <c r="B72" s="80"/>
      <c r="C72" s="55" t="s">
        <v>105</v>
      </c>
      <c r="D72" s="56">
        <v>1</v>
      </c>
      <c r="E72" s="57">
        <v>3.8167938931297708E-3</v>
      </c>
    </row>
    <row r="73" spans="2:5" ht="15" customHeight="1">
      <c r="B73" s="79"/>
      <c r="C73" s="58" t="s">
        <v>15</v>
      </c>
      <c r="D73" s="59">
        <v>8</v>
      </c>
      <c r="E73" s="60">
        <v>3.0534351145038167E-2</v>
      </c>
    </row>
    <row r="74" spans="2:5" ht="15" customHeight="1">
      <c r="B74" s="78" t="s">
        <v>20</v>
      </c>
      <c r="C74" s="55" t="s">
        <v>106</v>
      </c>
      <c r="D74" s="56">
        <v>2</v>
      </c>
      <c r="E74" s="57">
        <v>7.6335877862595417E-3</v>
      </c>
    </row>
    <row r="75" spans="2:5" ht="15" customHeight="1">
      <c r="B75" s="80"/>
      <c r="C75" s="55" t="s">
        <v>40</v>
      </c>
      <c r="D75" s="56">
        <v>14</v>
      </c>
      <c r="E75" s="57">
        <v>5.3435114503816793E-2</v>
      </c>
    </row>
    <row r="76" spans="2:5" ht="15" customHeight="1">
      <c r="B76" s="80"/>
      <c r="C76" s="55" t="s">
        <v>107</v>
      </c>
      <c r="D76" s="56">
        <v>1</v>
      </c>
      <c r="E76" s="57">
        <v>3.8167938931297708E-3</v>
      </c>
    </row>
    <row r="77" spans="2:5" ht="15" customHeight="1">
      <c r="B77" s="80"/>
      <c r="C77" s="55" t="s">
        <v>108</v>
      </c>
      <c r="D77" s="56">
        <v>1</v>
      </c>
      <c r="E77" s="57">
        <v>3.8167938931297708E-3</v>
      </c>
    </row>
    <row r="78" spans="2:5" ht="15" customHeight="1">
      <c r="B78" s="80"/>
      <c r="C78" s="55" t="s">
        <v>109</v>
      </c>
      <c r="D78" s="56">
        <v>3</v>
      </c>
      <c r="E78" s="57">
        <v>1.1450381679389313E-2</v>
      </c>
    </row>
    <row r="79" spans="2:5" ht="15" customHeight="1">
      <c r="B79" s="80"/>
      <c r="C79" s="55" t="s">
        <v>110</v>
      </c>
      <c r="D79" s="56">
        <v>3</v>
      </c>
      <c r="E79" s="57">
        <v>1.1450381679389313E-2</v>
      </c>
    </row>
    <row r="80" spans="2:5" ht="15" customHeight="1">
      <c r="B80" s="80"/>
      <c r="C80" s="55" t="s">
        <v>111</v>
      </c>
      <c r="D80" s="56">
        <v>3</v>
      </c>
      <c r="E80" s="57">
        <v>1.1450381679389313E-2</v>
      </c>
    </row>
    <row r="81" spans="2:5" ht="15" customHeight="1">
      <c r="B81" s="80"/>
      <c r="C81" s="55" t="s">
        <v>112</v>
      </c>
      <c r="D81" s="56">
        <v>1</v>
      </c>
      <c r="E81" s="57">
        <v>3.8167938931297708E-3</v>
      </c>
    </row>
    <row r="82" spans="2:5" ht="15" customHeight="1">
      <c r="B82" s="80"/>
      <c r="C82" s="55" t="s">
        <v>113</v>
      </c>
      <c r="D82" s="56">
        <v>2</v>
      </c>
      <c r="E82" s="57">
        <v>7.6335877862595417E-3</v>
      </c>
    </row>
    <row r="83" spans="2:5" ht="15" customHeight="1">
      <c r="B83" s="80"/>
      <c r="C83" s="55" t="s">
        <v>114</v>
      </c>
      <c r="D83" s="56">
        <v>1</v>
      </c>
      <c r="E83" s="57">
        <v>3.8167938931297708E-3</v>
      </c>
    </row>
    <row r="84" spans="2:5" ht="15" customHeight="1">
      <c r="B84" s="80"/>
      <c r="C84" s="55" t="s">
        <v>115</v>
      </c>
      <c r="D84" s="56">
        <v>1</v>
      </c>
      <c r="E84" s="57">
        <v>3.8167938931297708E-3</v>
      </c>
    </row>
    <row r="85" spans="2:5" ht="15" customHeight="1">
      <c r="B85" s="80"/>
      <c r="C85" s="55" t="s">
        <v>116</v>
      </c>
      <c r="D85" s="56">
        <v>1</v>
      </c>
      <c r="E85" s="57">
        <v>3.8167938931297708E-3</v>
      </c>
    </row>
    <row r="86" spans="2:5" ht="15" customHeight="1">
      <c r="B86" s="80"/>
      <c r="C86" s="55" t="s">
        <v>117</v>
      </c>
      <c r="D86" s="56">
        <v>4</v>
      </c>
      <c r="E86" s="57">
        <v>1.5267175572519083E-2</v>
      </c>
    </row>
    <row r="87" spans="2:5" ht="15" customHeight="1">
      <c r="B87" s="80"/>
      <c r="C87" s="55" t="s">
        <v>118</v>
      </c>
      <c r="D87" s="56">
        <v>1</v>
      </c>
      <c r="E87" s="57">
        <v>3.8167938931297708E-3</v>
      </c>
    </row>
    <row r="88" spans="2:5" ht="15" customHeight="1">
      <c r="B88" s="79"/>
      <c r="C88" s="58" t="s">
        <v>15</v>
      </c>
      <c r="D88" s="59">
        <v>38</v>
      </c>
      <c r="E88" s="60">
        <v>0.14503816793893129</v>
      </c>
    </row>
    <row r="89" spans="2:5" ht="15" customHeight="1">
      <c r="B89" s="78" t="s">
        <v>119</v>
      </c>
      <c r="C89" s="55" t="s">
        <v>120</v>
      </c>
      <c r="D89" s="56">
        <v>3</v>
      </c>
      <c r="E89" s="57">
        <v>1.1450381679389313E-2</v>
      </c>
    </row>
    <row r="90" spans="2:5" ht="15" customHeight="1">
      <c r="B90" s="80"/>
      <c r="C90" s="55" t="s">
        <v>121</v>
      </c>
      <c r="D90" s="56">
        <v>1</v>
      </c>
      <c r="E90" s="57">
        <v>3.8167938931297708E-3</v>
      </c>
    </row>
    <row r="91" spans="2:5" ht="15" customHeight="1">
      <c r="B91" s="80"/>
      <c r="C91" s="55" t="s">
        <v>122</v>
      </c>
      <c r="D91" s="56">
        <v>1</v>
      </c>
      <c r="E91" s="57">
        <v>3.8167938931297708E-3</v>
      </c>
    </row>
    <row r="92" spans="2:5" ht="15" customHeight="1">
      <c r="B92" s="80"/>
      <c r="C92" s="55" t="s">
        <v>123</v>
      </c>
      <c r="D92" s="56">
        <v>1</v>
      </c>
      <c r="E92" s="57">
        <v>3.8167938931297708E-3</v>
      </c>
    </row>
    <row r="93" spans="2:5" ht="15" customHeight="1">
      <c r="B93" s="80"/>
      <c r="C93" s="55" t="s">
        <v>124</v>
      </c>
      <c r="D93" s="56">
        <v>19</v>
      </c>
      <c r="E93" s="57">
        <v>7.2519083969465645E-2</v>
      </c>
    </row>
    <row r="94" spans="2:5" ht="15" customHeight="1">
      <c r="B94" s="80"/>
      <c r="C94" s="55" t="s">
        <v>125</v>
      </c>
      <c r="D94" s="56">
        <v>1</v>
      </c>
      <c r="E94" s="57">
        <v>3.8167938931297708E-3</v>
      </c>
    </row>
    <row r="95" spans="2:5" ht="15" customHeight="1">
      <c r="B95" s="80"/>
      <c r="C95" s="55" t="s">
        <v>126</v>
      </c>
      <c r="D95" s="56">
        <v>1</v>
      </c>
      <c r="E95" s="57">
        <v>3.8167938931297708E-3</v>
      </c>
    </row>
    <row r="96" spans="2:5" ht="15" customHeight="1">
      <c r="B96" s="80"/>
      <c r="C96" s="55" t="s">
        <v>127</v>
      </c>
      <c r="D96" s="56">
        <v>1</v>
      </c>
      <c r="E96" s="57">
        <v>3.8167938931297708E-3</v>
      </c>
    </row>
    <row r="97" spans="2:5" ht="15" customHeight="1">
      <c r="B97" s="79"/>
      <c r="C97" s="58" t="s">
        <v>15</v>
      </c>
      <c r="D97" s="59">
        <v>28</v>
      </c>
      <c r="E97" s="60">
        <v>0.10687022900763359</v>
      </c>
    </row>
    <row r="98" spans="2:5" ht="15" customHeight="1">
      <c r="B98" s="78" t="s">
        <v>18</v>
      </c>
      <c r="C98" s="55" t="s">
        <v>128</v>
      </c>
      <c r="D98" s="56">
        <v>1</v>
      </c>
      <c r="E98" s="57">
        <v>3.8167938931297708E-3</v>
      </c>
    </row>
    <row r="99" spans="2:5" ht="15" customHeight="1">
      <c r="B99" s="80"/>
      <c r="C99" s="55" t="s">
        <v>129</v>
      </c>
      <c r="D99" s="56">
        <v>3</v>
      </c>
      <c r="E99" s="57">
        <v>1.1450381679389313E-2</v>
      </c>
    </row>
    <row r="100" spans="2:5" ht="15" customHeight="1">
      <c r="B100" s="80"/>
      <c r="C100" s="55" t="s">
        <v>130</v>
      </c>
      <c r="D100" s="56">
        <v>2</v>
      </c>
      <c r="E100" s="57">
        <v>7.6335877862595417E-3</v>
      </c>
    </row>
    <row r="101" spans="2:5" ht="15" customHeight="1">
      <c r="B101" s="80"/>
      <c r="C101" s="55" t="s">
        <v>131</v>
      </c>
      <c r="D101" s="56">
        <v>2</v>
      </c>
      <c r="E101" s="57">
        <v>7.6335877862595417E-3</v>
      </c>
    </row>
    <row r="102" spans="2:5" ht="15" customHeight="1">
      <c r="B102" s="80"/>
      <c r="C102" s="55" t="s">
        <v>132</v>
      </c>
      <c r="D102" s="56">
        <v>1</v>
      </c>
      <c r="E102" s="57">
        <v>3.8167938931297708E-3</v>
      </c>
    </row>
    <row r="103" spans="2:5" ht="15" customHeight="1">
      <c r="B103" s="80"/>
      <c r="C103" s="55" t="s">
        <v>133</v>
      </c>
      <c r="D103" s="56">
        <v>3</v>
      </c>
      <c r="E103" s="57">
        <v>1.1450381679389313E-2</v>
      </c>
    </row>
    <row r="104" spans="2:5" ht="15" customHeight="1">
      <c r="B104" s="80"/>
      <c r="C104" s="55" t="s">
        <v>41</v>
      </c>
      <c r="D104" s="56">
        <v>1</v>
      </c>
      <c r="E104" s="57">
        <v>3.8167938931297708E-3</v>
      </c>
    </row>
    <row r="105" spans="2:5" ht="15" customHeight="1">
      <c r="B105" s="79"/>
      <c r="C105" s="58" t="s">
        <v>15</v>
      </c>
      <c r="D105" s="59">
        <v>13</v>
      </c>
      <c r="E105" s="60">
        <v>4.9618320610687022E-2</v>
      </c>
    </row>
    <row r="106" spans="2:5" ht="15" customHeight="1">
      <c r="B106" s="78" t="s">
        <v>134</v>
      </c>
      <c r="C106" s="55" t="s">
        <v>135</v>
      </c>
      <c r="D106" s="56">
        <v>2</v>
      </c>
      <c r="E106" s="57">
        <v>7.6335877862595417E-3</v>
      </c>
    </row>
    <row r="107" spans="2:5" ht="15" customHeight="1">
      <c r="B107" s="80"/>
      <c r="C107" s="55" t="s">
        <v>136</v>
      </c>
      <c r="D107" s="56">
        <v>1</v>
      </c>
      <c r="E107" s="57">
        <v>3.8167938931297708E-3</v>
      </c>
    </row>
    <row r="108" spans="2:5" ht="15" customHeight="1">
      <c r="B108" s="80"/>
      <c r="C108" s="55" t="s">
        <v>137</v>
      </c>
      <c r="D108" s="56">
        <v>1</v>
      </c>
      <c r="E108" s="57">
        <v>3.8167938931297708E-3</v>
      </c>
    </row>
    <row r="109" spans="2:5" ht="15" customHeight="1">
      <c r="B109" s="80"/>
      <c r="C109" s="55" t="s">
        <v>138</v>
      </c>
      <c r="D109" s="56">
        <v>1</v>
      </c>
      <c r="E109" s="57">
        <v>3.8167938931297708E-3</v>
      </c>
    </row>
    <row r="110" spans="2:5" ht="15" customHeight="1">
      <c r="B110" s="80"/>
      <c r="C110" s="55" t="s">
        <v>139</v>
      </c>
      <c r="D110" s="56">
        <v>1</v>
      </c>
      <c r="E110" s="57">
        <v>3.8167938931297708E-3</v>
      </c>
    </row>
    <row r="111" spans="2:5" ht="15" customHeight="1">
      <c r="B111" s="80"/>
      <c r="C111" s="55" t="s">
        <v>140</v>
      </c>
      <c r="D111" s="56">
        <v>2</v>
      </c>
      <c r="E111" s="57">
        <v>7.6335877862595417E-3</v>
      </c>
    </row>
    <row r="112" spans="2:5" ht="15" customHeight="1">
      <c r="B112" s="80"/>
      <c r="C112" s="55" t="s">
        <v>141</v>
      </c>
      <c r="D112" s="56">
        <v>1</v>
      </c>
      <c r="E112" s="57">
        <v>3.8167938931297708E-3</v>
      </c>
    </row>
    <row r="113" spans="2:5" ht="15" customHeight="1">
      <c r="B113" s="80"/>
      <c r="C113" s="55" t="s">
        <v>142</v>
      </c>
      <c r="D113" s="56">
        <v>1</v>
      </c>
      <c r="E113" s="57">
        <v>3.8167938931297708E-3</v>
      </c>
    </row>
    <row r="114" spans="2:5" ht="15" customHeight="1">
      <c r="B114" s="80"/>
      <c r="C114" s="55" t="s">
        <v>143</v>
      </c>
      <c r="D114" s="56">
        <v>1</v>
      </c>
      <c r="E114" s="57">
        <v>3.8167938931297708E-3</v>
      </c>
    </row>
    <row r="115" spans="2:5" ht="15" customHeight="1">
      <c r="B115" s="80"/>
      <c r="C115" s="55" t="s">
        <v>144</v>
      </c>
      <c r="D115" s="56">
        <v>3</v>
      </c>
      <c r="E115" s="57">
        <v>1.1450381679389313E-2</v>
      </c>
    </row>
    <row r="116" spans="2:5" ht="15" customHeight="1">
      <c r="B116" s="80"/>
      <c r="C116" s="55" t="s">
        <v>145</v>
      </c>
      <c r="D116" s="56">
        <v>4</v>
      </c>
      <c r="E116" s="57">
        <v>1.5267175572519083E-2</v>
      </c>
    </row>
    <row r="117" spans="2:5" ht="15" customHeight="1">
      <c r="B117" s="80"/>
      <c r="C117" s="55" t="s">
        <v>146</v>
      </c>
      <c r="D117" s="56">
        <v>2</v>
      </c>
      <c r="E117" s="57">
        <v>7.6335877862595417E-3</v>
      </c>
    </row>
    <row r="118" spans="2:5" ht="15" customHeight="1">
      <c r="B118" s="80"/>
      <c r="C118" s="55" t="s">
        <v>147</v>
      </c>
      <c r="D118" s="56">
        <v>2</v>
      </c>
      <c r="E118" s="57">
        <v>7.6335877862595417E-3</v>
      </c>
    </row>
    <row r="119" spans="2:5" ht="15" customHeight="1">
      <c r="B119" s="80"/>
      <c r="C119" s="55" t="s">
        <v>148</v>
      </c>
      <c r="D119" s="56">
        <v>1</v>
      </c>
      <c r="E119" s="57">
        <v>3.8167938931297708E-3</v>
      </c>
    </row>
    <row r="120" spans="2:5" ht="15" customHeight="1">
      <c r="B120" s="80"/>
      <c r="C120" s="55" t="s">
        <v>149</v>
      </c>
      <c r="D120" s="56">
        <v>3</v>
      </c>
      <c r="E120" s="57">
        <v>1.1450381679389313E-2</v>
      </c>
    </row>
    <row r="121" spans="2:5" ht="15" customHeight="1">
      <c r="B121" s="80"/>
      <c r="C121" s="55" t="s">
        <v>150</v>
      </c>
      <c r="D121" s="56">
        <v>1</v>
      </c>
      <c r="E121" s="57">
        <v>3.8167938931297708E-3</v>
      </c>
    </row>
    <row r="122" spans="2:5" ht="15" customHeight="1">
      <c r="B122" s="79"/>
      <c r="C122" s="58" t="s">
        <v>15</v>
      </c>
      <c r="D122" s="59">
        <v>27</v>
      </c>
      <c r="E122" s="60">
        <v>0.10305343511450382</v>
      </c>
    </row>
    <row r="123" spans="2:5" ht="15" customHeight="1">
      <c r="B123" s="78" t="s">
        <v>17</v>
      </c>
      <c r="C123" s="55" t="s">
        <v>151</v>
      </c>
      <c r="D123" s="56">
        <v>1</v>
      </c>
      <c r="E123" s="57">
        <v>3.8167938931297708E-3</v>
      </c>
    </row>
    <row r="124" spans="2:5" ht="15" customHeight="1">
      <c r="B124" s="80"/>
      <c r="C124" s="55" t="s">
        <v>152</v>
      </c>
      <c r="D124" s="56">
        <v>1</v>
      </c>
      <c r="E124" s="57">
        <v>3.8167938931297708E-3</v>
      </c>
    </row>
    <row r="125" spans="2:5" ht="15" customHeight="1">
      <c r="B125" s="80"/>
      <c r="C125" s="55" t="s">
        <v>153</v>
      </c>
      <c r="D125" s="56">
        <v>1</v>
      </c>
      <c r="E125" s="57">
        <v>3.8167938931297708E-3</v>
      </c>
    </row>
    <row r="126" spans="2:5" ht="15" customHeight="1">
      <c r="B126" s="80"/>
      <c r="C126" s="55" t="s">
        <v>154</v>
      </c>
      <c r="D126" s="56">
        <v>9</v>
      </c>
      <c r="E126" s="57">
        <v>3.4351145038167941E-2</v>
      </c>
    </row>
    <row r="127" spans="2:5" ht="15" customHeight="1">
      <c r="B127" s="80"/>
      <c r="C127" s="55" t="s">
        <v>17</v>
      </c>
      <c r="D127" s="56">
        <v>1</v>
      </c>
      <c r="E127" s="57">
        <v>3.8167938931297708E-3</v>
      </c>
    </row>
    <row r="128" spans="2:5" ht="15" customHeight="1">
      <c r="B128" s="80"/>
      <c r="C128" s="55" t="s">
        <v>155</v>
      </c>
      <c r="D128" s="56">
        <v>1</v>
      </c>
      <c r="E128" s="57">
        <v>3.8167938931297708E-3</v>
      </c>
    </row>
    <row r="129" spans="2:5" ht="15" customHeight="1">
      <c r="B129" s="80"/>
      <c r="C129" s="55" t="s">
        <v>156</v>
      </c>
      <c r="D129" s="56">
        <v>1</v>
      </c>
      <c r="E129" s="57">
        <v>3.8167938931297708E-3</v>
      </c>
    </row>
    <row r="130" spans="2:5" ht="15" customHeight="1">
      <c r="B130" s="80"/>
      <c r="C130" s="55" t="s">
        <v>157</v>
      </c>
      <c r="D130" s="56">
        <v>1</v>
      </c>
      <c r="E130" s="57">
        <v>3.8167938931297708E-3</v>
      </c>
    </row>
    <row r="131" spans="2:5" ht="15" customHeight="1">
      <c r="B131" s="80"/>
      <c r="C131" s="55" t="s">
        <v>158</v>
      </c>
      <c r="D131" s="56">
        <v>1</v>
      </c>
      <c r="E131" s="57">
        <v>3.8167938931297708E-3</v>
      </c>
    </row>
    <row r="132" spans="2:5" ht="15" customHeight="1">
      <c r="B132" s="80"/>
      <c r="C132" s="55" t="s">
        <v>159</v>
      </c>
      <c r="D132" s="56">
        <v>2</v>
      </c>
      <c r="E132" s="57">
        <v>7.6335877862595417E-3</v>
      </c>
    </row>
    <row r="133" spans="2:5" ht="15" customHeight="1">
      <c r="B133" s="80"/>
      <c r="C133" s="55" t="s">
        <v>160</v>
      </c>
      <c r="D133" s="56">
        <v>2</v>
      </c>
      <c r="E133" s="57">
        <v>7.6335877862595417E-3</v>
      </c>
    </row>
    <row r="134" spans="2:5" ht="15" customHeight="1">
      <c r="B134" s="80"/>
      <c r="C134" s="55" t="s">
        <v>161</v>
      </c>
      <c r="D134" s="56">
        <v>1</v>
      </c>
      <c r="E134" s="57">
        <v>3.8167938931297708E-3</v>
      </c>
    </row>
    <row r="135" spans="2:5" ht="15" customHeight="1">
      <c r="B135" s="80"/>
      <c r="C135" s="55" t="s">
        <v>162</v>
      </c>
      <c r="D135" s="56">
        <v>1</v>
      </c>
      <c r="E135" s="57">
        <v>3.8167938931297708E-3</v>
      </c>
    </row>
    <row r="136" spans="2:5" ht="15" customHeight="1">
      <c r="B136" s="79"/>
      <c r="C136" s="58" t="s">
        <v>15</v>
      </c>
      <c r="D136" s="59">
        <v>23</v>
      </c>
      <c r="E136" s="60">
        <v>8.7786259541984726E-2</v>
      </c>
    </row>
    <row r="137" spans="2:5" ht="15" customHeight="1">
      <c r="B137" s="78" t="s">
        <v>163</v>
      </c>
      <c r="C137" s="55" t="s">
        <v>163</v>
      </c>
      <c r="D137" s="56">
        <v>1</v>
      </c>
      <c r="E137" s="57">
        <v>3.8167938931297708E-3</v>
      </c>
    </row>
    <row r="138" spans="2:5" ht="15" customHeight="1">
      <c r="B138" s="79"/>
      <c r="C138" s="58" t="s">
        <v>15</v>
      </c>
      <c r="D138" s="59">
        <v>1</v>
      </c>
      <c r="E138" s="60">
        <v>3.8167938931297708E-3</v>
      </c>
    </row>
    <row r="139" spans="2:5" ht="15" customHeight="1">
      <c r="B139" s="78" t="s">
        <v>164</v>
      </c>
      <c r="C139" s="55" t="s">
        <v>164</v>
      </c>
      <c r="D139" s="56">
        <v>1</v>
      </c>
      <c r="E139" s="57">
        <v>3.8167938931297708E-3</v>
      </c>
    </row>
    <row r="140" spans="2:5" ht="15" customHeight="1">
      <c r="B140" s="79"/>
      <c r="C140" s="58" t="s">
        <v>15</v>
      </c>
      <c r="D140" s="59">
        <v>1</v>
      </c>
      <c r="E140" s="60">
        <v>3.8167938931297708E-3</v>
      </c>
    </row>
    <row r="141" spans="2:5" ht="15" customHeight="1">
      <c r="B141" s="78" t="s">
        <v>165</v>
      </c>
      <c r="C141" s="55" t="s">
        <v>166</v>
      </c>
      <c r="D141" s="56">
        <v>1</v>
      </c>
      <c r="E141" s="57">
        <v>3.8167938931297708E-3</v>
      </c>
    </row>
    <row r="142" spans="2:5" ht="15" customHeight="1">
      <c r="B142" s="80"/>
      <c r="C142" s="55" t="s">
        <v>167</v>
      </c>
      <c r="D142" s="56">
        <v>1</v>
      </c>
      <c r="E142" s="57">
        <v>3.8167938931297708E-3</v>
      </c>
    </row>
    <row r="143" spans="2:5" ht="15" customHeight="1">
      <c r="B143" s="80"/>
      <c r="C143" s="55" t="s">
        <v>168</v>
      </c>
      <c r="D143" s="56">
        <v>3</v>
      </c>
      <c r="E143" s="57">
        <v>1.1450381679389313E-2</v>
      </c>
    </row>
    <row r="144" spans="2:5" ht="15" customHeight="1">
      <c r="B144" s="80"/>
      <c r="C144" s="55" t="s">
        <v>169</v>
      </c>
      <c r="D144" s="56">
        <v>1</v>
      </c>
      <c r="E144" s="57">
        <v>3.8167938931297708E-3</v>
      </c>
    </row>
    <row r="145" spans="2:5" ht="15" customHeight="1">
      <c r="B145" s="80"/>
      <c r="C145" s="55" t="s">
        <v>170</v>
      </c>
      <c r="D145" s="56">
        <v>1</v>
      </c>
      <c r="E145" s="57">
        <v>3.8167938931297708E-3</v>
      </c>
    </row>
    <row r="146" spans="2:5" ht="15" customHeight="1">
      <c r="B146" s="79"/>
      <c r="C146" s="58" t="s">
        <v>15</v>
      </c>
      <c r="D146" s="59">
        <v>7</v>
      </c>
      <c r="E146" s="60">
        <v>2.6717557251908396E-2</v>
      </c>
    </row>
    <row r="147" spans="2:5" ht="15" customHeight="1">
      <c r="B147" s="78" t="s">
        <v>171</v>
      </c>
      <c r="C147" s="55" t="s">
        <v>172</v>
      </c>
      <c r="D147" s="56">
        <v>1</v>
      </c>
      <c r="E147" s="57">
        <v>3.8167938931297708E-3</v>
      </c>
    </row>
    <row r="148" spans="2:5" ht="15" customHeight="1">
      <c r="B148" s="80"/>
      <c r="C148" s="55" t="s">
        <v>173</v>
      </c>
      <c r="D148" s="56">
        <v>2</v>
      </c>
      <c r="E148" s="57">
        <v>7.6335877862595417E-3</v>
      </c>
    </row>
    <row r="149" spans="2:5" ht="15" customHeight="1">
      <c r="B149" s="80"/>
      <c r="C149" s="55" t="s">
        <v>174</v>
      </c>
      <c r="D149" s="56">
        <v>1</v>
      </c>
      <c r="E149" s="57">
        <v>3.8167938931297708E-3</v>
      </c>
    </row>
    <row r="150" spans="2:5" ht="15" customHeight="1">
      <c r="B150" s="80"/>
      <c r="C150" s="55" t="s">
        <v>175</v>
      </c>
      <c r="D150" s="56">
        <v>1</v>
      </c>
      <c r="E150" s="57">
        <v>3.8167938931297708E-3</v>
      </c>
    </row>
    <row r="151" spans="2:5" ht="15" customHeight="1">
      <c r="B151" s="80"/>
      <c r="C151" s="55" t="s">
        <v>176</v>
      </c>
      <c r="D151" s="56">
        <v>1</v>
      </c>
      <c r="E151" s="57">
        <v>3.8167938931297708E-3</v>
      </c>
    </row>
    <row r="152" spans="2:5" ht="15" customHeight="1">
      <c r="B152" s="80"/>
      <c r="C152" s="55" t="s">
        <v>177</v>
      </c>
      <c r="D152" s="56">
        <v>1</v>
      </c>
      <c r="E152" s="57">
        <v>3.8167938931297708E-3</v>
      </c>
    </row>
    <row r="153" spans="2:5" ht="15" customHeight="1">
      <c r="B153" s="80"/>
      <c r="C153" s="55" t="s">
        <v>171</v>
      </c>
      <c r="D153" s="56">
        <v>1</v>
      </c>
      <c r="E153" s="57">
        <v>3.8167938931297708E-3</v>
      </c>
    </row>
    <row r="154" spans="2:5" ht="15" customHeight="1">
      <c r="B154" s="79"/>
      <c r="C154" s="58" t="s">
        <v>15</v>
      </c>
      <c r="D154" s="59">
        <v>8</v>
      </c>
      <c r="E154" s="60">
        <v>3.0534351145038167E-2</v>
      </c>
    </row>
    <row r="155" spans="2:5" ht="15" customHeight="1">
      <c r="B155" s="78" t="s">
        <v>178</v>
      </c>
      <c r="C155" s="55" t="s">
        <v>179</v>
      </c>
      <c r="D155" s="56">
        <v>1</v>
      </c>
      <c r="E155" s="57">
        <v>3.8167938931297708E-3</v>
      </c>
    </row>
    <row r="156" spans="2:5" ht="15" customHeight="1">
      <c r="B156" s="80"/>
      <c r="C156" s="55" t="s">
        <v>180</v>
      </c>
      <c r="D156" s="56">
        <v>1</v>
      </c>
      <c r="E156" s="57">
        <v>3.8167938931297708E-3</v>
      </c>
    </row>
    <row r="157" spans="2:5" ht="15" customHeight="1">
      <c r="B157" s="80"/>
      <c r="C157" s="55" t="s">
        <v>178</v>
      </c>
      <c r="D157" s="56">
        <v>1</v>
      </c>
      <c r="E157" s="57">
        <v>3.8167938931297708E-3</v>
      </c>
    </row>
    <row r="158" spans="2:5" ht="15" customHeight="1">
      <c r="B158" s="79"/>
      <c r="C158" s="58" t="s">
        <v>15</v>
      </c>
      <c r="D158" s="59">
        <v>3</v>
      </c>
      <c r="E158" s="60">
        <v>1.1450381679389313E-2</v>
      </c>
    </row>
    <row r="159" spans="2:5" ht="15" customHeight="1">
      <c r="B159" s="78" t="s">
        <v>16</v>
      </c>
      <c r="C159" s="55" t="s">
        <v>68</v>
      </c>
      <c r="D159" s="56">
        <v>1</v>
      </c>
      <c r="E159" s="57">
        <v>3.8167938931297708E-3</v>
      </c>
    </row>
    <row r="160" spans="2:5" ht="15" customHeight="1">
      <c r="B160" s="80"/>
      <c r="C160" s="55" t="s">
        <v>181</v>
      </c>
      <c r="D160" s="56">
        <v>2</v>
      </c>
      <c r="E160" s="57">
        <v>7.6335877862595417E-3</v>
      </c>
    </row>
    <row r="161" spans="2:5" ht="15" customHeight="1">
      <c r="B161" s="79"/>
      <c r="C161" s="58" t="s">
        <v>15</v>
      </c>
      <c r="D161" s="59">
        <v>3</v>
      </c>
      <c r="E161" s="60">
        <v>1.1450381679389313E-2</v>
      </c>
    </row>
    <row r="162" spans="2:5" ht="15" customHeight="1">
      <c r="B162" s="81" t="s">
        <v>15</v>
      </c>
      <c r="C162" s="82"/>
      <c r="D162" s="61">
        <f>SUMIF(C$10:C161,"Total",D$10:D161)</f>
        <v>262</v>
      </c>
      <c r="E162" s="62">
        <v>1</v>
      </c>
    </row>
    <row r="163" spans="2:5" ht="15" customHeight="1">
      <c r="B163" s="63"/>
      <c r="C163" s="63"/>
      <c r="D163" s="63"/>
      <c r="E163" s="63"/>
    </row>
    <row r="164" spans="2:5" ht="15" customHeight="1">
      <c r="B164" s="64" t="s">
        <v>182</v>
      </c>
      <c r="C164" s="63"/>
      <c r="D164" s="63"/>
      <c r="E164" s="63"/>
    </row>
    <row r="165" spans="2:5" ht="15" customHeight="1">
      <c r="B165" s="65" t="s">
        <v>14</v>
      </c>
      <c r="C165" s="63"/>
      <c r="D165" s="63"/>
      <c r="E165" s="63"/>
    </row>
    <row r="166" spans="2:5" ht="15" customHeight="1">
      <c r="B166" s="66" t="s">
        <v>13</v>
      </c>
      <c r="C166" s="63"/>
      <c r="D166" s="63"/>
      <c r="E166" s="63"/>
    </row>
    <row r="167" spans="2:5" ht="15" customHeight="1">
      <c r="B167" s="64" t="s">
        <v>12</v>
      </c>
      <c r="C167" s="63"/>
      <c r="D167" s="63"/>
      <c r="E167" s="63"/>
    </row>
    <row r="168" spans="2:5" ht="15" customHeight="1">
      <c r="B168" s="64" t="s">
        <v>183</v>
      </c>
      <c r="C168" s="63"/>
      <c r="D168" s="63"/>
      <c r="E168" s="63"/>
    </row>
    <row r="341" spans="1:2" s="38" customFormat="1" ht="15" customHeight="1">
      <c r="A341" s="37"/>
      <c r="B341" s="39"/>
    </row>
    <row r="342" spans="1:2" s="38" customFormat="1" ht="15" customHeight="1">
      <c r="A342" s="37"/>
      <c r="B342" s="40"/>
    </row>
    <row r="343" spans="1:2" s="38" customFormat="1" ht="15" customHeight="1">
      <c r="A343" s="37"/>
      <c r="B343" s="40"/>
    </row>
    <row r="344" spans="1:2" s="38" customFormat="1" ht="15" customHeight="1">
      <c r="A344" s="37"/>
      <c r="B344" s="39"/>
    </row>
    <row r="345" spans="1:2" s="38" customFormat="1" ht="15" customHeight="1">
      <c r="A345" s="37"/>
      <c r="B345" s="39"/>
    </row>
  </sheetData>
  <mergeCells count="25">
    <mergeCell ref="B141:B146"/>
    <mergeCell ref="B147:B154"/>
    <mergeCell ref="B155:B158"/>
    <mergeCell ref="B159:B161"/>
    <mergeCell ref="B162:C162"/>
    <mergeCell ref="B98:B105"/>
    <mergeCell ref="B106:B122"/>
    <mergeCell ref="B123:B136"/>
    <mergeCell ref="B137:B138"/>
    <mergeCell ref="B139:B140"/>
    <mergeCell ref="B57:B63"/>
    <mergeCell ref="B64:B69"/>
    <mergeCell ref="B70:B73"/>
    <mergeCell ref="B74:B88"/>
    <mergeCell ref="B89:B97"/>
    <mergeCell ref="B25:B26"/>
    <mergeCell ref="B27:B28"/>
    <mergeCell ref="B29:B38"/>
    <mergeCell ref="B39:B42"/>
    <mergeCell ref="B43:B56"/>
    <mergeCell ref="B7:E8"/>
    <mergeCell ref="B16:B17"/>
    <mergeCell ref="B10:B12"/>
    <mergeCell ref="B13:B15"/>
    <mergeCell ref="B18:B24"/>
  </mergeCells>
  <printOptions horizont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D36"/>
  <sheetViews>
    <sheetView showGridLines="0" topLeftCell="A7" zoomScaleNormal="100" zoomScaleSheetLayoutView="115" workbookViewId="0">
      <selection activeCell="G25" sqref="G25"/>
    </sheetView>
  </sheetViews>
  <sheetFormatPr baseColWidth="10" defaultColWidth="11.42578125" defaultRowHeight="15"/>
  <cols>
    <col min="1" max="1" width="9.28515625" style="18" customWidth="1"/>
    <col min="2" max="2" width="30.5703125" style="18" customWidth="1"/>
    <col min="3" max="3" width="17.7109375" style="19" customWidth="1"/>
    <col min="4" max="4" width="17.7109375" style="18" customWidth="1"/>
    <col min="5" max="5" width="9.28515625" style="18" customWidth="1"/>
    <col min="6" max="6" width="5.7109375" style="18" customWidth="1"/>
    <col min="7" max="16384" width="11.42578125" style="18"/>
  </cols>
  <sheetData>
    <row r="1" spans="1:4" s="30" customFormat="1" ht="15" customHeight="1">
      <c r="C1" s="36"/>
    </row>
    <row r="2" spans="1:4" s="30" customFormat="1" ht="15" customHeight="1">
      <c r="C2" s="36"/>
    </row>
    <row r="3" spans="1:4" s="30" customFormat="1" ht="15" customHeight="1">
      <c r="C3" s="36"/>
    </row>
    <row r="4" spans="1:4" s="30" customFormat="1" ht="30" customHeight="1">
      <c r="C4" s="36"/>
      <c r="D4" s="35"/>
    </row>
    <row r="5" spans="1:4" s="30" customFormat="1" ht="15" customHeight="1">
      <c r="C5" s="36"/>
      <c r="D5" s="35"/>
    </row>
    <row r="6" spans="1:4" s="30" customFormat="1" ht="15" customHeight="1">
      <c r="C6" s="36"/>
      <c r="D6" s="35"/>
    </row>
    <row r="7" spans="1:4" s="30" customFormat="1" ht="15" customHeight="1">
      <c r="B7" s="76" t="s">
        <v>28</v>
      </c>
      <c r="C7" s="76"/>
      <c r="D7" s="76"/>
    </row>
    <row r="8" spans="1:4" s="30" customFormat="1" ht="15" customHeight="1">
      <c r="B8" s="76"/>
      <c r="C8" s="76"/>
      <c r="D8" s="76"/>
    </row>
    <row r="9" spans="1:4" s="30" customFormat="1" ht="33" customHeight="1">
      <c r="B9" s="76"/>
      <c r="C9" s="76"/>
      <c r="D9" s="76"/>
    </row>
    <row r="10" spans="1:4" s="30" customFormat="1" ht="4.5" customHeight="1">
      <c r="B10" s="34"/>
      <c r="C10" s="34"/>
      <c r="D10" s="34"/>
    </row>
    <row r="11" spans="1:4" s="30" customFormat="1" ht="33" customHeight="1">
      <c r="B11" s="33" t="s">
        <v>27</v>
      </c>
      <c r="C11" s="32" t="s">
        <v>22</v>
      </c>
      <c r="D11" s="31" t="s">
        <v>21</v>
      </c>
    </row>
    <row r="12" spans="1:4">
      <c r="B12" s="28" t="s">
        <v>201</v>
      </c>
      <c r="C12" s="27">
        <v>2</v>
      </c>
      <c r="D12" s="26">
        <v>7.6335877862595417E-3</v>
      </c>
    </row>
    <row r="13" spans="1:4">
      <c r="B13" s="28" t="s">
        <v>202</v>
      </c>
      <c r="C13" s="27">
        <v>2</v>
      </c>
      <c r="D13" s="26">
        <v>7.6335877862595417E-3</v>
      </c>
    </row>
    <row r="14" spans="1:4">
      <c r="A14" s="29"/>
      <c r="B14" s="28" t="s">
        <v>203</v>
      </c>
      <c r="C14" s="27">
        <v>4</v>
      </c>
      <c r="D14" s="26">
        <v>1.5267175572519083E-2</v>
      </c>
    </row>
    <row r="15" spans="1:4">
      <c r="A15" s="29"/>
      <c r="B15" s="28" t="s">
        <v>204</v>
      </c>
      <c r="C15" s="27">
        <v>3</v>
      </c>
      <c r="D15" s="26">
        <v>1.1450381679389313E-2</v>
      </c>
    </row>
    <row r="16" spans="1:4">
      <c r="B16" s="28" t="s">
        <v>205</v>
      </c>
      <c r="C16" s="27">
        <v>39</v>
      </c>
      <c r="D16" s="26">
        <v>0.14885496183206107</v>
      </c>
    </row>
    <row r="17" spans="2:4">
      <c r="B17" s="28" t="s">
        <v>42</v>
      </c>
      <c r="C17" s="27">
        <v>35</v>
      </c>
      <c r="D17" s="26">
        <v>0.13358778625954199</v>
      </c>
    </row>
    <row r="18" spans="2:4">
      <c r="B18" s="28" t="s">
        <v>206</v>
      </c>
      <c r="C18" s="27">
        <v>3</v>
      </c>
      <c r="D18" s="26">
        <v>1.1450381679389313E-2</v>
      </c>
    </row>
    <row r="19" spans="2:4">
      <c r="B19" s="28" t="s">
        <v>207</v>
      </c>
      <c r="C19" s="27">
        <v>4</v>
      </c>
      <c r="D19" s="26">
        <v>1.5267175572519083E-2</v>
      </c>
    </row>
    <row r="20" spans="2:4">
      <c r="B20" s="28" t="s">
        <v>208</v>
      </c>
      <c r="C20" s="27">
        <v>12</v>
      </c>
      <c r="D20" s="26">
        <v>4.5801526717557252E-2</v>
      </c>
    </row>
    <row r="21" spans="2:4">
      <c r="B21" s="28" t="s">
        <v>26</v>
      </c>
      <c r="C21" s="27">
        <v>73</v>
      </c>
      <c r="D21" s="26">
        <v>0.2786259541984733</v>
      </c>
    </row>
    <row r="22" spans="2:4">
      <c r="B22" s="28" t="s">
        <v>215</v>
      </c>
      <c r="C22" s="27">
        <v>7</v>
      </c>
      <c r="D22" s="26">
        <v>2.6717557251908396E-2</v>
      </c>
    </row>
    <row r="23" spans="2:4">
      <c r="B23" s="28" t="s">
        <v>210</v>
      </c>
      <c r="C23" s="27">
        <v>6</v>
      </c>
      <c r="D23" s="26">
        <v>2.2900763358778626E-2</v>
      </c>
    </row>
    <row r="24" spans="2:4">
      <c r="B24" s="28" t="s">
        <v>25</v>
      </c>
      <c r="C24" s="27">
        <v>50</v>
      </c>
      <c r="D24" s="26">
        <v>0.19083969465648856</v>
      </c>
    </row>
    <row r="25" spans="2:4">
      <c r="B25" s="28" t="s">
        <v>211</v>
      </c>
      <c r="C25" s="27">
        <v>5</v>
      </c>
      <c r="D25" s="26">
        <v>1.9083969465648856E-2</v>
      </c>
    </row>
    <row r="26" spans="2:4">
      <c r="B26" s="28" t="s">
        <v>216</v>
      </c>
      <c r="C26" s="27">
        <v>13</v>
      </c>
      <c r="D26" s="26">
        <v>4.9618320610687022E-2</v>
      </c>
    </row>
    <row r="27" spans="2:4">
      <c r="B27" s="28" t="s">
        <v>217</v>
      </c>
      <c r="C27" s="27">
        <v>1</v>
      </c>
      <c r="D27" s="26">
        <v>3.8167938931297708E-3</v>
      </c>
    </row>
    <row r="28" spans="2:4">
      <c r="B28" s="28" t="s">
        <v>214</v>
      </c>
      <c r="C28" s="27">
        <v>1</v>
      </c>
      <c r="D28" s="26">
        <v>3.8167938931297708E-3</v>
      </c>
    </row>
    <row r="29" spans="2:4">
      <c r="B29" s="28" t="s">
        <v>218</v>
      </c>
      <c r="C29" s="27">
        <v>2</v>
      </c>
      <c r="D29" s="26">
        <v>7.6335877862595417E-3</v>
      </c>
    </row>
    <row r="30" spans="2:4">
      <c r="B30" s="25" t="s">
        <v>15</v>
      </c>
      <c r="C30" s="24">
        <v>262</v>
      </c>
      <c r="D30" s="23">
        <v>1</v>
      </c>
    </row>
    <row r="32" spans="2:4">
      <c r="B32" s="20" t="s">
        <v>182</v>
      </c>
    </row>
    <row r="33" spans="2:2">
      <c r="B33" s="22" t="s">
        <v>14</v>
      </c>
    </row>
    <row r="34" spans="2:2">
      <c r="B34" s="21" t="s">
        <v>13</v>
      </c>
    </row>
    <row r="35" spans="2:2">
      <c r="B35" s="20" t="s">
        <v>12</v>
      </c>
    </row>
    <row r="36" spans="2:2">
      <c r="B36" s="20" t="s">
        <v>183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5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F141"/>
  <sheetViews>
    <sheetView showGridLines="0" topLeftCell="A117" zoomScaleNormal="100" zoomScaleSheetLayoutView="100" workbookViewId="0">
      <selection activeCell="F126" sqref="F126"/>
    </sheetView>
  </sheetViews>
  <sheetFormatPr baseColWidth="10" defaultColWidth="35" defaultRowHeight="15" customHeight="1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45" customFormat="1" ht="12" customHeight="1">
      <c r="B1" s="49"/>
      <c r="C1" s="48"/>
      <c r="D1" s="48"/>
      <c r="E1" s="48"/>
    </row>
    <row r="2" spans="1:5" s="45" customFormat="1" ht="15" customHeight="1">
      <c r="C2" s="47"/>
    </row>
    <row r="3" spans="1:5" s="45" customFormat="1" ht="15" customHeight="1">
      <c r="C3" s="47"/>
    </row>
    <row r="4" spans="1:5" s="45" customFormat="1" ht="30" customHeight="1">
      <c r="C4" s="47"/>
      <c r="D4" s="46"/>
    </row>
    <row r="5" spans="1:5" s="45" customFormat="1" ht="15" customHeight="1">
      <c r="C5" s="47"/>
      <c r="D5" s="46"/>
    </row>
    <row r="6" spans="1:5" s="42" customFormat="1" ht="24" customHeight="1">
      <c r="B6" s="44"/>
      <c r="C6" s="41"/>
      <c r="D6" s="41"/>
      <c r="E6" s="41"/>
    </row>
    <row r="7" spans="1:5" s="42" customFormat="1" ht="26.25" customHeight="1">
      <c r="A7" s="43"/>
      <c r="B7" s="77"/>
      <c r="C7" s="77"/>
      <c r="D7" s="77"/>
      <c r="E7" s="77"/>
    </row>
    <row r="8" spans="1:5" s="42" customFormat="1" ht="33" customHeight="1">
      <c r="A8" s="43"/>
      <c r="B8" s="77"/>
      <c r="C8" s="77"/>
      <c r="D8" s="77"/>
      <c r="E8" s="77"/>
    </row>
    <row r="9" spans="1:5" s="30" customFormat="1" ht="40.5" customHeight="1">
      <c r="B9" s="53" t="s">
        <v>27</v>
      </c>
      <c r="C9" s="53" t="s">
        <v>23</v>
      </c>
      <c r="D9" s="54" t="s">
        <v>22</v>
      </c>
      <c r="E9" s="53" t="s">
        <v>21</v>
      </c>
    </row>
    <row r="10" spans="1:5" ht="15" customHeight="1">
      <c r="B10" s="78" t="s">
        <v>201</v>
      </c>
      <c r="C10" s="55" t="s">
        <v>119</v>
      </c>
      <c r="D10" s="56">
        <v>2</v>
      </c>
      <c r="E10" s="57">
        <v>7.6923076923076927E-3</v>
      </c>
    </row>
    <row r="11" spans="1:5" ht="15" customHeight="1">
      <c r="B11" s="79"/>
      <c r="C11" s="58" t="s">
        <v>15</v>
      </c>
      <c r="D11" s="59">
        <v>2</v>
      </c>
      <c r="E11" s="60">
        <v>7.6923076923076927E-3</v>
      </c>
    </row>
    <row r="12" spans="1:5" ht="15" customHeight="1">
      <c r="B12" s="78" t="s">
        <v>202</v>
      </c>
      <c r="C12" s="55" t="s">
        <v>73</v>
      </c>
      <c r="D12" s="56">
        <v>1</v>
      </c>
      <c r="E12" s="57">
        <v>3.8461538461538464E-3</v>
      </c>
    </row>
    <row r="13" spans="1:5" ht="15" customHeight="1">
      <c r="B13" s="80"/>
      <c r="C13" s="55" t="s">
        <v>119</v>
      </c>
      <c r="D13" s="56">
        <v>1</v>
      </c>
      <c r="E13" s="57">
        <v>3.8461538461538464E-3</v>
      </c>
    </row>
    <row r="14" spans="1:5" ht="15" customHeight="1">
      <c r="B14" s="79"/>
      <c r="C14" s="58" t="s">
        <v>15</v>
      </c>
      <c r="D14" s="59">
        <v>2</v>
      </c>
      <c r="E14" s="60">
        <v>7.6923076923076927E-3</v>
      </c>
    </row>
    <row r="15" spans="1:5" ht="15" customHeight="1">
      <c r="B15" s="78" t="s">
        <v>203</v>
      </c>
      <c r="C15" s="55" t="s">
        <v>19</v>
      </c>
      <c r="D15" s="56">
        <v>1</v>
      </c>
      <c r="E15" s="57">
        <v>3.8461538461538464E-3</v>
      </c>
    </row>
    <row r="16" spans="1:5" ht="15" customHeight="1">
      <c r="B16" s="80"/>
      <c r="C16" s="55" t="s">
        <v>96</v>
      </c>
      <c r="D16" s="56">
        <v>1</v>
      </c>
      <c r="E16" s="57">
        <v>3.8461538461538464E-3</v>
      </c>
    </row>
    <row r="17" spans="2:6" ht="15" customHeight="1">
      <c r="B17" s="80"/>
      <c r="C17" s="55" t="s">
        <v>20</v>
      </c>
      <c r="D17" s="56">
        <v>1</v>
      </c>
      <c r="E17" s="57">
        <v>3.8461538461538464E-3</v>
      </c>
    </row>
    <row r="18" spans="2:6" ht="15" customHeight="1">
      <c r="B18" s="80"/>
      <c r="C18" s="55" t="s">
        <v>119</v>
      </c>
      <c r="D18" s="56">
        <v>1</v>
      </c>
      <c r="E18" s="57">
        <v>3.8461538461538464E-3</v>
      </c>
    </row>
    <row r="19" spans="2:6" ht="15" customHeight="1">
      <c r="B19" s="79"/>
      <c r="C19" s="58" t="s">
        <v>15</v>
      </c>
      <c r="D19" s="59">
        <v>4</v>
      </c>
      <c r="E19" s="60">
        <v>1.5384615384615385E-2</v>
      </c>
      <c r="F19" s="18"/>
    </row>
    <row r="20" spans="2:6" ht="15" customHeight="1">
      <c r="B20" s="78" t="s">
        <v>204</v>
      </c>
      <c r="C20" s="55" t="s">
        <v>96</v>
      </c>
      <c r="D20" s="56">
        <v>2</v>
      </c>
      <c r="E20" s="57">
        <v>7.6923076923076927E-3</v>
      </c>
      <c r="F20" s="18"/>
    </row>
    <row r="21" spans="2:6" ht="15" customHeight="1">
      <c r="B21" s="80"/>
      <c r="C21" s="55" t="s">
        <v>20</v>
      </c>
      <c r="D21" s="56">
        <v>1</v>
      </c>
      <c r="E21" s="57">
        <v>3.8461538461538464E-3</v>
      </c>
      <c r="F21" s="18"/>
    </row>
    <row r="22" spans="2:6" ht="15" customHeight="1">
      <c r="B22" s="79"/>
      <c r="C22" s="58" t="s">
        <v>15</v>
      </c>
      <c r="D22" s="59">
        <v>3</v>
      </c>
      <c r="E22" s="60">
        <v>1.1538461538461539E-2</v>
      </c>
      <c r="F22" s="18"/>
    </row>
    <row r="23" spans="2:6" ht="15" customHeight="1">
      <c r="B23" s="78" t="s">
        <v>205</v>
      </c>
      <c r="C23" s="55" t="s">
        <v>54</v>
      </c>
      <c r="D23" s="56">
        <v>1</v>
      </c>
      <c r="E23" s="57">
        <v>3.8461538461538464E-3</v>
      </c>
      <c r="F23" s="18"/>
    </row>
    <row r="24" spans="2:6" ht="15" customHeight="1">
      <c r="B24" s="80"/>
      <c r="C24" s="55" t="s">
        <v>19</v>
      </c>
      <c r="D24" s="56">
        <v>2</v>
      </c>
      <c r="E24" s="57">
        <v>7.6923076923076927E-3</v>
      </c>
    </row>
    <row r="25" spans="2:6" ht="15" customHeight="1">
      <c r="B25" s="80"/>
      <c r="C25" s="55" t="s">
        <v>76</v>
      </c>
      <c r="D25" s="56">
        <v>4</v>
      </c>
      <c r="E25" s="57">
        <v>1.5384615384615385E-2</v>
      </c>
    </row>
    <row r="26" spans="2:6" ht="15" customHeight="1">
      <c r="B26" s="80"/>
      <c r="C26" s="55" t="s">
        <v>90</v>
      </c>
      <c r="D26" s="56">
        <v>2</v>
      </c>
      <c r="E26" s="57">
        <v>7.6923076923076927E-3</v>
      </c>
    </row>
    <row r="27" spans="2:6" ht="15" customHeight="1">
      <c r="B27" s="80"/>
      <c r="C27" s="55" t="s">
        <v>96</v>
      </c>
      <c r="D27" s="56">
        <v>1</v>
      </c>
      <c r="E27" s="57">
        <v>3.8461538461538464E-3</v>
      </c>
    </row>
    <row r="28" spans="2:6" ht="15" customHeight="1">
      <c r="B28" s="80"/>
      <c r="C28" s="55" t="s">
        <v>102</v>
      </c>
      <c r="D28" s="56">
        <v>1</v>
      </c>
      <c r="E28" s="57">
        <v>3.8461538461538464E-3</v>
      </c>
    </row>
    <row r="29" spans="2:6" ht="15" customHeight="1">
      <c r="B29" s="80"/>
      <c r="C29" s="55" t="s">
        <v>20</v>
      </c>
      <c r="D29" s="56">
        <v>7</v>
      </c>
      <c r="E29" s="57">
        <v>2.6923076923076925E-2</v>
      </c>
    </row>
    <row r="30" spans="2:6" ht="15" customHeight="1">
      <c r="B30" s="80"/>
      <c r="C30" s="55" t="s">
        <v>119</v>
      </c>
      <c r="D30" s="56">
        <v>7</v>
      </c>
      <c r="E30" s="57">
        <v>2.6923076923076925E-2</v>
      </c>
    </row>
    <row r="31" spans="2:6" ht="15" customHeight="1">
      <c r="B31" s="80"/>
      <c r="C31" s="55" t="s">
        <v>18</v>
      </c>
      <c r="D31" s="56">
        <v>2</v>
      </c>
      <c r="E31" s="57">
        <v>7.6923076923076927E-3</v>
      </c>
    </row>
    <row r="32" spans="2:6" ht="15" customHeight="1">
      <c r="B32" s="80"/>
      <c r="C32" s="55" t="s">
        <v>134</v>
      </c>
      <c r="D32" s="56">
        <v>6</v>
      </c>
      <c r="E32" s="57">
        <v>2.3076923076923078E-2</v>
      </c>
    </row>
    <row r="33" spans="2:5" ht="15" customHeight="1">
      <c r="B33" s="80"/>
      <c r="C33" s="55" t="s">
        <v>17</v>
      </c>
      <c r="D33" s="56">
        <v>3</v>
      </c>
      <c r="E33" s="57">
        <v>1.1538461538461539E-2</v>
      </c>
    </row>
    <row r="34" spans="2:5" ht="15" customHeight="1">
      <c r="B34" s="80"/>
      <c r="C34" s="55" t="s">
        <v>165</v>
      </c>
      <c r="D34" s="56">
        <v>1</v>
      </c>
      <c r="E34" s="57">
        <v>3.8461538461538464E-3</v>
      </c>
    </row>
    <row r="35" spans="2:5" ht="15" customHeight="1">
      <c r="B35" s="80"/>
      <c r="C35" s="55" t="s">
        <v>171</v>
      </c>
      <c r="D35" s="56">
        <v>1</v>
      </c>
      <c r="E35" s="57">
        <v>3.8461538461538464E-3</v>
      </c>
    </row>
    <row r="36" spans="2:5" ht="15" customHeight="1">
      <c r="B36" s="80"/>
      <c r="C36" s="55" t="s">
        <v>16</v>
      </c>
      <c r="D36" s="56">
        <v>1</v>
      </c>
      <c r="E36" s="57">
        <v>3.8461538461538464E-3</v>
      </c>
    </row>
    <row r="37" spans="2:5" ht="15" customHeight="1">
      <c r="B37" s="79"/>
      <c r="C37" s="58" t="s">
        <v>15</v>
      </c>
      <c r="D37" s="59">
        <v>39</v>
      </c>
      <c r="E37" s="60">
        <v>0.15</v>
      </c>
    </row>
    <row r="38" spans="2:5" ht="15" customHeight="1">
      <c r="B38" s="78" t="s">
        <v>42</v>
      </c>
      <c r="C38" s="55" t="s">
        <v>54</v>
      </c>
      <c r="D38" s="56">
        <v>2</v>
      </c>
      <c r="E38" s="57">
        <v>7.6923076923076927E-3</v>
      </c>
    </row>
    <row r="39" spans="2:5" ht="15" customHeight="1">
      <c r="B39" s="80"/>
      <c r="C39" s="55" t="s">
        <v>63</v>
      </c>
      <c r="D39" s="56">
        <v>1</v>
      </c>
      <c r="E39" s="57">
        <v>3.8461538461538464E-3</v>
      </c>
    </row>
    <row r="40" spans="2:5" ht="15" customHeight="1">
      <c r="B40" s="80"/>
      <c r="C40" s="55" t="s">
        <v>76</v>
      </c>
      <c r="D40" s="56">
        <v>2</v>
      </c>
      <c r="E40" s="57">
        <v>7.6923076923076927E-3</v>
      </c>
    </row>
    <row r="41" spans="2:5" ht="15" customHeight="1">
      <c r="B41" s="80"/>
      <c r="C41" s="55" t="s">
        <v>90</v>
      </c>
      <c r="D41" s="56">
        <v>1</v>
      </c>
      <c r="E41" s="57">
        <v>3.8461538461538464E-3</v>
      </c>
    </row>
    <row r="42" spans="2:5" ht="15" customHeight="1">
      <c r="B42" s="80"/>
      <c r="C42" s="55" t="s">
        <v>102</v>
      </c>
      <c r="D42" s="56">
        <v>3</v>
      </c>
      <c r="E42" s="57">
        <v>1.1538461538461539E-2</v>
      </c>
    </row>
    <row r="43" spans="2:5" ht="15" customHeight="1">
      <c r="B43" s="80"/>
      <c r="C43" s="55" t="s">
        <v>20</v>
      </c>
      <c r="D43" s="56">
        <v>3</v>
      </c>
      <c r="E43" s="57">
        <v>1.1538461538461539E-2</v>
      </c>
    </row>
    <row r="44" spans="2:5" ht="15" customHeight="1">
      <c r="B44" s="80"/>
      <c r="C44" s="55" t="s">
        <v>119</v>
      </c>
      <c r="D44" s="56">
        <v>7</v>
      </c>
      <c r="E44" s="57">
        <v>2.6923076923076925E-2</v>
      </c>
    </row>
    <row r="45" spans="2:5" ht="15" customHeight="1">
      <c r="B45" s="80"/>
      <c r="C45" s="55" t="s">
        <v>18</v>
      </c>
      <c r="D45" s="56">
        <v>3</v>
      </c>
      <c r="E45" s="57">
        <v>1.1538461538461539E-2</v>
      </c>
    </row>
    <row r="46" spans="2:5" ht="15" customHeight="1">
      <c r="B46" s="80"/>
      <c r="C46" s="55" t="s">
        <v>134</v>
      </c>
      <c r="D46" s="56">
        <v>4</v>
      </c>
      <c r="E46" s="57">
        <v>1.5384615384615385E-2</v>
      </c>
    </row>
    <row r="47" spans="2:5" ht="15" customHeight="1">
      <c r="B47" s="80"/>
      <c r="C47" s="55" t="s">
        <v>17</v>
      </c>
      <c r="D47" s="56">
        <v>7</v>
      </c>
      <c r="E47" s="57">
        <v>2.6923076923076925E-2</v>
      </c>
    </row>
    <row r="48" spans="2:5" ht="15" customHeight="1">
      <c r="B48" s="80"/>
      <c r="C48" s="55" t="s">
        <v>165</v>
      </c>
      <c r="D48" s="56">
        <v>1</v>
      </c>
      <c r="E48" s="57">
        <v>3.8461538461538464E-3</v>
      </c>
    </row>
    <row r="49" spans="2:5" ht="15" customHeight="1">
      <c r="B49" s="80"/>
      <c r="C49" s="55" t="s">
        <v>171</v>
      </c>
      <c r="D49" s="56">
        <v>1</v>
      </c>
      <c r="E49" s="57">
        <v>3.8461538461538464E-3</v>
      </c>
    </row>
    <row r="50" spans="2:5" ht="15" customHeight="1">
      <c r="B50" s="79"/>
      <c r="C50" s="58" t="s">
        <v>15</v>
      </c>
      <c r="D50" s="59">
        <v>35</v>
      </c>
      <c r="E50" s="60">
        <v>0.13461538461538461</v>
      </c>
    </row>
    <row r="51" spans="2:5" ht="15" customHeight="1">
      <c r="B51" s="78" t="s">
        <v>206</v>
      </c>
      <c r="C51" s="55" t="s">
        <v>20</v>
      </c>
      <c r="D51" s="56">
        <v>2</v>
      </c>
      <c r="E51" s="57">
        <v>7.6923076923076927E-3</v>
      </c>
    </row>
    <row r="52" spans="2:5" ht="15" customHeight="1">
      <c r="B52" s="80"/>
      <c r="C52" s="55" t="s">
        <v>134</v>
      </c>
      <c r="D52" s="56">
        <v>1</v>
      </c>
      <c r="E52" s="57">
        <v>3.8461538461538464E-3</v>
      </c>
    </row>
    <row r="53" spans="2:5" ht="15" customHeight="1">
      <c r="B53" s="79"/>
      <c r="C53" s="58" t="s">
        <v>15</v>
      </c>
      <c r="D53" s="59">
        <v>3</v>
      </c>
      <c r="E53" s="60">
        <v>1.1538461538461539E-2</v>
      </c>
    </row>
    <row r="54" spans="2:5" ht="15" customHeight="1">
      <c r="B54" s="78" t="s">
        <v>207</v>
      </c>
      <c r="C54" s="55" t="s">
        <v>19</v>
      </c>
      <c r="D54" s="56">
        <v>1</v>
      </c>
      <c r="E54" s="57">
        <v>3.8461538461538464E-3</v>
      </c>
    </row>
    <row r="55" spans="2:5" ht="15" customHeight="1">
      <c r="B55" s="80"/>
      <c r="C55" s="55" t="s">
        <v>119</v>
      </c>
      <c r="D55" s="56">
        <v>1</v>
      </c>
      <c r="E55" s="57">
        <v>3.8461538461538464E-3</v>
      </c>
    </row>
    <row r="56" spans="2:5" ht="15" customHeight="1">
      <c r="B56" s="80"/>
      <c r="C56" s="55" t="s">
        <v>134</v>
      </c>
      <c r="D56" s="56">
        <v>1</v>
      </c>
      <c r="E56" s="57">
        <v>3.8461538461538464E-3</v>
      </c>
    </row>
    <row r="57" spans="2:5" ht="15" customHeight="1">
      <c r="B57" s="80"/>
      <c r="C57" s="55" t="s">
        <v>165</v>
      </c>
      <c r="D57" s="56">
        <v>1</v>
      </c>
      <c r="E57" s="57">
        <v>3.8461538461538464E-3</v>
      </c>
    </row>
    <row r="58" spans="2:5" ht="15" customHeight="1">
      <c r="B58" s="79"/>
      <c r="C58" s="58" t="s">
        <v>15</v>
      </c>
      <c r="D58" s="59">
        <v>4</v>
      </c>
      <c r="E58" s="60">
        <v>1.5384615384615385E-2</v>
      </c>
    </row>
    <row r="59" spans="2:5" ht="15" customHeight="1">
      <c r="B59" s="78" t="s">
        <v>208</v>
      </c>
      <c r="C59" s="55" t="s">
        <v>54</v>
      </c>
      <c r="D59" s="56">
        <v>1</v>
      </c>
      <c r="E59" s="57">
        <v>3.8461538461538464E-3</v>
      </c>
    </row>
    <row r="60" spans="2:5" ht="15" customHeight="1">
      <c r="B60" s="80"/>
      <c r="C60" s="55" t="s">
        <v>73</v>
      </c>
      <c r="D60" s="56">
        <v>1</v>
      </c>
      <c r="E60" s="57">
        <v>3.8461538461538464E-3</v>
      </c>
    </row>
    <row r="61" spans="2:5" ht="15" customHeight="1">
      <c r="B61" s="80"/>
      <c r="C61" s="55" t="s">
        <v>90</v>
      </c>
      <c r="D61" s="56">
        <v>1</v>
      </c>
      <c r="E61" s="57">
        <v>3.8461538461538464E-3</v>
      </c>
    </row>
    <row r="62" spans="2:5" ht="15" customHeight="1">
      <c r="B62" s="80"/>
      <c r="C62" s="55" t="s">
        <v>20</v>
      </c>
      <c r="D62" s="56">
        <v>1</v>
      </c>
      <c r="E62" s="57">
        <v>3.8461538461538464E-3</v>
      </c>
    </row>
    <row r="63" spans="2:5" ht="15" customHeight="1">
      <c r="B63" s="80"/>
      <c r="C63" s="55" t="s">
        <v>119</v>
      </c>
      <c r="D63" s="56">
        <v>4</v>
      </c>
      <c r="E63" s="57">
        <v>1.5384615384615385E-2</v>
      </c>
    </row>
    <row r="64" spans="2:5" ht="15" customHeight="1">
      <c r="B64" s="80"/>
      <c r="C64" s="55" t="s">
        <v>17</v>
      </c>
      <c r="D64" s="56">
        <v>1</v>
      </c>
      <c r="E64" s="57">
        <v>3.8461538461538464E-3</v>
      </c>
    </row>
    <row r="65" spans="2:5" ht="15" customHeight="1">
      <c r="B65" s="80"/>
      <c r="C65" s="55" t="s">
        <v>163</v>
      </c>
      <c r="D65" s="56">
        <v>1</v>
      </c>
      <c r="E65" s="57">
        <v>3.8461538461538464E-3</v>
      </c>
    </row>
    <row r="66" spans="2:5" ht="15" customHeight="1">
      <c r="B66" s="80"/>
      <c r="C66" s="55" t="s">
        <v>171</v>
      </c>
      <c r="D66" s="56">
        <v>2</v>
      </c>
      <c r="E66" s="57">
        <v>7.6923076923076927E-3</v>
      </c>
    </row>
    <row r="67" spans="2:5" ht="15" customHeight="1">
      <c r="B67" s="79"/>
      <c r="C67" s="58" t="s">
        <v>15</v>
      </c>
      <c r="D67" s="59">
        <v>12</v>
      </c>
      <c r="E67" s="60">
        <v>4.6153846153846156E-2</v>
      </c>
    </row>
    <row r="68" spans="2:5" ht="15" customHeight="1">
      <c r="B68" s="78" t="s">
        <v>26</v>
      </c>
      <c r="C68" s="55" t="s">
        <v>47</v>
      </c>
      <c r="D68" s="56">
        <v>1</v>
      </c>
      <c r="E68" s="57">
        <v>3.8461538461538464E-3</v>
      </c>
    </row>
    <row r="69" spans="2:5" ht="15" customHeight="1">
      <c r="B69" s="80"/>
      <c r="C69" s="55" t="s">
        <v>54</v>
      </c>
      <c r="D69" s="56">
        <v>6</v>
      </c>
      <c r="E69" s="57">
        <v>2.3076923076923078E-2</v>
      </c>
    </row>
    <row r="70" spans="2:5" ht="15" customHeight="1">
      <c r="B70" s="80"/>
      <c r="C70" s="55" t="s">
        <v>61</v>
      </c>
      <c r="D70" s="56">
        <v>2</v>
      </c>
      <c r="E70" s="57">
        <v>7.6923076923076927E-3</v>
      </c>
    </row>
    <row r="71" spans="2:5" ht="15" customHeight="1">
      <c r="B71" s="80"/>
      <c r="C71" s="55" t="s">
        <v>19</v>
      </c>
      <c r="D71" s="56">
        <v>10</v>
      </c>
      <c r="E71" s="57">
        <v>3.8461538461538464E-2</v>
      </c>
    </row>
    <row r="72" spans="2:5" ht="15" customHeight="1">
      <c r="B72" s="80"/>
      <c r="C72" s="55" t="s">
        <v>73</v>
      </c>
      <c r="D72" s="56">
        <v>1</v>
      </c>
      <c r="E72" s="57">
        <v>3.8461538461538464E-3</v>
      </c>
    </row>
    <row r="73" spans="2:5" ht="15" customHeight="1">
      <c r="B73" s="80"/>
      <c r="C73" s="55" t="s">
        <v>76</v>
      </c>
      <c r="D73" s="56">
        <v>8</v>
      </c>
      <c r="E73" s="57">
        <v>3.0769230769230771E-2</v>
      </c>
    </row>
    <row r="74" spans="2:5" ht="15" customHeight="1">
      <c r="B74" s="80"/>
      <c r="C74" s="55" t="s">
        <v>90</v>
      </c>
      <c r="D74" s="56">
        <v>2</v>
      </c>
      <c r="E74" s="57">
        <v>7.6923076923076927E-3</v>
      </c>
    </row>
    <row r="75" spans="2:5" ht="15" customHeight="1">
      <c r="B75" s="80"/>
      <c r="C75" s="55" t="s">
        <v>96</v>
      </c>
      <c r="D75" s="56">
        <v>3</v>
      </c>
      <c r="E75" s="57">
        <v>1.1538461538461539E-2</v>
      </c>
    </row>
    <row r="76" spans="2:5" ht="15" customHeight="1">
      <c r="B76" s="80"/>
      <c r="C76" s="55" t="s">
        <v>102</v>
      </c>
      <c r="D76" s="56">
        <v>4</v>
      </c>
      <c r="E76" s="57">
        <v>1.5384615384615385E-2</v>
      </c>
    </row>
    <row r="77" spans="2:5" ht="15" customHeight="1">
      <c r="B77" s="80"/>
      <c r="C77" s="55" t="s">
        <v>20</v>
      </c>
      <c r="D77" s="56">
        <v>14</v>
      </c>
      <c r="E77" s="57">
        <v>5.3846153846153849E-2</v>
      </c>
    </row>
    <row r="78" spans="2:5" ht="15" customHeight="1">
      <c r="B78" s="80"/>
      <c r="C78" s="55" t="s">
        <v>119</v>
      </c>
      <c r="D78" s="56">
        <v>4</v>
      </c>
      <c r="E78" s="57">
        <v>1.5384615384615385E-2</v>
      </c>
    </row>
    <row r="79" spans="2:5" ht="15" customHeight="1">
      <c r="B79" s="80"/>
      <c r="C79" s="55" t="s">
        <v>18</v>
      </c>
      <c r="D79" s="56">
        <v>5</v>
      </c>
      <c r="E79" s="57">
        <v>1.9230769230769232E-2</v>
      </c>
    </row>
    <row r="80" spans="2:5" ht="15" customHeight="1">
      <c r="B80" s="80"/>
      <c r="C80" s="55" t="s">
        <v>134</v>
      </c>
      <c r="D80" s="56">
        <v>7</v>
      </c>
      <c r="E80" s="57">
        <v>2.6923076923076925E-2</v>
      </c>
    </row>
    <row r="81" spans="2:5" ht="15" customHeight="1">
      <c r="B81" s="80"/>
      <c r="C81" s="55" t="s">
        <v>17</v>
      </c>
      <c r="D81" s="56">
        <v>4</v>
      </c>
      <c r="E81" s="57">
        <v>1.5384615384615385E-2</v>
      </c>
    </row>
    <row r="82" spans="2:5" ht="15" customHeight="1">
      <c r="B82" s="80"/>
      <c r="C82" s="55" t="s">
        <v>178</v>
      </c>
      <c r="D82" s="56">
        <v>2</v>
      </c>
      <c r="E82" s="57">
        <v>7.6923076923076927E-3</v>
      </c>
    </row>
    <row r="83" spans="2:5" ht="15" customHeight="1">
      <c r="B83" s="79"/>
      <c r="C83" s="58" t="s">
        <v>15</v>
      </c>
      <c r="D83" s="59">
        <v>73</v>
      </c>
      <c r="E83" s="60">
        <v>0.28076923076923077</v>
      </c>
    </row>
    <row r="84" spans="2:5" ht="15" customHeight="1">
      <c r="B84" s="78" t="s">
        <v>209</v>
      </c>
      <c r="C84" s="55" t="s">
        <v>19</v>
      </c>
      <c r="D84" s="56">
        <v>3</v>
      </c>
      <c r="E84" s="57">
        <v>1.1538461538461539E-2</v>
      </c>
    </row>
    <row r="85" spans="2:5" ht="15" customHeight="1">
      <c r="B85" s="80"/>
      <c r="C85" s="55" t="s">
        <v>90</v>
      </c>
      <c r="D85" s="56">
        <v>1</v>
      </c>
      <c r="E85" s="57">
        <v>3.8461538461538464E-3</v>
      </c>
    </row>
    <row r="86" spans="2:5" ht="15" customHeight="1">
      <c r="B86" s="80"/>
      <c r="C86" s="55" t="s">
        <v>20</v>
      </c>
      <c r="D86" s="56">
        <v>1</v>
      </c>
      <c r="E86" s="57">
        <v>3.8461538461538464E-3</v>
      </c>
    </row>
    <row r="87" spans="2:5" ht="15" customHeight="1">
      <c r="B87" s="80"/>
      <c r="C87" s="55" t="s">
        <v>17</v>
      </c>
      <c r="D87" s="56">
        <v>1</v>
      </c>
      <c r="E87" s="57">
        <v>3.8461538461538464E-3</v>
      </c>
    </row>
    <row r="88" spans="2:5" ht="15" customHeight="1">
      <c r="B88" s="80"/>
      <c r="C88" s="55" t="s">
        <v>171</v>
      </c>
      <c r="D88" s="56">
        <v>1</v>
      </c>
      <c r="E88" s="57">
        <v>3.8461538461538464E-3</v>
      </c>
    </row>
    <row r="89" spans="2:5" ht="15" customHeight="1">
      <c r="B89" s="79"/>
      <c r="C89" s="58" t="s">
        <v>15</v>
      </c>
      <c r="D89" s="59">
        <v>7</v>
      </c>
      <c r="E89" s="60">
        <v>2.6923076923076925E-2</v>
      </c>
    </row>
    <row r="90" spans="2:5" ht="15" customHeight="1">
      <c r="B90" s="78" t="s">
        <v>210</v>
      </c>
      <c r="C90" s="55" t="s">
        <v>49</v>
      </c>
      <c r="D90" s="56">
        <v>1</v>
      </c>
      <c r="E90" s="57">
        <v>3.8461538461538464E-3</v>
      </c>
    </row>
    <row r="91" spans="2:5" ht="15" customHeight="1">
      <c r="B91" s="80"/>
      <c r="C91" s="55" t="s">
        <v>54</v>
      </c>
      <c r="D91" s="56">
        <v>1</v>
      </c>
      <c r="E91" s="57">
        <v>3.8461538461538464E-3</v>
      </c>
    </row>
    <row r="92" spans="2:5" ht="15" customHeight="1">
      <c r="B92" s="80"/>
      <c r="C92" s="55" t="s">
        <v>20</v>
      </c>
      <c r="D92" s="56">
        <v>1</v>
      </c>
      <c r="E92" s="57">
        <v>3.8461538461538464E-3</v>
      </c>
    </row>
    <row r="93" spans="2:5" ht="15" customHeight="1">
      <c r="B93" s="80"/>
      <c r="C93" s="55" t="s">
        <v>165</v>
      </c>
      <c r="D93" s="56">
        <v>2</v>
      </c>
      <c r="E93" s="57">
        <v>7.6923076923076927E-3</v>
      </c>
    </row>
    <row r="94" spans="2:5" ht="15" customHeight="1">
      <c r="B94" s="80"/>
      <c r="C94" s="55" t="s">
        <v>171</v>
      </c>
      <c r="D94" s="56">
        <v>1</v>
      </c>
      <c r="E94" s="57">
        <v>3.8461538461538464E-3</v>
      </c>
    </row>
    <row r="95" spans="2:5" ht="15" customHeight="1">
      <c r="B95" s="79"/>
      <c r="C95" s="58" t="s">
        <v>15</v>
      </c>
      <c r="D95" s="59">
        <v>6</v>
      </c>
      <c r="E95" s="60">
        <v>2.3076923076923078E-2</v>
      </c>
    </row>
    <row r="96" spans="2:5" ht="15" customHeight="1">
      <c r="B96" s="78" t="s">
        <v>25</v>
      </c>
      <c r="C96" s="55" t="s">
        <v>47</v>
      </c>
      <c r="D96" s="56">
        <v>1</v>
      </c>
      <c r="E96" s="57">
        <v>3.8461538461538464E-3</v>
      </c>
    </row>
    <row r="97" spans="2:5" ht="15" customHeight="1">
      <c r="B97" s="80"/>
      <c r="C97" s="55" t="s">
        <v>54</v>
      </c>
      <c r="D97" s="56">
        <v>3</v>
      </c>
      <c r="E97" s="57">
        <v>1.1538461538461539E-2</v>
      </c>
    </row>
    <row r="98" spans="2:5" ht="15" customHeight="1">
      <c r="B98" s="80"/>
      <c r="C98" s="55" t="s">
        <v>63</v>
      </c>
      <c r="D98" s="56">
        <v>1</v>
      </c>
      <c r="E98" s="57">
        <v>3.8461538461538464E-3</v>
      </c>
    </row>
    <row r="99" spans="2:5" ht="15" customHeight="1">
      <c r="B99" s="80"/>
      <c r="C99" s="55" t="s">
        <v>19</v>
      </c>
      <c r="D99" s="56">
        <v>8</v>
      </c>
      <c r="E99" s="57">
        <v>3.0769230769230771E-2</v>
      </c>
    </row>
    <row r="100" spans="2:5" ht="15" customHeight="1">
      <c r="B100" s="80"/>
      <c r="C100" s="55" t="s">
        <v>73</v>
      </c>
      <c r="D100" s="56">
        <v>2</v>
      </c>
      <c r="E100" s="57">
        <v>7.6923076923076927E-3</v>
      </c>
    </row>
    <row r="101" spans="2:5" ht="15" customHeight="1">
      <c r="B101" s="80"/>
      <c r="C101" s="55" t="s">
        <v>76</v>
      </c>
      <c r="D101" s="56">
        <v>6</v>
      </c>
      <c r="E101" s="57">
        <v>2.3076923076923078E-2</v>
      </c>
    </row>
    <row r="102" spans="2:5" ht="15" customHeight="1">
      <c r="B102" s="80"/>
      <c r="C102" s="55" t="s">
        <v>90</v>
      </c>
      <c r="D102" s="56">
        <v>3</v>
      </c>
      <c r="E102" s="57">
        <v>1.1538461538461539E-2</v>
      </c>
    </row>
    <row r="103" spans="2:5" ht="15" customHeight="1">
      <c r="B103" s="80"/>
      <c r="C103" s="55" t="s">
        <v>20</v>
      </c>
      <c r="D103" s="56">
        <v>3</v>
      </c>
      <c r="E103" s="57">
        <v>1.1538461538461539E-2</v>
      </c>
    </row>
    <row r="104" spans="2:5" ht="15" customHeight="1">
      <c r="B104" s="80"/>
      <c r="C104" s="55" t="s">
        <v>119</v>
      </c>
      <c r="D104" s="56">
        <v>1</v>
      </c>
      <c r="E104" s="57">
        <v>3.8461538461538464E-3</v>
      </c>
    </row>
    <row r="105" spans="2:5" ht="15" customHeight="1">
      <c r="B105" s="80"/>
      <c r="C105" s="55" t="s">
        <v>18</v>
      </c>
      <c r="D105" s="56">
        <v>2</v>
      </c>
      <c r="E105" s="57">
        <v>7.6923076923076927E-3</v>
      </c>
    </row>
    <row r="106" spans="2:5" ht="15" customHeight="1">
      <c r="B106" s="80"/>
      <c r="C106" s="55" t="s">
        <v>134</v>
      </c>
      <c r="D106" s="56">
        <v>8</v>
      </c>
      <c r="E106" s="57">
        <v>3.0769230769230771E-2</v>
      </c>
    </row>
    <row r="107" spans="2:5" ht="15" customHeight="1">
      <c r="B107" s="80"/>
      <c r="C107" s="55" t="s">
        <v>17</v>
      </c>
      <c r="D107" s="56">
        <v>6</v>
      </c>
      <c r="E107" s="57">
        <v>2.3076923076923078E-2</v>
      </c>
    </row>
    <row r="108" spans="2:5" ht="15" customHeight="1">
      <c r="B108" s="80"/>
      <c r="C108" s="55" t="s">
        <v>164</v>
      </c>
      <c r="D108" s="56">
        <v>1</v>
      </c>
      <c r="E108" s="57">
        <v>3.8461538461538464E-3</v>
      </c>
    </row>
    <row r="109" spans="2:5" ht="15" customHeight="1">
      <c r="B109" s="80"/>
      <c r="C109" s="55" t="s">
        <v>165</v>
      </c>
      <c r="D109" s="56">
        <v>1</v>
      </c>
      <c r="E109" s="57">
        <v>3.8461538461538464E-3</v>
      </c>
    </row>
    <row r="110" spans="2:5" ht="15" customHeight="1">
      <c r="B110" s="80"/>
      <c r="C110" s="55" t="s">
        <v>171</v>
      </c>
      <c r="D110" s="56">
        <v>2</v>
      </c>
      <c r="E110" s="57">
        <v>7.6923076923076927E-3</v>
      </c>
    </row>
    <row r="111" spans="2:5" ht="15" customHeight="1">
      <c r="B111" s="80"/>
      <c r="C111" s="55" t="s">
        <v>16</v>
      </c>
      <c r="D111" s="56">
        <v>2</v>
      </c>
      <c r="E111" s="57">
        <v>7.6923076923076927E-3</v>
      </c>
    </row>
    <row r="112" spans="2:5" ht="15" customHeight="1">
      <c r="B112" s="79"/>
      <c r="C112" s="58" t="s">
        <v>15</v>
      </c>
      <c r="D112" s="59">
        <v>50</v>
      </c>
      <c r="E112" s="60">
        <v>0.19230769230769232</v>
      </c>
    </row>
    <row r="113" spans="2:5" ht="15" customHeight="1">
      <c r="B113" s="78" t="s">
        <v>211</v>
      </c>
      <c r="C113" s="55" t="s">
        <v>49</v>
      </c>
      <c r="D113" s="56">
        <v>1</v>
      </c>
      <c r="E113" s="57">
        <v>3.8461538461538464E-3</v>
      </c>
    </row>
    <row r="114" spans="2:5" ht="15" customHeight="1">
      <c r="B114" s="80"/>
      <c r="C114" s="55" t="s">
        <v>19</v>
      </c>
      <c r="D114" s="56">
        <v>1</v>
      </c>
      <c r="E114" s="57">
        <v>3.8461538461538464E-3</v>
      </c>
    </row>
    <row r="115" spans="2:5" ht="15" customHeight="1">
      <c r="B115" s="80"/>
      <c r="C115" s="55" t="s">
        <v>73</v>
      </c>
      <c r="D115" s="56">
        <v>1</v>
      </c>
      <c r="E115" s="57">
        <v>3.8461538461538464E-3</v>
      </c>
    </row>
    <row r="116" spans="2:5" ht="15" customHeight="1">
      <c r="B116" s="80"/>
      <c r="C116" s="55" t="s">
        <v>20</v>
      </c>
      <c r="D116" s="56">
        <v>1</v>
      </c>
      <c r="E116" s="57">
        <v>3.8461538461538464E-3</v>
      </c>
    </row>
    <row r="117" spans="2:5" ht="15" customHeight="1">
      <c r="B117" s="80"/>
      <c r="C117" s="55" t="s">
        <v>18</v>
      </c>
      <c r="D117" s="56">
        <v>1</v>
      </c>
      <c r="E117" s="57">
        <v>3.8461538461538464E-3</v>
      </c>
    </row>
    <row r="118" spans="2:5" ht="15" customHeight="1">
      <c r="B118" s="79"/>
      <c r="C118" s="58" t="s">
        <v>15</v>
      </c>
      <c r="D118" s="59">
        <v>5</v>
      </c>
      <c r="E118" s="60">
        <v>1.9230769230769232E-2</v>
      </c>
    </row>
    <row r="119" spans="2:5" ht="15" customHeight="1">
      <c r="B119" s="78" t="s">
        <v>212</v>
      </c>
      <c r="C119" s="55" t="s">
        <v>52</v>
      </c>
      <c r="D119" s="56">
        <v>1</v>
      </c>
      <c r="E119" s="57">
        <v>3.8461538461538464E-3</v>
      </c>
    </row>
    <row r="120" spans="2:5" ht="15" customHeight="1">
      <c r="B120" s="80"/>
      <c r="C120" s="55" t="s">
        <v>54</v>
      </c>
      <c r="D120" s="56">
        <v>1</v>
      </c>
      <c r="E120" s="57">
        <v>3.8461538461538464E-3</v>
      </c>
    </row>
    <row r="121" spans="2:5" ht="15" customHeight="1">
      <c r="B121" s="80"/>
      <c r="C121" s="55" t="s">
        <v>19</v>
      </c>
      <c r="D121" s="56">
        <v>3</v>
      </c>
      <c r="E121" s="57">
        <v>1.1538461538461539E-2</v>
      </c>
    </row>
    <row r="122" spans="2:5" ht="15" customHeight="1">
      <c r="B122" s="80"/>
      <c r="C122" s="55" t="s">
        <v>76</v>
      </c>
      <c r="D122" s="56">
        <v>1</v>
      </c>
      <c r="E122" s="57">
        <v>3.8461538461538464E-3</v>
      </c>
    </row>
    <row r="123" spans="2:5" ht="15" customHeight="1">
      <c r="B123" s="80"/>
      <c r="C123" s="55" t="s">
        <v>90</v>
      </c>
      <c r="D123" s="56">
        <v>1</v>
      </c>
      <c r="E123" s="57">
        <v>3.8461538461538464E-3</v>
      </c>
    </row>
    <row r="124" spans="2:5" ht="15" customHeight="1">
      <c r="B124" s="80"/>
      <c r="C124" s="55" t="s">
        <v>20</v>
      </c>
      <c r="D124" s="56">
        <v>3</v>
      </c>
      <c r="E124" s="57">
        <v>1.1538461538461539E-2</v>
      </c>
    </row>
    <row r="125" spans="2:5" ht="15" customHeight="1">
      <c r="B125" s="80"/>
      <c r="C125" s="55" t="s">
        <v>17</v>
      </c>
      <c r="D125" s="56">
        <v>1</v>
      </c>
      <c r="E125" s="57">
        <v>3.8461538461538464E-3</v>
      </c>
    </row>
    <row r="126" spans="2:5" ht="15" customHeight="1">
      <c r="B126" s="80"/>
      <c r="C126" s="55" t="s">
        <v>165</v>
      </c>
      <c r="D126" s="56">
        <v>1</v>
      </c>
      <c r="E126" s="57">
        <v>3.8461538461538464E-3</v>
      </c>
    </row>
    <row r="127" spans="2:5" ht="15" customHeight="1">
      <c r="B127" s="80"/>
      <c r="C127" s="55" t="s">
        <v>178</v>
      </c>
      <c r="D127" s="56">
        <v>1</v>
      </c>
      <c r="E127" s="57">
        <v>3.8461538461538464E-3</v>
      </c>
    </row>
    <row r="128" spans="2:5" ht="15" customHeight="1">
      <c r="B128" s="79"/>
      <c r="C128" s="58" t="s">
        <v>15</v>
      </c>
      <c r="D128" s="59">
        <v>13</v>
      </c>
      <c r="E128" s="60">
        <v>0.05</v>
      </c>
    </row>
    <row r="129" spans="2:5" ht="15" customHeight="1">
      <c r="B129" s="78" t="s">
        <v>213</v>
      </c>
      <c r="C129" s="55" t="s">
        <v>19</v>
      </c>
      <c r="D129" s="56">
        <v>1</v>
      </c>
      <c r="E129" s="57">
        <v>3.8461538461538464E-3</v>
      </c>
    </row>
    <row r="130" spans="2:5" ht="15" customHeight="1">
      <c r="B130" s="79"/>
      <c r="C130" s="58" t="s">
        <v>15</v>
      </c>
      <c r="D130" s="59">
        <v>1</v>
      </c>
      <c r="E130" s="60">
        <v>3.8461538461538464E-3</v>
      </c>
    </row>
    <row r="131" spans="2:5" ht="15" customHeight="1">
      <c r="B131" s="78" t="s">
        <v>214</v>
      </c>
      <c r="C131" s="55" t="s">
        <v>54</v>
      </c>
      <c r="D131" s="56">
        <v>1</v>
      </c>
      <c r="E131" s="57">
        <v>3.8461538461538464E-3</v>
      </c>
    </row>
    <row r="132" spans="2:5" ht="15" customHeight="1">
      <c r="B132" s="79"/>
      <c r="C132" s="58" t="s">
        <v>15</v>
      </c>
      <c r="D132" s="59">
        <v>1</v>
      </c>
      <c r="E132" s="60">
        <v>3.8461538461538464E-3</v>
      </c>
    </row>
    <row r="133" spans="2:5" ht="15" customHeight="1">
      <c r="B133" s="78" t="s">
        <v>218</v>
      </c>
      <c r="C133" s="55" t="s">
        <v>19</v>
      </c>
      <c r="D133" s="56">
        <v>2</v>
      </c>
      <c r="E133" s="57">
        <v>7.6335877862595417E-3</v>
      </c>
    </row>
    <row r="134" spans="2:5" ht="15" customHeight="1">
      <c r="B134" s="79"/>
      <c r="C134" s="58" t="s">
        <v>15</v>
      </c>
      <c r="D134" s="59">
        <v>2</v>
      </c>
      <c r="E134" s="60">
        <v>7.6335877862595417E-3</v>
      </c>
    </row>
    <row r="135" spans="2:5" ht="15" customHeight="1">
      <c r="B135" s="81" t="s">
        <v>15</v>
      </c>
      <c r="C135" s="82"/>
      <c r="D135" s="61">
        <v>262</v>
      </c>
      <c r="E135" s="62">
        <v>1</v>
      </c>
    </row>
    <row r="136" spans="2:5" ht="15" customHeight="1">
      <c r="B136" s="63"/>
      <c r="C136" s="63"/>
      <c r="D136" s="63"/>
      <c r="E136" s="63"/>
    </row>
    <row r="137" spans="2:5" ht="15" customHeight="1">
      <c r="B137" s="64" t="s">
        <v>182</v>
      </c>
      <c r="C137" s="63"/>
      <c r="D137" s="63"/>
      <c r="E137" s="63"/>
    </row>
    <row r="138" spans="2:5" ht="15" customHeight="1">
      <c r="B138" s="65" t="s">
        <v>14</v>
      </c>
      <c r="C138" s="63"/>
      <c r="D138" s="63"/>
      <c r="E138" s="63"/>
    </row>
    <row r="139" spans="2:5" ht="15" customHeight="1">
      <c r="B139" s="66" t="s">
        <v>13</v>
      </c>
      <c r="C139" s="63"/>
      <c r="D139" s="63"/>
      <c r="E139" s="63"/>
    </row>
    <row r="140" spans="2:5" ht="15" customHeight="1">
      <c r="B140" s="64" t="s">
        <v>12</v>
      </c>
      <c r="C140" s="63"/>
      <c r="D140" s="63"/>
      <c r="E140" s="63"/>
    </row>
    <row r="141" spans="2:5" ht="15" customHeight="1">
      <c r="B141" s="64" t="s">
        <v>183</v>
      </c>
      <c r="C141" s="63"/>
      <c r="D141" s="63"/>
      <c r="E141" s="63"/>
    </row>
  </sheetData>
  <mergeCells count="20">
    <mergeCell ref="B113:B118"/>
    <mergeCell ref="B119:B128"/>
    <mergeCell ref="B129:B130"/>
    <mergeCell ref="B131:B132"/>
    <mergeCell ref="B135:C135"/>
    <mergeCell ref="B7:E8"/>
    <mergeCell ref="B10:B11"/>
    <mergeCell ref="B12:B14"/>
    <mergeCell ref="B15:B19"/>
    <mergeCell ref="B133:B134"/>
    <mergeCell ref="B20:B22"/>
    <mergeCell ref="B23:B37"/>
    <mergeCell ref="B38:B50"/>
    <mergeCell ref="B51:B53"/>
    <mergeCell ref="B54:B58"/>
    <mergeCell ref="B59:B67"/>
    <mergeCell ref="B68:B83"/>
    <mergeCell ref="B84:B89"/>
    <mergeCell ref="B90:B95"/>
    <mergeCell ref="B96:B112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E20"/>
  <sheetViews>
    <sheetView showGridLines="0" zoomScaleNormal="100" zoomScaleSheetLayoutView="115" workbookViewId="0">
      <selection activeCell="G19" sqref="G19"/>
    </sheetView>
  </sheetViews>
  <sheetFormatPr baseColWidth="10" defaultColWidth="11.42578125" defaultRowHeight="15"/>
  <cols>
    <col min="1" max="1" width="9.28515625" style="18" customWidth="1"/>
    <col min="2" max="2" width="21.7109375" style="18" customWidth="1"/>
    <col min="3" max="3" width="17.7109375" style="19" customWidth="1"/>
    <col min="4" max="4" width="17.7109375" style="18" customWidth="1"/>
    <col min="5" max="5" width="9.28515625" style="18" customWidth="1"/>
    <col min="6" max="6" width="5.7109375" style="18" customWidth="1"/>
    <col min="7" max="16384" width="11.42578125" style="18"/>
  </cols>
  <sheetData>
    <row r="1" spans="1:5" s="30" customFormat="1" ht="15" customHeight="1">
      <c r="C1" s="36"/>
    </row>
    <row r="2" spans="1:5" s="30" customFormat="1" ht="15" customHeight="1">
      <c r="C2" s="36"/>
    </row>
    <row r="3" spans="1:5" s="30" customFormat="1" ht="15" customHeight="1">
      <c r="C3" s="36"/>
    </row>
    <row r="4" spans="1:5" s="30" customFormat="1" ht="30" customHeight="1">
      <c r="C4" s="36"/>
      <c r="D4" s="35"/>
    </row>
    <row r="5" spans="1:5" s="30" customFormat="1" ht="15" customHeight="1">
      <c r="C5" s="36"/>
      <c r="D5" s="35"/>
    </row>
    <row r="6" spans="1:5" s="30" customFormat="1" ht="15" customHeight="1">
      <c r="C6" s="36"/>
      <c r="D6" s="35"/>
    </row>
    <row r="7" spans="1:5" s="30" customFormat="1" ht="15" customHeight="1">
      <c r="B7" s="76" t="s">
        <v>196</v>
      </c>
      <c r="C7" s="76"/>
      <c r="D7" s="76"/>
    </row>
    <row r="8" spans="1:5" s="30" customFormat="1" ht="15" customHeight="1">
      <c r="B8" s="76"/>
      <c r="C8" s="76"/>
      <c r="D8" s="76"/>
    </row>
    <row r="9" spans="1:5" s="30" customFormat="1" ht="33" customHeight="1">
      <c r="B9" s="76"/>
      <c r="C9" s="76"/>
      <c r="D9" s="76"/>
    </row>
    <row r="10" spans="1:5" s="30" customFormat="1" ht="4.5" customHeight="1">
      <c r="B10" s="34"/>
      <c r="C10" s="34"/>
      <c r="D10" s="34"/>
    </row>
    <row r="11" spans="1:5" s="30" customFormat="1" ht="33" customHeight="1">
      <c r="B11" s="33" t="s">
        <v>32</v>
      </c>
      <c r="C11" s="32" t="s">
        <v>22</v>
      </c>
      <c r="D11" s="31" t="s">
        <v>21</v>
      </c>
    </row>
    <row r="12" spans="1:5">
      <c r="B12" s="28" t="s">
        <v>31</v>
      </c>
      <c r="C12" s="27">
        <v>166</v>
      </c>
      <c r="D12" s="26">
        <v>0.63358778625954193</v>
      </c>
    </row>
    <row r="13" spans="1:5">
      <c r="B13" s="28" t="s">
        <v>30</v>
      </c>
      <c r="C13" s="27">
        <v>96</v>
      </c>
      <c r="D13" s="26">
        <v>0.36641221374045801</v>
      </c>
    </row>
    <row r="14" spans="1:5">
      <c r="B14" s="25" t="s">
        <v>29</v>
      </c>
      <c r="C14" s="24">
        <v>262</v>
      </c>
      <c r="D14" s="23">
        <v>1</v>
      </c>
    </row>
    <row r="15" spans="1:5">
      <c r="A15" s="29"/>
      <c r="B15" s="29"/>
      <c r="C15" s="51"/>
      <c r="D15" s="29"/>
      <c r="E15" s="29"/>
    </row>
    <row r="16" spans="1:5">
      <c r="B16" s="20" t="s">
        <v>182</v>
      </c>
      <c r="C16" s="51"/>
      <c r="D16" s="29"/>
    </row>
    <row r="17" spans="2:4">
      <c r="B17" s="22" t="s">
        <v>14</v>
      </c>
      <c r="C17" s="50"/>
      <c r="D17" s="50"/>
    </row>
    <row r="18" spans="2:4">
      <c r="B18" s="21" t="s">
        <v>13</v>
      </c>
      <c r="C18" s="52"/>
      <c r="D18" s="52"/>
    </row>
    <row r="19" spans="2:4">
      <c r="B19" s="20" t="s">
        <v>12</v>
      </c>
    </row>
    <row r="20" spans="2:4">
      <c r="B20" s="20" t="s">
        <v>183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381"/>
  <sheetViews>
    <sheetView showGridLines="0" zoomScale="98" zoomScaleNormal="98" zoomScaleSheetLayoutView="100" workbookViewId="0">
      <selection activeCell="F1" sqref="F1"/>
    </sheetView>
  </sheetViews>
  <sheetFormatPr baseColWidth="10" defaultColWidth="35" defaultRowHeight="15" customHeight="1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5" s="45" customFormat="1" ht="12" customHeight="1">
      <c r="B1" s="49"/>
      <c r="C1" s="48"/>
      <c r="D1" s="48"/>
      <c r="E1" s="48"/>
    </row>
    <row r="2" spans="1:5" s="45" customFormat="1" ht="15" customHeight="1">
      <c r="C2" s="47"/>
    </row>
    <row r="3" spans="1:5" s="45" customFormat="1" ht="15" customHeight="1">
      <c r="C3" s="47"/>
    </row>
    <row r="4" spans="1:5" s="45" customFormat="1" ht="30" customHeight="1">
      <c r="C4" s="47"/>
      <c r="D4" s="46"/>
    </row>
    <row r="5" spans="1:5" s="45" customFormat="1" ht="15" customHeight="1">
      <c r="C5" s="47"/>
      <c r="D5" s="46"/>
    </row>
    <row r="6" spans="1:5" s="42" customFormat="1" ht="24" customHeight="1">
      <c r="B6" s="44"/>
      <c r="C6" s="41"/>
      <c r="D6" s="41"/>
      <c r="E6" s="41"/>
    </row>
    <row r="7" spans="1:5" s="42" customFormat="1" ht="26.25" customHeight="1">
      <c r="A7" s="43"/>
      <c r="B7" s="77"/>
      <c r="C7" s="77"/>
      <c r="D7" s="77"/>
      <c r="E7" s="77"/>
    </row>
    <row r="8" spans="1:5" s="42" customFormat="1" ht="33" customHeight="1">
      <c r="A8" s="43"/>
      <c r="B8" s="77"/>
      <c r="C8" s="77"/>
      <c r="D8" s="77"/>
      <c r="E8" s="77"/>
    </row>
    <row r="9" spans="1:5" s="30" customFormat="1" ht="40.5" customHeight="1">
      <c r="B9" s="53" t="s">
        <v>23</v>
      </c>
      <c r="C9" s="53" t="s">
        <v>32</v>
      </c>
      <c r="D9" s="54" t="s">
        <v>22</v>
      </c>
      <c r="E9" s="53" t="s">
        <v>21</v>
      </c>
    </row>
    <row r="10" spans="1:5" ht="15" customHeight="1">
      <c r="B10" s="78" t="s">
        <v>47</v>
      </c>
      <c r="C10" s="55" t="s">
        <v>33</v>
      </c>
      <c r="D10" s="56">
        <v>1</v>
      </c>
      <c r="E10" s="57">
        <v>3.8167938931297708E-3</v>
      </c>
    </row>
    <row r="11" spans="1:5" ht="15" customHeight="1">
      <c r="B11" s="80"/>
      <c r="C11" s="55" t="s">
        <v>43</v>
      </c>
      <c r="D11" s="56">
        <v>1</v>
      </c>
      <c r="E11" s="57">
        <v>3.8167938931297708E-3</v>
      </c>
    </row>
    <row r="12" spans="1:5" ht="15" customHeight="1">
      <c r="B12" s="79"/>
      <c r="C12" s="58" t="s">
        <v>15</v>
      </c>
      <c r="D12" s="59">
        <v>2</v>
      </c>
      <c r="E12" s="60">
        <v>7.6335877862595417E-3</v>
      </c>
    </row>
    <row r="13" spans="1:5" ht="15" customHeight="1">
      <c r="B13" s="78" t="s">
        <v>49</v>
      </c>
      <c r="C13" s="55" t="s">
        <v>33</v>
      </c>
      <c r="D13" s="56">
        <v>2</v>
      </c>
      <c r="E13" s="57">
        <v>7.6335877862595417E-3</v>
      </c>
    </row>
    <row r="14" spans="1:5" ht="15" customHeight="1">
      <c r="B14" s="79"/>
      <c r="C14" s="58" t="s">
        <v>15</v>
      </c>
      <c r="D14" s="59">
        <v>2</v>
      </c>
      <c r="E14" s="60">
        <v>7.6335877862595417E-3</v>
      </c>
    </row>
    <row r="15" spans="1:5" ht="15" customHeight="1">
      <c r="B15" s="78" t="s">
        <v>52</v>
      </c>
      <c r="C15" s="55" t="s">
        <v>33</v>
      </c>
      <c r="D15" s="56">
        <v>1</v>
      </c>
      <c r="E15" s="57">
        <v>3.8167938931297708E-3</v>
      </c>
    </row>
    <row r="16" spans="1:5" ht="15" customHeight="1">
      <c r="B16" s="79"/>
      <c r="C16" s="58" t="s">
        <v>15</v>
      </c>
      <c r="D16" s="59">
        <v>1</v>
      </c>
      <c r="E16" s="60">
        <v>3.8167938931297708E-3</v>
      </c>
    </row>
    <row r="17" spans="2:6" ht="15" customHeight="1">
      <c r="B17" s="78" t="s">
        <v>54</v>
      </c>
      <c r="C17" s="55" t="s">
        <v>33</v>
      </c>
      <c r="D17" s="56">
        <v>8</v>
      </c>
      <c r="E17" s="57">
        <v>3.0534351145038167E-2</v>
      </c>
    </row>
    <row r="18" spans="2:6" ht="15" customHeight="1">
      <c r="B18" s="80"/>
      <c r="C18" s="55" t="s">
        <v>43</v>
      </c>
      <c r="D18" s="56">
        <v>8</v>
      </c>
      <c r="E18" s="57">
        <v>3.0534351145038167E-2</v>
      </c>
    </row>
    <row r="19" spans="2:6" ht="15" customHeight="1">
      <c r="B19" s="79"/>
      <c r="C19" s="58" t="s">
        <v>15</v>
      </c>
      <c r="D19" s="59">
        <v>16</v>
      </c>
      <c r="E19" s="60">
        <v>6.1068702290076333E-2</v>
      </c>
    </row>
    <row r="20" spans="2:6" ht="15" customHeight="1">
      <c r="B20" s="78" t="s">
        <v>61</v>
      </c>
      <c r="C20" s="55" t="s">
        <v>33</v>
      </c>
      <c r="D20" s="56">
        <v>1</v>
      </c>
      <c r="E20" s="57">
        <v>3.8167938931297708E-3</v>
      </c>
      <c r="F20" s="18"/>
    </row>
    <row r="21" spans="2:6" ht="15" customHeight="1">
      <c r="B21" s="80"/>
      <c r="C21" s="55" t="s">
        <v>43</v>
      </c>
      <c r="D21" s="56">
        <v>1</v>
      </c>
      <c r="E21" s="57">
        <v>3.8167938931297708E-3</v>
      </c>
      <c r="F21" s="18"/>
    </row>
    <row r="22" spans="2:6" ht="15" customHeight="1">
      <c r="B22" s="79"/>
      <c r="C22" s="58" t="s">
        <v>15</v>
      </c>
      <c r="D22" s="59">
        <v>2</v>
      </c>
      <c r="E22" s="60">
        <v>7.6335877862595417E-3</v>
      </c>
      <c r="F22" s="18"/>
    </row>
    <row r="23" spans="2:6" ht="15" customHeight="1">
      <c r="B23" s="78" t="s">
        <v>63</v>
      </c>
      <c r="C23" s="55" t="s">
        <v>33</v>
      </c>
      <c r="D23" s="56">
        <v>1</v>
      </c>
      <c r="E23" s="57">
        <v>3.8167938931297708E-3</v>
      </c>
      <c r="F23" s="18"/>
    </row>
    <row r="24" spans="2:6" ht="15" customHeight="1">
      <c r="B24" s="80"/>
      <c r="C24" s="55" t="s">
        <v>43</v>
      </c>
      <c r="D24" s="56">
        <v>1</v>
      </c>
      <c r="E24" s="57">
        <v>3.8167938931297708E-3</v>
      </c>
      <c r="F24" s="18"/>
    </row>
    <row r="25" spans="2:6" ht="15" customHeight="1">
      <c r="B25" s="79"/>
      <c r="C25" s="58" t="s">
        <v>15</v>
      </c>
      <c r="D25" s="59">
        <v>2</v>
      </c>
      <c r="E25" s="60">
        <v>7.6335877862595417E-3</v>
      </c>
    </row>
    <row r="26" spans="2:6" ht="15" customHeight="1">
      <c r="B26" s="78" t="s">
        <v>19</v>
      </c>
      <c r="C26" s="55" t="s">
        <v>33</v>
      </c>
      <c r="D26" s="56">
        <v>18</v>
      </c>
      <c r="E26" s="57">
        <v>6.8702290076335881E-2</v>
      </c>
    </row>
    <row r="27" spans="2:6" ht="15" customHeight="1">
      <c r="B27" s="80"/>
      <c r="C27" s="55" t="s">
        <v>43</v>
      </c>
      <c r="D27" s="56">
        <v>14</v>
      </c>
      <c r="E27" s="57">
        <v>5.3435114503816793E-2</v>
      </c>
    </row>
    <row r="28" spans="2:6" ht="15" customHeight="1">
      <c r="B28" s="79"/>
      <c r="C28" s="58" t="s">
        <v>15</v>
      </c>
      <c r="D28" s="59">
        <v>32</v>
      </c>
      <c r="E28" s="60">
        <v>0.12213740458015267</v>
      </c>
    </row>
    <row r="29" spans="2:6" ht="15" customHeight="1">
      <c r="B29" s="78" t="s">
        <v>73</v>
      </c>
      <c r="C29" s="55" t="s">
        <v>33</v>
      </c>
      <c r="D29" s="56">
        <v>3</v>
      </c>
      <c r="E29" s="57">
        <v>1.1450381679389313E-2</v>
      </c>
    </row>
    <row r="30" spans="2:6" ht="15" customHeight="1">
      <c r="B30" s="80"/>
      <c r="C30" s="55" t="s">
        <v>43</v>
      </c>
      <c r="D30" s="56">
        <v>3</v>
      </c>
      <c r="E30" s="57">
        <v>1.1450381679389313E-2</v>
      </c>
    </row>
    <row r="31" spans="2:6" ht="15" customHeight="1">
      <c r="B31" s="79"/>
      <c r="C31" s="58" t="s">
        <v>15</v>
      </c>
      <c r="D31" s="59">
        <v>6</v>
      </c>
      <c r="E31" s="60">
        <v>2.2900763358778626E-2</v>
      </c>
    </row>
    <row r="32" spans="2:6" ht="15" customHeight="1">
      <c r="B32" s="78" t="s">
        <v>76</v>
      </c>
      <c r="C32" s="55" t="s">
        <v>33</v>
      </c>
      <c r="D32" s="56">
        <v>11</v>
      </c>
      <c r="E32" s="57">
        <v>4.1984732824427481E-2</v>
      </c>
    </row>
    <row r="33" spans="2:5" ht="15" customHeight="1">
      <c r="B33" s="80"/>
      <c r="C33" s="55" t="s">
        <v>43</v>
      </c>
      <c r="D33" s="56">
        <v>10</v>
      </c>
      <c r="E33" s="57">
        <v>3.8167938931297711E-2</v>
      </c>
    </row>
    <row r="34" spans="2:5" ht="15" customHeight="1">
      <c r="B34" s="79"/>
      <c r="C34" s="58" t="s">
        <v>15</v>
      </c>
      <c r="D34" s="59">
        <v>21</v>
      </c>
      <c r="E34" s="60">
        <v>8.0152671755725186E-2</v>
      </c>
    </row>
    <row r="35" spans="2:5" ht="15" customHeight="1">
      <c r="B35" s="78" t="s">
        <v>90</v>
      </c>
      <c r="C35" s="55" t="s">
        <v>33</v>
      </c>
      <c r="D35" s="56">
        <v>6</v>
      </c>
      <c r="E35" s="57">
        <v>2.2900763358778626E-2</v>
      </c>
    </row>
    <row r="36" spans="2:5" ht="15" customHeight="1">
      <c r="B36" s="80"/>
      <c r="C36" s="55" t="s">
        <v>43</v>
      </c>
      <c r="D36" s="56">
        <v>5</v>
      </c>
      <c r="E36" s="57">
        <v>1.9083969465648856E-2</v>
      </c>
    </row>
    <row r="37" spans="2:5" ht="15" customHeight="1">
      <c r="B37" s="79"/>
      <c r="C37" s="58" t="s">
        <v>15</v>
      </c>
      <c r="D37" s="59">
        <v>11</v>
      </c>
      <c r="E37" s="60">
        <v>4.1984732824427481E-2</v>
      </c>
    </row>
    <row r="38" spans="2:5" ht="15" customHeight="1">
      <c r="B38" s="78" t="s">
        <v>96</v>
      </c>
      <c r="C38" s="55" t="s">
        <v>33</v>
      </c>
      <c r="D38" s="56">
        <v>3</v>
      </c>
      <c r="E38" s="57">
        <v>1.1450381679389313E-2</v>
      </c>
    </row>
    <row r="39" spans="2:5" ht="15" customHeight="1">
      <c r="B39" s="80"/>
      <c r="C39" s="55" t="s">
        <v>43</v>
      </c>
      <c r="D39" s="56">
        <v>4</v>
      </c>
      <c r="E39" s="57">
        <v>1.5267175572519083E-2</v>
      </c>
    </row>
    <row r="40" spans="2:5" ht="15" customHeight="1">
      <c r="B40" s="79"/>
      <c r="C40" s="58" t="s">
        <v>15</v>
      </c>
      <c r="D40" s="59">
        <v>7</v>
      </c>
      <c r="E40" s="60">
        <v>2.6717557251908396E-2</v>
      </c>
    </row>
    <row r="41" spans="2:5" ht="15" customHeight="1">
      <c r="B41" s="78" t="s">
        <v>102</v>
      </c>
      <c r="C41" s="55" t="s">
        <v>33</v>
      </c>
      <c r="D41" s="56">
        <v>8</v>
      </c>
      <c r="E41" s="57">
        <v>3.0534351145038167E-2</v>
      </c>
    </row>
    <row r="42" spans="2:5" ht="15" customHeight="1">
      <c r="B42" s="79"/>
      <c r="C42" s="58" t="s">
        <v>15</v>
      </c>
      <c r="D42" s="59">
        <v>8</v>
      </c>
      <c r="E42" s="60">
        <v>3.0534351145038167E-2</v>
      </c>
    </row>
    <row r="43" spans="2:5" ht="15" customHeight="1">
      <c r="B43" s="78" t="s">
        <v>20</v>
      </c>
      <c r="C43" s="55" t="s">
        <v>33</v>
      </c>
      <c r="D43" s="56">
        <v>23</v>
      </c>
      <c r="E43" s="57">
        <v>8.7786259541984726E-2</v>
      </c>
    </row>
    <row r="44" spans="2:5" ht="15" customHeight="1">
      <c r="B44" s="80"/>
      <c r="C44" s="55" t="s">
        <v>43</v>
      </c>
      <c r="D44" s="56">
        <v>15</v>
      </c>
      <c r="E44" s="57">
        <v>5.7251908396946563E-2</v>
      </c>
    </row>
    <row r="45" spans="2:5" ht="15" customHeight="1">
      <c r="B45" s="79"/>
      <c r="C45" s="58" t="s">
        <v>15</v>
      </c>
      <c r="D45" s="59">
        <v>38</v>
      </c>
      <c r="E45" s="60">
        <v>0.14503816793893129</v>
      </c>
    </row>
    <row r="46" spans="2:5" ht="15" customHeight="1">
      <c r="B46" s="78" t="s">
        <v>119</v>
      </c>
      <c r="C46" s="55" t="s">
        <v>33</v>
      </c>
      <c r="D46" s="56">
        <v>20</v>
      </c>
      <c r="E46" s="57">
        <v>7.6335877862595422E-2</v>
      </c>
    </row>
    <row r="47" spans="2:5" ht="15" customHeight="1">
      <c r="B47" s="80"/>
      <c r="C47" s="55" t="s">
        <v>43</v>
      </c>
      <c r="D47" s="56">
        <v>8</v>
      </c>
      <c r="E47" s="57">
        <v>3.0534351145038167E-2</v>
      </c>
    </row>
    <row r="48" spans="2:5" ht="15" customHeight="1">
      <c r="B48" s="79"/>
      <c r="C48" s="58" t="s">
        <v>15</v>
      </c>
      <c r="D48" s="59">
        <v>28</v>
      </c>
      <c r="E48" s="60">
        <v>0.10687022900763359</v>
      </c>
    </row>
    <row r="49" spans="2:5" ht="15" customHeight="1">
      <c r="B49" s="78" t="s">
        <v>18</v>
      </c>
      <c r="C49" s="55" t="s">
        <v>33</v>
      </c>
      <c r="D49" s="56">
        <v>7</v>
      </c>
      <c r="E49" s="57">
        <v>2.6717557251908396E-2</v>
      </c>
    </row>
    <row r="50" spans="2:5" ht="15" customHeight="1">
      <c r="B50" s="80"/>
      <c r="C50" s="55" t="s">
        <v>43</v>
      </c>
      <c r="D50" s="56">
        <v>6</v>
      </c>
      <c r="E50" s="57">
        <v>2.2900763358778626E-2</v>
      </c>
    </row>
    <row r="51" spans="2:5" ht="15" customHeight="1">
      <c r="B51" s="79"/>
      <c r="C51" s="58" t="s">
        <v>15</v>
      </c>
      <c r="D51" s="59">
        <v>13</v>
      </c>
      <c r="E51" s="60">
        <v>4.9618320610687022E-2</v>
      </c>
    </row>
    <row r="52" spans="2:5" ht="15" customHeight="1">
      <c r="B52" s="78" t="s">
        <v>134</v>
      </c>
      <c r="C52" s="55" t="s">
        <v>33</v>
      </c>
      <c r="D52" s="56">
        <v>19</v>
      </c>
      <c r="E52" s="57">
        <v>7.2519083969465645E-2</v>
      </c>
    </row>
    <row r="53" spans="2:5" ht="15" customHeight="1">
      <c r="B53" s="80"/>
      <c r="C53" s="55" t="s">
        <v>43</v>
      </c>
      <c r="D53" s="56">
        <v>8</v>
      </c>
      <c r="E53" s="57">
        <v>3.0534351145038167E-2</v>
      </c>
    </row>
    <row r="54" spans="2:5" ht="15" customHeight="1">
      <c r="B54" s="79"/>
      <c r="C54" s="58" t="s">
        <v>15</v>
      </c>
      <c r="D54" s="59">
        <v>27</v>
      </c>
      <c r="E54" s="60">
        <v>0.10305343511450382</v>
      </c>
    </row>
    <row r="55" spans="2:5" ht="15" customHeight="1">
      <c r="B55" s="78" t="s">
        <v>17</v>
      </c>
      <c r="C55" s="55" t="s">
        <v>33</v>
      </c>
      <c r="D55" s="56">
        <v>19</v>
      </c>
      <c r="E55" s="57">
        <v>7.2519083969465645E-2</v>
      </c>
    </row>
    <row r="56" spans="2:5" ht="15" customHeight="1">
      <c r="B56" s="80"/>
      <c r="C56" s="55" t="s">
        <v>43</v>
      </c>
      <c r="D56" s="56">
        <v>4</v>
      </c>
      <c r="E56" s="57">
        <v>1.5267175572519083E-2</v>
      </c>
    </row>
    <row r="57" spans="2:5" ht="15" customHeight="1">
      <c r="B57" s="79"/>
      <c r="C57" s="58" t="s">
        <v>15</v>
      </c>
      <c r="D57" s="59">
        <v>23</v>
      </c>
      <c r="E57" s="60">
        <v>8.7786259541984726E-2</v>
      </c>
    </row>
    <row r="58" spans="2:5" ht="15" customHeight="1">
      <c r="B58" s="78" t="s">
        <v>163</v>
      </c>
      <c r="C58" s="55" t="s">
        <v>33</v>
      </c>
      <c r="D58" s="56">
        <v>1</v>
      </c>
      <c r="E58" s="57">
        <v>3.8167938931297708E-3</v>
      </c>
    </row>
    <row r="59" spans="2:5" ht="15" customHeight="1">
      <c r="B59" s="79"/>
      <c r="C59" s="58" t="s">
        <v>15</v>
      </c>
      <c r="D59" s="59">
        <v>1</v>
      </c>
      <c r="E59" s="60">
        <v>3.8167938931297708E-3</v>
      </c>
    </row>
    <row r="60" spans="2:5" ht="15" customHeight="1">
      <c r="B60" s="78" t="s">
        <v>164</v>
      </c>
      <c r="C60" s="55" t="s">
        <v>33</v>
      </c>
      <c r="D60" s="56">
        <v>1</v>
      </c>
      <c r="E60" s="57">
        <v>3.8167938931297708E-3</v>
      </c>
    </row>
    <row r="61" spans="2:5" ht="15" customHeight="1">
      <c r="B61" s="79"/>
      <c r="C61" s="58" t="s">
        <v>15</v>
      </c>
      <c r="D61" s="59">
        <v>1</v>
      </c>
      <c r="E61" s="60">
        <v>3.8167938931297708E-3</v>
      </c>
    </row>
    <row r="62" spans="2:5" ht="15" customHeight="1">
      <c r="B62" s="78" t="s">
        <v>165</v>
      </c>
      <c r="C62" s="55" t="s">
        <v>33</v>
      </c>
      <c r="D62" s="56">
        <v>4</v>
      </c>
      <c r="E62" s="57">
        <v>1.5267175572519083E-2</v>
      </c>
    </row>
    <row r="63" spans="2:5" ht="15" customHeight="1">
      <c r="B63" s="80"/>
      <c r="C63" s="55" t="s">
        <v>43</v>
      </c>
      <c r="D63" s="56">
        <v>3</v>
      </c>
      <c r="E63" s="57">
        <v>1.1450381679389313E-2</v>
      </c>
    </row>
    <row r="64" spans="2:5" ht="15" customHeight="1">
      <c r="B64" s="79"/>
      <c r="C64" s="58" t="s">
        <v>15</v>
      </c>
      <c r="D64" s="59">
        <v>7</v>
      </c>
      <c r="E64" s="60">
        <v>2.6717557251908396E-2</v>
      </c>
    </row>
    <row r="65" spans="2:5" ht="15" customHeight="1">
      <c r="B65" s="78" t="s">
        <v>171</v>
      </c>
      <c r="C65" s="55" t="s">
        <v>33</v>
      </c>
      <c r="D65" s="56">
        <v>6</v>
      </c>
      <c r="E65" s="57">
        <v>2.2900763358778626E-2</v>
      </c>
    </row>
    <row r="66" spans="2:5" ht="15" customHeight="1">
      <c r="B66" s="80"/>
      <c r="C66" s="55" t="s">
        <v>43</v>
      </c>
      <c r="D66" s="56">
        <v>2</v>
      </c>
      <c r="E66" s="57">
        <v>7.6335877862595417E-3</v>
      </c>
    </row>
    <row r="67" spans="2:5" ht="15" customHeight="1">
      <c r="B67" s="79"/>
      <c r="C67" s="58" t="s">
        <v>15</v>
      </c>
      <c r="D67" s="59">
        <v>8</v>
      </c>
      <c r="E67" s="60">
        <v>3.0534351145038167E-2</v>
      </c>
    </row>
    <row r="68" spans="2:5" ht="15" customHeight="1">
      <c r="B68" s="78" t="s">
        <v>178</v>
      </c>
      <c r="C68" s="55" t="s">
        <v>33</v>
      </c>
      <c r="D68" s="56">
        <v>2</v>
      </c>
      <c r="E68" s="57">
        <v>7.6335877862595417E-3</v>
      </c>
    </row>
    <row r="69" spans="2:5" ht="15" customHeight="1">
      <c r="B69" s="80"/>
      <c r="C69" s="55" t="s">
        <v>43</v>
      </c>
      <c r="D69" s="56">
        <v>1</v>
      </c>
      <c r="E69" s="57">
        <v>3.8167938931297708E-3</v>
      </c>
    </row>
    <row r="70" spans="2:5" ht="15" customHeight="1">
      <c r="B70" s="79"/>
      <c r="C70" s="58" t="s">
        <v>15</v>
      </c>
      <c r="D70" s="59">
        <v>3</v>
      </c>
      <c r="E70" s="60">
        <v>1.1450381679389313E-2</v>
      </c>
    </row>
    <row r="71" spans="2:5" ht="15" customHeight="1">
      <c r="B71" s="78" t="s">
        <v>16</v>
      </c>
      <c r="C71" s="55" t="s">
        <v>33</v>
      </c>
      <c r="D71" s="56">
        <v>1</v>
      </c>
      <c r="E71" s="57">
        <v>3.8167938931297708E-3</v>
      </c>
    </row>
    <row r="72" spans="2:5" ht="15" customHeight="1">
      <c r="B72" s="80"/>
      <c r="C72" s="55" t="s">
        <v>43</v>
      </c>
      <c r="D72" s="56">
        <v>2</v>
      </c>
      <c r="E72" s="57">
        <v>7.6335877862595417E-3</v>
      </c>
    </row>
    <row r="73" spans="2:5" ht="15" customHeight="1">
      <c r="B73" s="79"/>
      <c r="C73" s="58" t="s">
        <v>15</v>
      </c>
      <c r="D73" s="59">
        <v>3</v>
      </c>
      <c r="E73" s="60">
        <v>1.1450381679389313E-2</v>
      </c>
    </row>
    <row r="74" spans="2:5" ht="15" customHeight="1">
      <c r="B74" s="81" t="s">
        <v>15</v>
      </c>
      <c r="C74" s="82"/>
      <c r="D74" s="61">
        <f>SUMIF(C10:C73,"TOTAL",D10:D73)</f>
        <v>262</v>
      </c>
      <c r="E74" s="62">
        <v>1</v>
      </c>
    </row>
    <row r="75" spans="2:5" ht="15" customHeight="1">
      <c r="B75" s="63"/>
      <c r="C75" s="63"/>
      <c r="D75" s="63"/>
      <c r="E75" s="63"/>
    </row>
    <row r="76" spans="2:5" ht="15" customHeight="1">
      <c r="B76" s="64" t="s">
        <v>182</v>
      </c>
      <c r="C76" s="63"/>
      <c r="D76" s="63"/>
      <c r="E76" s="63"/>
    </row>
    <row r="77" spans="2:5" ht="15" customHeight="1">
      <c r="B77" s="65" t="s">
        <v>14</v>
      </c>
      <c r="C77" s="63"/>
      <c r="D77" s="63"/>
      <c r="E77" s="63"/>
    </row>
    <row r="78" spans="2:5" ht="15" customHeight="1">
      <c r="B78" s="66" t="s">
        <v>13</v>
      </c>
      <c r="C78" s="63"/>
      <c r="D78" s="63"/>
      <c r="E78" s="63"/>
    </row>
    <row r="79" spans="2:5" ht="15" customHeight="1">
      <c r="B79" s="64" t="s">
        <v>12</v>
      </c>
      <c r="C79" s="63"/>
      <c r="D79" s="63"/>
      <c r="E79" s="63"/>
    </row>
    <row r="80" spans="2:5" ht="15" customHeight="1">
      <c r="B80" s="64" t="s">
        <v>183</v>
      </c>
      <c r="C80" s="63"/>
      <c r="D80" s="63"/>
      <c r="E80" s="63"/>
    </row>
    <row r="377" spans="2:2" s="38" customFormat="1" ht="15" customHeight="1">
      <c r="B377" s="39"/>
    </row>
    <row r="378" spans="2:2" s="38" customFormat="1" ht="15" customHeight="1">
      <c r="B378" s="40"/>
    </row>
    <row r="379" spans="2:2" s="38" customFormat="1" ht="15" customHeight="1">
      <c r="B379" s="40"/>
    </row>
    <row r="380" spans="2:2" s="38" customFormat="1" ht="15" customHeight="1">
      <c r="B380" s="39"/>
    </row>
    <row r="381" spans="2:2" s="38" customFormat="1" ht="15" customHeight="1">
      <c r="B381" s="39"/>
    </row>
  </sheetData>
  <mergeCells count="25">
    <mergeCell ref="B65:B67"/>
    <mergeCell ref="B68:B70"/>
    <mergeCell ref="B71:B73"/>
    <mergeCell ref="B74:C74"/>
    <mergeCell ref="B52:B54"/>
    <mergeCell ref="B55:B57"/>
    <mergeCell ref="B58:B59"/>
    <mergeCell ref="B60:B61"/>
    <mergeCell ref="B62:B64"/>
    <mergeCell ref="B38:B40"/>
    <mergeCell ref="B41:B42"/>
    <mergeCell ref="B43:B45"/>
    <mergeCell ref="B46:B48"/>
    <mergeCell ref="B49:B51"/>
    <mergeCell ref="B23:B25"/>
    <mergeCell ref="B26:B28"/>
    <mergeCell ref="B29:B31"/>
    <mergeCell ref="B32:B34"/>
    <mergeCell ref="B35:B37"/>
    <mergeCell ref="B20:B22"/>
    <mergeCell ref="B7:E8"/>
    <mergeCell ref="B10:B12"/>
    <mergeCell ref="B13:B14"/>
    <mergeCell ref="B15:B16"/>
    <mergeCell ref="B17:B19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F467"/>
  <sheetViews>
    <sheetView showGridLines="0" zoomScale="98" zoomScaleNormal="98" zoomScaleSheetLayoutView="100" workbookViewId="0">
      <selection activeCell="F23" sqref="F23"/>
    </sheetView>
  </sheetViews>
  <sheetFormatPr baseColWidth="10" defaultColWidth="35" defaultRowHeight="15" customHeight="1"/>
  <cols>
    <col min="1" max="1" width="1" style="37" customWidth="1"/>
    <col min="2" max="2" width="22.85546875" style="38" customWidth="1"/>
    <col min="3" max="3" width="31.42578125" style="38" customWidth="1"/>
    <col min="4" max="4" width="14.28515625" style="38" customWidth="1"/>
    <col min="5" max="5" width="16.85546875" style="38" customWidth="1"/>
    <col min="6" max="16384" width="35" style="37"/>
  </cols>
  <sheetData>
    <row r="1" spans="1:6" s="45" customFormat="1" ht="12" customHeight="1">
      <c r="B1" s="49"/>
      <c r="C1" s="48"/>
      <c r="D1" s="48"/>
      <c r="E1" s="48"/>
    </row>
    <row r="2" spans="1:6" s="45" customFormat="1" ht="15" customHeight="1">
      <c r="C2" s="47"/>
    </row>
    <row r="3" spans="1:6" s="45" customFormat="1" ht="15" customHeight="1">
      <c r="C3" s="47"/>
    </row>
    <row r="4" spans="1:6" s="45" customFormat="1" ht="30" customHeight="1">
      <c r="C4" s="47"/>
      <c r="D4" s="46"/>
    </row>
    <row r="5" spans="1:6" s="45" customFormat="1" ht="15" customHeight="1">
      <c r="C5" s="47"/>
      <c r="D5" s="46"/>
    </row>
    <row r="6" spans="1:6" s="42" customFormat="1" ht="24" customHeight="1">
      <c r="B6" s="44"/>
      <c r="C6" s="41"/>
      <c r="D6" s="41"/>
      <c r="E6" s="41"/>
    </row>
    <row r="7" spans="1:6" s="42" customFormat="1" ht="26.25" customHeight="1">
      <c r="A7" s="43"/>
      <c r="B7" s="77"/>
      <c r="C7" s="77"/>
      <c r="D7" s="77"/>
      <c r="E7" s="77"/>
    </row>
    <row r="8" spans="1:6" s="42" customFormat="1" ht="33" customHeight="1">
      <c r="A8" s="43"/>
      <c r="B8" s="77"/>
      <c r="C8" s="77"/>
      <c r="D8" s="77"/>
      <c r="E8" s="77"/>
    </row>
    <row r="9" spans="1:6" s="30" customFormat="1" ht="40.5" customHeight="1">
      <c r="B9" s="53" t="s">
        <v>32</v>
      </c>
      <c r="C9" s="53" t="s">
        <v>36</v>
      </c>
      <c r="D9" s="54" t="s">
        <v>22</v>
      </c>
      <c r="E9" s="53" t="s">
        <v>21</v>
      </c>
    </row>
    <row r="10" spans="1:6" ht="15" customHeight="1">
      <c r="B10" s="78" t="s">
        <v>33</v>
      </c>
      <c r="C10" s="55" t="s">
        <v>197</v>
      </c>
      <c r="D10" s="56">
        <v>3</v>
      </c>
      <c r="E10" s="57">
        <v>1.1450381679389313E-2</v>
      </c>
    </row>
    <row r="11" spans="1:6" ht="15" customHeight="1">
      <c r="B11" s="80"/>
      <c r="C11" s="55" t="s">
        <v>44</v>
      </c>
      <c r="D11" s="56">
        <v>20</v>
      </c>
      <c r="E11" s="57">
        <v>7.6335877862595422E-2</v>
      </c>
    </row>
    <row r="12" spans="1:6" ht="15" customHeight="1">
      <c r="B12" s="80"/>
      <c r="C12" s="55" t="s">
        <v>198</v>
      </c>
      <c r="D12" s="56">
        <v>48</v>
      </c>
      <c r="E12" s="57">
        <v>0.18320610687022901</v>
      </c>
    </row>
    <row r="13" spans="1:6" ht="15" customHeight="1">
      <c r="B13" s="80"/>
      <c r="C13" s="55" t="s">
        <v>35</v>
      </c>
      <c r="D13" s="56">
        <v>58</v>
      </c>
      <c r="E13" s="57">
        <v>0.22137404580152673</v>
      </c>
    </row>
    <row r="14" spans="1:6" ht="15" customHeight="1">
      <c r="B14" s="80"/>
      <c r="C14" s="55" t="s">
        <v>34</v>
      </c>
      <c r="D14" s="56">
        <v>31</v>
      </c>
      <c r="E14" s="57">
        <v>0.1183206106870229</v>
      </c>
    </row>
    <row r="15" spans="1:6" ht="15" customHeight="1">
      <c r="B15" s="79"/>
      <c r="C15" s="55" t="s">
        <v>199</v>
      </c>
      <c r="D15" s="56">
        <v>6</v>
      </c>
      <c r="E15" s="57">
        <v>2.2900763358778626E-2</v>
      </c>
      <c r="F15" s="18"/>
    </row>
    <row r="16" spans="1:6" ht="15" customHeight="1">
      <c r="B16" s="78" t="s">
        <v>43</v>
      </c>
      <c r="C16" s="55" t="s">
        <v>200</v>
      </c>
      <c r="D16" s="56">
        <v>1</v>
      </c>
      <c r="E16" s="57">
        <v>3.8167938931297708E-3</v>
      </c>
      <c r="F16" s="18"/>
    </row>
    <row r="17" spans="2:6" ht="15" customHeight="1">
      <c r="B17" s="80"/>
      <c r="C17" s="55" t="s">
        <v>44</v>
      </c>
      <c r="D17" s="56">
        <v>6</v>
      </c>
      <c r="E17" s="57">
        <v>2.2900763358778626E-2</v>
      </c>
      <c r="F17" s="18"/>
    </row>
    <row r="18" spans="2:6" ht="15" customHeight="1">
      <c r="B18" s="80"/>
      <c r="C18" s="55" t="s">
        <v>198</v>
      </c>
      <c r="D18" s="56">
        <v>21</v>
      </c>
      <c r="E18" s="57">
        <v>8.0152671755725186E-2</v>
      </c>
      <c r="F18" s="18"/>
    </row>
    <row r="19" spans="2:6" ht="15" customHeight="1">
      <c r="B19" s="80"/>
      <c r="C19" s="55" t="s">
        <v>35</v>
      </c>
      <c r="D19" s="56">
        <v>41</v>
      </c>
      <c r="E19" s="57">
        <v>0.15648854961832062</v>
      </c>
      <c r="F19" s="18"/>
    </row>
    <row r="20" spans="2:6" ht="15" customHeight="1">
      <c r="B20" s="80"/>
      <c r="C20" s="55" t="s">
        <v>34</v>
      </c>
      <c r="D20" s="56">
        <v>24</v>
      </c>
      <c r="E20" s="57">
        <v>9.1603053435114504E-2</v>
      </c>
    </row>
    <row r="21" spans="2:6" ht="15" customHeight="1">
      <c r="B21" s="79"/>
      <c r="C21" s="55" t="s">
        <v>199</v>
      </c>
      <c r="D21" s="56">
        <v>3</v>
      </c>
      <c r="E21" s="57">
        <v>1.1450381679389313E-2</v>
      </c>
    </row>
    <row r="22" spans="2:6" ht="15" customHeight="1">
      <c r="B22" s="81" t="s">
        <v>15</v>
      </c>
      <c r="C22" s="82"/>
      <c r="D22" s="61">
        <v>262</v>
      </c>
      <c r="E22" s="62">
        <v>1</v>
      </c>
    </row>
    <row r="23" spans="2:6" ht="15" customHeight="1">
      <c r="B23" s="63"/>
      <c r="C23" s="63"/>
      <c r="D23" s="63"/>
      <c r="E23" s="63"/>
    </row>
    <row r="24" spans="2:6" ht="15" customHeight="1">
      <c r="B24" s="64" t="s">
        <v>182</v>
      </c>
      <c r="C24" s="63"/>
      <c r="D24" s="63"/>
      <c r="E24" s="63"/>
    </row>
    <row r="25" spans="2:6" ht="15" customHeight="1">
      <c r="B25" s="65" t="s">
        <v>14</v>
      </c>
      <c r="C25" s="63"/>
      <c r="D25" s="63"/>
      <c r="E25" s="63"/>
    </row>
    <row r="26" spans="2:6" ht="15" customHeight="1">
      <c r="B26" s="66" t="s">
        <v>13</v>
      </c>
      <c r="C26" s="63"/>
      <c r="D26" s="63"/>
      <c r="E26" s="63"/>
    </row>
    <row r="27" spans="2:6" ht="15" customHeight="1">
      <c r="B27" s="64" t="s">
        <v>12</v>
      </c>
      <c r="C27" s="63"/>
      <c r="D27" s="63"/>
      <c r="E27" s="63"/>
    </row>
    <row r="28" spans="2:6" ht="15" customHeight="1">
      <c r="B28" s="64" t="s">
        <v>183</v>
      </c>
      <c r="C28" s="63"/>
      <c r="D28" s="63"/>
      <c r="E28" s="63"/>
    </row>
    <row r="463" spans="2:2" s="38" customFormat="1" ht="15" customHeight="1">
      <c r="B463" s="39"/>
    </row>
    <row r="464" spans="2:2" s="38" customFormat="1" ht="15" customHeight="1">
      <c r="B464" s="40"/>
    </row>
    <row r="465" spans="2:2" s="38" customFormat="1" ht="15" customHeight="1">
      <c r="B465" s="40"/>
    </row>
    <row r="466" spans="2:2" s="38" customFormat="1" ht="15" customHeight="1">
      <c r="B466" s="39"/>
    </row>
    <row r="467" spans="2:2" s="38" customFormat="1" ht="15" customHeight="1">
      <c r="B467" s="39"/>
    </row>
  </sheetData>
  <mergeCells count="4">
    <mergeCell ref="B16:B21"/>
    <mergeCell ref="B22:C22"/>
    <mergeCell ref="B7:E8"/>
    <mergeCell ref="B10:B15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E30"/>
  <sheetViews>
    <sheetView showGridLines="0" zoomScaleNormal="100" zoomScaleSheetLayoutView="115" workbookViewId="0">
      <selection activeCell="G19" sqref="G19"/>
    </sheetView>
  </sheetViews>
  <sheetFormatPr baseColWidth="10" defaultColWidth="11.42578125" defaultRowHeight="15"/>
  <cols>
    <col min="1" max="1" width="9.28515625" style="18" customWidth="1"/>
    <col min="2" max="2" width="21.7109375" style="18" customWidth="1"/>
    <col min="3" max="3" width="17.7109375" style="19" customWidth="1"/>
    <col min="4" max="4" width="17.7109375" style="18" customWidth="1"/>
    <col min="5" max="5" width="9.28515625" style="18" customWidth="1"/>
    <col min="6" max="6" width="5.7109375" style="18" customWidth="1"/>
    <col min="7" max="16384" width="11.42578125" style="18"/>
  </cols>
  <sheetData>
    <row r="1" spans="1:5" s="30" customFormat="1" ht="15" customHeight="1">
      <c r="C1" s="36"/>
    </row>
    <row r="2" spans="1:5" s="30" customFormat="1" ht="15" customHeight="1">
      <c r="C2" s="36"/>
    </row>
    <row r="3" spans="1:5" s="30" customFormat="1" ht="15" customHeight="1">
      <c r="C3" s="36"/>
    </row>
    <row r="4" spans="1:5" s="30" customFormat="1" ht="30" customHeight="1">
      <c r="C4" s="36"/>
      <c r="D4" s="35"/>
    </row>
    <row r="5" spans="1:5" s="30" customFormat="1" ht="15" customHeight="1">
      <c r="C5" s="36"/>
      <c r="D5" s="35"/>
    </row>
    <row r="6" spans="1:5" s="30" customFormat="1" ht="15" customHeight="1">
      <c r="C6" s="36"/>
      <c r="D6" s="35"/>
    </row>
    <row r="7" spans="1:5" s="30" customFormat="1" ht="15" customHeight="1">
      <c r="B7" s="76" t="s">
        <v>185</v>
      </c>
      <c r="C7" s="76"/>
      <c r="D7" s="76"/>
    </row>
    <row r="8" spans="1:5" s="30" customFormat="1" ht="15" customHeight="1">
      <c r="B8" s="76"/>
      <c r="C8" s="76"/>
      <c r="D8" s="76"/>
    </row>
    <row r="9" spans="1:5" s="30" customFormat="1" ht="33" customHeight="1">
      <c r="B9" s="76"/>
      <c r="C9" s="76"/>
      <c r="D9" s="76"/>
    </row>
    <row r="10" spans="1:5" s="30" customFormat="1" ht="4.5" customHeight="1">
      <c r="B10" s="34"/>
      <c r="C10" s="34"/>
      <c r="D10" s="34"/>
    </row>
    <row r="11" spans="1:5" s="30" customFormat="1" ht="33" customHeight="1">
      <c r="B11" s="33" t="s">
        <v>38</v>
      </c>
      <c r="C11" s="32" t="s">
        <v>22</v>
      </c>
      <c r="D11" s="31" t="s">
        <v>21</v>
      </c>
    </row>
    <row r="12" spans="1:5">
      <c r="B12" s="28" t="s">
        <v>37</v>
      </c>
      <c r="C12" s="27">
        <v>146</v>
      </c>
      <c r="D12" s="26">
        <v>0.5572519083969466</v>
      </c>
    </row>
    <row r="13" spans="1:5">
      <c r="B13" s="28" t="s">
        <v>45</v>
      </c>
      <c r="C13" s="27">
        <v>46</v>
      </c>
      <c r="D13" s="26">
        <v>0.17557251908396945</v>
      </c>
    </row>
    <row r="14" spans="1:5">
      <c r="A14" s="29"/>
      <c r="B14" s="28" t="s">
        <v>186</v>
      </c>
      <c r="C14" s="27">
        <v>14</v>
      </c>
      <c r="D14" s="26">
        <v>5.3435114503816793E-2</v>
      </c>
      <c r="E14" s="29"/>
    </row>
    <row r="15" spans="1:5">
      <c r="A15" s="29"/>
      <c r="B15" s="28" t="s">
        <v>187</v>
      </c>
      <c r="C15" s="27">
        <v>12</v>
      </c>
      <c r="D15" s="26">
        <v>4.5801526717557252E-2</v>
      </c>
      <c r="E15" s="29"/>
    </row>
    <row r="16" spans="1:5">
      <c r="B16" s="28" t="s">
        <v>188</v>
      </c>
      <c r="C16" s="27">
        <v>12</v>
      </c>
      <c r="D16" s="26">
        <v>4.5801526717557252E-2</v>
      </c>
    </row>
    <row r="17" spans="2:4">
      <c r="B17" s="28" t="s">
        <v>189</v>
      </c>
      <c r="C17" s="27">
        <v>12</v>
      </c>
      <c r="D17" s="26">
        <v>4.5801526717557252E-2</v>
      </c>
    </row>
    <row r="18" spans="2:4">
      <c r="B18" s="28" t="s">
        <v>190</v>
      </c>
      <c r="C18" s="27">
        <v>7</v>
      </c>
      <c r="D18" s="26">
        <v>2.6717557251908396E-2</v>
      </c>
    </row>
    <row r="19" spans="2:4">
      <c r="B19" s="28" t="s">
        <v>191</v>
      </c>
      <c r="C19" s="27">
        <v>7</v>
      </c>
      <c r="D19" s="26">
        <v>2.6717557251908396E-2</v>
      </c>
    </row>
    <row r="20" spans="2:4">
      <c r="B20" s="28" t="s">
        <v>192</v>
      </c>
      <c r="C20" s="27">
        <v>2</v>
      </c>
      <c r="D20" s="26">
        <v>7.6335877862595417E-3</v>
      </c>
    </row>
    <row r="21" spans="2:4">
      <c r="B21" s="28" t="s">
        <v>193</v>
      </c>
      <c r="C21" s="27">
        <v>2</v>
      </c>
      <c r="D21" s="26">
        <v>7.6335877862595417E-3</v>
      </c>
    </row>
    <row r="22" spans="2:4">
      <c r="B22" s="28" t="s">
        <v>194</v>
      </c>
      <c r="C22" s="27">
        <v>1</v>
      </c>
      <c r="D22" s="26">
        <v>3.8167938931297708E-3</v>
      </c>
    </row>
    <row r="23" spans="2:4">
      <c r="B23" s="28" t="s">
        <v>195</v>
      </c>
      <c r="C23" s="27">
        <v>1</v>
      </c>
      <c r="D23" s="26">
        <v>3.8167938931297708E-3</v>
      </c>
    </row>
    <row r="24" spans="2:4">
      <c r="B24" s="25" t="s">
        <v>15</v>
      </c>
      <c r="C24" s="24">
        <v>262</v>
      </c>
      <c r="D24" s="23">
        <v>1</v>
      </c>
    </row>
    <row r="26" spans="2:4">
      <c r="B26" s="20" t="s">
        <v>182</v>
      </c>
    </row>
    <row r="27" spans="2:4">
      <c r="B27" s="22" t="s">
        <v>14</v>
      </c>
    </row>
    <row r="28" spans="2:4">
      <c r="B28" s="21" t="s">
        <v>13</v>
      </c>
    </row>
    <row r="29" spans="2:4">
      <c r="B29" s="20" t="s">
        <v>12</v>
      </c>
    </row>
    <row r="30" spans="2:4">
      <c r="B30" s="20" t="s">
        <v>183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2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12</vt:i4>
      </vt:variant>
    </vt:vector>
  </HeadingPairs>
  <TitlesOfParts>
    <vt:vector size="21" baseType="lpstr">
      <vt:lpstr>Índice</vt:lpstr>
      <vt:lpstr>Hawaii_Edomexgral</vt:lpstr>
      <vt:lpstr>Hawaii_EDOMEX</vt:lpstr>
      <vt:lpstr>Hawaii_Educagral</vt:lpstr>
      <vt:lpstr>Hawaii_Eduedo</vt:lpstr>
      <vt:lpstr>Hawaii_gengral</vt:lpstr>
      <vt:lpstr>Hawaii_edomexgen</vt:lpstr>
      <vt:lpstr>Hawaii_edadgen</vt:lpstr>
      <vt:lpstr>Hawaii_ocupgral</vt:lpstr>
      <vt:lpstr>Hawaii_edadgen!Área_de_impresión</vt:lpstr>
      <vt:lpstr>Hawaii_EDOMEX!Área_de_impresión</vt:lpstr>
      <vt:lpstr>Hawaii_edomexgen!Área_de_impresión</vt:lpstr>
      <vt:lpstr>Hawaii_Eduedo!Área_de_impresión</vt:lpstr>
      <vt:lpstr>Hawaii_edadgen!Títulos_a_imprimir</vt:lpstr>
      <vt:lpstr>Hawaii_EDOMEX!Títulos_a_imprimir</vt:lpstr>
      <vt:lpstr>Hawaii_edomexgen!Títulos_a_imprimir</vt:lpstr>
      <vt:lpstr>Hawaii_Edomexgral!Títulos_a_imprimir</vt:lpstr>
      <vt:lpstr>Hawaii_Educagral!Títulos_a_imprimir</vt:lpstr>
      <vt:lpstr>Hawaii_Eduedo!Títulos_a_imprimir</vt:lpstr>
      <vt:lpstr>Hawaii_gengral!Títulos_a_imprimir</vt:lpstr>
      <vt:lpstr>Hawaii_ocupgral!Títulos_a_imprimir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2020-06-18T20:41:32Z</dcterms:created>
  <dcterms:modified xsi:type="dcterms:W3CDTF">2023-07-03T22:44:09Z</dcterms:modified>
</cp:coreProperties>
</file>