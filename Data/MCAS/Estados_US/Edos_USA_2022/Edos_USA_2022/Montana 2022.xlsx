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2\USA\Finales_USA\"/>
    </mc:Choice>
  </mc:AlternateContent>
  <bookViews>
    <workbookView xWindow="0" yWindow="0" windowWidth="24000" windowHeight="9735" tabRatio="823" activeTab="1"/>
  </bookViews>
  <sheets>
    <sheet name="Índice" sheetId="1" r:id="rId1"/>
    <sheet name="Montana_Edomexgral" sheetId="2" r:id="rId2"/>
    <sheet name="Montana_EDOMEX" sheetId="11" r:id="rId3"/>
    <sheet name="Montana_Educagral" sheetId="4" r:id="rId4"/>
    <sheet name="Montana_Eduedo" sheetId="10" r:id="rId5"/>
    <sheet name="Montana_gengral" sheetId="6" r:id="rId6"/>
    <sheet name="Montana_edomexgen" sheetId="7" r:id="rId7"/>
    <sheet name="Montana_edadgen" sheetId="8" r:id="rId8"/>
    <sheet name="Montana_ocupgral" sheetId="9" r:id="rId9"/>
  </sheets>
  <definedNames>
    <definedName name="_xlnm._FilterDatabase" localSheetId="7" hidden="1">Montana_edadgen!$B$9:$E$9</definedName>
    <definedName name="_xlnm._FilterDatabase" localSheetId="2" hidden="1">Montana_EDOMEX!$B$9:$E$9</definedName>
    <definedName name="_xlnm._FilterDatabase" localSheetId="6" hidden="1">Montana_edomexgen!$B$9:$E$9</definedName>
    <definedName name="_xlnm._FilterDatabase" localSheetId="1" hidden="1">Montana_Edomexgral!$B$11:$D$11</definedName>
    <definedName name="_xlnm._FilterDatabase" localSheetId="3" hidden="1">Montana_Educagral!$B$11:$D$11</definedName>
    <definedName name="_xlnm._FilterDatabase" localSheetId="4" hidden="1">Montana_Eduedo!$B$9:$E$9</definedName>
    <definedName name="_xlnm._FilterDatabase" localSheetId="5" hidden="1">Montana_gengral!$B$11:$D$11</definedName>
    <definedName name="_xlnm._FilterDatabase" localSheetId="8" hidden="1">Montana_ocupgral!$B$11:$D$11</definedName>
    <definedName name="_xlnm.Print_Area" localSheetId="7">Montana_edadgen!$A$1:$E$9</definedName>
    <definedName name="_xlnm.Print_Area" localSheetId="2">Montana_EDOMEX!$A$1:$E$9</definedName>
    <definedName name="_xlnm.Print_Area" localSheetId="6">Montana_edomexgen!$A$1:$E$9</definedName>
    <definedName name="_xlnm.Print_Area" localSheetId="4">Montana_Eduedo!$A$1:$E$9</definedName>
    <definedName name="_xlnm.Print_Titles" localSheetId="7">Montana_edadgen!$1:$9</definedName>
    <definedName name="_xlnm.Print_Titles" localSheetId="2">Montana_EDOMEX!$1:$9</definedName>
    <definedName name="_xlnm.Print_Titles" localSheetId="6">Montana_edomexgen!$1:$9</definedName>
    <definedName name="_xlnm.Print_Titles" localSheetId="1">Montana_Edomexgral!$1:$11</definedName>
    <definedName name="_xlnm.Print_Titles" localSheetId="3">Montana_Educagral!$1:$11</definedName>
    <definedName name="_xlnm.Print_Titles" localSheetId="4">Montana_Eduedo!$1:$9</definedName>
    <definedName name="_xlnm.Print_Titles" localSheetId="5">Montana_gengral!$1:$11</definedName>
    <definedName name="_xlnm.Print_Titles" localSheetId="8">Montana_ocupgral!$1:$11</definedName>
  </definedNames>
  <calcPr calcId="152511"/>
</workbook>
</file>

<file path=xl/calcChain.xml><?xml version="1.0" encoding="utf-8"?>
<calcChain xmlns="http://schemas.openxmlformats.org/spreadsheetml/2006/main">
  <c r="D83" i="7" l="1"/>
  <c r="D139" i="11"/>
</calcChain>
</file>

<file path=xl/sharedStrings.xml><?xml version="1.0" encoding="utf-8"?>
<sst xmlns="http://schemas.openxmlformats.org/spreadsheetml/2006/main" count="543" uniqueCount="191">
  <si>
    <t>6. Por Ocupación</t>
  </si>
  <si>
    <t>5. Por estructura de Edad</t>
  </si>
  <si>
    <t>4.2 Por Estados de la República Mexicana</t>
  </si>
  <si>
    <t>4.1 Género General</t>
  </si>
  <si>
    <t>4. Por Género</t>
  </si>
  <si>
    <t>3.2 Por Estado de la República Mexicana</t>
  </si>
  <si>
    <t>3.1 Educación general</t>
  </si>
  <si>
    <t>3. Por Nivel Educativo</t>
  </si>
  <si>
    <t>2.1 Por estado de la República Mexicana y municipio de origen</t>
  </si>
  <si>
    <t>2. Por Municipio de origen</t>
  </si>
  <si>
    <t>1. Por Estados de la República Mexicana</t>
  </si>
  <si>
    <t xml:space="preserve">Da clic al texto para ir a la información, selecciona                 para regresar. 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</si>
  <si>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</si>
  <si>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</si>
  <si>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</si>
  <si>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</si>
  <si>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Tabasco</t>
  </si>
  <si>
    <t>Hidalgo</t>
  </si>
  <si>
    <t>Durango</t>
  </si>
  <si>
    <t>Zacatecas</t>
  </si>
  <si>
    <t>Sonora</t>
  </si>
  <si>
    <t>Sinaloa</t>
  </si>
  <si>
    <t>Puebla</t>
  </si>
  <si>
    <t>Oaxaca</t>
  </si>
  <si>
    <t>Nayarit</t>
  </si>
  <si>
    <t>Aguascalientes</t>
  </si>
  <si>
    <t>Ciudad de México</t>
  </si>
  <si>
    <t>Chiapas</t>
  </si>
  <si>
    <t>San Luis Potosí</t>
  </si>
  <si>
    <t>Guerrero</t>
  </si>
  <si>
    <t>Guanajuato</t>
  </si>
  <si>
    <t>Estado de México</t>
  </si>
  <si>
    <t>Chihuahua</t>
  </si>
  <si>
    <t>Veracruz</t>
  </si>
  <si>
    <t>Michoacán</t>
  </si>
  <si>
    <t>Jalisco</t>
  </si>
  <si>
    <t>Porcentaje de Matrículas</t>
  </si>
  <si>
    <t>Número de Matrículas</t>
  </si>
  <si>
    <t>Estado de Origen</t>
  </si>
  <si>
    <t>Coscomatepec</t>
  </si>
  <si>
    <t>Municipio Origen</t>
  </si>
  <si>
    <t>Profesional Titulado</t>
  </si>
  <si>
    <t>Profesional pasante</t>
  </si>
  <si>
    <t>Preparatoria con certificado</t>
  </si>
  <si>
    <t>Preparatoria sin certificado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</si>
  <si>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</si>
  <si>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</si>
  <si>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</si>
  <si>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</si>
  <si>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</si>
  <si>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</si>
  <si>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Nivel de Estudios</t>
  </si>
  <si>
    <t>MATRÍCULAS CONSULARES EXPEDIDAS EN EL ESTADO DE MONTANA EN EE.UU. POR NIVEL DE EDUCACIÓN</t>
  </si>
  <si>
    <t>TOTAL</t>
  </si>
  <si>
    <t>MUJER</t>
  </si>
  <si>
    <t>HOMBRE</t>
  </si>
  <si>
    <t>Género</t>
  </si>
  <si>
    <t>Mujer</t>
  </si>
  <si>
    <t>Hombre</t>
  </si>
  <si>
    <t>Entre 50 y 65 Años</t>
  </si>
  <si>
    <t>Entre 40 y 49 Años</t>
  </si>
  <si>
    <t>Entre 29 y 39 Años</t>
  </si>
  <si>
    <t>Entre 18 y 28 Años</t>
  </si>
  <si>
    <t>Edad cumplida</t>
  </si>
  <si>
    <t>Cocinero(a)</t>
  </si>
  <si>
    <t>Campesino(a)</t>
  </si>
  <si>
    <t>Hogar</t>
  </si>
  <si>
    <t>Empleado(a)</t>
  </si>
  <si>
    <t>Ocupación</t>
  </si>
  <si>
    <t>Profesional titulado</t>
  </si>
  <si>
    <t>Querétaro</t>
  </si>
  <si>
    <t>Campeche</t>
  </si>
  <si>
    <t>Colima</t>
  </si>
  <si>
    <t>Nuevo León</t>
  </si>
  <si>
    <t>Tlaxcala</t>
  </si>
  <si>
    <t>Ocosingo</t>
  </si>
  <si>
    <t>Saucillo</t>
  </si>
  <si>
    <t>Cuauhtémoc</t>
  </si>
  <si>
    <t>Doctor Mora</t>
  </si>
  <si>
    <t>León</t>
  </si>
  <si>
    <t>Pachuca de Soto</t>
  </si>
  <si>
    <t>Calcahualco</t>
  </si>
  <si>
    <t>Calvillo</t>
  </si>
  <si>
    <t>Azcapotzalco</t>
  </si>
  <si>
    <t>Iztapalapa</t>
  </si>
  <si>
    <t>Atlacomulco</t>
  </si>
  <si>
    <t>Toluca</t>
  </si>
  <si>
    <t>Pénjamo</t>
  </si>
  <si>
    <t>Chilpancingo de los Bravo</t>
  </si>
  <si>
    <t>San Luis Acatlán</t>
  </si>
  <si>
    <t>Autlán de Navarro</t>
  </si>
  <si>
    <t>Guadalajara</t>
  </si>
  <si>
    <t>Villa Purificación</t>
  </si>
  <si>
    <t>Santiago Ixcuintla</t>
  </si>
  <si>
    <t>El Marqués</t>
  </si>
  <si>
    <t>Culiacán</t>
  </si>
  <si>
    <t>Alpatláhuac</t>
  </si>
  <si>
    <t>Chalchihuites</t>
  </si>
  <si>
    <t>Sin Estudios</t>
  </si>
  <si>
    <t>1° Primaria</t>
  </si>
  <si>
    <t>4° Primaria</t>
  </si>
  <si>
    <t>Capacitación Técnica</t>
  </si>
  <si>
    <t>Capacitación técnica</t>
  </si>
  <si>
    <t>Hasta 10 Años</t>
  </si>
  <si>
    <t>Entre 66 y 75 Años</t>
  </si>
  <si>
    <t>Obrero(a)</t>
  </si>
  <si>
    <t>Estudiante</t>
  </si>
  <si>
    <t>Albañil</t>
  </si>
  <si>
    <t>Matrículas consulares expedidas a mexicanos  en el estado de Montana en el 2022.</t>
  </si>
  <si>
    <t>Jesús María</t>
  </si>
  <si>
    <t>Baja California Sur</t>
  </si>
  <si>
    <t>Los Cabos</t>
  </si>
  <si>
    <t>Mulegé</t>
  </si>
  <si>
    <t>Candelaria</t>
  </si>
  <si>
    <t>Carmen</t>
  </si>
  <si>
    <t>Altamirano</t>
  </si>
  <si>
    <t>Frontera Comalapa</t>
  </si>
  <si>
    <t>Tonalá</t>
  </si>
  <si>
    <t>Villa Corzo</t>
  </si>
  <si>
    <t>Bocoyna</t>
  </si>
  <si>
    <t>Delicias</t>
  </si>
  <si>
    <t>Janos</t>
  </si>
  <si>
    <t>Temósachic</t>
  </si>
  <si>
    <t>Gustavo A. Madero</t>
  </si>
  <si>
    <t>San Dimas</t>
  </si>
  <si>
    <t>San Felipe del Progreso</t>
  </si>
  <si>
    <t>Temascalcingo</t>
  </si>
  <si>
    <t>Tultitlán</t>
  </si>
  <si>
    <t>Villa Guerrero</t>
  </si>
  <si>
    <t>Apaseo el Alto</t>
  </si>
  <si>
    <t>Celaya</t>
  </si>
  <si>
    <t>Romita</t>
  </si>
  <si>
    <t>Salvatierra</t>
  </si>
  <si>
    <t>San Luis de la Paz</t>
  </si>
  <si>
    <t>Cocula</t>
  </si>
  <si>
    <t>Eduardo Neri</t>
  </si>
  <si>
    <t>General Heliodoro Castillo</t>
  </si>
  <si>
    <t>Huitzuco de los Figueroa</t>
  </si>
  <si>
    <t>Tecoanapa</t>
  </si>
  <si>
    <t>Acatlán</t>
  </si>
  <si>
    <t>Calnali</t>
  </si>
  <si>
    <t>Epazoyucan</t>
  </si>
  <si>
    <t>Zimapán</t>
  </si>
  <si>
    <t>Casimiro Castillo</t>
  </si>
  <si>
    <t>San Julián</t>
  </si>
  <si>
    <t>Zapopan</t>
  </si>
  <si>
    <t>Zapotlán el Grande</t>
  </si>
  <si>
    <t>La Piedad</t>
  </si>
  <si>
    <t>Zamora</t>
  </si>
  <si>
    <t>Morelos</t>
  </si>
  <si>
    <t>Zacatepec</t>
  </si>
  <si>
    <t>San Nicolás de los Garza</t>
  </si>
  <si>
    <t>Oaxaca de Juárez</t>
  </si>
  <si>
    <t>Pinotepa de Don Luis</t>
  </si>
  <si>
    <t>Villa de Tututepec de Melchor Ocampo</t>
  </si>
  <si>
    <t>San Pablo Anicano</t>
  </si>
  <si>
    <t>Tepexi de Rodríguez</t>
  </si>
  <si>
    <t>Amealco de Bonfil</t>
  </si>
  <si>
    <t>Ciudad Valles</t>
  </si>
  <si>
    <t>Mexquitic de Carmona</t>
  </si>
  <si>
    <t>San Nicolás Tolentino</t>
  </si>
  <si>
    <t>Villa de Ramos</t>
  </si>
  <si>
    <t>Ahome</t>
  </si>
  <si>
    <t>Mocorito</t>
  </si>
  <si>
    <t>Hermosillo</t>
  </si>
  <si>
    <t>Macuspana</t>
  </si>
  <si>
    <t>Tamaulipas</t>
  </si>
  <si>
    <t>Reynosa</t>
  </si>
  <si>
    <t>San José Teacalco</t>
  </si>
  <si>
    <t>Actopan</t>
  </si>
  <si>
    <t>Chacaltianguis</t>
  </si>
  <si>
    <t>Hidalgotitlán</t>
  </si>
  <si>
    <t>Jesús Carranza</t>
  </si>
  <si>
    <t>Nautla</t>
  </si>
  <si>
    <t>Xalapa</t>
  </si>
  <si>
    <t>Zongolica</t>
  </si>
  <si>
    <t>Yucatán</t>
  </si>
  <si>
    <t>Ticul</t>
  </si>
  <si>
    <t>Concepción del Oro</t>
  </si>
  <si>
    <t>General Pánfilo Natera</t>
  </si>
  <si>
    <t>Miguel Auza</t>
  </si>
  <si>
    <t>Ojocaliente</t>
  </si>
  <si>
    <t>Tamaño de la muestra: 566,547</t>
  </si>
  <si>
    <t>Mayo de 2023</t>
  </si>
  <si>
    <t>MATRÍCULAS CONSULARES DE ALTA SEGURIDAD EXPEDIDAS EN EL ESTADO DE MONTANA EN EE.UU. POR ESTADO DE LA REPÚBLICA MEXICANA</t>
  </si>
  <si>
    <t xml:space="preserve">MATRÍCULAS CONSULARES DE ALTA SEGURIDAD EXPEDIDAS EN EE.UU A MEXICANOS EN EL ESTADO DE  MONTANA, POR PERFIL OCUPACIONAL </t>
  </si>
  <si>
    <t>Mesero(a)</t>
  </si>
  <si>
    <t>Pintor(a)</t>
  </si>
  <si>
    <t>MATRÍCULAS CONSULARES DE ALTA SEGURIDAD EXPEDIDAS EN EE.UU A MEXICANOS EN EL ESTADO DE MONTANA, POR GÉNERO</t>
  </si>
  <si>
    <t>5° Primaria</t>
  </si>
  <si>
    <t>Posgrado [Maestría]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</si>
</sst>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11"/>
      <name val="Arial Narrow"/>
      <family val="2"/>
    </font>
    <font>
      <b/>
      <sz val="12"/>
      <color theme="0"/>
      <name val="Montserrat"/>
    </font>
    <font>
      <sz val="12"/>
      <color theme="1"/>
      <name val="Montserrat"/>
    </font>
    <font>
      <u/>
      <sz val="12"/>
      <color theme="10"/>
      <name val="Montserrat"/>
    </font>
    <font>
      <b/>
      <sz val="9"/>
      <color rgb="FFFFFFFF"/>
      <name val="Montserrat"/>
    </font>
    <font>
      <sz val="7"/>
      <color rgb="FF000000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5" fillId="0" borderId="0"/>
  </cellStyleXfs>
  <cellXfs count="84">
    <xf numFmtId="0" fontId="0" fillId="0" borderId="0" xfId="0"/>
    <xf numFmtId="0" fontId="2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6" fillId="3" borderId="0" xfId="0" applyFont="1" applyFill="1"/>
    <xf numFmtId="0" fontId="6" fillId="3" borderId="0" xfId="0" applyFont="1" applyFill="1" applyAlignment="1">
      <alignment vertical="top"/>
    </xf>
    <xf numFmtId="0" fontId="6" fillId="3" borderId="0" xfId="0" applyFont="1" applyFill="1" applyAlignment="1">
      <alignment vertical="center"/>
    </xf>
    <xf numFmtId="164" fontId="7" fillId="4" borderId="9" xfId="0" applyNumberFormat="1" applyFont="1" applyFill="1" applyBorder="1" applyAlignment="1">
      <alignment horizontal="right" vertical="top" wrapText="1"/>
    </xf>
    <xf numFmtId="3" fontId="7" fillId="4" borderId="9" xfId="0" applyNumberFormat="1" applyFont="1" applyFill="1" applyBorder="1" applyAlignment="1">
      <alignment horizontal="right" vertical="top" wrapText="1"/>
    </xf>
    <xf numFmtId="49" fontId="7" fillId="4" borderId="9" xfId="0" applyNumberFormat="1" applyFont="1" applyFill="1" applyBorder="1" applyAlignment="1">
      <alignment vertical="top" wrapText="1"/>
    </xf>
    <xf numFmtId="164" fontId="8" fillId="3" borderId="9" xfId="0" applyNumberFormat="1" applyFont="1" applyFill="1" applyBorder="1" applyAlignment="1">
      <alignment horizontal="right" vertical="top" wrapText="1"/>
    </xf>
    <xf numFmtId="3" fontId="8" fillId="3" borderId="9" xfId="0" applyNumberFormat="1" applyFont="1" applyFill="1" applyBorder="1" applyAlignment="1">
      <alignment horizontal="right" vertical="top" wrapText="1"/>
    </xf>
    <xf numFmtId="49" fontId="9" fillId="3" borderId="9" xfId="0" applyNumberFormat="1" applyFont="1" applyFill="1" applyBorder="1" applyAlignment="1">
      <alignment vertical="top" wrapText="1"/>
    </xf>
    <xf numFmtId="0" fontId="10" fillId="3" borderId="0" xfId="0" applyFont="1" applyFill="1"/>
    <xf numFmtId="0" fontId="11" fillId="0" borderId="0" xfId="0" applyFont="1"/>
    <xf numFmtId="0" fontId="7" fillId="2" borderId="10" xfId="0" applyFont="1" applyFill="1" applyBorder="1" applyAlignment="1">
      <alignment horizontal="center" vertical="center" wrapText="1"/>
    </xf>
    <xf numFmtId="1" fontId="7" fillId="2" borderId="10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3" fontId="11" fillId="0" borderId="0" xfId="0" applyNumberFormat="1" applyFont="1"/>
    <xf numFmtId="1" fontId="11" fillId="0" borderId="0" xfId="0" applyNumberFormat="1" applyFont="1"/>
    <xf numFmtId="0" fontId="14" fillId="3" borderId="0" xfId="0" applyFont="1" applyFill="1"/>
    <xf numFmtId="0" fontId="15" fillId="3" borderId="0" xfId="0" applyFont="1" applyFill="1"/>
    <xf numFmtId="0" fontId="16" fillId="0" borderId="0" xfId="0" applyFont="1" applyBorder="1"/>
    <xf numFmtId="0" fontId="16" fillId="0" borderId="0" xfId="0" applyFont="1" applyBorder="1" applyAlignment="1">
      <alignment vertical="top"/>
    </xf>
    <xf numFmtId="0" fontId="18" fillId="3" borderId="0" xfId="0" applyFont="1" applyFill="1"/>
    <xf numFmtId="0" fontId="11" fillId="3" borderId="0" xfId="0" applyFont="1" applyFill="1"/>
    <xf numFmtId="0" fontId="19" fillId="3" borderId="0" xfId="0" applyFont="1" applyFill="1" applyAlignment="1"/>
    <xf numFmtId="0" fontId="18" fillId="3" borderId="0" xfId="0" applyFont="1" applyFill="1" applyAlignment="1">
      <alignment vertical="center"/>
    </xf>
    <xf numFmtId="0" fontId="11" fillId="3" borderId="0" xfId="0" applyFont="1" applyFill="1" applyBorder="1"/>
    <xf numFmtId="3" fontId="11" fillId="3" borderId="0" xfId="0" applyNumberFormat="1" applyFont="1" applyFill="1" applyBorder="1"/>
    <xf numFmtId="1" fontId="11" fillId="3" borderId="0" xfId="0" applyNumberFormat="1" applyFont="1" applyFill="1" applyBorder="1"/>
    <xf numFmtId="0" fontId="18" fillId="3" borderId="0" xfId="0" applyFont="1" applyFill="1" applyBorder="1"/>
    <xf numFmtId="0" fontId="18" fillId="3" borderId="0" xfId="0" applyFont="1" applyFill="1" applyBorder="1" applyAlignment="1">
      <alignment vertical="center"/>
    </xf>
    <xf numFmtId="3" fontId="10" fillId="3" borderId="0" xfId="0" applyNumberFormat="1" applyFont="1" applyFill="1"/>
    <xf numFmtId="0" fontId="21" fillId="0" borderId="5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4" xfId="0" applyFont="1" applyBorder="1" applyAlignment="1">
      <alignment horizontal="left"/>
    </xf>
    <xf numFmtId="0" fontId="21" fillId="0" borderId="5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4" xfId="0" applyFont="1" applyBorder="1" applyAlignment="1">
      <alignment horizontal="left" wrapText="1"/>
    </xf>
    <xf numFmtId="0" fontId="21" fillId="0" borderId="5" xfId="0" applyFont="1" applyBorder="1" applyAlignment="1"/>
    <xf numFmtId="0" fontId="21" fillId="0" borderId="0" xfId="0" applyFont="1" applyBorder="1" applyAlignment="1"/>
    <xf numFmtId="0" fontId="21" fillId="0" borderId="4" xfId="0" applyFont="1" applyBorder="1" applyAlignment="1"/>
    <xf numFmtId="0" fontId="21" fillId="0" borderId="5" xfId="0" applyFont="1" applyBorder="1"/>
    <xf numFmtId="0" fontId="21" fillId="0" borderId="0" xfId="0" applyFont="1" applyBorder="1"/>
    <xf numFmtId="0" fontId="21" fillId="0" borderId="4" xfId="0" applyFont="1" applyBorder="1"/>
    <xf numFmtId="0" fontId="21" fillId="0" borderId="3" xfId="0" applyFont="1" applyBorder="1"/>
    <xf numFmtId="0" fontId="21" fillId="0" borderId="2" xfId="0" applyFont="1" applyBorder="1"/>
    <xf numFmtId="0" fontId="21" fillId="0" borderId="1" xfId="0" applyFont="1" applyBorder="1"/>
    <xf numFmtId="0" fontId="16" fillId="0" borderId="0" xfId="0" applyFont="1" applyAlignment="1">
      <alignment horizontal="justify" vertical="center"/>
    </xf>
    <xf numFmtId="0" fontId="16" fillId="0" borderId="0" xfId="0" applyFont="1" applyAlignment="1">
      <alignment vertical="top"/>
    </xf>
    <xf numFmtId="0" fontId="23" fillId="5" borderId="10" xfId="4" applyFont="1" applyFill="1" applyBorder="1" applyAlignment="1">
      <alignment horizontal="center" vertical="center" wrapText="1"/>
    </xf>
    <xf numFmtId="1" fontId="23" fillId="5" borderId="10" xfId="4" applyNumberFormat="1" applyFont="1" applyFill="1" applyBorder="1" applyAlignment="1">
      <alignment horizontal="center" vertical="center" wrapText="1"/>
    </xf>
    <xf numFmtId="49" fontId="17" fillId="6" borderId="9" xfId="3" applyNumberFormat="1" applyFont="1" applyFill="1" applyBorder="1" applyAlignment="1">
      <alignment vertical="center" wrapText="1"/>
    </xf>
    <xf numFmtId="166" fontId="17" fillId="6" borderId="9" xfId="3" applyNumberFormat="1" applyFont="1" applyFill="1" applyBorder="1" applyAlignment="1">
      <alignment horizontal="right" vertical="center" wrapText="1"/>
    </xf>
    <xf numFmtId="164" fontId="17" fillId="6" borderId="9" xfId="3" applyNumberFormat="1" applyFont="1" applyFill="1" applyBorder="1" applyAlignment="1">
      <alignment horizontal="right" vertical="center" wrapText="1"/>
    </xf>
    <xf numFmtId="49" fontId="23" fillId="7" borderId="9" xfId="3" applyNumberFormat="1" applyFont="1" applyFill="1" applyBorder="1" applyAlignment="1">
      <alignment vertical="center" wrapText="1"/>
    </xf>
    <xf numFmtId="3" fontId="23" fillId="7" borderId="9" xfId="3" applyNumberFormat="1" applyFont="1" applyFill="1" applyBorder="1" applyAlignment="1">
      <alignment horizontal="right" vertical="center" wrapText="1"/>
    </xf>
    <xf numFmtId="165" fontId="23" fillId="7" borderId="9" xfId="1" applyNumberFormat="1" applyFont="1" applyFill="1" applyBorder="1" applyAlignment="1">
      <alignment vertical="center" wrapText="1"/>
    </xf>
    <xf numFmtId="3" fontId="23" fillId="8" borderId="9" xfId="0" applyNumberFormat="1" applyFont="1" applyFill="1" applyBorder="1" applyAlignment="1">
      <alignment horizontal="right" vertical="center" wrapText="1"/>
    </xf>
    <xf numFmtId="164" fontId="23" fillId="8" borderId="9" xfId="0" applyNumberFormat="1" applyFont="1" applyFill="1" applyBorder="1" applyAlignment="1">
      <alignment horizontal="right" vertical="center" wrapText="1"/>
    </xf>
    <xf numFmtId="0" fontId="15" fillId="6" borderId="0" xfId="0" applyFont="1" applyFill="1" applyBorder="1"/>
    <xf numFmtId="0" fontId="24" fillId="6" borderId="0" xfId="0" applyFont="1" applyFill="1" applyBorder="1"/>
    <xf numFmtId="0" fontId="24" fillId="6" borderId="0" xfId="0" applyFont="1" applyFill="1" applyBorder="1" applyAlignment="1">
      <alignment vertical="center"/>
    </xf>
    <xf numFmtId="0" fontId="24" fillId="6" borderId="0" xfId="0" applyFont="1" applyFill="1" applyBorder="1" applyAlignment="1">
      <alignment vertical="top"/>
    </xf>
    <xf numFmtId="0" fontId="22" fillId="0" borderId="0" xfId="2" applyFont="1" applyBorder="1" applyAlignment="1">
      <alignment horizontal="left"/>
    </xf>
    <xf numFmtId="0" fontId="22" fillId="0" borderId="4" xfId="2" applyFont="1" applyBorder="1" applyAlignment="1">
      <alignment horizontal="left"/>
    </xf>
    <xf numFmtId="0" fontId="22" fillId="0" borderId="5" xfId="2" applyFont="1" applyBorder="1" applyAlignment="1">
      <alignment horizontal="left"/>
    </xf>
    <xf numFmtId="0" fontId="20" fillId="2" borderId="8" xfId="0" applyFont="1" applyFill="1" applyBorder="1" applyAlignment="1">
      <alignment horizontal="center" wrapText="1"/>
    </xf>
    <xf numFmtId="0" fontId="20" fillId="2" borderId="7" xfId="0" applyFont="1" applyFill="1" applyBorder="1" applyAlignment="1">
      <alignment horizontal="center" wrapText="1"/>
    </xf>
    <xf numFmtId="0" fontId="20" fillId="2" borderId="6" xfId="0" applyFont="1" applyFill="1" applyBorder="1" applyAlignment="1">
      <alignment horizontal="center" wrapText="1"/>
    </xf>
    <xf numFmtId="0" fontId="21" fillId="0" borderId="5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4" xfId="0" applyFont="1" applyBorder="1" applyAlignment="1">
      <alignment horizontal="left" wrapText="1"/>
    </xf>
    <xf numFmtId="0" fontId="22" fillId="0" borderId="0" xfId="2" applyFont="1" applyBorder="1" applyAlignment="1">
      <alignment horizontal="center"/>
    </xf>
    <xf numFmtId="0" fontId="22" fillId="0" borderId="4" xfId="2" applyFont="1" applyBorder="1" applyAlignment="1">
      <alignment horizontal="center"/>
    </xf>
    <xf numFmtId="0" fontId="13" fillId="0" borderId="0" xfId="0" applyFont="1" applyBorder="1" applyAlignment="1">
      <alignment horizontal="center" vertical="center" wrapText="1"/>
    </xf>
    <xf numFmtId="49" fontId="17" fillId="6" borderId="10" xfId="3" applyNumberFormat="1" applyFont="1" applyFill="1" applyBorder="1" applyAlignment="1">
      <alignment horizontal="center" vertical="center" wrapText="1"/>
    </xf>
    <xf numFmtId="49" fontId="17" fillId="6" borderId="15" xfId="3" applyNumberFormat="1" applyFont="1" applyFill="1" applyBorder="1" applyAlignment="1">
      <alignment horizontal="center" vertical="center" wrapText="1"/>
    </xf>
    <xf numFmtId="49" fontId="17" fillId="6" borderId="14" xfId="3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wrapText="1"/>
    </xf>
    <xf numFmtId="49" fontId="23" fillId="8" borderId="13" xfId="0" applyNumberFormat="1" applyFont="1" applyFill="1" applyBorder="1" applyAlignment="1">
      <alignment horizontal="center" vertical="center" wrapText="1"/>
    </xf>
    <xf numFmtId="49" fontId="23" fillId="8" borderId="12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489642</xdr:colOff>
      <xdr:row>1</xdr:row>
      <xdr:rowOff>189150</xdr:rowOff>
    </xdr:from>
    <xdr:to>
      <xdr:col>3</xdr:col>
      <xdr:colOff>1001739</xdr:colOff>
      <xdr:row>2</xdr:row>
      <xdr:rowOff>179626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13867" y="722550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7</xdr:row>
      <xdr:rowOff>47625</xdr:rowOff>
    </xdr:from>
    <xdr:to>
      <xdr:col>5</xdr:col>
      <xdr:colOff>169197</xdr:colOff>
      <xdr:row>8</xdr:row>
      <xdr:rowOff>36420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05350" y="15716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MONTANA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552450</xdr:colOff>
      <xdr:row>7</xdr:row>
      <xdr:rowOff>161925</xdr:rowOff>
    </xdr:from>
    <xdr:to>
      <xdr:col>4</xdr:col>
      <xdr:colOff>1064547</xdr:colOff>
      <xdr:row>7</xdr:row>
      <xdr:rowOff>352426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1125" y="19050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342900</xdr:colOff>
      <xdr:row>7</xdr:row>
      <xdr:rowOff>171450</xdr:rowOff>
    </xdr:from>
    <xdr:to>
      <xdr:col>5</xdr:col>
      <xdr:colOff>235872</xdr:colOff>
      <xdr:row>8</xdr:row>
      <xdr:rowOff>160245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362575" y="16954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MONTANA,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472966</xdr:colOff>
      <xdr:row>7</xdr:row>
      <xdr:rowOff>118241</xdr:rowOff>
    </xdr:from>
    <xdr:to>
      <xdr:col>4</xdr:col>
      <xdr:colOff>985063</xdr:colOff>
      <xdr:row>7</xdr:row>
      <xdr:rowOff>308742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0656" y="185901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285750</xdr:colOff>
      <xdr:row>7</xdr:row>
      <xdr:rowOff>152400</xdr:rowOff>
    </xdr:from>
    <xdr:to>
      <xdr:col>5</xdr:col>
      <xdr:colOff>178722</xdr:colOff>
      <xdr:row>8</xdr:row>
      <xdr:rowOff>141195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14875" y="16764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MONTANA,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564931</xdr:colOff>
      <xdr:row>7</xdr:row>
      <xdr:rowOff>151086</xdr:rowOff>
    </xdr:from>
    <xdr:to>
      <xdr:col>4</xdr:col>
      <xdr:colOff>1077028</xdr:colOff>
      <xdr:row>7</xdr:row>
      <xdr:rowOff>330381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02621" y="1891862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MONTANA,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111672</xdr:rowOff>
    </xdr:from>
    <xdr:to>
      <xdr:col>4</xdr:col>
      <xdr:colOff>1037614</xdr:colOff>
      <xdr:row>7</xdr:row>
      <xdr:rowOff>290967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3207" y="1852448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419100</xdr:colOff>
      <xdr:row>6</xdr:row>
      <xdr:rowOff>161925</xdr:rowOff>
    </xdr:from>
    <xdr:to>
      <xdr:col>5</xdr:col>
      <xdr:colOff>312072</xdr:colOff>
      <xdr:row>7</xdr:row>
      <xdr:rowOff>150720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848225" y="14954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zoomScaleNormal="100" zoomScaleSheetLayoutView="100" workbookViewId="0">
      <selection activeCell="F7" sqref="F7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9" t="s">
        <v>108</v>
      </c>
      <c r="B1" s="70"/>
      <c r="C1" s="70"/>
      <c r="D1" s="71"/>
    </row>
    <row r="2" spans="1:4" ht="18.75">
      <c r="A2" s="35"/>
      <c r="B2" s="36"/>
      <c r="C2" s="36"/>
      <c r="D2" s="37"/>
    </row>
    <row r="3" spans="1:4">
      <c r="A3" s="72" t="s">
        <v>11</v>
      </c>
      <c r="B3" s="73"/>
      <c r="C3" s="73"/>
      <c r="D3" s="74"/>
    </row>
    <row r="4" spans="1:4">
      <c r="A4" s="72"/>
      <c r="B4" s="73"/>
      <c r="C4" s="73"/>
      <c r="D4" s="74"/>
    </row>
    <row r="5" spans="1:4" ht="18.75">
      <c r="A5" s="38"/>
      <c r="B5" s="39"/>
      <c r="C5" s="39"/>
      <c r="D5" s="40"/>
    </row>
    <row r="6" spans="1:4" ht="18.75">
      <c r="A6" s="68" t="s">
        <v>10</v>
      </c>
      <c r="B6" s="66"/>
      <c r="C6" s="66"/>
      <c r="D6" s="67"/>
    </row>
    <row r="7" spans="1:4" ht="18.75">
      <c r="A7" s="41"/>
      <c r="B7" s="42"/>
      <c r="C7" s="42"/>
      <c r="D7" s="43"/>
    </row>
    <row r="8" spans="1:4" ht="18.75">
      <c r="A8" s="44" t="s">
        <v>9</v>
      </c>
      <c r="B8" s="45"/>
      <c r="C8" s="45"/>
      <c r="D8" s="46"/>
    </row>
    <row r="9" spans="1:4" ht="18.75">
      <c r="A9" s="44"/>
      <c r="B9" s="75" t="s">
        <v>8</v>
      </c>
      <c r="C9" s="75"/>
      <c r="D9" s="76"/>
    </row>
    <row r="10" spans="1:4" ht="18.75">
      <c r="A10" s="44" t="s">
        <v>7</v>
      </c>
      <c r="B10" s="45"/>
      <c r="C10" s="45"/>
      <c r="D10" s="46"/>
    </row>
    <row r="11" spans="1:4" ht="18.75">
      <c r="A11" s="44"/>
      <c r="B11" s="66" t="s">
        <v>6</v>
      </c>
      <c r="C11" s="66"/>
      <c r="D11" s="67"/>
    </row>
    <row r="12" spans="1:4" ht="18.75">
      <c r="A12" s="44"/>
      <c r="B12" s="66" t="s">
        <v>5</v>
      </c>
      <c r="C12" s="66"/>
      <c r="D12" s="67"/>
    </row>
    <row r="13" spans="1:4" ht="18.75">
      <c r="A13" s="44"/>
      <c r="B13" s="45"/>
      <c r="C13" s="45"/>
      <c r="D13" s="46"/>
    </row>
    <row r="14" spans="1:4" ht="18.75">
      <c r="A14" s="44" t="s">
        <v>4</v>
      </c>
      <c r="B14" s="45"/>
      <c r="C14" s="45"/>
      <c r="D14" s="46"/>
    </row>
    <row r="15" spans="1:4" ht="18.75">
      <c r="A15" s="44"/>
      <c r="B15" s="66" t="s">
        <v>3</v>
      </c>
      <c r="C15" s="66"/>
      <c r="D15" s="67"/>
    </row>
    <row r="16" spans="1:4" ht="18.75">
      <c r="A16" s="44"/>
      <c r="B16" s="66" t="s">
        <v>2</v>
      </c>
      <c r="C16" s="66"/>
      <c r="D16" s="67"/>
    </row>
    <row r="17" spans="1:4" ht="18.75">
      <c r="A17" s="44"/>
      <c r="B17" s="45"/>
      <c r="C17" s="45"/>
      <c r="D17" s="46"/>
    </row>
    <row r="18" spans="1:4" ht="18.75">
      <c r="A18" s="68" t="s">
        <v>1</v>
      </c>
      <c r="B18" s="66"/>
      <c r="C18" s="66"/>
      <c r="D18" s="67"/>
    </row>
    <row r="19" spans="1:4" ht="18.75">
      <c r="A19" s="44"/>
      <c r="B19" s="45"/>
      <c r="C19" s="45"/>
      <c r="D19" s="46"/>
    </row>
    <row r="20" spans="1:4" ht="18.75">
      <c r="A20" s="68" t="s">
        <v>0</v>
      </c>
      <c r="B20" s="66"/>
      <c r="C20" s="66"/>
      <c r="D20" s="67"/>
    </row>
    <row r="21" spans="1:4" ht="19.5" thickBot="1">
      <c r="A21" s="47"/>
      <c r="B21" s="48"/>
      <c r="C21" s="48"/>
      <c r="D21" s="4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Montana_Edomexgral!A1" display="1. Por Estados de la República Mexicana"/>
    <hyperlink ref="B9" location="Montana_EDOMEX!A1" display="2.1 Por estado de la República Mexicana y municipio de origen"/>
    <hyperlink ref="B11:D11" location="Montana_Educagral!A1" display="3.1 Educación general"/>
    <hyperlink ref="B12:D12" location="Montana_Eduedo!A1" display="3.2 Por Estado de la República Mexicana"/>
    <hyperlink ref="B15:D15" location="Montana_gengral!A1" display="4.1 Género General"/>
    <hyperlink ref="B16:D16" location="Montana_edomexgen!A1" display="4.2 Por Estados de la República Mexicana"/>
    <hyperlink ref="A18:D18" location="Montana_edadgen!A1" display="5. Por estructura de Edad"/>
    <hyperlink ref="A20:D20" location="Montana_ocupgral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47"/>
  <sheetViews>
    <sheetView showGridLines="0" tabSelected="1" zoomScaleNormal="100" zoomScaleSheetLayoutView="115" workbookViewId="0">
      <selection activeCell="G11" sqref="G11"/>
    </sheetView>
  </sheetViews>
  <sheetFormatPr baseColWidth="10" defaultColWidth="11.42578125" defaultRowHeight="15"/>
  <cols>
    <col min="1" max="1" width="9.28515625" style="2" customWidth="1"/>
    <col min="2" max="2" width="21.710937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1:5" s="14" customFormat="1" ht="15" customHeight="1">
      <c r="C1" s="20"/>
    </row>
    <row r="2" spans="1:5" s="14" customFormat="1" ht="15" customHeight="1">
      <c r="C2" s="20"/>
    </row>
    <row r="3" spans="1:5" s="14" customFormat="1" ht="15" customHeight="1">
      <c r="C3" s="20"/>
    </row>
    <row r="4" spans="1:5" s="14" customFormat="1" ht="30" customHeight="1">
      <c r="C4" s="20"/>
      <c r="D4" s="19"/>
    </row>
    <row r="5" spans="1:5" s="14" customFormat="1" ht="15" customHeight="1">
      <c r="C5" s="20"/>
      <c r="D5" s="19"/>
    </row>
    <row r="6" spans="1:5" s="14" customFormat="1" ht="15" customHeight="1">
      <c r="C6" s="20"/>
      <c r="D6" s="19"/>
    </row>
    <row r="7" spans="1:5" s="14" customFormat="1" ht="15" customHeight="1">
      <c r="B7" s="77" t="s">
        <v>184</v>
      </c>
      <c r="C7" s="77"/>
      <c r="D7" s="77"/>
    </row>
    <row r="8" spans="1:5" s="14" customFormat="1" ht="15" customHeight="1">
      <c r="B8" s="77"/>
      <c r="C8" s="77"/>
      <c r="D8" s="77"/>
    </row>
    <row r="9" spans="1:5" s="14" customFormat="1" ht="33" customHeight="1">
      <c r="B9" s="77"/>
      <c r="C9" s="77"/>
      <c r="D9" s="77"/>
    </row>
    <row r="10" spans="1:5" s="14" customFormat="1" ht="4.5" customHeight="1">
      <c r="B10" s="18"/>
      <c r="C10" s="18"/>
      <c r="D10" s="18"/>
    </row>
    <row r="11" spans="1:5" s="14" customFormat="1" ht="33" customHeight="1">
      <c r="B11" s="17" t="s">
        <v>38</v>
      </c>
      <c r="C11" s="16" t="s">
        <v>37</v>
      </c>
      <c r="D11" s="15" t="s">
        <v>36</v>
      </c>
    </row>
    <row r="12" spans="1:5">
      <c r="B12" s="12" t="s">
        <v>33</v>
      </c>
      <c r="C12" s="11">
        <v>19</v>
      </c>
      <c r="D12" s="10">
        <v>0.12666666666666668</v>
      </c>
    </row>
    <row r="13" spans="1:5">
      <c r="B13" s="12" t="s">
        <v>30</v>
      </c>
      <c r="C13" s="11">
        <v>16</v>
      </c>
      <c r="D13" s="10">
        <v>0.10666666666666667</v>
      </c>
    </row>
    <row r="14" spans="1:5">
      <c r="A14" s="13"/>
      <c r="B14" s="12" t="s">
        <v>31</v>
      </c>
      <c r="C14" s="11">
        <v>11</v>
      </c>
      <c r="D14" s="10">
        <v>7.3333333333333334E-2</v>
      </c>
      <c r="E14" s="13"/>
    </row>
    <row r="15" spans="1:5">
      <c r="A15" s="13"/>
      <c r="B15" s="12" t="s">
        <v>29</v>
      </c>
      <c r="C15" s="11">
        <v>9</v>
      </c>
      <c r="D15" s="10">
        <v>0.06</v>
      </c>
      <c r="E15" s="13"/>
    </row>
    <row r="16" spans="1:5">
      <c r="B16" s="12" t="s">
        <v>35</v>
      </c>
      <c r="C16" s="11">
        <v>9</v>
      </c>
      <c r="D16" s="10">
        <v>0.06</v>
      </c>
    </row>
    <row r="17" spans="2:4">
      <c r="B17" s="12" t="s">
        <v>70</v>
      </c>
      <c r="C17" s="11">
        <v>9</v>
      </c>
      <c r="D17" s="10">
        <v>0.06</v>
      </c>
    </row>
    <row r="18" spans="2:4">
      <c r="B18" s="12" t="s">
        <v>25</v>
      </c>
      <c r="C18" s="11">
        <v>8</v>
      </c>
      <c r="D18" s="10">
        <v>5.3333333333333337E-2</v>
      </c>
    </row>
    <row r="19" spans="2:4">
      <c r="B19" s="12" t="s">
        <v>32</v>
      </c>
      <c r="C19" s="11">
        <v>8</v>
      </c>
      <c r="D19" s="10">
        <v>5.3333333333333337E-2</v>
      </c>
    </row>
    <row r="20" spans="2:4">
      <c r="B20" s="12" t="s">
        <v>27</v>
      </c>
      <c r="C20" s="11">
        <v>7</v>
      </c>
      <c r="D20" s="10">
        <v>4.6666666666666669E-2</v>
      </c>
    </row>
    <row r="21" spans="2:4">
      <c r="B21" s="12" t="s">
        <v>18</v>
      </c>
      <c r="C21" s="11">
        <v>6</v>
      </c>
      <c r="D21" s="10">
        <v>0.04</v>
      </c>
    </row>
    <row r="22" spans="2:4">
      <c r="B22" s="12" t="s">
        <v>17</v>
      </c>
      <c r="C22" s="11">
        <v>6</v>
      </c>
      <c r="D22" s="10">
        <v>0.04</v>
      </c>
    </row>
    <row r="23" spans="2:4">
      <c r="B23" s="12" t="s">
        <v>19</v>
      </c>
      <c r="C23" s="11">
        <v>6</v>
      </c>
      <c r="D23" s="10">
        <v>0.04</v>
      </c>
    </row>
    <row r="24" spans="2:4">
      <c r="B24" s="12" t="s">
        <v>34</v>
      </c>
      <c r="C24" s="11">
        <v>5</v>
      </c>
      <c r="D24" s="10">
        <v>3.3333333333333333E-2</v>
      </c>
    </row>
    <row r="25" spans="2:4">
      <c r="B25" s="12" t="s">
        <v>28</v>
      </c>
      <c r="C25" s="11">
        <v>5</v>
      </c>
      <c r="D25" s="10">
        <v>3.3333333333333333E-2</v>
      </c>
    </row>
    <row r="26" spans="2:4">
      <c r="B26" s="12" t="s">
        <v>26</v>
      </c>
      <c r="C26" s="11">
        <v>4</v>
      </c>
      <c r="D26" s="10">
        <v>2.6666666666666668E-2</v>
      </c>
    </row>
    <row r="27" spans="2:4">
      <c r="B27" s="12" t="s">
        <v>23</v>
      </c>
      <c r="C27" s="11">
        <v>3</v>
      </c>
      <c r="D27" s="10">
        <v>0.02</v>
      </c>
    </row>
    <row r="28" spans="2:4">
      <c r="B28" s="12" t="s">
        <v>22</v>
      </c>
      <c r="C28" s="11">
        <v>3</v>
      </c>
      <c r="D28" s="10">
        <v>0.02</v>
      </c>
    </row>
    <row r="29" spans="2:4">
      <c r="B29" s="12" t="s">
        <v>21</v>
      </c>
      <c r="C29" s="11">
        <v>3</v>
      </c>
      <c r="D29" s="10">
        <v>0.02</v>
      </c>
    </row>
    <row r="30" spans="2:4">
      <c r="B30" s="12" t="s">
        <v>110</v>
      </c>
      <c r="C30" s="11">
        <v>2</v>
      </c>
      <c r="D30" s="10">
        <v>1.3333333333333334E-2</v>
      </c>
    </row>
    <row r="31" spans="2:4">
      <c r="B31" s="12" t="s">
        <v>71</v>
      </c>
      <c r="C31" s="11">
        <v>2</v>
      </c>
      <c r="D31" s="10">
        <v>1.3333333333333334E-2</v>
      </c>
    </row>
    <row r="32" spans="2:4">
      <c r="B32" s="12" t="s">
        <v>72</v>
      </c>
      <c r="C32" s="11">
        <v>1</v>
      </c>
      <c r="D32" s="10">
        <v>6.6666666666666671E-3</v>
      </c>
    </row>
    <row r="33" spans="2:4">
      <c r="B33" s="12" t="s">
        <v>149</v>
      </c>
      <c r="C33" s="11">
        <v>1</v>
      </c>
      <c r="D33" s="10">
        <v>6.6666666666666671E-3</v>
      </c>
    </row>
    <row r="34" spans="2:4">
      <c r="B34" s="12" t="s">
        <v>24</v>
      </c>
      <c r="C34" s="11">
        <v>1</v>
      </c>
      <c r="D34" s="10">
        <v>6.6666666666666671E-3</v>
      </c>
    </row>
    <row r="35" spans="2:4">
      <c r="B35" s="12" t="s">
        <v>73</v>
      </c>
      <c r="C35" s="11">
        <v>1</v>
      </c>
      <c r="D35" s="10">
        <v>6.6666666666666671E-3</v>
      </c>
    </row>
    <row r="36" spans="2:4">
      <c r="B36" s="12" t="s">
        <v>20</v>
      </c>
      <c r="C36" s="11">
        <v>1</v>
      </c>
      <c r="D36" s="10">
        <v>6.6666666666666671E-3</v>
      </c>
    </row>
    <row r="37" spans="2:4">
      <c r="B37" s="12" t="s">
        <v>16</v>
      </c>
      <c r="C37" s="11">
        <v>1</v>
      </c>
      <c r="D37" s="10">
        <v>6.6666666666666671E-3</v>
      </c>
    </row>
    <row r="38" spans="2:4">
      <c r="B38" s="12" t="s">
        <v>166</v>
      </c>
      <c r="C38" s="11">
        <v>1</v>
      </c>
      <c r="D38" s="10">
        <v>6.6666666666666671E-3</v>
      </c>
    </row>
    <row r="39" spans="2:4">
      <c r="B39" s="12" t="s">
        <v>74</v>
      </c>
      <c r="C39" s="11">
        <v>1</v>
      </c>
      <c r="D39" s="10">
        <v>6.6666666666666671E-3</v>
      </c>
    </row>
    <row r="40" spans="2:4">
      <c r="B40" s="12" t="s">
        <v>176</v>
      </c>
      <c r="C40" s="11">
        <v>1</v>
      </c>
      <c r="D40" s="10">
        <v>6.6666666666666671E-3</v>
      </c>
    </row>
    <row r="41" spans="2:4">
      <c r="B41" s="9" t="s">
        <v>15</v>
      </c>
      <c r="C41" s="8">
        <v>150</v>
      </c>
      <c r="D41" s="7">
        <v>1</v>
      </c>
    </row>
    <row r="43" spans="2:4">
      <c r="B43" s="4" t="s">
        <v>182</v>
      </c>
    </row>
    <row r="44" spans="2:4">
      <c r="B44" s="6" t="s">
        <v>14</v>
      </c>
    </row>
    <row r="45" spans="2:4">
      <c r="B45" s="5" t="s">
        <v>13</v>
      </c>
    </row>
    <row r="46" spans="2:4">
      <c r="B46" s="4" t="s">
        <v>12</v>
      </c>
    </row>
    <row r="47" spans="2:4">
      <c r="B47" s="4" t="s">
        <v>183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396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21" customWidth="1"/>
    <col min="2" max="2" width="22.85546875" style="22" customWidth="1"/>
    <col min="3" max="3" width="31.42578125" style="22" customWidth="1"/>
    <col min="4" max="4" width="14.28515625" style="22" customWidth="1"/>
    <col min="5" max="5" width="16.85546875" style="22" customWidth="1"/>
    <col min="6" max="16384" width="35" style="21"/>
  </cols>
  <sheetData>
    <row r="1" spans="1:5" s="29" customFormat="1" ht="12" customHeight="1">
      <c r="B1" s="33"/>
      <c r="C1" s="32"/>
      <c r="D1" s="32"/>
      <c r="E1" s="32"/>
    </row>
    <row r="2" spans="1:5" s="29" customFormat="1" ht="15" customHeight="1">
      <c r="C2" s="31"/>
    </row>
    <row r="3" spans="1:5" s="29" customFormat="1" ht="15" customHeight="1">
      <c r="C3" s="31"/>
    </row>
    <row r="4" spans="1:5" s="29" customFormat="1" ht="30" customHeight="1">
      <c r="C4" s="31"/>
      <c r="D4" s="30"/>
    </row>
    <row r="5" spans="1:5" s="29" customFormat="1" ht="15" customHeight="1">
      <c r="C5" s="31"/>
      <c r="D5" s="30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81"/>
      <c r="C7" s="81"/>
      <c r="D7" s="81"/>
      <c r="E7" s="81"/>
    </row>
    <row r="8" spans="1:5" s="26" customFormat="1" ht="33" customHeight="1">
      <c r="A8" s="27"/>
      <c r="B8" s="81"/>
      <c r="C8" s="81"/>
      <c r="D8" s="81"/>
      <c r="E8" s="81"/>
    </row>
    <row r="9" spans="1:5" s="14" customFormat="1" ht="40.5" customHeight="1">
      <c r="B9" s="52" t="s">
        <v>38</v>
      </c>
      <c r="C9" s="52" t="s">
        <v>40</v>
      </c>
      <c r="D9" s="53" t="s">
        <v>37</v>
      </c>
      <c r="E9" s="52" t="s">
        <v>36</v>
      </c>
    </row>
    <row r="10" spans="1:5" ht="15" customHeight="1">
      <c r="B10" s="78" t="s">
        <v>25</v>
      </c>
      <c r="C10" s="54" t="s">
        <v>25</v>
      </c>
      <c r="D10" s="55">
        <v>3</v>
      </c>
      <c r="E10" s="56">
        <v>0.02</v>
      </c>
    </row>
    <row r="11" spans="1:5" ht="15" customHeight="1">
      <c r="B11" s="79"/>
      <c r="C11" s="54" t="s">
        <v>82</v>
      </c>
      <c r="D11" s="55">
        <v>4</v>
      </c>
      <c r="E11" s="56">
        <v>2.6666666666666668E-2</v>
      </c>
    </row>
    <row r="12" spans="1:5" ht="15" customHeight="1">
      <c r="B12" s="79"/>
      <c r="C12" s="54" t="s">
        <v>109</v>
      </c>
      <c r="D12" s="55">
        <v>1</v>
      </c>
      <c r="E12" s="56">
        <v>6.6666666666666671E-3</v>
      </c>
    </row>
    <row r="13" spans="1:5" ht="15" customHeight="1">
      <c r="B13" s="80"/>
      <c r="C13" s="57" t="s">
        <v>15</v>
      </c>
      <c r="D13" s="58">
        <v>8</v>
      </c>
      <c r="E13" s="59">
        <v>5.3333333333333337E-2</v>
      </c>
    </row>
    <row r="14" spans="1:5" ht="15" customHeight="1">
      <c r="B14" s="78" t="s">
        <v>110</v>
      </c>
      <c r="C14" s="54" t="s">
        <v>111</v>
      </c>
      <c r="D14" s="55">
        <v>1</v>
      </c>
      <c r="E14" s="56">
        <v>6.6666666666666671E-3</v>
      </c>
    </row>
    <row r="15" spans="1:5" ht="15" customHeight="1">
      <c r="B15" s="79"/>
      <c r="C15" s="54" t="s">
        <v>112</v>
      </c>
      <c r="D15" s="55">
        <v>1</v>
      </c>
      <c r="E15" s="56">
        <v>6.6666666666666671E-3</v>
      </c>
    </row>
    <row r="16" spans="1:5" ht="15" customHeight="1">
      <c r="B16" s="80"/>
      <c r="C16" s="57" t="s">
        <v>15</v>
      </c>
      <c r="D16" s="58">
        <v>2</v>
      </c>
      <c r="E16" s="59">
        <v>1.3333333333333334E-2</v>
      </c>
    </row>
    <row r="17" spans="2:5" ht="15" customHeight="1">
      <c r="B17" s="78" t="s">
        <v>71</v>
      </c>
      <c r="C17" s="54" t="s">
        <v>113</v>
      </c>
      <c r="D17" s="55">
        <v>1</v>
      </c>
      <c r="E17" s="56">
        <v>6.6666666666666671E-3</v>
      </c>
    </row>
    <row r="18" spans="2:5" ht="15" customHeight="1">
      <c r="B18" s="79"/>
      <c r="C18" s="54" t="s">
        <v>114</v>
      </c>
      <c r="D18" s="55">
        <v>1</v>
      </c>
      <c r="E18" s="56">
        <v>6.6666666666666671E-3</v>
      </c>
    </row>
    <row r="19" spans="2:5" ht="15" customHeight="1">
      <c r="B19" s="80"/>
      <c r="C19" s="57" t="s">
        <v>15</v>
      </c>
      <c r="D19" s="58">
        <v>2</v>
      </c>
      <c r="E19" s="59">
        <v>1.3333333333333334E-2</v>
      </c>
    </row>
    <row r="20" spans="2:5" ht="15" customHeight="1">
      <c r="B20" s="78" t="s">
        <v>27</v>
      </c>
      <c r="C20" s="54" t="s">
        <v>115</v>
      </c>
      <c r="D20" s="55">
        <v>1</v>
      </c>
      <c r="E20" s="56">
        <v>6.6666666666666671E-3</v>
      </c>
    </row>
    <row r="21" spans="2:5" ht="15" customHeight="1">
      <c r="B21" s="79"/>
      <c r="C21" s="54" t="s">
        <v>116</v>
      </c>
      <c r="D21" s="55">
        <v>2</v>
      </c>
      <c r="E21" s="56">
        <v>1.3333333333333334E-2</v>
      </c>
    </row>
    <row r="22" spans="2:5" ht="15" customHeight="1">
      <c r="B22" s="79"/>
      <c r="C22" s="54" t="s">
        <v>75</v>
      </c>
      <c r="D22" s="55">
        <v>2</v>
      </c>
      <c r="E22" s="56">
        <v>1.3333333333333334E-2</v>
      </c>
    </row>
    <row r="23" spans="2:5" ht="15" customHeight="1">
      <c r="B23" s="79"/>
      <c r="C23" s="54" t="s">
        <v>117</v>
      </c>
      <c r="D23" s="55">
        <v>1</v>
      </c>
      <c r="E23" s="56">
        <v>6.6666666666666671E-3</v>
      </c>
    </row>
    <row r="24" spans="2:5" ht="15" customHeight="1">
      <c r="B24" s="79"/>
      <c r="C24" s="54" t="s">
        <v>118</v>
      </c>
      <c r="D24" s="55">
        <v>1</v>
      </c>
      <c r="E24" s="56">
        <v>6.6666666666666671E-3</v>
      </c>
    </row>
    <row r="25" spans="2:5" ht="15" customHeight="1">
      <c r="B25" s="80"/>
      <c r="C25" s="57" t="s">
        <v>15</v>
      </c>
      <c r="D25" s="58">
        <v>7</v>
      </c>
      <c r="E25" s="59">
        <v>4.6666666666666669E-2</v>
      </c>
    </row>
    <row r="26" spans="2:5" ht="15" customHeight="1">
      <c r="B26" s="78" t="s">
        <v>32</v>
      </c>
      <c r="C26" s="54" t="s">
        <v>119</v>
      </c>
      <c r="D26" s="55">
        <v>1</v>
      </c>
      <c r="E26" s="56">
        <v>6.6666666666666671E-3</v>
      </c>
    </row>
    <row r="27" spans="2:5" ht="15" customHeight="1">
      <c r="B27" s="79"/>
      <c r="C27" s="54" t="s">
        <v>32</v>
      </c>
      <c r="D27" s="55">
        <v>2</v>
      </c>
      <c r="E27" s="56">
        <v>1.3333333333333334E-2</v>
      </c>
    </row>
    <row r="28" spans="2:5" ht="15" customHeight="1">
      <c r="B28" s="79"/>
      <c r="C28" s="54" t="s">
        <v>120</v>
      </c>
      <c r="D28" s="55">
        <v>1</v>
      </c>
      <c r="E28" s="56">
        <v>6.6666666666666671E-3</v>
      </c>
    </row>
    <row r="29" spans="2:5" ht="15" customHeight="1">
      <c r="B29" s="79"/>
      <c r="C29" s="54" t="s">
        <v>121</v>
      </c>
      <c r="D29" s="55">
        <v>1</v>
      </c>
      <c r="E29" s="56">
        <v>6.6666666666666671E-3</v>
      </c>
    </row>
    <row r="30" spans="2:5" ht="15" customHeight="1">
      <c r="B30" s="79"/>
      <c r="C30" s="54" t="s">
        <v>76</v>
      </c>
      <c r="D30" s="55">
        <v>2</v>
      </c>
      <c r="E30" s="56">
        <v>1.3333333333333334E-2</v>
      </c>
    </row>
    <row r="31" spans="2:5" ht="15" customHeight="1">
      <c r="B31" s="79"/>
      <c r="C31" s="54" t="s">
        <v>122</v>
      </c>
      <c r="D31" s="55">
        <v>1</v>
      </c>
      <c r="E31" s="56">
        <v>6.6666666666666671E-3</v>
      </c>
    </row>
    <row r="32" spans="2:5" ht="15" customHeight="1">
      <c r="B32" s="80"/>
      <c r="C32" s="57" t="s">
        <v>15</v>
      </c>
      <c r="D32" s="58">
        <v>8</v>
      </c>
      <c r="E32" s="59">
        <v>5.3333333333333337E-2</v>
      </c>
    </row>
    <row r="33" spans="2:5" ht="15" customHeight="1">
      <c r="B33" s="78" t="s">
        <v>72</v>
      </c>
      <c r="C33" s="54" t="s">
        <v>72</v>
      </c>
      <c r="D33" s="55">
        <v>1</v>
      </c>
      <c r="E33" s="56">
        <v>6.6666666666666671E-3</v>
      </c>
    </row>
    <row r="34" spans="2:5" ht="15" customHeight="1">
      <c r="B34" s="80"/>
      <c r="C34" s="57" t="s">
        <v>15</v>
      </c>
      <c r="D34" s="58">
        <v>1</v>
      </c>
      <c r="E34" s="59">
        <v>6.6666666666666671E-3</v>
      </c>
    </row>
    <row r="35" spans="2:5" ht="15" customHeight="1">
      <c r="B35" s="78" t="s">
        <v>26</v>
      </c>
      <c r="C35" s="54" t="s">
        <v>83</v>
      </c>
      <c r="D35" s="55">
        <v>1</v>
      </c>
      <c r="E35" s="56">
        <v>6.6666666666666671E-3</v>
      </c>
    </row>
    <row r="36" spans="2:5" ht="15" customHeight="1">
      <c r="B36" s="79"/>
      <c r="C36" s="54" t="s">
        <v>77</v>
      </c>
      <c r="D36" s="55">
        <v>1</v>
      </c>
      <c r="E36" s="56">
        <v>6.6666666666666671E-3</v>
      </c>
    </row>
    <row r="37" spans="2:5" ht="15" customHeight="1">
      <c r="B37" s="79"/>
      <c r="C37" s="54" t="s">
        <v>123</v>
      </c>
      <c r="D37" s="55">
        <v>1</v>
      </c>
      <c r="E37" s="56">
        <v>6.6666666666666671E-3</v>
      </c>
    </row>
    <row r="38" spans="2:5" ht="15" customHeight="1">
      <c r="B38" s="79"/>
      <c r="C38" s="54" t="s">
        <v>84</v>
      </c>
      <c r="D38" s="55">
        <v>1</v>
      </c>
      <c r="E38" s="56">
        <v>6.6666666666666671E-3</v>
      </c>
    </row>
    <row r="39" spans="2:5" ht="15" customHeight="1">
      <c r="B39" s="80"/>
      <c r="C39" s="57" t="s">
        <v>15</v>
      </c>
      <c r="D39" s="58">
        <v>4</v>
      </c>
      <c r="E39" s="59">
        <v>2.6666666666666668E-2</v>
      </c>
    </row>
    <row r="40" spans="2:5" ht="15" customHeight="1">
      <c r="B40" s="78" t="s">
        <v>18</v>
      </c>
      <c r="C40" s="54" t="s">
        <v>18</v>
      </c>
      <c r="D40" s="55">
        <v>5</v>
      </c>
      <c r="E40" s="56">
        <v>3.3333333333333333E-2</v>
      </c>
    </row>
    <row r="41" spans="2:5" ht="15" customHeight="1">
      <c r="B41" s="79"/>
      <c r="C41" s="54" t="s">
        <v>124</v>
      </c>
      <c r="D41" s="55">
        <v>1</v>
      </c>
      <c r="E41" s="56">
        <v>6.6666666666666671E-3</v>
      </c>
    </row>
    <row r="42" spans="2:5" ht="15" customHeight="1">
      <c r="B42" s="80"/>
      <c r="C42" s="57" t="s">
        <v>15</v>
      </c>
      <c r="D42" s="58">
        <v>6</v>
      </c>
      <c r="E42" s="59">
        <v>0.04</v>
      </c>
    </row>
    <row r="43" spans="2:5" ht="15" customHeight="1">
      <c r="B43" s="78" t="s">
        <v>31</v>
      </c>
      <c r="C43" s="54" t="s">
        <v>85</v>
      </c>
      <c r="D43" s="55">
        <v>3</v>
      </c>
      <c r="E43" s="56">
        <v>0.02</v>
      </c>
    </row>
    <row r="44" spans="2:5" ht="15" customHeight="1">
      <c r="B44" s="79"/>
      <c r="C44" s="54" t="s">
        <v>125</v>
      </c>
      <c r="D44" s="55">
        <v>2</v>
      </c>
      <c r="E44" s="56">
        <v>1.3333333333333334E-2</v>
      </c>
    </row>
    <row r="45" spans="2:5" ht="15" customHeight="1">
      <c r="B45" s="79"/>
      <c r="C45" s="54" t="s">
        <v>126</v>
      </c>
      <c r="D45" s="55">
        <v>1</v>
      </c>
      <c r="E45" s="56">
        <v>6.6666666666666671E-3</v>
      </c>
    </row>
    <row r="46" spans="2:5" ht="15" customHeight="1">
      <c r="B46" s="79"/>
      <c r="C46" s="54" t="s">
        <v>86</v>
      </c>
      <c r="D46" s="55">
        <v>2</v>
      </c>
      <c r="E46" s="56">
        <v>1.3333333333333334E-2</v>
      </c>
    </row>
    <row r="47" spans="2:5" ht="15" customHeight="1">
      <c r="B47" s="79"/>
      <c r="C47" s="54" t="s">
        <v>127</v>
      </c>
      <c r="D47" s="55">
        <v>1</v>
      </c>
      <c r="E47" s="56">
        <v>6.6666666666666671E-3</v>
      </c>
    </row>
    <row r="48" spans="2:5" ht="15" customHeight="1">
      <c r="B48" s="79"/>
      <c r="C48" s="54" t="s">
        <v>128</v>
      </c>
      <c r="D48" s="55">
        <v>2</v>
      </c>
      <c r="E48" s="56">
        <v>1.3333333333333334E-2</v>
      </c>
    </row>
    <row r="49" spans="2:5" ht="15" customHeight="1">
      <c r="B49" s="80"/>
      <c r="C49" s="57" t="s">
        <v>15</v>
      </c>
      <c r="D49" s="58">
        <v>11</v>
      </c>
      <c r="E49" s="59">
        <v>7.3333333333333334E-2</v>
      </c>
    </row>
    <row r="50" spans="2:5" ht="15" customHeight="1">
      <c r="B50" s="78" t="s">
        <v>30</v>
      </c>
      <c r="C50" s="54" t="s">
        <v>129</v>
      </c>
      <c r="D50" s="55">
        <v>1</v>
      </c>
      <c r="E50" s="56">
        <v>6.6666666666666671E-3</v>
      </c>
    </row>
    <row r="51" spans="2:5" ht="15" customHeight="1">
      <c r="B51" s="79"/>
      <c r="C51" s="54" t="s">
        <v>130</v>
      </c>
      <c r="D51" s="55">
        <v>1</v>
      </c>
      <c r="E51" s="56">
        <v>6.6666666666666671E-3</v>
      </c>
    </row>
    <row r="52" spans="2:5" ht="15" customHeight="1">
      <c r="B52" s="79"/>
      <c r="C52" s="54" t="s">
        <v>78</v>
      </c>
      <c r="D52" s="55">
        <v>6</v>
      </c>
      <c r="E52" s="56">
        <v>0.04</v>
      </c>
    </row>
    <row r="53" spans="2:5" ht="15" customHeight="1">
      <c r="B53" s="79"/>
      <c r="C53" s="54" t="s">
        <v>79</v>
      </c>
      <c r="D53" s="55">
        <v>1</v>
      </c>
      <c r="E53" s="56">
        <v>6.6666666666666671E-3</v>
      </c>
    </row>
    <row r="54" spans="2:5" ht="15" customHeight="1">
      <c r="B54" s="79"/>
      <c r="C54" s="54" t="s">
        <v>87</v>
      </c>
      <c r="D54" s="55">
        <v>4</v>
      </c>
      <c r="E54" s="56">
        <v>2.6666666666666668E-2</v>
      </c>
    </row>
    <row r="55" spans="2:5" ht="15" customHeight="1">
      <c r="B55" s="79"/>
      <c r="C55" s="54" t="s">
        <v>131</v>
      </c>
      <c r="D55" s="55">
        <v>1</v>
      </c>
      <c r="E55" s="56">
        <v>6.6666666666666671E-3</v>
      </c>
    </row>
    <row r="56" spans="2:5" ht="15" customHeight="1">
      <c r="B56" s="79"/>
      <c r="C56" s="54" t="s">
        <v>132</v>
      </c>
      <c r="D56" s="55">
        <v>1</v>
      </c>
      <c r="E56" s="56">
        <v>6.6666666666666671E-3</v>
      </c>
    </row>
    <row r="57" spans="2:5" ht="15" customHeight="1">
      <c r="B57" s="79"/>
      <c r="C57" s="54" t="s">
        <v>133</v>
      </c>
      <c r="D57" s="55">
        <v>1</v>
      </c>
      <c r="E57" s="56">
        <v>6.6666666666666671E-3</v>
      </c>
    </row>
    <row r="58" spans="2:5" ht="15" customHeight="1">
      <c r="B58" s="80"/>
      <c r="C58" s="57" t="s">
        <v>15</v>
      </c>
      <c r="D58" s="58">
        <v>16</v>
      </c>
      <c r="E58" s="59">
        <v>0.10666666666666667</v>
      </c>
    </row>
    <row r="59" spans="2:5" ht="15" customHeight="1">
      <c r="B59" s="78" t="s">
        <v>29</v>
      </c>
      <c r="C59" s="54" t="s">
        <v>88</v>
      </c>
      <c r="D59" s="55">
        <v>2</v>
      </c>
      <c r="E59" s="56">
        <v>1.3333333333333334E-2</v>
      </c>
    </row>
    <row r="60" spans="2:5" ht="15" customHeight="1">
      <c r="B60" s="79"/>
      <c r="C60" s="54" t="s">
        <v>134</v>
      </c>
      <c r="D60" s="55">
        <v>2</v>
      </c>
      <c r="E60" s="56">
        <v>1.3333333333333334E-2</v>
      </c>
    </row>
    <row r="61" spans="2:5" ht="15" customHeight="1">
      <c r="B61" s="79"/>
      <c r="C61" s="54" t="s">
        <v>135</v>
      </c>
      <c r="D61" s="55">
        <v>1</v>
      </c>
      <c r="E61" s="56">
        <v>6.6666666666666671E-3</v>
      </c>
    </row>
    <row r="62" spans="2:5" ht="15" customHeight="1">
      <c r="B62" s="79"/>
      <c r="C62" s="54" t="s">
        <v>136</v>
      </c>
      <c r="D62" s="55">
        <v>1</v>
      </c>
      <c r="E62" s="56">
        <v>6.6666666666666671E-3</v>
      </c>
    </row>
    <row r="63" spans="2:5" ht="15" customHeight="1">
      <c r="B63" s="79"/>
      <c r="C63" s="54" t="s">
        <v>137</v>
      </c>
      <c r="D63" s="55">
        <v>1</v>
      </c>
      <c r="E63" s="56">
        <v>6.6666666666666671E-3</v>
      </c>
    </row>
    <row r="64" spans="2:5" ht="15" customHeight="1">
      <c r="B64" s="79"/>
      <c r="C64" s="54" t="s">
        <v>89</v>
      </c>
      <c r="D64" s="55">
        <v>1</v>
      </c>
      <c r="E64" s="56">
        <v>6.6666666666666671E-3</v>
      </c>
    </row>
    <row r="65" spans="2:6" ht="15" customHeight="1">
      <c r="B65" s="79"/>
      <c r="C65" s="54" t="s">
        <v>138</v>
      </c>
      <c r="D65" s="55">
        <v>1</v>
      </c>
      <c r="E65" s="56">
        <v>6.6666666666666671E-3</v>
      </c>
    </row>
    <row r="66" spans="2:6" ht="15" customHeight="1">
      <c r="B66" s="80"/>
      <c r="C66" s="57" t="s">
        <v>15</v>
      </c>
      <c r="D66" s="58">
        <v>9</v>
      </c>
      <c r="E66" s="59">
        <v>0.06</v>
      </c>
    </row>
    <row r="67" spans="2:6" ht="15" customHeight="1">
      <c r="B67" s="78" t="s">
        <v>17</v>
      </c>
      <c r="C67" s="54" t="s">
        <v>139</v>
      </c>
      <c r="D67" s="55">
        <v>1</v>
      </c>
      <c r="E67" s="56">
        <v>6.6666666666666671E-3</v>
      </c>
    </row>
    <row r="68" spans="2:6" ht="15" customHeight="1">
      <c r="B68" s="79"/>
      <c r="C68" s="54" t="s">
        <v>140</v>
      </c>
      <c r="D68" s="55">
        <v>1</v>
      </c>
      <c r="E68" s="56">
        <v>6.6666666666666671E-3</v>
      </c>
    </row>
    <row r="69" spans="2:6" ht="15" customHeight="1">
      <c r="B69" s="79"/>
      <c r="C69" s="54" t="s">
        <v>141</v>
      </c>
      <c r="D69" s="55">
        <v>1</v>
      </c>
      <c r="E69" s="56">
        <v>6.6666666666666671E-3</v>
      </c>
    </row>
    <row r="70" spans="2:6" ht="15" customHeight="1">
      <c r="B70" s="79"/>
      <c r="C70" s="54" t="s">
        <v>80</v>
      </c>
      <c r="D70" s="55">
        <v>2</v>
      </c>
      <c r="E70" s="56">
        <v>1.3333333333333334E-2</v>
      </c>
    </row>
    <row r="71" spans="2:6" ht="15" customHeight="1">
      <c r="B71" s="79"/>
      <c r="C71" s="54" t="s">
        <v>142</v>
      </c>
      <c r="D71" s="55">
        <v>1</v>
      </c>
      <c r="E71" s="56">
        <v>6.6666666666666671E-3</v>
      </c>
    </row>
    <row r="72" spans="2:6" ht="15" customHeight="1">
      <c r="B72" s="80"/>
      <c r="C72" s="57" t="s">
        <v>15</v>
      </c>
      <c r="D72" s="58">
        <v>6</v>
      </c>
      <c r="E72" s="59">
        <v>0.04</v>
      </c>
    </row>
    <row r="73" spans="2:6" ht="15" customHeight="1">
      <c r="B73" s="78" t="s">
        <v>35</v>
      </c>
      <c r="C73" s="54" t="s">
        <v>90</v>
      </c>
      <c r="D73" s="55">
        <v>2</v>
      </c>
      <c r="E73" s="56">
        <v>1.3333333333333334E-2</v>
      </c>
    </row>
    <row r="74" spans="2:6" ht="15" customHeight="1">
      <c r="B74" s="79"/>
      <c r="C74" s="54" t="s">
        <v>143</v>
      </c>
      <c r="D74" s="55">
        <v>2</v>
      </c>
      <c r="E74" s="56">
        <v>1.3333333333333334E-2</v>
      </c>
    </row>
    <row r="75" spans="2:6" ht="15" customHeight="1">
      <c r="B75" s="79"/>
      <c r="C75" s="54" t="s">
        <v>91</v>
      </c>
      <c r="D75" s="55">
        <v>1</v>
      </c>
      <c r="E75" s="56">
        <v>6.6666666666666671E-3</v>
      </c>
      <c r="F75" s="2"/>
    </row>
    <row r="76" spans="2:6" ht="15" customHeight="1">
      <c r="B76" s="79"/>
      <c r="C76" s="54" t="s">
        <v>144</v>
      </c>
      <c r="D76" s="55">
        <v>1</v>
      </c>
      <c r="E76" s="56">
        <v>6.6666666666666671E-3</v>
      </c>
      <c r="F76" s="2"/>
    </row>
    <row r="77" spans="2:6" ht="15" customHeight="1">
      <c r="B77" s="79"/>
      <c r="C77" s="54" t="s">
        <v>92</v>
      </c>
      <c r="D77" s="55">
        <v>1</v>
      </c>
      <c r="E77" s="56">
        <v>6.6666666666666671E-3</v>
      </c>
      <c r="F77" s="2"/>
    </row>
    <row r="78" spans="2:6" ht="15" customHeight="1">
      <c r="B78" s="79"/>
      <c r="C78" s="54" t="s">
        <v>145</v>
      </c>
      <c r="D78" s="55">
        <v>1</v>
      </c>
      <c r="E78" s="56">
        <v>6.6666666666666671E-3</v>
      </c>
      <c r="F78" s="2"/>
    </row>
    <row r="79" spans="2:6" ht="15" customHeight="1">
      <c r="B79" s="79"/>
      <c r="C79" s="54" t="s">
        <v>146</v>
      </c>
      <c r="D79" s="55">
        <v>1</v>
      </c>
      <c r="E79" s="56">
        <v>6.6666666666666671E-3</v>
      </c>
      <c r="F79" s="2"/>
    </row>
    <row r="80" spans="2:6" ht="15" customHeight="1">
      <c r="B80" s="80"/>
      <c r="C80" s="57" t="s">
        <v>15</v>
      </c>
      <c r="D80" s="58">
        <v>9</v>
      </c>
      <c r="E80" s="59">
        <v>0.06</v>
      </c>
    </row>
    <row r="81" spans="2:5" ht="15" customHeight="1">
      <c r="B81" s="78" t="s">
        <v>34</v>
      </c>
      <c r="C81" s="54" t="s">
        <v>147</v>
      </c>
      <c r="D81" s="55">
        <v>3</v>
      </c>
      <c r="E81" s="56">
        <v>0.02</v>
      </c>
    </row>
    <row r="82" spans="2:5" ht="15" customHeight="1">
      <c r="B82" s="79"/>
      <c r="C82" s="54" t="s">
        <v>148</v>
      </c>
      <c r="D82" s="55">
        <v>2</v>
      </c>
      <c r="E82" s="56">
        <v>1.3333333333333334E-2</v>
      </c>
    </row>
    <row r="83" spans="2:5" ht="15" customHeight="1">
      <c r="B83" s="80"/>
      <c r="C83" s="57" t="s">
        <v>15</v>
      </c>
      <c r="D83" s="58">
        <v>5</v>
      </c>
      <c r="E83" s="59">
        <v>3.3333333333333333E-2</v>
      </c>
    </row>
    <row r="84" spans="2:5" ht="15" customHeight="1">
      <c r="B84" s="78" t="s">
        <v>149</v>
      </c>
      <c r="C84" s="54" t="s">
        <v>150</v>
      </c>
      <c r="D84" s="55">
        <v>1</v>
      </c>
      <c r="E84" s="56">
        <v>6.6666666666666671E-3</v>
      </c>
    </row>
    <row r="85" spans="2:5" ht="15" customHeight="1">
      <c r="B85" s="80"/>
      <c r="C85" s="57" t="s">
        <v>15</v>
      </c>
      <c r="D85" s="58">
        <v>1</v>
      </c>
      <c r="E85" s="59">
        <v>6.6666666666666671E-3</v>
      </c>
    </row>
    <row r="86" spans="2:5" ht="15" customHeight="1">
      <c r="B86" s="78" t="s">
        <v>24</v>
      </c>
      <c r="C86" s="54" t="s">
        <v>93</v>
      </c>
      <c r="D86" s="55">
        <v>1</v>
      </c>
      <c r="E86" s="56">
        <v>6.6666666666666671E-3</v>
      </c>
    </row>
    <row r="87" spans="2:5" ht="15" customHeight="1">
      <c r="B87" s="80"/>
      <c r="C87" s="57" t="s">
        <v>15</v>
      </c>
      <c r="D87" s="58">
        <v>1</v>
      </c>
      <c r="E87" s="59">
        <v>6.6666666666666671E-3</v>
      </c>
    </row>
    <row r="88" spans="2:5" ht="15" customHeight="1">
      <c r="B88" s="78" t="s">
        <v>73</v>
      </c>
      <c r="C88" s="54" t="s">
        <v>151</v>
      </c>
      <c r="D88" s="55">
        <v>1</v>
      </c>
      <c r="E88" s="56">
        <v>6.6666666666666671E-3</v>
      </c>
    </row>
    <row r="89" spans="2:5" ht="15" customHeight="1">
      <c r="B89" s="80"/>
      <c r="C89" s="57" t="s">
        <v>15</v>
      </c>
      <c r="D89" s="58">
        <v>1</v>
      </c>
      <c r="E89" s="59">
        <v>6.6666666666666671E-3</v>
      </c>
    </row>
    <row r="90" spans="2:5" ht="15" customHeight="1">
      <c r="B90" s="78" t="s">
        <v>23</v>
      </c>
      <c r="C90" s="54" t="s">
        <v>152</v>
      </c>
      <c r="D90" s="55">
        <v>1</v>
      </c>
      <c r="E90" s="56">
        <v>6.6666666666666671E-3</v>
      </c>
    </row>
    <row r="91" spans="2:5" ht="15" customHeight="1">
      <c r="B91" s="79"/>
      <c r="C91" s="54" t="s">
        <v>153</v>
      </c>
      <c r="D91" s="55">
        <v>1</v>
      </c>
      <c r="E91" s="56">
        <v>6.6666666666666671E-3</v>
      </c>
    </row>
    <row r="92" spans="2:5" ht="15" customHeight="1">
      <c r="B92" s="79"/>
      <c r="C92" s="54" t="s">
        <v>154</v>
      </c>
      <c r="D92" s="55">
        <v>1</v>
      </c>
      <c r="E92" s="56">
        <v>6.6666666666666671E-3</v>
      </c>
    </row>
    <row r="93" spans="2:5" ht="15" customHeight="1">
      <c r="B93" s="80"/>
      <c r="C93" s="57" t="s">
        <v>15</v>
      </c>
      <c r="D93" s="58">
        <v>3</v>
      </c>
      <c r="E93" s="59">
        <v>0.02</v>
      </c>
    </row>
    <row r="94" spans="2:5" ht="15" customHeight="1">
      <c r="B94" s="78" t="s">
        <v>22</v>
      </c>
      <c r="C94" s="54" t="s">
        <v>22</v>
      </c>
      <c r="D94" s="55">
        <v>1</v>
      </c>
      <c r="E94" s="56">
        <v>6.6666666666666671E-3</v>
      </c>
    </row>
    <row r="95" spans="2:5" ht="15" customHeight="1">
      <c r="B95" s="79"/>
      <c r="C95" s="54" t="s">
        <v>155</v>
      </c>
      <c r="D95" s="55">
        <v>1</v>
      </c>
      <c r="E95" s="56">
        <v>6.6666666666666671E-3</v>
      </c>
    </row>
    <row r="96" spans="2:5" ht="15" customHeight="1">
      <c r="B96" s="79"/>
      <c r="C96" s="54" t="s">
        <v>156</v>
      </c>
      <c r="D96" s="55">
        <v>1</v>
      </c>
      <c r="E96" s="56">
        <v>6.6666666666666671E-3</v>
      </c>
    </row>
    <row r="97" spans="2:5" ht="15" customHeight="1">
      <c r="B97" s="80"/>
      <c r="C97" s="57" t="s">
        <v>15</v>
      </c>
      <c r="D97" s="58">
        <v>3</v>
      </c>
      <c r="E97" s="59">
        <v>0.02</v>
      </c>
    </row>
    <row r="98" spans="2:5" ht="15" customHeight="1">
      <c r="B98" s="78" t="s">
        <v>70</v>
      </c>
      <c r="C98" s="54" t="s">
        <v>157</v>
      </c>
      <c r="D98" s="55">
        <v>1</v>
      </c>
      <c r="E98" s="56">
        <v>6.6666666666666671E-3</v>
      </c>
    </row>
    <row r="99" spans="2:5" ht="15" customHeight="1">
      <c r="B99" s="79"/>
      <c r="C99" s="54" t="s">
        <v>94</v>
      </c>
      <c r="D99" s="55">
        <v>3</v>
      </c>
      <c r="E99" s="56">
        <v>0.02</v>
      </c>
    </row>
    <row r="100" spans="2:5" ht="15" customHeight="1">
      <c r="B100" s="79"/>
      <c r="C100" s="54" t="s">
        <v>70</v>
      </c>
      <c r="D100" s="55">
        <v>5</v>
      </c>
      <c r="E100" s="56">
        <v>3.3333333333333333E-2</v>
      </c>
    </row>
    <row r="101" spans="2:5" ht="15" customHeight="1">
      <c r="B101" s="80"/>
      <c r="C101" s="57" t="s">
        <v>15</v>
      </c>
      <c r="D101" s="58">
        <v>9</v>
      </c>
      <c r="E101" s="59">
        <v>0.06</v>
      </c>
    </row>
    <row r="102" spans="2:5" ht="15" customHeight="1">
      <c r="B102" s="78" t="s">
        <v>28</v>
      </c>
      <c r="C102" s="54" t="s">
        <v>158</v>
      </c>
      <c r="D102" s="55">
        <v>1</v>
      </c>
      <c r="E102" s="56">
        <v>6.6666666666666671E-3</v>
      </c>
    </row>
    <row r="103" spans="2:5" ht="15" customHeight="1">
      <c r="B103" s="79"/>
      <c r="C103" s="54" t="s">
        <v>159</v>
      </c>
      <c r="D103" s="55">
        <v>1</v>
      </c>
      <c r="E103" s="56">
        <v>6.6666666666666671E-3</v>
      </c>
    </row>
    <row r="104" spans="2:5" ht="15" customHeight="1">
      <c r="B104" s="79"/>
      <c r="C104" s="54" t="s">
        <v>28</v>
      </c>
      <c r="D104" s="55">
        <v>1</v>
      </c>
      <c r="E104" s="56">
        <v>6.6666666666666671E-3</v>
      </c>
    </row>
    <row r="105" spans="2:5" ht="15" customHeight="1">
      <c r="B105" s="79"/>
      <c r="C105" s="54" t="s">
        <v>160</v>
      </c>
      <c r="D105" s="55">
        <v>1</v>
      </c>
      <c r="E105" s="56">
        <v>6.6666666666666671E-3</v>
      </c>
    </row>
    <row r="106" spans="2:5" ht="15" customHeight="1">
      <c r="B106" s="79"/>
      <c r="C106" s="54" t="s">
        <v>161</v>
      </c>
      <c r="D106" s="55">
        <v>1</v>
      </c>
      <c r="E106" s="56">
        <v>6.6666666666666671E-3</v>
      </c>
    </row>
    <row r="107" spans="2:5" ht="15" customHeight="1">
      <c r="B107" s="80"/>
      <c r="C107" s="57" t="s">
        <v>15</v>
      </c>
      <c r="D107" s="58">
        <v>5</v>
      </c>
      <c r="E107" s="59">
        <v>3.3333333333333333E-2</v>
      </c>
    </row>
    <row r="108" spans="2:5" ht="15" customHeight="1">
      <c r="B108" s="78" t="s">
        <v>21</v>
      </c>
      <c r="C108" s="54" t="s">
        <v>162</v>
      </c>
      <c r="D108" s="55">
        <v>1</v>
      </c>
      <c r="E108" s="56">
        <v>6.6666666666666671E-3</v>
      </c>
    </row>
    <row r="109" spans="2:5" ht="15" customHeight="1">
      <c r="B109" s="79"/>
      <c r="C109" s="54" t="s">
        <v>95</v>
      </c>
      <c r="D109" s="55">
        <v>1</v>
      </c>
      <c r="E109" s="56">
        <v>6.6666666666666671E-3</v>
      </c>
    </row>
    <row r="110" spans="2:5" ht="15" customHeight="1">
      <c r="B110" s="79"/>
      <c r="C110" s="54" t="s">
        <v>163</v>
      </c>
      <c r="D110" s="55">
        <v>1</v>
      </c>
      <c r="E110" s="56">
        <v>6.6666666666666671E-3</v>
      </c>
    </row>
    <row r="111" spans="2:5" ht="15" customHeight="1">
      <c r="B111" s="80"/>
      <c r="C111" s="57" t="s">
        <v>15</v>
      </c>
      <c r="D111" s="58">
        <v>3</v>
      </c>
      <c r="E111" s="59">
        <v>0.02</v>
      </c>
    </row>
    <row r="112" spans="2:5" ht="15" customHeight="1">
      <c r="B112" s="78" t="s">
        <v>20</v>
      </c>
      <c r="C112" s="54" t="s">
        <v>164</v>
      </c>
      <c r="D112" s="55">
        <v>1</v>
      </c>
      <c r="E112" s="56">
        <v>6.6666666666666671E-3</v>
      </c>
    </row>
    <row r="113" spans="2:5" ht="15" customHeight="1">
      <c r="B113" s="80"/>
      <c r="C113" s="57" t="s">
        <v>15</v>
      </c>
      <c r="D113" s="58">
        <v>1</v>
      </c>
      <c r="E113" s="59">
        <v>6.6666666666666671E-3</v>
      </c>
    </row>
    <row r="114" spans="2:5" ht="15" customHeight="1">
      <c r="B114" s="78" t="s">
        <v>16</v>
      </c>
      <c r="C114" s="54" t="s">
        <v>165</v>
      </c>
      <c r="D114" s="55">
        <v>1</v>
      </c>
      <c r="E114" s="56">
        <v>6.6666666666666671E-3</v>
      </c>
    </row>
    <row r="115" spans="2:5" ht="15" customHeight="1">
      <c r="B115" s="80"/>
      <c r="C115" s="57" t="s">
        <v>15</v>
      </c>
      <c r="D115" s="58">
        <v>1</v>
      </c>
      <c r="E115" s="59">
        <v>6.6666666666666671E-3</v>
      </c>
    </row>
    <row r="116" spans="2:5" ht="15" customHeight="1">
      <c r="B116" s="78" t="s">
        <v>166</v>
      </c>
      <c r="C116" s="54" t="s">
        <v>167</v>
      </c>
      <c r="D116" s="55">
        <v>1</v>
      </c>
      <c r="E116" s="56">
        <v>6.6666666666666671E-3</v>
      </c>
    </row>
    <row r="117" spans="2:5" ht="15" customHeight="1">
      <c r="B117" s="80"/>
      <c r="C117" s="57" t="s">
        <v>15</v>
      </c>
      <c r="D117" s="58">
        <v>1</v>
      </c>
      <c r="E117" s="59">
        <v>6.6666666666666671E-3</v>
      </c>
    </row>
    <row r="118" spans="2:5" ht="15" customHeight="1">
      <c r="B118" s="78" t="s">
        <v>74</v>
      </c>
      <c r="C118" s="54" t="s">
        <v>168</v>
      </c>
      <c r="D118" s="55">
        <v>1</v>
      </c>
      <c r="E118" s="56">
        <v>6.6666666666666671E-3</v>
      </c>
    </row>
    <row r="119" spans="2:5" ht="15" customHeight="1">
      <c r="B119" s="80"/>
      <c r="C119" s="57" t="s">
        <v>15</v>
      </c>
      <c r="D119" s="58">
        <v>1</v>
      </c>
      <c r="E119" s="59">
        <v>6.6666666666666671E-3</v>
      </c>
    </row>
    <row r="120" spans="2:5" ht="15" customHeight="1">
      <c r="B120" s="78" t="s">
        <v>33</v>
      </c>
      <c r="C120" s="54" t="s">
        <v>169</v>
      </c>
      <c r="D120" s="55">
        <v>2</v>
      </c>
      <c r="E120" s="56">
        <v>1.3333333333333334E-2</v>
      </c>
    </row>
    <row r="121" spans="2:5" ht="15" customHeight="1">
      <c r="B121" s="79"/>
      <c r="C121" s="54" t="s">
        <v>96</v>
      </c>
      <c r="D121" s="55">
        <v>3</v>
      </c>
      <c r="E121" s="56">
        <v>0.02</v>
      </c>
    </row>
    <row r="122" spans="2:5" ht="15" customHeight="1">
      <c r="B122" s="79"/>
      <c r="C122" s="54" t="s">
        <v>81</v>
      </c>
      <c r="D122" s="55">
        <v>1</v>
      </c>
      <c r="E122" s="56">
        <v>6.6666666666666671E-3</v>
      </c>
    </row>
    <row r="123" spans="2:5" ht="15" customHeight="1">
      <c r="B123" s="79"/>
      <c r="C123" s="54" t="s">
        <v>170</v>
      </c>
      <c r="D123" s="55">
        <v>1</v>
      </c>
      <c r="E123" s="56">
        <v>6.6666666666666671E-3</v>
      </c>
    </row>
    <row r="124" spans="2:5" ht="15" customHeight="1">
      <c r="B124" s="79"/>
      <c r="C124" s="54" t="s">
        <v>39</v>
      </c>
      <c r="D124" s="55">
        <v>5</v>
      </c>
      <c r="E124" s="56">
        <v>3.3333333333333333E-2</v>
      </c>
    </row>
    <row r="125" spans="2:5" ht="15" customHeight="1">
      <c r="B125" s="79"/>
      <c r="C125" s="54" t="s">
        <v>171</v>
      </c>
      <c r="D125" s="55">
        <v>2</v>
      </c>
      <c r="E125" s="56">
        <v>1.3333333333333334E-2</v>
      </c>
    </row>
    <row r="126" spans="2:5" ht="15" customHeight="1">
      <c r="B126" s="79"/>
      <c r="C126" s="54" t="s">
        <v>172</v>
      </c>
      <c r="D126" s="55">
        <v>1</v>
      </c>
      <c r="E126" s="56">
        <v>6.6666666666666671E-3</v>
      </c>
    </row>
    <row r="127" spans="2:5" ht="15" customHeight="1">
      <c r="B127" s="79"/>
      <c r="C127" s="54" t="s">
        <v>173</v>
      </c>
      <c r="D127" s="55">
        <v>1</v>
      </c>
      <c r="E127" s="56">
        <v>6.6666666666666671E-3</v>
      </c>
    </row>
    <row r="128" spans="2:5" ht="15" customHeight="1">
      <c r="B128" s="79"/>
      <c r="C128" s="54" t="s">
        <v>174</v>
      </c>
      <c r="D128" s="55">
        <v>1</v>
      </c>
      <c r="E128" s="56">
        <v>6.6666666666666671E-3</v>
      </c>
    </row>
    <row r="129" spans="2:5" ht="15" customHeight="1">
      <c r="B129" s="79"/>
      <c r="C129" s="54" t="s">
        <v>175</v>
      </c>
      <c r="D129" s="55">
        <v>2</v>
      </c>
      <c r="E129" s="56">
        <v>1.3333333333333334E-2</v>
      </c>
    </row>
    <row r="130" spans="2:5" ht="15" customHeight="1">
      <c r="B130" s="80"/>
      <c r="C130" s="57" t="s">
        <v>15</v>
      </c>
      <c r="D130" s="58">
        <v>19</v>
      </c>
      <c r="E130" s="59">
        <v>0.12666666666666668</v>
      </c>
    </row>
    <row r="131" spans="2:5" ht="15" customHeight="1">
      <c r="B131" s="78" t="s">
        <v>176</v>
      </c>
      <c r="C131" s="54" t="s">
        <v>177</v>
      </c>
      <c r="D131" s="55">
        <v>1</v>
      </c>
      <c r="E131" s="56">
        <v>6.6666666666666671E-3</v>
      </c>
    </row>
    <row r="132" spans="2:5" ht="15" customHeight="1">
      <c r="B132" s="80"/>
      <c r="C132" s="57" t="s">
        <v>15</v>
      </c>
      <c r="D132" s="58">
        <v>1</v>
      </c>
      <c r="E132" s="59">
        <v>6.6666666666666671E-3</v>
      </c>
    </row>
    <row r="133" spans="2:5" ht="15" customHeight="1">
      <c r="B133" s="78" t="s">
        <v>19</v>
      </c>
      <c r="C133" s="54" t="s">
        <v>97</v>
      </c>
      <c r="D133" s="55">
        <v>1</v>
      </c>
      <c r="E133" s="56">
        <v>6.6666666666666671E-3</v>
      </c>
    </row>
    <row r="134" spans="2:5" ht="15" customHeight="1">
      <c r="B134" s="79"/>
      <c r="C134" s="54" t="s">
        <v>178</v>
      </c>
      <c r="D134" s="55">
        <v>1</v>
      </c>
      <c r="E134" s="56">
        <v>6.6666666666666671E-3</v>
      </c>
    </row>
    <row r="135" spans="2:5" ht="15" customHeight="1">
      <c r="B135" s="79"/>
      <c r="C135" s="54" t="s">
        <v>179</v>
      </c>
      <c r="D135" s="55">
        <v>2</v>
      </c>
      <c r="E135" s="56">
        <v>1.3333333333333334E-2</v>
      </c>
    </row>
    <row r="136" spans="2:5" ht="15" customHeight="1">
      <c r="B136" s="79"/>
      <c r="C136" s="54" t="s">
        <v>180</v>
      </c>
      <c r="D136" s="55">
        <v>1</v>
      </c>
      <c r="E136" s="56">
        <v>6.6666666666666671E-3</v>
      </c>
    </row>
    <row r="137" spans="2:5" ht="15" customHeight="1">
      <c r="B137" s="79"/>
      <c r="C137" s="54" t="s">
        <v>181</v>
      </c>
      <c r="D137" s="55">
        <v>1</v>
      </c>
      <c r="E137" s="56">
        <v>6.6666666666666671E-3</v>
      </c>
    </row>
    <row r="138" spans="2:5" ht="15" customHeight="1">
      <c r="B138" s="80"/>
      <c r="C138" s="57" t="s">
        <v>15</v>
      </c>
      <c r="D138" s="58">
        <v>6</v>
      </c>
      <c r="E138" s="59">
        <v>0.04</v>
      </c>
    </row>
    <row r="139" spans="2:5" ht="15" customHeight="1">
      <c r="B139" s="82" t="s">
        <v>15</v>
      </c>
      <c r="C139" s="83"/>
      <c r="D139" s="60">
        <f>SUMIF(C$10:C138,"Total",D$10:D138)</f>
        <v>150</v>
      </c>
      <c r="E139" s="61">
        <v>1</v>
      </c>
    </row>
    <row r="140" spans="2:5" ht="15" customHeight="1">
      <c r="B140" s="62"/>
      <c r="C140" s="62"/>
      <c r="D140" s="62"/>
      <c r="E140" s="62"/>
    </row>
    <row r="141" spans="2:5" ht="15" customHeight="1">
      <c r="B141" s="63" t="s">
        <v>182</v>
      </c>
      <c r="C141" s="62"/>
      <c r="D141" s="62"/>
      <c r="E141" s="62"/>
    </row>
    <row r="142" spans="2:5" ht="15" customHeight="1">
      <c r="B142" s="64" t="s">
        <v>14</v>
      </c>
      <c r="C142" s="62"/>
      <c r="D142" s="62"/>
      <c r="E142" s="62"/>
    </row>
    <row r="143" spans="2:5" ht="15" customHeight="1">
      <c r="B143" s="65" t="s">
        <v>13</v>
      </c>
      <c r="C143" s="62"/>
      <c r="D143" s="62"/>
      <c r="E143" s="62"/>
    </row>
    <row r="144" spans="2:5" ht="15" customHeight="1">
      <c r="B144" s="63" t="s">
        <v>12</v>
      </c>
      <c r="C144" s="62"/>
      <c r="D144" s="62"/>
      <c r="E144" s="62"/>
    </row>
    <row r="145" spans="2:5" ht="15" customHeight="1">
      <c r="B145" s="63" t="s">
        <v>183</v>
      </c>
      <c r="C145" s="62"/>
      <c r="D145" s="62"/>
      <c r="E145" s="62"/>
    </row>
    <row r="146" spans="2:5" ht="15" customHeight="1">
      <c r="B146" s="4"/>
    </row>
    <row r="392" spans="1:2" s="22" customFormat="1" ht="15" customHeight="1">
      <c r="A392" s="21"/>
      <c r="B392" s="23"/>
    </row>
    <row r="393" spans="1:2" s="22" customFormat="1" ht="15" customHeight="1">
      <c r="A393" s="21"/>
      <c r="B393" s="24"/>
    </row>
    <row r="394" spans="1:2" s="22" customFormat="1" ht="15" customHeight="1">
      <c r="A394" s="21"/>
      <c r="B394" s="24"/>
    </row>
    <row r="395" spans="1:2" s="22" customFormat="1" ht="15" customHeight="1">
      <c r="A395" s="21"/>
      <c r="B395" s="23"/>
    </row>
    <row r="396" spans="1:2" s="22" customFormat="1" ht="15" customHeight="1">
      <c r="A396" s="21"/>
      <c r="B396" s="23"/>
    </row>
  </sheetData>
  <mergeCells count="31">
    <mergeCell ref="B120:B130"/>
    <mergeCell ref="B131:B132"/>
    <mergeCell ref="B133:B138"/>
    <mergeCell ref="B139:C139"/>
    <mergeCell ref="B108:B111"/>
    <mergeCell ref="B112:B113"/>
    <mergeCell ref="B114:B115"/>
    <mergeCell ref="B116:B117"/>
    <mergeCell ref="B118:B119"/>
    <mergeCell ref="B94:B97"/>
    <mergeCell ref="B88:B89"/>
    <mergeCell ref="B90:B93"/>
    <mergeCell ref="B98:B101"/>
    <mergeCell ref="B102:B107"/>
    <mergeCell ref="B43:B49"/>
    <mergeCell ref="B50:B58"/>
    <mergeCell ref="B59:B66"/>
    <mergeCell ref="B7:E8"/>
    <mergeCell ref="B10:B13"/>
    <mergeCell ref="B14:B16"/>
    <mergeCell ref="B17:B19"/>
    <mergeCell ref="B20:B25"/>
    <mergeCell ref="B26:B32"/>
    <mergeCell ref="B33:B34"/>
    <mergeCell ref="B35:B39"/>
    <mergeCell ref="B40:B42"/>
    <mergeCell ref="B67:B72"/>
    <mergeCell ref="B73:B80"/>
    <mergeCell ref="B81:B83"/>
    <mergeCell ref="B84:B85"/>
    <mergeCell ref="B86:B87"/>
  </mergeCells>
  <printOptions horizontalCentered="1"/>
  <pageMargins left="0.70866141732283472" right="0.70866141732283472" top="0.74803149606299213" bottom="0.74803149606299213" header="0.31496062992125984" footer="0.31496062992125984"/>
  <pageSetup scale="79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37"/>
  <sheetViews>
    <sheetView showGridLines="0" zoomScaleNormal="100" zoomScaleSheetLayoutView="115" workbookViewId="0">
      <selection activeCell="H35" sqref="H35"/>
    </sheetView>
  </sheetViews>
  <sheetFormatPr baseColWidth="10" defaultColWidth="11.42578125" defaultRowHeight="15"/>
  <cols>
    <col min="1" max="1" width="9.28515625" style="2" customWidth="1"/>
    <col min="2" max="2" width="30.570312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1:4" s="14" customFormat="1" ht="15" customHeight="1">
      <c r="C1" s="20"/>
    </row>
    <row r="2" spans="1:4" s="14" customFormat="1" ht="15" customHeight="1">
      <c r="C2" s="20"/>
    </row>
    <row r="3" spans="1:4" s="14" customFormat="1" ht="15" customHeight="1">
      <c r="C3" s="20"/>
    </row>
    <row r="4" spans="1:4" s="14" customFormat="1" ht="30" customHeight="1">
      <c r="C4" s="20"/>
      <c r="D4" s="19"/>
    </row>
    <row r="5" spans="1:4" s="14" customFormat="1" ht="15" customHeight="1">
      <c r="C5" s="20"/>
      <c r="D5" s="19"/>
    </row>
    <row r="6" spans="1:4" s="14" customFormat="1" ht="15" customHeight="1">
      <c r="C6" s="20"/>
      <c r="D6" s="19"/>
    </row>
    <row r="7" spans="1:4" s="14" customFormat="1" ht="15" customHeight="1">
      <c r="B7" s="77" t="s">
        <v>52</v>
      </c>
      <c r="C7" s="77"/>
      <c r="D7" s="77"/>
    </row>
    <row r="8" spans="1:4" s="14" customFormat="1" ht="15" customHeight="1">
      <c r="B8" s="77"/>
      <c r="C8" s="77"/>
      <c r="D8" s="77"/>
    </row>
    <row r="9" spans="1:4" s="14" customFormat="1" ht="33" customHeight="1">
      <c r="B9" s="77"/>
      <c r="C9" s="77"/>
      <c r="D9" s="77"/>
    </row>
    <row r="10" spans="1:4" s="14" customFormat="1" ht="4.5" customHeight="1">
      <c r="B10" s="18"/>
      <c r="C10" s="18"/>
      <c r="D10" s="18"/>
    </row>
    <row r="11" spans="1:4" s="14" customFormat="1" ht="33" customHeight="1">
      <c r="B11" s="17" t="s">
        <v>51</v>
      </c>
      <c r="C11" s="16" t="s">
        <v>37</v>
      </c>
      <c r="D11" s="15" t="s">
        <v>36</v>
      </c>
    </row>
    <row r="12" spans="1:4">
      <c r="B12" s="12" t="s">
        <v>98</v>
      </c>
      <c r="C12" s="11">
        <v>1</v>
      </c>
      <c r="D12" s="10">
        <v>6.6666666666666671E-3</v>
      </c>
    </row>
    <row r="13" spans="1:4">
      <c r="B13" s="12" t="s">
        <v>99</v>
      </c>
      <c r="C13" s="11">
        <v>3</v>
      </c>
      <c r="D13" s="10">
        <v>0.02</v>
      </c>
    </row>
    <row r="14" spans="1:4">
      <c r="A14" s="13"/>
      <c r="B14" s="12" t="s">
        <v>100</v>
      </c>
      <c r="C14" s="11">
        <v>3</v>
      </c>
      <c r="D14" s="10">
        <v>0.02</v>
      </c>
    </row>
    <row r="15" spans="1:4">
      <c r="A15" s="13"/>
      <c r="B15" s="12" t="s">
        <v>189</v>
      </c>
      <c r="C15" s="11">
        <v>3</v>
      </c>
      <c r="D15" s="10">
        <v>0.02</v>
      </c>
    </row>
    <row r="16" spans="1:4">
      <c r="B16" s="12" t="s">
        <v>50</v>
      </c>
      <c r="C16" s="11">
        <v>8</v>
      </c>
      <c r="D16" s="10">
        <v>5.3333333333333337E-2</v>
      </c>
    </row>
    <row r="17" spans="2:4">
      <c r="B17" s="12" t="s">
        <v>49</v>
      </c>
      <c r="C17" s="11">
        <v>19</v>
      </c>
      <c r="D17" s="10">
        <v>0.12666666666666668</v>
      </c>
    </row>
    <row r="18" spans="2:4">
      <c r="B18" s="12" t="s">
        <v>48</v>
      </c>
      <c r="C18" s="11">
        <v>1</v>
      </c>
      <c r="D18" s="10">
        <v>6.6666666666666671E-3</v>
      </c>
    </row>
    <row r="19" spans="2:4">
      <c r="B19" s="12" t="s">
        <v>47</v>
      </c>
      <c r="C19" s="11">
        <v>2</v>
      </c>
      <c r="D19" s="10">
        <v>1.3333333333333334E-2</v>
      </c>
    </row>
    <row r="20" spans="2:4">
      <c r="B20" s="12" t="s">
        <v>46</v>
      </c>
      <c r="C20" s="11">
        <v>14</v>
      </c>
      <c r="D20" s="10">
        <v>9.3333333333333338E-2</v>
      </c>
    </row>
    <row r="21" spans="2:4">
      <c r="B21" s="12" t="s">
        <v>45</v>
      </c>
      <c r="C21" s="11">
        <v>53</v>
      </c>
      <c r="D21" s="10">
        <v>0.35333333333333333</v>
      </c>
    </row>
    <row r="22" spans="2:4">
      <c r="B22" s="12" t="s">
        <v>101</v>
      </c>
      <c r="C22" s="11">
        <v>2</v>
      </c>
      <c r="D22" s="10">
        <v>1.3333333333333334E-2</v>
      </c>
    </row>
    <row r="23" spans="2:4">
      <c r="B23" s="12" t="s">
        <v>44</v>
      </c>
      <c r="C23" s="11">
        <v>8</v>
      </c>
      <c r="D23" s="10">
        <v>5.3333333333333337E-2</v>
      </c>
    </row>
    <row r="24" spans="2:4">
      <c r="B24" s="12" t="s">
        <v>43</v>
      </c>
      <c r="C24" s="11">
        <v>26</v>
      </c>
      <c r="D24" s="10">
        <v>0.17333333333333334</v>
      </c>
    </row>
    <row r="25" spans="2:4">
      <c r="B25" s="12" t="s">
        <v>42</v>
      </c>
      <c r="C25" s="11">
        <v>4</v>
      </c>
      <c r="D25" s="10">
        <v>2.6666666666666668E-2</v>
      </c>
    </row>
    <row r="26" spans="2:4">
      <c r="B26" s="12" t="s">
        <v>41</v>
      </c>
      <c r="C26" s="11">
        <v>2</v>
      </c>
      <c r="D26" s="10">
        <v>1.3333333333333334E-2</v>
      </c>
    </row>
    <row r="27" spans="2:4">
      <c r="B27" s="12" t="s">
        <v>190</v>
      </c>
      <c r="C27" s="11">
        <v>1</v>
      </c>
      <c r="D27" s="10">
        <v>6.6666666666666671E-3</v>
      </c>
    </row>
    <row r="28" spans="2:4">
      <c r="B28" s="9" t="s">
        <v>15</v>
      </c>
      <c r="C28" s="8">
        <v>150</v>
      </c>
      <c r="D28" s="7">
        <v>1</v>
      </c>
    </row>
    <row r="30" spans="2:4">
      <c r="B30" s="4" t="s">
        <v>182</v>
      </c>
    </row>
    <row r="31" spans="2:4">
      <c r="B31" s="6" t="s">
        <v>14</v>
      </c>
    </row>
    <row r="32" spans="2:4">
      <c r="B32" s="5" t="s">
        <v>13</v>
      </c>
    </row>
    <row r="33" spans="2:2">
      <c r="B33" s="4" t="s">
        <v>12</v>
      </c>
    </row>
    <row r="34" spans="2:2">
      <c r="B34" s="4" t="s">
        <v>183</v>
      </c>
    </row>
    <row r="35" spans="2:2">
      <c r="B35" s="5"/>
    </row>
    <row r="36" spans="2:2">
      <c r="B36" s="4"/>
    </row>
    <row r="37" spans="2:2">
      <c r="B37" s="4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4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122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21" customWidth="1"/>
    <col min="2" max="2" width="22.85546875" style="22" customWidth="1"/>
    <col min="3" max="3" width="31.42578125" style="22" customWidth="1"/>
    <col min="4" max="4" width="14.28515625" style="22" customWidth="1"/>
    <col min="5" max="5" width="16.85546875" style="22" customWidth="1"/>
    <col min="6" max="16384" width="35" style="21"/>
  </cols>
  <sheetData>
    <row r="1" spans="1:5" s="29" customFormat="1" ht="12" customHeight="1">
      <c r="B1" s="33"/>
      <c r="C1" s="32"/>
      <c r="D1" s="32"/>
      <c r="E1" s="32"/>
    </row>
    <row r="2" spans="1:5" s="29" customFormat="1" ht="15" customHeight="1">
      <c r="C2" s="31"/>
    </row>
    <row r="3" spans="1:5" s="29" customFormat="1" ht="15" customHeight="1">
      <c r="C3" s="31"/>
    </row>
    <row r="4" spans="1:5" s="29" customFormat="1" ht="30" customHeight="1">
      <c r="C4" s="31"/>
      <c r="D4" s="30"/>
    </row>
    <row r="5" spans="1:5" s="29" customFormat="1" ht="15" customHeight="1">
      <c r="C5" s="31"/>
      <c r="D5" s="30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81"/>
      <c r="C7" s="81"/>
      <c r="D7" s="81"/>
      <c r="E7" s="81"/>
    </row>
    <row r="8" spans="1:5" s="26" customFormat="1" ht="33" customHeight="1">
      <c r="A8" s="27"/>
      <c r="B8" s="81"/>
      <c r="C8" s="81"/>
      <c r="D8" s="81"/>
      <c r="E8" s="81"/>
    </row>
    <row r="9" spans="1:5" s="14" customFormat="1" ht="40.5" customHeight="1">
      <c r="B9" s="52" t="s">
        <v>51</v>
      </c>
      <c r="C9" s="52" t="s">
        <v>38</v>
      </c>
      <c r="D9" s="53" t="s">
        <v>37</v>
      </c>
      <c r="E9" s="52" t="s">
        <v>36</v>
      </c>
    </row>
    <row r="10" spans="1:5" ht="15" customHeight="1">
      <c r="B10" s="78" t="s">
        <v>98</v>
      </c>
      <c r="C10" s="54" t="s">
        <v>35</v>
      </c>
      <c r="D10" s="55">
        <v>1</v>
      </c>
      <c r="E10" s="56">
        <v>6.6666666666666671E-3</v>
      </c>
    </row>
    <row r="11" spans="1:5" ht="15" customHeight="1">
      <c r="B11" s="80"/>
      <c r="C11" s="57" t="s">
        <v>15</v>
      </c>
      <c r="D11" s="58">
        <v>1</v>
      </c>
      <c r="E11" s="59">
        <v>6.6666666666666671E-3</v>
      </c>
    </row>
    <row r="12" spans="1:5" ht="15" customHeight="1">
      <c r="B12" s="78" t="s">
        <v>99</v>
      </c>
      <c r="C12" s="54" t="s">
        <v>29</v>
      </c>
      <c r="D12" s="55">
        <v>1</v>
      </c>
      <c r="E12" s="56">
        <v>6.6666666666666671E-3</v>
      </c>
    </row>
    <row r="13" spans="1:5" ht="15" customHeight="1">
      <c r="B13" s="79"/>
      <c r="C13" s="54" t="s">
        <v>70</v>
      </c>
      <c r="D13" s="55">
        <v>1</v>
      </c>
      <c r="E13" s="56">
        <v>6.6666666666666671E-3</v>
      </c>
    </row>
    <row r="14" spans="1:5" ht="15" customHeight="1">
      <c r="B14" s="79"/>
      <c r="C14" s="54" t="s">
        <v>28</v>
      </c>
      <c r="D14" s="55">
        <v>1</v>
      </c>
      <c r="E14" s="56">
        <v>6.6666666666666671E-3</v>
      </c>
    </row>
    <row r="15" spans="1:5" ht="15" customHeight="1">
      <c r="B15" s="80"/>
      <c r="C15" s="57" t="s">
        <v>15</v>
      </c>
      <c r="D15" s="58">
        <v>3</v>
      </c>
      <c r="E15" s="59">
        <v>0.02</v>
      </c>
    </row>
    <row r="16" spans="1:5" ht="15" customHeight="1">
      <c r="B16" s="78" t="s">
        <v>100</v>
      </c>
      <c r="C16" s="54" t="s">
        <v>31</v>
      </c>
      <c r="D16" s="55">
        <v>1</v>
      </c>
      <c r="E16" s="56">
        <v>6.6666666666666671E-3</v>
      </c>
    </row>
    <row r="17" spans="2:5" ht="15" customHeight="1">
      <c r="B17" s="79"/>
      <c r="C17" s="54" t="s">
        <v>21</v>
      </c>
      <c r="D17" s="55">
        <v>1</v>
      </c>
      <c r="E17" s="56">
        <v>6.6666666666666671E-3</v>
      </c>
    </row>
    <row r="18" spans="2:5" ht="15" customHeight="1">
      <c r="B18" s="79"/>
      <c r="C18" s="54" t="s">
        <v>33</v>
      </c>
      <c r="D18" s="55">
        <v>1</v>
      </c>
      <c r="E18" s="56">
        <v>6.6666666666666671E-3</v>
      </c>
    </row>
    <row r="19" spans="2:5" ht="15" customHeight="1">
      <c r="B19" s="80"/>
      <c r="C19" s="57" t="s">
        <v>15</v>
      </c>
      <c r="D19" s="58">
        <v>3</v>
      </c>
      <c r="E19" s="59">
        <v>0.02</v>
      </c>
    </row>
    <row r="20" spans="2:5" ht="15" customHeight="1">
      <c r="B20" s="78" t="s">
        <v>189</v>
      </c>
      <c r="C20" s="54" t="s">
        <v>110</v>
      </c>
      <c r="D20" s="55">
        <v>1</v>
      </c>
      <c r="E20" s="56">
        <v>6.6666666666666671E-3</v>
      </c>
    </row>
    <row r="21" spans="2:5" ht="15" customHeight="1">
      <c r="B21" s="79"/>
      <c r="C21" s="54" t="s">
        <v>30</v>
      </c>
      <c r="D21" s="55">
        <v>1</v>
      </c>
      <c r="E21" s="56">
        <v>6.6666666666666671E-3</v>
      </c>
    </row>
    <row r="22" spans="2:5" ht="15" customHeight="1">
      <c r="B22" s="79"/>
      <c r="C22" s="54" t="s">
        <v>33</v>
      </c>
      <c r="D22" s="55">
        <v>1</v>
      </c>
      <c r="E22" s="56">
        <v>6.6666666666666671E-3</v>
      </c>
    </row>
    <row r="23" spans="2:5" ht="15" customHeight="1">
      <c r="B23" s="80"/>
      <c r="C23" s="57" t="s">
        <v>15</v>
      </c>
      <c r="D23" s="58">
        <v>3</v>
      </c>
      <c r="E23" s="59">
        <v>0.02</v>
      </c>
    </row>
    <row r="24" spans="2:5" ht="15" customHeight="1">
      <c r="B24" s="78" t="s">
        <v>50</v>
      </c>
      <c r="C24" s="54" t="s">
        <v>32</v>
      </c>
      <c r="D24" s="55">
        <v>1</v>
      </c>
      <c r="E24" s="56">
        <v>6.6666666666666671E-3</v>
      </c>
    </row>
    <row r="25" spans="2:5" ht="15" customHeight="1">
      <c r="B25" s="79"/>
      <c r="C25" s="54" t="s">
        <v>30</v>
      </c>
      <c r="D25" s="55">
        <v>1</v>
      </c>
      <c r="E25" s="56">
        <v>6.6666666666666671E-3</v>
      </c>
    </row>
    <row r="26" spans="2:5" ht="15" customHeight="1">
      <c r="B26" s="79"/>
      <c r="C26" s="54" t="s">
        <v>17</v>
      </c>
      <c r="D26" s="55">
        <v>1</v>
      </c>
      <c r="E26" s="56">
        <v>6.6666666666666671E-3</v>
      </c>
    </row>
    <row r="27" spans="2:5" ht="15" customHeight="1">
      <c r="B27" s="79"/>
      <c r="C27" s="54" t="s">
        <v>70</v>
      </c>
      <c r="D27" s="55">
        <v>2</v>
      </c>
      <c r="E27" s="56">
        <v>1.3333333333333334E-2</v>
      </c>
    </row>
    <row r="28" spans="2:5" ht="15" customHeight="1">
      <c r="B28" s="79"/>
      <c r="C28" s="54" t="s">
        <v>33</v>
      </c>
      <c r="D28" s="55">
        <v>3</v>
      </c>
      <c r="E28" s="56">
        <v>0.02</v>
      </c>
    </row>
    <row r="29" spans="2:5" ht="15" customHeight="1">
      <c r="B29" s="80"/>
      <c r="C29" s="57" t="s">
        <v>15</v>
      </c>
      <c r="D29" s="58">
        <v>8</v>
      </c>
      <c r="E29" s="59">
        <v>5.3333333333333337E-2</v>
      </c>
    </row>
    <row r="30" spans="2:5" ht="15" customHeight="1">
      <c r="B30" s="78" t="s">
        <v>49</v>
      </c>
      <c r="C30" s="54" t="s">
        <v>27</v>
      </c>
      <c r="D30" s="55">
        <v>2</v>
      </c>
      <c r="E30" s="56">
        <v>1.3333333333333334E-2</v>
      </c>
    </row>
    <row r="31" spans="2:5" ht="15" customHeight="1">
      <c r="B31" s="79"/>
      <c r="C31" s="54" t="s">
        <v>32</v>
      </c>
      <c r="D31" s="55">
        <v>1</v>
      </c>
      <c r="E31" s="56">
        <v>6.6666666666666671E-3</v>
      </c>
    </row>
    <row r="32" spans="2:5" ht="15" customHeight="1">
      <c r="B32" s="79"/>
      <c r="C32" s="54" t="s">
        <v>31</v>
      </c>
      <c r="D32" s="55">
        <v>2</v>
      </c>
      <c r="E32" s="56">
        <v>1.3333333333333334E-2</v>
      </c>
    </row>
    <row r="33" spans="2:5" ht="15" customHeight="1">
      <c r="B33" s="79"/>
      <c r="C33" s="54" t="s">
        <v>30</v>
      </c>
      <c r="D33" s="55">
        <v>6</v>
      </c>
      <c r="E33" s="56">
        <v>0.04</v>
      </c>
    </row>
    <row r="34" spans="2:5" ht="15" customHeight="1">
      <c r="B34" s="79"/>
      <c r="C34" s="54" t="s">
        <v>29</v>
      </c>
      <c r="D34" s="55">
        <v>3</v>
      </c>
      <c r="E34" s="56">
        <v>0.02</v>
      </c>
    </row>
    <row r="35" spans="2:5" ht="15" customHeight="1">
      <c r="B35" s="79"/>
      <c r="C35" s="54" t="s">
        <v>17</v>
      </c>
      <c r="D35" s="55">
        <v>1</v>
      </c>
      <c r="E35" s="56">
        <v>6.6666666666666671E-3</v>
      </c>
    </row>
    <row r="36" spans="2:5" ht="15" customHeight="1">
      <c r="B36" s="79"/>
      <c r="C36" s="54" t="s">
        <v>34</v>
      </c>
      <c r="D36" s="55">
        <v>1</v>
      </c>
      <c r="E36" s="56">
        <v>6.6666666666666671E-3</v>
      </c>
    </row>
    <row r="37" spans="2:5" ht="15" customHeight="1">
      <c r="B37" s="79"/>
      <c r="C37" s="54" t="s">
        <v>70</v>
      </c>
      <c r="D37" s="55">
        <v>2</v>
      </c>
      <c r="E37" s="56">
        <v>1.3333333333333334E-2</v>
      </c>
    </row>
    <row r="38" spans="2:5" ht="15" customHeight="1">
      <c r="B38" s="79"/>
      <c r="C38" s="54" t="s">
        <v>28</v>
      </c>
      <c r="D38" s="55">
        <v>1</v>
      </c>
      <c r="E38" s="56">
        <v>6.6666666666666671E-3</v>
      </c>
    </row>
    <row r="39" spans="2:5" ht="15" customHeight="1">
      <c r="B39" s="80"/>
      <c r="C39" s="57" t="s">
        <v>15</v>
      </c>
      <c r="D39" s="58">
        <v>19</v>
      </c>
      <c r="E39" s="59">
        <v>0.12666666666666668</v>
      </c>
    </row>
    <row r="40" spans="2:5" ht="15" customHeight="1">
      <c r="B40" s="78" t="s">
        <v>48</v>
      </c>
      <c r="C40" s="54" t="s">
        <v>35</v>
      </c>
      <c r="D40" s="55">
        <v>1</v>
      </c>
      <c r="E40" s="56">
        <v>6.6666666666666671E-3</v>
      </c>
    </row>
    <row r="41" spans="2:5" ht="15" customHeight="1">
      <c r="B41" s="80"/>
      <c r="C41" s="57" t="s">
        <v>15</v>
      </c>
      <c r="D41" s="58">
        <v>1</v>
      </c>
      <c r="E41" s="59">
        <v>6.6666666666666671E-3</v>
      </c>
    </row>
    <row r="42" spans="2:5" ht="15" customHeight="1">
      <c r="B42" s="78" t="s">
        <v>47</v>
      </c>
      <c r="C42" s="54" t="s">
        <v>34</v>
      </c>
      <c r="D42" s="55">
        <v>1</v>
      </c>
      <c r="E42" s="56">
        <v>6.6666666666666671E-3</v>
      </c>
    </row>
    <row r="43" spans="2:5" ht="15" customHeight="1">
      <c r="B43" s="79"/>
      <c r="C43" s="54" t="s">
        <v>166</v>
      </c>
      <c r="D43" s="55">
        <v>1</v>
      </c>
      <c r="E43" s="56">
        <v>6.6666666666666671E-3</v>
      </c>
    </row>
    <row r="44" spans="2:5" ht="15" customHeight="1">
      <c r="B44" s="80"/>
      <c r="C44" s="57" t="s">
        <v>15</v>
      </c>
      <c r="D44" s="58">
        <v>2</v>
      </c>
      <c r="E44" s="59">
        <v>1.3333333333333334E-2</v>
      </c>
    </row>
    <row r="45" spans="2:5" ht="15" customHeight="1">
      <c r="B45" s="78" t="s">
        <v>46</v>
      </c>
      <c r="C45" s="54" t="s">
        <v>25</v>
      </c>
      <c r="D45" s="55">
        <v>1</v>
      </c>
      <c r="E45" s="56">
        <v>6.6666666666666671E-3</v>
      </c>
    </row>
    <row r="46" spans="2:5" ht="15" customHeight="1">
      <c r="B46" s="79"/>
      <c r="C46" s="54" t="s">
        <v>27</v>
      </c>
      <c r="D46" s="55">
        <v>2</v>
      </c>
      <c r="E46" s="56">
        <v>1.3333333333333334E-2</v>
      </c>
    </row>
    <row r="47" spans="2:5" ht="15" customHeight="1">
      <c r="B47" s="79"/>
      <c r="C47" s="54" t="s">
        <v>26</v>
      </c>
      <c r="D47" s="55">
        <v>1</v>
      </c>
      <c r="E47" s="56">
        <v>6.6666666666666671E-3</v>
      </c>
    </row>
    <row r="48" spans="2:5" ht="15" customHeight="1">
      <c r="B48" s="79"/>
      <c r="C48" s="54" t="s">
        <v>18</v>
      </c>
      <c r="D48" s="55">
        <v>1</v>
      </c>
      <c r="E48" s="56">
        <v>6.6666666666666671E-3</v>
      </c>
    </row>
    <row r="49" spans="2:5" ht="15" customHeight="1">
      <c r="B49" s="79"/>
      <c r="C49" s="54" t="s">
        <v>17</v>
      </c>
      <c r="D49" s="55">
        <v>1</v>
      </c>
      <c r="E49" s="56">
        <v>6.6666666666666671E-3</v>
      </c>
    </row>
    <row r="50" spans="2:5" ht="15" customHeight="1">
      <c r="B50" s="79"/>
      <c r="C50" s="54" t="s">
        <v>35</v>
      </c>
      <c r="D50" s="55">
        <v>1</v>
      </c>
      <c r="E50" s="56">
        <v>6.6666666666666671E-3</v>
      </c>
    </row>
    <row r="51" spans="2:5" ht="15" customHeight="1">
      <c r="B51" s="79"/>
      <c r="C51" s="54" t="s">
        <v>34</v>
      </c>
      <c r="D51" s="55">
        <v>1</v>
      </c>
      <c r="E51" s="56">
        <v>6.6666666666666671E-3</v>
      </c>
    </row>
    <row r="52" spans="2:5" ht="15" customHeight="1">
      <c r="B52" s="79"/>
      <c r="C52" s="54" t="s">
        <v>24</v>
      </c>
      <c r="D52" s="55">
        <v>1</v>
      </c>
      <c r="E52" s="56">
        <v>6.6666666666666671E-3</v>
      </c>
    </row>
    <row r="53" spans="2:5" ht="15" customHeight="1">
      <c r="B53" s="79"/>
      <c r="C53" s="54" t="s">
        <v>70</v>
      </c>
      <c r="D53" s="55">
        <v>1</v>
      </c>
      <c r="E53" s="56">
        <v>6.6666666666666671E-3</v>
      </c>
    </row>
    <row r="54" spans="2:5" ht="15" customHeight="1">
      <c r="B54" s="79"/>
      <c r="C54" s="54" t="s">
        <v>28</v>
      </c>
      <c r="D54" s="55">
        <v>2</v>
      </c>
      <c r="E54" s="56">
        <v>1.3333333333333334E-2</v>
      </c>
    </row>
    <row r="55" spans="2:5" ht="15" customHeight="1">
      <c r="B55" s="79"/>
      <c r="C55" s="54" t="s">
        <v>33</v>
      </c>
      <c r="D55" s="55">
        <v>1</v>
      </c>
      <c r="E55" s="56">
        <v>6.6666666666666671E-3</v>
      </c>
    </row>
    <row r="56" spans="2:5" ht="15" customHeight="1">
      <c r="B56" s="79"/>
      <c r="C56" s="54" t="s">
        <v>19</v>
      </c>
      <c r="D56" s="55">
        <v>1</v>
      </c>
      <c r="E56" s="56">
        <v>6.6666666666666671E-3</v>
      </c>
    </row>
    <row r="57" spans="2:5" ht="15" customHeight="1">
      <c r="B57" s="80"/>
      <c r="C57" s="57" t="s">
        <v>15</v>
      </c>
      <c r="D57" s="58">
        <v>14</v>
      </c>
      <c r="E57" s="59">
        <v>9.3333333333333338E-2</v>
      </c>
    </row>
    <row r="58" spans="2:5" ht="15" customHeight="1">
      <c r="B58" s="78" t="s">
        <v>45</v>
      </c>
      <c r="C58" s="54" t="s">
        <v>25</v>
      </c>
      <c r="D58" s="55">
        <v>4</v>
      </c>
      <c r="E58" s="56">
        <v>2.6666666666666668E-2</v>
      </c>
    </row>
    <row r="59" spans="2:5" ht="15" customHeight="1">
      <c r="B59" s="79"/>
      <c r="C59" s="54" t="s">
        <v>110</v>
      </c>
      <c r="D59" s="55">
        <v>1</v>
      </c>
      <c r="E59" s="56">
        <v>6.6666666666666671E-3</v>
      </c>
    </row>
    <row r="60" spans="2:5" ht="15" customHeight="1">
      <c r="B60" s="79"/>
      <c r="C60" s="54" t="s">
        <v>71</v>
      </c>
      <c r="D60" s="55">
        <v>1</v>
      </c>
      <c r="E60" s="56">
        <v>6.6666666666666671E-3</v>
      </c>
    </row>
    <row r="61" spans="2:5" ht="15" customHeight="1">
      <c r="B61" s="79"/>
      <c r="C61" s="54" t="s">
        <v>27</v>
      </c>
      <c r="D61" s="55">
        <v>2</v>
      </c>
      <c r="E61" s="56">
        <v>1.3333333333333334E-2</v>
      </c>
    </row>
    <row r="62" spans="2:5" ht="15" customHeight="1">
      <c r="B62" s="79"/>
      <c r="C62" s="54" t="s">
        <v>32</v>
      </c>
      <c r="D62" s="55">
        <v>3</v>
      </c>
      <c r="E62" s="56">
        <v>0.02</v>
      </c>
    </row>
    <row r="63" spans="2:5" ht="15" customHeight="1">
      <c r="B63" s="79"/>
      <c r="C63" s="54" t="s">
        <v>26</v>
      </c>
      <c r="D63" s="55">
        <v>3</v>
      </c>
      <c r="E63" s="56">
        <v>0.02</v>
      </c>
    </row>
    <row r="64" spans="2:5" ht="15" customHeight="1">
      <c r="B64" s="79"/>
      <c r="C64" s="54" t="s">
        <v>18</v>
      </c>
      <c r="D64" s="55">
        <v>2</v>
      </c>
      <c r="E64" s="56">
        <v>1.3333333333333334E-2</v>
      </c>
    </row>
    <row r="65" spans="2:6" ht="15" customHeight="1">
      <c r="B65" s="79"/>
      <c r="C65" s="54" t="s">
        <v>31</v>
      </c>
      <c r="D65" s="55">
        <v>6</v>
      </c>
      <c r="E65" s="56">
        <v>0.04</v>
      </c>
    </row>
    <row r="66" spans="2:6" ht="15" customHeight="1">
      <c r="B66" s="79"/>
      <c r="C66" s="54" t="s">
        <v>30</v>
      </c>
      <c r="D66" s="55">
        <v>6</v>
      </c>
      <c r="E66" s="56">
        <v>0.04</v>
      </c>
    </row>
    <row r="67" spans="2:6" ht="15" customHeight="1">
      <c r="B67" s="79"/>
      <c r="C67" s="54" t="s">
        <v>29</v>
      </c>
      <c r="D67" s="55">
        <v>1</v>
      </c>
      <c r="E67" s="56">
        <v>6.6666666666666671E-3</v>
      </c>
    </row>
    <row r="68" spans="2:6" ht="15" customHeight="1">
      <c r="B68" s="79"/>
      <c r="C68" s="54" t="s">
        <v>17</v>
      </c>
      <c r="D68" s="55">
        <v>2</v>
      </c>
      <c r="E68" s="56">
        <v>1.3333333333333334E-2</v>
      </c>
    </row>
    <row r="69" spans="2:6" ht="15" customHeight="1">
      <c r="B69" s="79"/>
      <c r="C69" s="54" t="s">
        <v>35</v>
      </c>
      <c r="D69" s="55">
        <v>3</v>
      </c>
      <c r="E69" s="56">
        <v>0.02</v>
      </c>
      <c r="F69" s="2"/>
    </row>
    <row r="70" spans="2:6" ht="15" customHeight="1">
      <c r="B70" s="79"/>
      <c r="C70" s="54" t="s">
        <v>23</v>
      </c>
      <c r="D70" s="55">
        <v>1</v>
      </c>
      <c r="E70" s="56">
        <v>6.6666666666666671E-3</v>
      </c>
      <c r="F70" s="2"/>
    </row>
    <row r="71" spans="2:6" ht="15" customHeight="1">
      <c r="B71" s="79"/>
      <c r="C71" s="54" t="s">
        <v>22</v>
      </c>
      <c r="D71" s="55">
        <v>3</v>
      </c>
      <c r="E71" s="56">
        <v>0.02</v>
      </c>
      <c r="F71" s="2"/>
    </row>
    <row r="72" spans="2:6" ht="15" customHeight="1">
      <c r="B72" s="79"/>
      <c r="C72" s="54" t="s">
        <v>70</v>
      </c>
      <c r="D72" s="55">
        <v>3</v>
      </c>
      <c r="E72" s="56">
        <v>0.02</v>
      </c>
      <c r="F72" s="2"/>
    </row>
    <row r="73" spans="2:6" ht="15" customHeight="1">
      <c r="B73" s="79"/>
      <c r="C73" s="54" t="s">
        <v>16</v>
      </c>
      <c r="D73" s="55">
        <v>1</v>
      </c>
      <c r="E73" s="56">
        <v>6.6666666666666671E-3</v>
      </c>
      <c r="F73" s="2"/>
    </row>
    <row r="74" spans="2:6" ht="15" customHeight="1">
      <c r="B74" s="79"/>
      <c r="C74" s="54" t="s">
        <v>33</v>
      </c>
      <c r="D74" s="55">
        <v>7</v>
      </c>
      <c r="E74" s="56">
        <v>4.6666666666666669E-2</v>
      </c>
    </row>
    <row r="75" spans="2:6" ht="15" customHeight="1">
      <c r="B75" s="79"/>
      <c r="C75" s="54" t="s">
        <v>19</v>
      </c>
      <c r="D75" s="55">
        <v>4</v>
      </c>
      <c r="E75" s="56">
        <v>2.6666666666666668E-2</v>
      </c>
    </row>
    <row r="76" spans="2:6" ht="15" customHeight="1">
      <c r="B76" s="80"/>
      <c r="C76" s="57" t="s">
        <v>15</v>
      </c>
      <c r="D76" s="58">
        <v>53</v>
      </c>
      <c r="E76" s="59">
        <v>0.35333333333333333</v>
      </c>
    </row>
    <row r="77" spans="2:6" ht="15" customHeight="1">
      <c r="B77" s="78" t="s">
        <v>102</v>
      </c>
      <c r="C77" s="54" t="s">
        <v>74</v>
      </c>
      <c r="D77" s="55">
        <v>1</v>
      </c>
      <c r="E77" s="56">
        <v>6.6666666666666671E-3</v>
      </c>
    </row>
    <row r="78" spans="2:6" ht="15" customHeight="1">
      <c r="B78" s="79"/>
      <c r="C78" s="54" t="s">
        <v>19</v>
      </c>
      <c r="D78" s="55">
        <v>1</v>
      </c>
      <c r="E78" s="56">
        <v>6.6666666666666671E-3</v>
      </c>
    </row>
    <row r="79" spans="2:6" ht="15" customHeight="1">
      <c r="B79" s="80"/>
      <c r="C79" s="57" t="s">
        <v>15</v>
      </c>
      <c r="D79" s="58">
        <v>2</v>
      </c>
      <c r="E79" s="59">
        <v>1.3333333333333334E-2</v>
      </c>
    </row>
    <row r="80" spans="2:6" ht="15" customHeight="1">
      <c r="B80" s="78" t="s">
        <v>44</v>
      </c>
      <c r="C80" s="54" t="s">
        <v>25</v>
      </c>
      <c r="D80" s="55">
        <v>2</v>
      </c>
      <c r="E80" s="56">
        <v>1.3333333333333334E-2</v>
      </c>
    </row>
    <row r="81" spans="2:5" ht="15" customHeight="1">
      <c r="B81" s="79"/>
      <c r="C81" s="54" t="s">
        <v>18</v>
      </c>
      <c r="D81" s="55">
        <v>1</v>
      </c>
      <c r="E81" s="56">
        <v>6.6666666666666671E-3</v>
      </c>
    </row>
    <row r="82" spans="2:5" ht="15" customHeight="1">
      <c r="B82" s="79"/>
      <c r="C82" s="54" t="s">
        <v>30</v>
      </c>
      <c r="D82" s="55">
        <v>1</v>
      </c>
      <c r="E82" s="56">
        <v>6.6666666666666671E-3</v>
      </c>
    </row>
    <row r="83" spans="2:5" ht="15" customHeight="1">
      <c r="B83" s="79"/>
      <c r="C83" s="54" t="s">
        <v>29</v>
      </c>
      <c r="D83" s="55">
        <v>1</v>
      </c>
      <c r="E83" s="56">
        <v>6.6666666666666671E-3</v>
      </c>
    </row>
    <row r="84" spans="2:5" ht="15" customHeight="1">
      <c r="B84" s="79"/>
      <c r="C84" s="54" t="s">
        <v>17</v>
      </c>
      <c r="D84" s="55">
        <v>1</v>
      </c>
      <c r="E84" s="56">
        <v>6.6666666666666671E-3</v>
      </c>
    </row>
    <row r="85" spans="2:5" ht="15" customHeight="1">
      <c r="B85" s="79"/>
      <c r="C85" s="54" t="s">
        <v>34</v>
      </c>
      <c r="D85" s="55">
        <v>1</v>
      </c>
      <c r="E85" s="56">
        <v>6.6666666666666671E-3</v>
      </c>
    </row>
    <row r="86" spans="2:5" ht="15" customHeight="1">
      <c r="B86" s="79"/>
      <c r="C86" s="54" t="s">
        <v>21</v>
      </c>
      <c r="D86" s="55">
        <v>1</v>
      </c>
      <c r="E86" s="56">
        <v>6.6666666666666671E-3</v>
      </c>
    </row>
    <row r="87" spans="2:5" ht="15" customHeight="1">
      <c r="B87" s="80"/>
      <c r="C87" s="57" t="s">
        <v>15</v>
      </c>
      <c r="D87" s="58">
        <v>8</v>
      </c>
      <c r="E87" s="59">
        <v>5.3333333333333337E-2</v>
      </c>
    </row>
    <row r="88" spans="2:5" ht="15" customHeight="1">
      <c r="B88" s="78" t="s">
        <v>43</v>
      </c>
      <c r="C88" s="54" t="s">
        <v>25</v>
      </c>
      <c r="D88" s="55">
        <v>1</v>
      </c>
      <c r="E88" s="56">
        <v>6.6666666666666671E-3</v>
      </c>
    </row>
    <row r="89" spans="2:5" ht="15" customHeight="1">
      <c r="B89" s="79"/>
      <c r="C89" s="54" t="s">
        <v>71</v>
      </c>
      <c r="D89" s="55">
        <v>1</v>
      </c>
      <c r="E89" s="56">
        <v>6.6666666666666671E-3</v>
      </c>
    </row>
    <row r="90" spans="2:5" ht="15" customHeight="1">
      <c r="B90" s="79"/>
      <c r="C90" s="54" t="s">
        <v>27</v>
      </c>
      <c r="D90" s="55">
        <v>1</v>
      </c>
      <c r="E90" s="56">
        <v>6.6666666666666671E-3</v>
      </c>
    </row>
    <row r="91" spans="2:5" ht="15" customHeight="1">
      <c r="B91" s="79"/>
      <c r="C91" s="54" t="s">
        <v>32</v>
      </c>
      <c r="D91" s="55">
        <v>3</v>
      </c>
      <c r="E91" s="56">
        <v>0.02</v>
      </c>
    </row>
    <row r="92" spans="2:5" ht="15" customHeight="1">
      <c r="B92" s="79"/>
      <c r="C92" s="54" t="s">
        <v>72</v>
      </c>
      <c r="D92" s="55">
        <v>1</v>
      </c>
      <c r="E92" s="56">
        <v>6.6666666666666671E-3</v>
      </c>
    </row>
    <row r="93" spans="2:5" ht="15" customHeight="1">
      <c r="B93" s="79"/>
      <c r="C93" s="54" t="s">
        <v>18</v>
      </c>
      <c r="D93" s="55">
        <v>1</v>
      </c>
      <c r="E93" s="56">
        <v>6.6666666666666671E-3</v>
      </c>
    </row>
    <row r="94" spans="2:5" ht="15" customHeight="1">
      <c r="B94" s="79"/>
      <c r="C94" s="54" t="s">
        <v>31</v>
      </c>
      <c r="D94" s="55">
        <v>2</v>
      </c>
      <c r="E94" s="56">
        <v>1.3333333333333334E-2</v>
      </c>
    </row>
    <row r="95" spans="2:5" ht="15" customHeight="1">
      <c r="B95" s="79"/>
      <c r="C95" s="54" t="s">
        <v>30</v>
      </c>
      <c r="D95" s="55">
        <v>1</v>
      </c>
      <c r="E95" s="56">
        <v>6.6666666666666671E-3</v>
      </c>
    </row>
    <row r="96" spans="2:5" ht="15" customHeight="1">
      <c r="B96" s="79"/>
      <c r="C96" s="54" t="s">
        <v>29</v>
      </c>
      <c r="D96" s="55">
        <v>2</v>
      </c>
      <c r="E96" s="56">
        <v>1.3333333333333334E-2</v>
      </c>
    </row>
    <row r="97" spans="2:5" ht="15" customHeight="1">
      <c r="B97" s="79"/>
      <c r="C97" s="54" t="s">
        <v>35</v>
      </c>
      <c r="D97" s="55">
        <v>2</v>
      </c>
      <c r="E97" s="56">
        <v>1.3333333333333334E-2</v>
      </c>
    </row>
    <row r="98" spans="2:5" ht="15" customHeight="1">
      <c r="B98" s="79"/>
      <c r="C98" s="54" t="s">
        <v>149</v>
      </c>
      <c r="D98" s="55">
        <v>1</v>
      </c>
      <c r="E98" s="56">
        <v>6.6666666666666671E-3</v>
      </c>
    </row>
    <row r="99" spans="2:5" ht="15" customHeight="1">
      <c r="B99" s="79"/>
      <c r="C99" s="54" t="s">
        <v>23</v>
      </c>
      <c r="D99" s="55">
        <v>1</v>
      </c>
      <c r="E99" s="56">
        <v>6.6666666666666671E-3</v>
      </c>
    </row>
    <row r="100" spans="2:5" ht="15" customHeight="1">
      <c r="B100" s="79"/>
      <c r="C100" s="54" t="s">
        <v>28</v>
      </c>
      <c r="D100" s="55">
        <v>1</v>
      </c>
      <c r="E100" s="56">
        <v>6.6666666666666671E-3</v>
      </c>
    </row>
    <row r="101" spans="2:5" ht="15" customHeight="1">
      <c r="B101" s="79"/>
      <c r="C101" s="54" t="s">
        <v>21</v>
      </c>
      <c r="D101" s="55">
        <v>1</v>
      </c>
      <c r="E101" s="56">
        <v>6.6666666666666671E-3</v>
      </c>
    </row>
    <row r="102" spans="2:5" ht="15" customHeight="1">
      <c r="B102" s="79"/>
      <c r="C102" s="54" t="s">
        <v>20</v>
      </c>
      <c r="D102" s="55">
        <v>1</v>
      </c>
      <c r="E102" s="56">
        <v>6.6666666666666671E-3</v>
      </c>
    </row>
    <row r="103" spans="2:5" ht="15" customHeight="1">
      <c r="B103" s="79"/>
      <c r="C103" s="54" t="s">
        <v>33</v>
      </c>
      <c r="D103" s="55">
        <v>5</v>
      </c>
      <c r="E103" s="56">
        <v>3.3333333333333333E-2</v>
      </c>
    </row>
    <row r="104" spans="2:5" ht="15" customHeight="1">
      <c r="B104" s="79"/>
      <c r="C104" s="54" t="s">
        <v>176</v>
      </c>
      <c r="D104" s="55">
        <v>1</v>
      </c>
      <c r="E104" s="56">
        <v>6.6666666666666671E-3</v>
      </c>
    </row>
    <row r="105" spans="2:5" ht="15" customHeight="1">
      <c r="B105" s="80"/>
      <c r="C105" s="57" t="s">
        <v>15</v>
      </c>
      <c r="D105" s="58">
        <v>26</v>
      </c>
      <c r="E105" s="59">
        <v>0.17333333333333334</v>
      </c>
    </row>
    <row r="106" spans="2:5" ht="15" customHeight="1">
      <c r="B106" s="78" t="s">
        <v>42</v>
      </c>
      <c r="C106" s="54" t="s">
        <v>18</v>
      </c>
      <c r="D106" s="55">
        <v>1</v>
      </c>
      <c r="E106" s="56">
        <v>6.6666666666666671E-3</v>
      </c>
    </row>
    <row r="107" spans="2:5" ht="15" customHeight="1">
      <c r="B107" s="79"/>
      <c r="C107" s="54" t="s">
        <v>29</v>
      </c>
      <c r="D107" s="55">
        <v>1</v>
      </c>
      <c r="E107" s="56">
        <v>6.6666666666666671E-3</v>
      </c>
    </row>
    <row r="108" spans="2:5" ht="15" customHeight="1">
      <c r="B108" s="79"/>
      <c r="C108" s="54" t="s">
        <v>34</v>
      </c>
      <c r="D108" s="55">
        <v>1</v>
      </c>
      <c r="E108" s="56">
        <v>6.6666666666666671E-3</v>
      </c>
    </row>
    <row r="109" spans="2:5" ht="15" customHeight="1">
      <c r="B109" s="79"/>
      <c r="C109" s="54" t="s">
        <v>73</v>
      </c>
      <c r="D109" s="55">
        <v>1</v>
      </c>
      <c r="E109" s="56">
        <v>6.6666666666666671E-3</v>
      </c>
    </row>
    <row r="110" spans="2:5" ht="15" customHeight="1">
      <c r="B110" s="80"/>
      <c r="C110" s="57" t="s">
        <v>15</v>
      </c>
      <c r="D110" s="58">
        <v>4</v>
      </c>
      <c r="E110" s="59">
        <v>2.6666666666666668E-2</v>
      </c>
    </row>
    <row r="111" spans="2:5" ht="15" customHeight="1">
      <c r="B111" s="78" t="s">
        <v>69</v>
      </c>
      <c r="C111" s="54" t="s">
        <v>35</v>
      </c>
      <c r="D111" s="55">
        <v>1</v>
      </c>
      <c r="E111" s="56">
        <v>6.6666666666666671E-3</v>
      </c>
    </row>
    <row r="112" spans="2:5" ht="15" customHeight="1">
      <c r="B112" s="79"/>
      <c r="C112" s="54" t="s">
        <v>33</v>
      </c>
      <c r="D112" s="55">
        <v>1</v>
      </c>
      <c r="E112" s="56">
        <v>6.6666666666666671E-3</v>
      </c>
    </row>
    <row r="113" spans="2:5" ht="15" customHeight="1">
      <c r="B113" s="80"/>
      <c r="C113" s="57" t="s">
        <v>15</v>
      </c>
      <c r="D113" s="58">
        <v>2</v>
      </c>
      <c r="E113" s="59">
        <v>1.3333333333333334E-2</v>
      </c>
    </row>
    <row r="114" spans="2:5" ht="15" customHeight="1">
      <c r="B114" s="78" t="s">
        <v>190</v>
      </c>
      <c r="C114" s="54" t="s">
        <v>23</v>
      </c>
      <c r="D114" s="55">
        <v>1</v>
      </c>
      <c r="E114" s="56">
        <v>6.6666666666666671E-3</v>
      </c>
    </row>
    <row r="115" spans="2:5" ht="15" customHeight="1">
      <c r="B115" s="80"/>
      <c r="C115" s="57" t="s">
        <v>15</v>
      </c>
      <c r="D115" s="58">
        <v>1</v>
      </c>
      <c r="E115" s="59">
        <v>6.6666666666666671E-3</v>
      </c>
    </row>
    <row r="116" spans="2:5" ht="15" customHeight="1">
      <c r="B116" s="82" t="s">
        <v>15</v>
      </c>
      <c r="C116" s="83"/>
      <c r="D116" s="60">
        <v>150</v>
      </c>
      <c r="E116" s="61">
        <v>1</v>
      </c>
    </row>
    <row r="117" spans="2:5" ht="15" customHeight="1">
      <c r="B117" s="62"/>
      <c r="C117" s="62"/>
      <c r="D117" s="62"/>
      <c r="E117" s="62"/>
    </row>
    <row r="118" spans="2:5" ht="15" customHeight="1">
      <c r="B118" s="63" t="s">
        <v>182</v>
      </c>
      <c r="C118" s="62"/>
      <c r="D118" s="62"/>
      <c r="E118" s="62"/>
    </row>
    <row r="119" spans="2:5" ht="15" customHeight="1">
      <c r="B119" s="64" t="s">
        <v>14</v>
      </c>
      <c r="C119" s="62"/>
      <c r="D119" s="62"/>
      <c r="E119" s="62"/>
    </row>
    <row r="120" spans="2:5" ht="15" customHeight="1">
      <c r="B120" s="65" t="s">
        <v>13</v>
      </c>
      <c r="C120" s="62"/>
      <c r="D120" s="62"/>
      <c r="E120" s="62"/>
    </row>
    <row r="121" spans="2:5" ht="15" customHeight="1">
      <c r="B121" s="63" t="s">
        <v>12</v>
      </c>
      <c r="C121" s="62"/>
      <c r="D121" s="62"/>
      <c r="E121" s="62"/>
    </row>
    <row r="122" spans="2:5" ht="15" customHeight="1">
      <c r="B122" s="63" t="s">
        <v>183</v>
      </c>
      <c r="C122" s="62"/>
      <c r="D122" s="62"/>
      <c r="E122" s="62"/>
    </row>
  </sheetData>
  <mergeCells count="18">
    <mergeCell ref="B116:C116"/>
    <mergeCell ref="B58:B76"/>
    <mergeCell ref="B77:B79"/>
    <mergeCell ref="B80:B87"/>
    <mergeCell ref="B114:B115"/>
    <mergeCell ref="B88:B105"/>
    <mergeCell ref="B106:B110"/>
    <mergeCell ref="B111:B113"/>
    <mergeCell ref="B24:B29"/>
    <mergeCell ref="B30:B39"/>
    <mergeCell ref="B40:B41"/>
    <mergeCell ref="B42:B44"/>
    <mergeCell ref="B45:B57"/>
    <mergeCell ref="B7:E8"/>
    <mergeCell ref="B10:B11"/>
    <mergeCell ref="B12:B15"/>
    <mergeCell ref="B16:B19"/>
    <mergeCell ref="B20:B2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G15" sqref="G15"/>
    </sheetView>
  </sheetViews>
  <sheetFormatPr baseColWidth="10" defaultColWidth="11.42578125" defaultRowHeight="15"/>
  <cols>
    <col min="1" max="1" width="9.28515625" style="2" customWidth="1"/>
    <col min="2" max="2" width="21.710937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1:5" s="14" customFormat="1" ht="15" customHeight="1">
      <c r="C1" s="20"/>
    </row>
    <row r="2" spans="1:5" s="14" customFormat="1" ht="15" customHeight="1">
      <c r="C2" s="20"/>
    </row>
    <row r="3" spans="1:5" s="14" customFormat="1" ht="15" customHeight="1">
      <c r="C3" s="20"/>
    </row>
    <row r="4" spans="1:5" s="14" customFormat="1" ht="30" customHeight="1">
      <c r="C4" s="20"/>
      <c r="D4" s="19"/>
    </row>
    <row r="5" spans="1:5" s="14" customFormat="1" ht="15" customHeight="1">
      <c r="C5" s="20"/>
      <c r="D5" s="19"/>
    </row>
    <row r="6" spans="1:5" s="14" customFormat="1" ht="15" customHeight="1">
      <c r="C6" s="20"/>
      <c r="D6" s="19"/>
    </row>
    <row r="7" spans="1:5" s="14" customFormat="1" ht="15" customHeight="1">
      <c r="B7" s="77" t="s">
        <v>188</v>
      </c>
      <c r="C7" s="77"/>
      <c r="D7" s="77"/>
    </row>
    <row r="8" spans="1:5" s="14" customFormat="1" ht="15" customHeight="1">
      <c r="B8" s="77"/>
      <c r="C8" s="77"/>
      <c r="D8" s="77"/>
    </row>
    <row r="9" spans="1:5" s="14" customFormat="1" ht="33" customHeight="1">
      <c r="B9" s="77"/>
      <c r="C9" s="77"/>
      <c r="D9" s="77"/>
    </row>
    <row r="10" spans="1:5" s="14" customFormat="1" ht="4.5" customHeight="1">
      <c r="B10" s="18"/>
      <c r="C10" s="18"/>
      <c r="D10" s="18"/>
    </row>
    <row r="11" spans="1:5" s="14" customFormat="1" ht="33" customHeight="1">
      <c r="B11" s="17" t="s">
        <v>56</v>
      </c>
      <c r="C11" s="16" t="s">
        <v>37</v>
      </c>
      <c r="D11" s="15" t="s">
        <v>36</v>
      </c>
    </row>
    <row r="12" spans="1:5">
      <c r="B12" s="12" t="s">
        <v>55</v>
      </c>
      <c r="C12" s="11">
        <v>108</v>
      </c>
      <c r="D12" s="10">
        <v>0.72</v>
      </c>
    </row>
    <row r="13" spans="1:5">
      <c r="B13" s="12" t="s">
        <v>54</v>
      </c>
      <c r="C13" s="11">
        <v>42</v>
      </c>
      <c r="D13" s="10">
        <v>0.28000000000000003</v>
      </c>
    </row>
    <row r="14" spans="1:5">
      <c r="B14" s="9" t="s">
        <v>53</v>
      </c>
      <c r="C14" s="8">
        <v>150</v>
      </c>
      <c r="D14" s="7">
        <v>1</v>
      </c>
    </row>
    <row r="15" spans="1:5">
      <c r="A15" s="13"/>
      <c r="B15" s="13"/>
      <c r="C15" s="34"/>
      <c r="D15" s="13"/>
      <c r="E15" s="13"/>
    </row>
    <row r="16" spans="1:5">
      <c r="B16" s="4" t="s">
        <v>182</v>
      </c>
      <c r="C16" s="34"/>
      <c r="D16" s="13"/>
    </row>
    <row r="17" spans="2:4">
      <c r="B17" s="6" t="s">
        <v>14</v>
      </c>
      <c r="C17" s="50"/>
      <c r="D17" s="50"/>
    </row>
    <row r="18" spans="2:4">
      <c r="B18" s="5" t="s">
        <v>13</v>
      </c>
      <c r="C18" s="51"/>
      <c r="D18" s="51"/>
    </row>
    <row r="19" spans="2:4">
      <c r="B19" s="4" t="s">
        <v>12</v>
      </c>
    </row>
    <row r="20" spans="2:4">
      <c r="B20" s="4" t="s">
        <v>183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21" customWidth="1"/>
    <col min="2" max="2" width="22.85546875" style="22" customWidth="1"/>
    <col min="3" max="3" width="31.42578125" style="22" customWidth="1"/>
    <col min="4" max="4" width="14.28515625" style="22" customWidth="1"/>
    <col min="5" max="5" width="16.85546875" style="22" customWidth="1"/>
    <col min="6" max="16384" width="35" style="21"/>
  </cols>
  <sheetData>
    <row r="1" spans="1:5" s="29" customFormat="1" ht="12" customHeight="1">
      <c r="B1" s="33"/>
      <c r="C1" s="32"/>
      <c r="D1" s="32"/>
      <c r="E1" s="32"/>
    </row>
    <row r="2" spans="1:5" s="29" customFormat="1" ht="15" customHeight="1">
      <c r="C2" s="31"/>
    </row>
    <row r="3" spans="1:5" s="29" customFormat="1" ht="15" customHeight="1">
      <c r="C3" s="31"/>
    </row>
    <row r="4" spans="1:5" s="29" customFormat="1" ht="30" customHeight="1">
      <c r="C4" s="31"/>
      <c r="D4" s="30"/>
    </row>
    <row r="5" spans="1:5" s="29" customFormat="1" ht="15" customHeight="1">
      <c r="C5" s="31"/>
      <c r="D5" s="30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81"/>
      <c r="C7" s="81"/>
      <c r="D7" s="81"/>
      <c r="E7" s="81"/>
    </row>
    <row r="8" spans="1:5" s="26" customFormat="1" ht="33" customHeight="1">
      <c r="A8" s="27"/>
      <c r="B8" s="81"/>
      <c r="C8" s="81"/>
      <c r="D8" s="81"/>
      <c r="E8" s="81"/>
    </row>
    <row r="9" spans="1:5" s="14" customFormat="1" ht="40.5" customHeight="1">
      <c r="B9" s="52" t="s">
        <v>38</v>
      </c>
      <c r="C9" s="52" t="s">
        <v>56</v>
      </c>
      <c r="D9" s="53" t="s">
        <v>37</v>
      </c>
      <c r="E9" s="52" t="s">
        <v>36</v>
      </c>
    </row>
    <row r="10" spans="1:5" ht="15" customHeight="1">
      <c r="B10" s="78" t="s">
        <v>25</v>
      </c>
      <c r="C10" s="54" t="s">
        <v>58</v>
      </c>
      <c r="D10" s="55">
        <v>7</v>
      </c>
      <c r="E10" s="56">
        <v>4.6666666666666669E-2</v>
      </c>
    </row>
    <row r="11" spans="1:5" ht="15" customHeight="1">
      <c r="B11" s="79"/>
      <c r="C11" s="54" t="s">
        <v>57</v>
      </c>
      <c r="D11" s="55">
        <v>1</v>
      </c>
      <c r="E11" s="56">
        <v>6.6666666666666671E-3</v>
      </c>
    </row>
    <row r="12" spans="1:5" ht="15" customHeight="1">
      <c r="B12" s="80"/>
      <c r="C12" s="57" t="s">
        <v>15</v>
      </c>
      <c r="D12" s="58">
        <v>8</v>
      </c>
      <c r="E12" s="59">
        <v>5.3333333333333337E-2</v>
      </c>
    </row>
    <row r="13" spans="1:5" ht="15" customHeight="1">
      <c r="B13" s="78" t="s">
        <v>110</v>
      </c>
      <c r="C13" s="54" t="s">
        <v>57</v>
      </c>
      <c r="D13" s="55">
        <v>2</v>
      </c>
      <c r="E13" s="56">
        <v>1.3333333333333334E-2</v>
      </c>
    </row>
    <row r="14" spans="1:5" ht="15" customHeight="1">
      <c r="B14" s="80"/>
      <c r="C14" s="57" t="s">
        <v>15</v>
      </c>
      <c r="D14" s="58">
        <v>2</v>
      </c>
      <c r="E14" s="59">
        <v>1.3333333333333334E-2</v>
      </c>
    </row>
    <row r="15" spans="1:5" ht="15" customHeight="1">
      <c r="B15" s="78" t="s">
        <v>71</v>
      </c>
      <c r="C15" s="54" t="s">
        <v>58</v>
      </c>
      <c r="D15" s="55">
        <v>2</v>
      </c>
      <c r="E15" s="56">
        <v>1.3333333333333334E-2</v>
      </c>
    </row>
    <row r="16" spans="1:5" ht="15" customHeight="1">
      <c r="B16" s="80"/>
      <c r="C16" s="57" t="s">
        <v>15</v>
      </c>
      <c r="D16" s="58">
        <v>2</v>
      </c>
      <c r="E16" s="59">
        <v>1.3333333333333334E-2</v>
      </c>
    </row>
    <row r="17" spans="2:5" ht="15" customHeight="1">
      <c r="B17" s="78" t="s">
        <v>27</v>
      </c>
      <c r="C17" s="54" t="s">
        <v>58</v>
      </c>
      <c r="D17" s="55">
        <v>6</v>
      </c>
      <c r="E17" s="56">
        <v>0.04</v>
      </c>
    </row>
    <row r="18" spans="2:5" ht="15" customHeight="1">
      <c r="B18" s="79"/>
      <c r="C18" s="54" t="s">
        <v>57</v>
      </c>
      <c r="D18" s="55">
        <v>1</v>
      </c>
      <c r="E18" s="56">
        <v>6.6666666666666671E-3</v>
      </c>
    </row>
    <row r="19" spans="2:5" ht="15" customHeight="1">
      <c r="B19" s="80"/>
      <c r="C19" s="57" t="s">
        <v>15</v>
      </c>
      <c r="D19" s="58">
        <v>7</v>
      </c>
      <c r="E19" s="59">
        <v>4.6666666666666669E-2</v>
      </c>
    </row>
    <row r="20" spans="2:5" ht="15" customHeight="1">
      <c r="B20" s="78" t="s">
        <v>32</v>
      </c>
      <c r="C20" s="54" t="s">
        <v>58</v>
      </c>
      <c r="D20" s="55">
        <v>3</v>
      </c>
      <c r="E20" s="56">
        <v>0.02</v>
      </c>
    </row>
    <row r="21" spans="2:5" ht="15" customHeight="1">
      <c r="B21" s="79"/>
      <c r="C21" s="54" t="s">
        <v>57</v>
      </c>
      <c r="D21" s="55">
        <v>5</v>
      </c>
      <c r="E21" s="56">
        <v>3.3333333333333333E-2</v>
      </c>
    </row>
    <row r="22" spans="2:5" ht="15" customHeight="1">
      <c r="B22" s="80"/>
      <c r="C22" s="57" t="s">
        <v>15</v>
      </c>
      <c r="D22" s="58">
        <v>8</v>
      </c>
      <c r="E22" s="59">
        <v>5.3333333333333337E-2</v>
      </c>
    </row>
    <row r="23" spans="2:5" ht="15" customHeight="1">
      <c r="B23" s="78" t="s">
        <v>72</v>
      </c>
      <c r="C23" s="54" t="s">
        <v>58</v>
      </c>
      <c r="D23" s="55">
        <v>1</v>
      </c>
      <c r="E23" s="56">
        <v>6.6666666666666671E-3</v>
      </c>
    </row>
    <row r="24" spans="2:5" ht="15" customHeight="1">
      <c r="B24" s="80"/>
      <c r="C24" s="57" t="s">
        <v>15</v>
      </c>
      <c r="D24" s="58">
        <v>1</v>
      </c>
      <c r="E24" s="59">
        <v>6.6666666666666671E-3</v>
      </c>
    </row>
    <row r="25" spans="2:5" ht="15" customHeight="1">
      <c r="B25" s="78" t="s">
        <v>26</v>
      </c>
      <c r="C25" s="54" t="s">
        <v>58</v>
      </c>
      <c r="D25" s="55">
        <v>2</v>
      </c>
      <c r="E25" s="56">
        <v>1.3333333333333334E-2</v>
      </c>
    </row>
    <row r="26" spans="2:5" ht="15" customHeight="1">
      <c r="B26" s="79"/>
      <c r="C26" s="54" t="s">
        <v>57</v>
      </c>
      <c r="D26" s="55">
        <v>2</v>
      </c>
      <c r="E26" s="56">
        <v>1.3333333333333334E-2</v>
      </c>
    </row>
    <row r="27" spans="2:5" ht="15" customHeight="1">
      <c r="B27" s="80"/>
      <c r="C27" s="57" t="s">
        <v>15</v>
      </c>
      <c r="D27" s="58">
        <v>4</v>
      </c>
      <c r="E27" s="59">
        <v>2.6666666666666668E-2</v>
      </c>
    </row>
    <row r="28" spans="2:5" ht="15" customHeight="1">
      <c r="B28" s="78" t="s">
        <v>18</v>
      </c>
      <c r="C28" s="54" t="s">
        <v>58</v>
      </c>
      <c r="D28" s="55">
        <v>4</v>
      </c>
      <c r="E28" s="56">
        <v>2.6666666666666668E-2</v>
      </c>
    </row>
    <row r="29" spans="2:5" ht="15" customHeight="1">
      <c r="B29" s="79"/>
      <c r="C29" s="54" t="s">
        <v>57</v>
      </c>
      <c r="D29" s="55">
        <v>2</v>
      </c>
      <c r="E29" s="56">
        <v>1.3333333333333334E-2</v>
      </c>
    </row>
    <row r="30" spans="2:5" ht="15" customHeight="1">
      <c r="B30" s="80"/>
      <c r="C30" s="57" t="s">
        <v>15</v>
      </c>
      <c r="D30" s="58">
        <v>6</v>
      </c>
      <c r="E30" s="59">
        <v>0.04</v>
      </c>
    </row>
    <row r="31" spans="2:5" ht="15" customHeight="1">
      <c r="B31" s="78" t="s">
        <v>31</v>
      </c>
      <c r="C31" s="54" t="s">
        <v>58</v>
      </c>
      <c r="D31" s="55">
        <v>9</v>
      </c>
      <c r="E31" s="56">
        <v>0.06</v>
      </c>
    </row>
    <row r="32" spans="2:5" ht="15" customHeight="1">
      <c r="B32" s="79"/>
      <c r="C32" s="54" t="s">
        <v>57</v>
      </c>
      <c r="D32" s="55">
        <v>2</v>
      </c>
      <c r="E32" s="56">
        <v>1.3333333333333334E-2</v>
      </c>
    </row>
    <row r="33" spans="2:5" ht="15" customHeight="1">
      <c r="B33" s="80"/>
      <c r="C33" s="57" t="s">
        <v>15</v>
      </c>
      <c r="D33" s="58">
        <v>11</v>
      </c>
      <c r="E33" s="59">
        <v>7.3333333333333334E-2</v>
      </c>
    </row>
    <row r="34" spans="2:5" ht="15" customHeight="1">
      <c r="B34" s="78" t="s">
        <v>30</v>
      </c>
      <c r="C34" s="54" t="s">
        <v>58</v>
      </c>
      <c r="D34" s="55">
        <v>12</v>
      </c>
      <c r="E34" s="56">
        <v>0.08</v>
      </c>
    </row>
    <row r="35" spans="2:5" ht="15" customHeight="1">
      <c r="B35" s="79"/>
      <c r="C35" s="54" t="s">
        <v>57</v>
      </c>
      <c r="D35" s="55">
        <v>4</v>
      </c>
      <c r="E35" s="56">
        <v>2.6666666666666668E-2</v>
      </c>
    </row>
    <row r="36" spans="2:5" ht="15" customHeight="1">
      <c r="B36" s="80"/>
      <c r="C36" s="57" t="s">
        <v>15</v>
      </c>
      <c r="D36" s="58">
        <v>16</v>
      </c>
      <c r="E36" s="59">
        <v>0.10666666666666667</v>
      </c>
    </row>
    <row r="37" spans="2:5" ht="15" customHeight="1">
      <c r="B37" s="78" t="s">
        <v>29</v>
      </c>
      <c r="C37" s="54" t="s">
        <v>58</v>
      </c>
      <c r="D37" s="55">
        <v>4</v>
      </c>
      <c r="E37" s="56">
        <v>2.6666666666666668E-2</v>
      </c>
    </row>
    <row r="38" spans="2:5" ht="15" customHeight="1">
      <c r="B38" s="79"/>
      <c r="C38" s="54" t="s">
        <v>57</v>
      </c>
      <c r="D38" s="55">
        <v>5</v>
      </c>
      <c r="E38" s="56">
        <v>3.3333333333333333E-2</v>
      </c>
    </row>
    <row r="39" spans="2:5" ht="15" customHeight="1">
      <c r="B39" s="80"/>
      <c r="C39" s="57" t="s">
        <v>15</v>
      </c>
      <c r="D39" s="58">
        <v>9</v>
      </c>
      <c r="E39" s="59">
        <v>0.06</v>
      </c>
    </row>
    <row r="40" spans="2:5" ht="15" customHeight="1">
      <c r="B40" s="78" t="s">
        <v>17</v>
      </c>
      <c r="C40" s="54" t="s">
        <v>58</v>
      </c>
      <c r="D40" s="55">
        <v>6</v>
      </c>
      <c r="E40" s="56">
        <v>0.04</v>
      </c>
    </row>
    <row r="41" spans="2:5" ht="15" customHeight="1">
      <c r="B41" s="80"/>
      <c r="C41" s="57" t="s">
        <v>15</v>
      </c>
      <c r="D41" s="58">
        <v>6</v>
      </c>
      <c r="E41" s="59">
        <v>0.04</v>
      </c>
    </row>
    <row r="42" spans="2:5" ht="15" customHeight="1">
      <c r="B42" s="78" t="s">
        <v>35</v>
      </c>
      <c r="C42" s="54" t="s">
        <v>58</v>
      </c>
      <c r="D42" s="55">
        <v>7</v>
      </c>
      <c r="E42" s="56">
        <v>4.6666666666666669E-2</v>
      </c>
    </row>
    <row r="43" spans="2:5" ht="15" customHeight="1">
      <c r="B43" s="79"/>
      <c r="C43" s="54" t="s">
        <v>57</v>
      </c>
      <c r="D43" s="55">
        <v>2</v>
      </c>
      <c r="E43" s="56">
        <v>1.3333333333333334E-2</v>
      </c>
    </row>
    <row r="44" spans="2:5" ht="15" customHeight="1">
      <c r="B44" s="80"/>
      <c r="C44" s="57" t="s">
        <v>15</v>
      </c>
      <c r="D44" s="58">
        <v>9</v>
      </c>
      <c r="E44" s="59">
        <v>0.06</v>
      </c>
    </row>
    <row r="45" spans="2:5" ht="15" customHeight="1">
      <c r="B45" s="78" t="s">
        <v>34</v>
      </c>
      <c r="C45" s="54" t="s">
        <v>58</v>
      </c>
      <c r="D45" s="55">
        <v>3</v>
      </c>
      <c r="E45" s="56">
        <v>0.02</v>
      </c>
    </row>
    <row r="46" spans="2:5" ht="15" customHeight="1">
      <c r="B46" s="79"/>
      <c r="C46" s="54" t="s">
        <v>57</v>
      </c>
      <c r="D46" s="55">
        <v>2</v>
      </c>
      <c r="E46" s="56">
        <v>1.3333333333333334E-2</v>
      </c>
    </row>
    <row r="47" spans="2:5" ht="15" customHeight="1">
      <c r="B47" s="80"/>
      <c r="C47" s="57" t="s">
        <v>15</v>
      </c>
      <c r="D47" s="58">
        <v>5</v>
      </c>
      <c r="E47" s="59">
        <v>3.3333333333333333E-2</v>
      </c>
    </row>
    <row r="48" spans="2:5" ht="15" customHeight="1">
      <c r="B48" s="78" t="s">
        <v>149</v>
      </c>
      <c r="C48" s="54" t="s">
        <v>58</v>
      </c>
      <c r="D48" s="55">
        <v>1</v>
      </c>
      <c r="E48" s="56">
        <v>6.6666666666666671E-3</v>
      </c>
    </row>
    <row r="49" spans="2:6" ht="15" customHeight="1">
      <c r="B49" s="80"/>
      <c r="C49" s="57" t="s">
        <v>15</v>
      </c>
      <c r="D49" s="58">
        <v>1</v>
      </c>
      <c r="E49" s="59">
        <v>6.6666666666666671E-3</v>
      </c>
    </row>
    <row r="50" spans="2:6" ht="15" customHeight="1">
      <c r="B50" s="78" t="s">
        <v>24</v>
      </c>
      <c r="C50" s="54" t="s">
        <v>58</v>
      </c>
      <c r="D50" s="55">
        <v>1</v>
      </c>
      <c r="E50" s="56">
        <v>6.6666666666666671E-3</v>
      </c>
    </row>
    <row r="51" spans="2:6" ht="15" customHeight="1">
      <c r="B51" s="80"/>
      <c r="C51" s="57" t="s">
        <v>15</v>
      </c>
      <c r="D51" s="58">
        <v>1</v>
      </c>
      <c r="E51" s="59">
        <v>6.6666666666666671E-3</v>
      </c>
      <c r="F51" s="2"/>
    </row>
    <row r="52" spans="2:6" ht="15" customHeight="1">
      <c r="B52" s="78" t="s">
        <v>73</v>
      </c>
      <c r="C52" s="54" t="s">
        <v>58</v>
      </c>
      <c r="D52" s="55">
        <v>1</v>
      </c>
      <c r="E52" s="56">
        <v>6.6666666666666671E-3</v>
      </c>
      <c r="F52" s="2"/>
    </row>
    <row r="53" spans="2:6" ht="15" customHeight="1">
      <c r="B53" s="80"/>
      <c r="C53" s="57" t="s">
        <v>15</v>
      </c>
      <c r="D53" s="58">
        <v>1</v>
      </c>
      <c r="E53" s="59">
        <v>6.6666666666666671E-3</v>
      </c>
      <c r="F53" s="2"/>
    </row>
    <row r="54" spans="2:6" ht="15" customHeight="1">
      <c r="B54" s="78" t="s">
        <v>23</v>
      </c>
      <c r="C54" s="54" t="s">
        <v>58</v>
      </c>
      <c r="D54" s="55">
        <v>2</v>
      </c>
      <c r="E54" s="56">
        <v>1.3333333333333334E-2</v>
      </c>
      <c r="F54" s="2"/>
    </row>
    <row r="55" spans="2:6" ht="15" customHeight="1">
      <c r="B55" s="79"/>
      <c r="C55" s="54" t="s">
        <v>57</v>
      </c>
      <c r="D55" s="55">
        <v>1</v>
      </c>
      <c r="E55" s="56">
        <v>6.6666666666666671E-3</v>
      </c>
      <c r="F55" s="2"/>
    </row>
    <row r="56" spans="2:6" ht="15" customHeight="1">
      <c r="B56" s="80"/>
      <c r="C56" s="57" t="s">
        <v>15</v>
      </c>
      <c r="D56" s="58">
        <v>3</v>
      </c>
      <c r="E56" s="59">
        <v>0.02</v>
      </c>
    </row>
    <row r="57" spans="2:6" ht="15" customHeight="1">
      <c r="B57" s="78" t="s">
        <v>22</v>
      </c>
      <c r="C57" s="54" t="s">
        <v>58</v>
      </c>
      <c r="D57" s="55">
        <v>3</v>
      </c>
      <c r="E57" s="56">
        <v>0.02</v>
      </c>
    </row>
    <row r="58" spans="2:6" ht="15" customHeight="1">
      <c r="B58" s="80"/>
      <c r="C58" s="57" t="s">
        <v>15</v>
      </c>
      <c r="D58" s="58">
        <v>3</v>
      </c>
      <c r="E58" s="59">
        <v>0.02</v>
      </c>
    </row>
    <row r="59" spans="2:6" ht="15" customHeight="1">
      <c r="B59" s="78" t="s">
        <v>70</v>
      </c>
      <c r="C59" s="54" t="s">
        <v>58</v>
      </c>
      <c r="D59" s="55">
        <v>9</v>
      </c>
      <c r="E59" s="56">
        <v>0.06</v>
      </c>
    </row>
    <row r="60" spans="2:6" ht="15" customHeight="1">
      <c r="B60" s="80"/>
      <c r="C60" s="57" t="s">
        <v>15</v>
      </c>
      <c r="D60" s="58">
        <v>9</v>
      </c>
      <c r="E60" s="59">
        <v>0.06</v>
      </c>
    </row>
    <row r="61" spans="2:6" ht="15" customHeight="1">
      <c r="B61" s="78" t="s">
        <v>28</v>
      </c>
      <c r="C61" s="54" t="s">
        <v>58</v>
      </c>
      <c r="D61" s="55">
        <v>2</v>
      </c>
      <c r="E61" s="56">
        <v>1.3333333333333334E-2</v>
      </c>
    </row>
    <row r="62" spans="2:6" ht="15" customHeight="1">
      <c r="B62" s="79"/>
      <c r="C62" s="54" t="s">
        <v>57</v>
      </c>
      <c r="D62" s="55">
        <v>3</v>
      </c>
      <c r="E62" s="56">
        <v>0.02</v>
      </c>
    </row>
    <row r="63" spans="2:6" ht="15" customHeight="1">
      <c r="B63" s="80"/>
      <c r="C63" s="57" t="s">
        <v>15</v>
      </c>
      <c r="D63" s="58">
        <v>5</v>
      </c>
      <c r="E63" s="59">
        <v>3.3333333333333333E-2</v>
      </c>
    </row>
    <row r="64" spans="2:6" ht="15" customHeight="1">
      <c r="B64" s="78" t="s">
        <v>21</v>
      </c>
      <c r="C64" s="54" t="s">
        <v>58</v>
      </c>
      <c r="D64" s="55">
        <v>1</v>
      </c>
      <c r="E64" s="56">
        <v>6.6666666666666671E-3</v>
      </c>
    </row>
    <row r="65" spans="2:5" ht="15" customHeight="1">
      <c r="B65" s="79"/>
      <c r="C65" s="54" t="s">
        <v>57</v>
      </c>
      <c r="D65" s="55">
        <v>2</v>
      </c>
      <c r="E65" s="56">
        <v>1.3333333333333334E-2</v>
      </c>
    </row>
    <row r="66" spans="2:5" ht="15" customHeight="1">
      <c r="B66" s="80"/>
      <c r="C66" s="57" t="s">
        <v>15</v>
      </c>
      <c r="D66" s="58">
        <v>3</v>
      </c>
      <c r="E66" s="59">
        <v>0.02</v>
      </c>
    </row>
    <row r="67" spans="2:5" ht="15" customHeight="1">
      <c r="B67" s="78" t="s">
        <v>20</v>
      </c>
      <c r="C67" s="54" t="s">
        <v>58</v>
      </c>
      <c r="D67" s="55">
        <v>1</v>
      </c>
      <c r="E67" s="56">
        <v>6.6666666666666671E-3</v>
      </c>
    </row>
    <row r="68" spans="2:5" ht="15" customHeight="1">
      <c r="B68" s="80"/>
      <c r="C68" s="57" t="s">
        <v>15</v>
      </c>
      <c r="D68" s="58">
        <v>1</v>
      </c>
      <c r="E68" s="59">
        <v>6.6666666666666671E-3</v>
      </c>
    </row>
    <row r="69" spans="2:5" ht="15" customHeight="1">
      <c r="B69" s="78" t="s">
        <v>16</v>
      </c>
      <c r="C69" s="54" t="s">
        <v>58</v>
      </c>
      <c r="D69" s="55">
        <v>1</v>
      </c>
      <c r="E69" s="56">
        <v>6.6666666666666671E-3</v>
      </c>
    </row>
    <row r="70" spans="2:5" ht="15" customHeight="1">
      <c r="B70" s="80"/>
      <c r="C70" s="57" t="s">
        <v>15</v>
      </c>
      <c r="D70" s="58">
        <v>1</v>
      </c>
      <c r="E70" s="59">
        <v>6.6666666666666671E-3</v>
      </c>
    </row>
    <row r="71" spans="2:5" ht="15" customHeight="1">
      <c r="B71" s="78" t="s">
        <v>166</v>
      </c>
      <c r="C71" s="54" t="s">
        <v>57</v>
      </c>
      <c r="D71" s="55">
        <v>1</v>
      </c>
      <c r="E71" s="56">
        <v>6.6666666666666671E-3</v>
      </c>
    </row>
    <row r="72" spans="2:5" ht="15" customHeight="1">
      <c r="B72" s="80"/>
      <c r="C72" s="57" t="s">
        <v>15</v>
      </c>
      <c r="D72" s="58">
        <v>1</v>
      </c>
      <c r="E72" s="59">
        <v>6.6666666666666671E-3</v>
      </c>
    </row>
    <row r="73" spans="2:5" ht="15" customHeight="1">
      <c r="B73" s="78" t="s">
        <v>74</v>
      </c>
      <c r="C73" s="54" t="s">
        <v>58</v>
      </c>
      <c r="D73" s="55">
        <v>1</v>
      </c>
      <c r="E73" s="56">
        <v>6.6666666666666671E-3</v>
      </c>
    </row>
    <row r="74" spans="2:5" ht="15" customHeight="1">
      <c r="B74" s="80"/>
      <c r="C74" s="57" t="s">
        <v>15</v>
      </c>
      <c r="D74" s="58">
        <v>1</v>
      </c>
      <c r="E74" s="59">
        <v>6.6666666666666671E-3</v>
      </c>
    </row>
    <row r="75" spans="2:5" ht="15" customHeight="1">
      <c r="B75" s="78" t="s">
        <v>33</v>
      </c>
      <c r="C75" s="54" t="s">
        <v>58</v>
      </c>
      <c r="D75" s="55">
        <v>13</v>
      </c>
      <c r="E75" s="56">
        <v>8.666666666666667E-2</v>
      </c>
    </row>
    <row r="76" spans="2:5" ht="15" customHeight="1">
      <c r="B76" s="79"/>
      <c r="C76" s="54" t="s">
        <v>57</v>
      </c>
      <c r="D76" s="55">
        <v>6</v>
      </c>
      <c r="E76" s="56">
        <v>0.04</v>
      </c>
    </row>
    <row r="77" spans="2:5" ht="15" customHeight="1">
      <c r="B77" s="80"/>
      <c r="C77" s="57" t="s">
        <v>15</v>
      </c>
      <c r="D77" s="58">
        <v>19</v>
      </c>
      <c r="E77" s="59">
        <v>0.12666666666666668</v>
      </c>
    </row>
    <row r="78" spans="2:5" ht="15" customHeight="1">
      <c r="B78" s="78" t="s">
        <v>176</v>
      </c>
      <c r="C78" s="54" t="s">
        <v>58</v>
      </c>
      <c r="D78" s="55">
        <v>1</v>
      </c>
      <c r="E78" s="56">
        <v>6.6666666666666671E-3</v>
      </c>
    </row>
    <row r="79" spans="2:5" ht="15" customHeight="1">
      <c r="B79" s="80"/>
      <c r="C79" s="57" t="s">
        <v>15</v>
      </c>
      <c r="D79" s="58">
        <v>1</v>
      </c>
      <c r="E79" s="59">
        <v>6.6666666666666671E-3</v>
      </c>
    </row>
    <row r="80" spans="2:5" ht="15" customHeight="1">
      <c r="B80" s="78" t="s">
        <v>19</v>
      </c>
      <c r="C80" s="54" t="s">
        <v>58</v>
      </c>
      <c r="D80" s="55">
        <v>5</v>
      </c>
      <c r="E80" s="56">
        <v>3.3333333333333333E-2</v>
      </c>
    </row>
    <row r="81" spans="2:5" ht="15" customHeight="1">
      <c r="B81" s="79"/>
      <c r="C81" s="54" t="s">
        <v>57</v>
      </c>
      <c r="D81" s="55">
        <v>1</v>
      </c>
      <c r="E81" s="56">
        <v>6.6666666666666671E-3</v>
      </c>
    </row>
    <row r="82" spans="2:5" ht="15" customHeight="1">
      <c r="B82" s="80"/>
      <c r="C82" s="57" t="s">
        <v>15</v>
      </c>
      <c r="D82" s="58">
        <v>6</v>
      </c>
      <c r="E82" s="59">
        <v>0.04</v>
      </c>
    </row>
    <row r="83" spans="2:5" ht="15" customHeight="1">
      <c r="B83" s="82" t="s">
        <v>15</v>
      </c>
      <c r="C83" s="83"/>
      <c r="D83" s="60">
        <f>SUMIF(C10:C82,"TOTAL",D10:D82)</f>
        <v>150</v>
      </c>
      <c r="E83" s="61">
        <v>1</v>
      </c>
    </row>
    <row r="84" spans="2:5" ht="15" customHeight="1">
      <c r="B84" s="62"/>
      <c r="C84" s="62"/>
      <c r="D84" s="62"/>
      <c r="E84" s="62"/>
    </row>
    <row r="85" spans="2:5" ht="15" customHeight="1">
      <c r="B85" s="63" t="s">
        <v>182</v>
      </c>
      <c r="C85" s="62"/>
      <c r="D85" s="62"/>
      <c r="E85" s="62"/>
    </row>
    <row r="86" spans="2:5" ht="15" customHeight="1">
      <c r="B86" s="64" t="s">
        <v>14</v>
      </c>
      <c r="C86" s="62"/>
      <c r="D86" s="62"/>
      <c r="E86" s="62"/>
    </row>
    <row r="87" spans="2:5" ht="15" customHeight="1">
      <c r="B87" s="65" t="s">
        <v>13</v>
      </c>
      <c r="C87" s="62"/>
      <c r="D87" s="62"/>
      <c r="E87" s="62"/>
    </row>
    <row r="88" spans="2:5" ht="15" customHeight="1">
      <c r="B88" s="63" t="s">
        <v>12</v>
      </c>
      <c r="C88" s="62"/>
      <c r="D88" s="62"/>
      <c r="E88" s="62"/>
    </row>
    <row r="89" spans="2:5" ht="15" customHeight="1">
      <c r="B89" s="63" t="s">
        <v>183</v>
      </c>
      <c r="C89" s="62"/>
      <c r="D89" s="62"/>
      <c r="E89" s="62"/>
    </row>
    <row r="377" spans="2:2" s="22" customFormat="1" ht="15" customHeight="1">
      <c r="B377" s="23"/>
    </row>
    <row r="378" spans="2:2" s="22" customFormat="1" ht="15" customHeight="1">
      <c r="B378" s="24"/>
    </row>
    <row r="379" spans="2:2" s="22" customFormat="1" ht="15" customHeight="1">
      <c r="B379" s="24"/>
    </row>
    <row r="380" spans="2:2" s="22" customFormat="1" ht="15" customHeight="1">
      <c r="B380" s="23"/>
    </row>
    <row r="381" spans="2:2" s="22" customFormat="1" ht="15" customHeight="1">
      <c r="B381" s="23"/>
    </row>
  </sheetData>
  <mergeCells count="31">
    <mergeCell ref="B75:B77"/>
    <mergeCell ref="B69:B70"/>
    <mergeCell ref="B71:B72"/>
    <mergeCell ref="B73:B74"/>
    <mergeCell ref="B78:B79"/>
    <mergeCell ref="B7:E8"/>
    <mergeCell ref="B15:B16"/>
    <mergeCell ref="B10:B12"/>
    <mergeCell ref="B13:B14"/>
    <mergeCell ref="B17:B19"/>
    <mergeCell ref="B20:B22"/>
    <mergeCell ref="B23:B24"/>
    <mergeCell ref="B25:B27"/>
    <mergeCell ref="B28:B30"/>
    <mergeCell ref="B31:B33"/>
    <mergeCell ref="B80:B82"/>
    <mergeCell ref="B83:C83"/>
    <mergeCell ref="B34:B36"/>
    <mergeCell ref="B37:B39"/>
    <mergeCell ref="B40:B41"/>
    <mergeCell ref="B42:B44"/>
    <mergeCell ref="B45:B47"/>
    <mergeCell ref="B48:B49"/>
    <mergeCell ref="B50:B51"/>
    <mergeCell ref="B61:B63"/>
    <mergeCell ref="B52:B53"/>
    <mergeCell ref="B54:B56"/>
    <mergeCell ref="B57:B58"/>
    <mergeCell ref="B59:B60"/>
    <mergeCell ref="B64:B66"/>
    <mergeCell ref="B67:B6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8"/>
  <sheetViews>
    <sheetView showGridLines="0" zoomScaleNormal="100" zoomScaleSheetLayoutView="100" workbookViewId="0">
      <selection activeCell="F22" sqref="F22"/>
    </sheetView>
  </sheetViews>
  <sheetFormatPr baseColWidth="10" defaultColWidth="35" defaultRowHeight="15" customHeight="1"/>
  <cols>
    <col min="1" max="1" width="1" style="21" customWidth="1"/>
    <col min="2" max="2" width="22.85546875" style="22" customWidth="1"/>
    <col min="3" max="3" width="31.42578125" style="22" customWidth="1"/>
    <col min="4" max="4" width="14.28515625" style="22" customWidth="1"/>
    <col min="5" max="5" width="16.85546875" style="22" customWidth="1"/>
    <col min="6" max="16384" width="35" style="21"/>
  </cols>
  <sheetData>
    <row r="1" spans="1:5" s="29" customFormat="1" ht="12" customHeight="1">
      <c r="B1" s="33"/>
      <c r="C1" s="32"/>
      <c r="D1" s="32"/>
      <c r="E1" s="32"/>
    </row>
    <row r="2" spans="1:5" s="29" customFormat="1" ht="15" customHeight="1">
      <c r="C2" s="31"/>
    </row>
    <row r="3" spans="1:5" s="29" customFormat="1" ht="15" customHeight="1">
      <c r="C3" s="31"/>
    </row>
    <row r="4" spans="1:5" s="29" customFormat="1" ht="30" customHeight="1">
      <c r="C4" s="31"/>
      <c r="D4" s="30"/>
    </row>
    <row r="5" spans="1:5" s="29" customFormat="1" ht="15" customHeight="1">
      <c r="C5" s="31"/>
      <c r="D5" s="30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81"/>
      <c r="C7" s="81"/>
      <c r="D7" s="81"/>
      <c r="E7" s="81"/>
    </row>
    <row r="8" spans="1:5" s="26" customFormat="1" ht="33" customHeight="1">
      <c r="A8" s="27"/>
      <c r="B8" s="81"/>
      <c r="C8" s="81"/>
      <c r="D8" s="81"/>
      <c r="E8" s="81"/>
    </row>
    <row r="9" spans="1:5" s="14" customFormat="1" ht="40.5" customHeight="1">
      <c r="B9" s="52" t="s">
        <v>56</v>
      </c>
      <c r="C9" s="52" t="s">
        <v>63</v>
      </c>
      <c r="D9" s="53" t="s">
        <v>37</v>
      </c>
      <c r="E9" s="52" t="s">
        <v>36</v>
      </c>
    </row>
    <row r="10" spans="1:5" ht="15" customHeight="1">
      <c r="B10" s="78" t="s">
        <v>58</v>
      </c>
      <c r="C10" s="54" t="s">
        <v>62</v>
      </c>
      <c r="D10" s="55">
        <v>40</v>
      </c>
      <c r="E10" s="56">
        <v>0.26666666666666666</v>
      </c>
    </row>
    <row r="11" spans="1:5" ht="15" customHeight="1">
      <c r="B11" s="79"/>
      <c r="C11" s="54" t="s">
        <v>61</v>
      </c>
      <c r="D11" s="55">
        <v>48</v>
      </c>
      <c r="E11" s="56">
        <v>0.32</v>
      </c>
    </row>
    <row r="12" spans="1:5" ht="15" customHeight="1">
      <c r="B12" s="79"/>
      <c r="C12" s="54" t="s">
        <v>60</v>
      </c>
      <c r="D12" s="55">
        <v>13</v>
      </c>
      <c r="E12" s="56">
        <v>8.666666666666667E-2</v>
      </c>
    </row>
    <row r="13" spans="1:5" ht="15" customHeight="1">
      <c r="B13" s="80"/>
      <c r="C13" s="54" t="s">
        <v>59</v>
      </c>
      <c r="D13" s="55">
        <v>7</v>
      </c>
      <c r="E13" s="56">
        <v>4.6666666666666669E-2</v>
      </c>
    </row>
    <row r="14" spans="1:5" ht="15" customHeight="1">
      <c r="B14" s="78" t="s">
        <v>57</v>
      </c>
      <c r="C14" s="54" t="s">
        <v>103</v>
      </c>
      <c r="D14" s="55">
        <v>1</v>
      </c>
      <c r="E14" s="56">
        <v>6.6666666666666671E-3</v>
      </c>
    </row>
    <row r="15" spans="1:5" ht="15" customHeight="1">
      <c r="B15" s="79"/>
      <c r="C15" s="54" t="s">
        <v>62</v>
      </c>
      <c r="D15" s="55">
        <v>5</v>
      </c>
      <c r="E15" s="56">
        <v>3.3333333333333333E-2</v>
      </c>
    </row>
    <row r="16" spans="1:5" ht="15" customHeight="1">
      <c r="B16" s="79"/>
      <c r="C16" s="54" t="s">
        <v>61</v>
      </c>
      <c r="D16" s="55">
        <v>17</v>
      </c>
      <c r="E16" s="56">
        <v>0.11333333333333333</v>
      </c>
    </row>
    <row r="17" spans="2:6" ht="15" customHeight="1">
      <c r="B17" s="79"/>
      <c r="C17" s="54" t="s">
        <v>60</v>
      </c>
      <c r="D17" s="55">
        <v>12</v>
      </c>
      <c r="E17" s="56">
        <v>0.08</v>
      </c>
    </row>
    <row r="18" spans="2:6" ht="15" customHeight="1">
      <c r="B18" s="79"/>
      <c r="C18" s="54" t="s">
        <v>59</v>
      </c>
      <c r="D18" s="55">
        <v>4</v>
      </c>
      <c r="E18" s="56">
        <v>2.6666666666666668E-2</v>
      </c>
    </row>
    <row r="19" spans="2:6" ht="15" customHeight="1">
      <c r="B19" s="80"/>
      <c r="C19" s="54" t="s">
        <v>104</v>
      </c>
      <c r="D19" s="55">
        <v>3</v>
      </c>
      <c r="E19" s="56">
        <v>0.02</v>
      </c>
    </row>
    <row r="20" spans="2:6" ht="15" customHeight="1">
      <c r="B20" s="82" t="s">
        <v>15</v>
      </c>
      <c r="C20" s="83"/>
      <c r="D20" s="60">
        <v>150</v>
      </c>
      <c r="E20" s="61">
        <v>1</v>
      </c>
      <c r="F20" s="2"/>
    </row>
    <row r="21" spans="2:6" ht="15" customHeight="1">
      <c r="B21" s="62"/>
      <c r="C21" s="62"/>
      <c r="D21" s="62"/>
      <c r="E21" s="62"/>
      <c r="F21" s="2"/>
    </row>
    <row r="22" spans="2:6" ht="15" customHeight="1">
      <c r="B22" s="63" t="s">
        <v>182</v>
      </c>
      <c r="C22" s="62"/>
      <c r="D22" s="62"/>
      <c r="E22" s="62"/>
      <c r="F22" s="2"/>
    </row>
    <row r="23" spans="2:6" ht="15" customHeight="1">
      <c r="B23" s="64" t="s">
        <v>14</v>
      </c>
      <c r="C23" s="62"/>
      <c r="D23" s="62"/>
      <c r="E23" s="62"/>
      <c r="F23" s="2"/>
    </row>
    <row r="24" spans="2:6" ht="15" customHeight="1">
      <c r="B24" s="65" t="s">
        <v>13</v>
      </c>
      <c r="C24" s="62"/>
      <c r="D24" s="62"/>
      <c r="E24" s="62"/>
      <c r="F24" s="2"/>
    </row>
    <row r="25" spans="2:6" ht="15" customHeight="1">
      <c r="B25" s="63" t="s">
        <v>12</v>
      </c>
      <c r="C25" s="62"/>
      <c r="D25" s="62"/>
      <c r="E25" s="62"/>
    </row>
    <row r="26" spans="2:6" ht="15" customHeight="1">
      <c r="B26" s="63" t="s">
        <v>183</v>
      </c>
      <c r="C26" s="62"/>
      <c r="D26" s="62"/>
      <c r="E26" s="62"/>
    </row>
    <row r="27" spans="2:6" ht="15" customHeight="1">
      <c r="B27" s="4"/>
    </row>
    <row r="464" spans="2:2" s="22" customFormat="1" ht="15" customHeight="1">
      <c r="B464" s="23"/>
    </row>
    <row r="465" spans="2:2" s="22" customFormat="1" ht="15" customHeight="1">
      <c r="B465" s="24"/>
    </row>
    <row r="466" spans="2:2" s="22" customFormat="1" ht="15" customHeight="1">
      <c r="B466" s="24"/>
    </row>
    <row r="467" spans="2:2" s="22" customFormat="1" ht="15" customHeight="1">
      <c r="B467" s="23"/>
    </row>
    <row r="468" spans="2:2" s="22" customFormat="1" ht="15" customHeight="1">
      <c r="B468" s="23"/>
    </row>
  </sheetData>
  <mergeCells count="4">
    <mergeCell ref="B7:E8"/>
    <mergeCell ref="B10:B13"/>
    <mergeCell ref="B14:B19"/>
    <mergeCell ref="B20:C2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27"/>
  <sheetViews>
    <sheetView showGridLines="0" zoomScaleNormal="100" zoomScaleSheetLayoutView="115" workbookViewId="0">
      <selection activeCell="G16" sqref="G16"/>
    </sheetView>
  </sheetViews>
  <sheetFormatPr baseColWidth="10" defaultColWidth="11.42578125" defaultRowHeight="15"/>
  <cols>
    <col min="1" max="1" width="9.28515625" style="2" customWidth="1"/>
    <col min="2" max="2" width="21.710937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1:5" s="14" customFormat="1" ht="15" customHeight="1">
      <c r="C1" s="20"/>
    </row>
    <row r="2" spans="1:5" s="14" customFormat="1" ht="15" customHeight="1">
      <c r="C2" s="20"/>
    </row>
    <row r="3" spans="1:5" s="14" customFormat="1" ht="15" customHeight="1">
      <c r="C3" s="20"/>
    </row>
    <row r="4" spans="1:5" s="14" customFormat="1" ht="30" customHeight="1">
      <c r="C4" s="20"/>
      <c r="D4" s="19"/>
    </row>
    <row r="5" spans="1:5" s="14" customFormat="1" ht="15" customHeight="1">
      <c r="C5" s="20"/>
      <c r="D5" s="19"/>
    </row>
    <row r="6" spans="1:5" s="14" customFormat="1" ht="15" customHeight="1">
      <c r="C6" s="20"/>
      <c r="D6" s="19"/>
    </row>
    <row r="7" spans="1:5" s="14" customFormat="1" ht="15" customHeight="1">
      <c r="B7" s="77" t="s">
        <v>185</v>
      </c>
      <c r="C7" s="77"/>
      <c r="D7" s="77"/>
    </row>
    <row r="8" spans="1:5" s="14" customFormat="1" ht="15" customHeight="1">
      <c r="B8" s="77"/>
      <c r="C8" s="77"/>
      <c r="D8" s="77"/>
    </row>
    <row r="9" spans="1:5" s="14" customFormat="1" ht="33" customHeight="1">
      <c r="B9" s="77"/>
      <c r="C9" s="77"/>
      <c r="D9" s="77"/>
    </row>
    <row r="10" spans="1:5" s="14" customFormat="1" ht="4.5" customHeight="1">
      <c r="B10" s="18"/>
      <c r="C10" s="18"/>
      <c r="D10" s="18"/>
    </row>
    <row r="11" spans="1:5" s="14" customFormat="1" ht="33" customHeight="1">
      <c r="B11" s="17" t="s">
        <v>68</v>
      </c>
      <c r="C11" s="16" t="s">
        <v>37</v>
      </c>
      <c r="D11" s="15" t="s">
        <v>36</v>
      </c>
    </row>
    <row r="12" spans="1:5">
      <c r="B12" s="12" t="s">
        <v>67</v>
      </c>
      <c r="C12" s="11">
        <v>98</v>
      </c>
      <c r="D12" s="10">
        <v>0.65333333333333332</v>
      </c>
    </row>
    <row r="13" spans="1:5">
      <c r="B13" s="12" t="s">
        <v>105</v>
      </c>
      <c r="C13" s="11">
        <v>21</v>
      </c>
      <c r="D13" s="10">
        <v>0.14000000000000001</v>
      </c>
    </row>
    <row r="14" spans="1:5">
      <c r="A14" s="13"/>
      <c r="B14" s="12" t="s">
        <v>66</v>
      </c>
      <c r="C14" s="11">
        <v>13</v>
      </c>
      <c r="D14" s="10">
        <v>8.666666666666667E-2</v>
      </c>
      <c r="E14" s="13"/>
    </row>
    <row r="15" spans="1:5">
      <c r="A15" s="13"/>
      <c r="B15" s="12" t="s">
        <v>64</v>
      </c>
      <c r="C15" s="11">
        <v>5</v>
      </c>
      <c r="D15" s="10">
        <v>3.3333333333333333E-2</v>
      </c>
      <c r="E15" s="13"/>
    </row>
    <row r="16" spans="1:5">
      <c r="B16" s="12" t="s">
        <v>107</v>
      </c>
      <c r="C16" s="11">
        <v>4</v>
      </c>
      <c r="D16" s="10">
        <v>2.6666666666666668E-2</v>
      </c>
    </row>
    <row r="17" spans="2:4">
      <c r="B17" s="12" t="s">
        <v>186</v>
      </c>
      <c r="C17" s="11">
        <v>3</v>
      </c>
      <c r="D17" s="10">
        <v>0.02</v>
      </c>
    </row>
    <row r="18" spans="2:4">
      <c r="B18" s="12" t="s">
        <v>65</v>
      </c>
      <c r="C18" s="11">
        <v>2</v>
      </c>
      <c r="D18" s="10">
        <v>1.3333333333333334E-2</v>
      </c>
    </row>
    <row r="19" spans="2:4">
      <c r="B19" s="12" t="s">
        <v>106</v>
      </c>
      <c r="C19" s="11">
        <v>2</v>
      </c>
      <c r="D19" s="10">
        <v>1.3333333333333334E-2</v>
      </c>
    </row>
    <row r="20" spans="2:4">
      <c r="B20" s="12" t="s">
        <v>187</v>
      </c>
      <c r="C20" s="11">
        <v>2</v>
      </c>
      <c r="D20" s="10">
        <v>1.3333333333333334E-2</v>
      </c>
    </row>
    <row r="21" spans="2:4">
      <c r="B21" s="9" t="s">
        <v>15</v>
      </c>
      <c r="C21" s="8">
        <v>150</v>
      </c>
      <c r="D21" s="7">
        <v>1</v>
      </c>
    </row>
    <row r="23" spans="2:4">
      <c r="B23" s="4" t="s">
        <v>182</v>
      </c>
    </row>
    <row r="24" spans="2:4">
      <c r="B24" s="6" t="s">
        <v>14</v>
      </c>
    </row>
    <row r="25" spans="2:4">
      <c r="B25" s="5" t="s">
        <v>13</v>
      </c>
    </row>
    <row r="26" spans="2:4">
      <c r="B26" s="4" t="s">
        <v>12</v>
      </c>
    </row>
    <row r="27" spans="2:4">
      <c r="B27" s="4" t="s">
        <v>183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Montana_Edomexgral</vt:lpstr>
      <vt:lpstr>Montana_EDOMEX</vt:lpstr>
      <vt:lpstr>Montana_Educagral</vt:lpstr>
      <vt:lpstr>Montana_Eduedo</vt:lpstr>
      <vt:lpstr>Montana_gengral</vt:lpstr>
      <vt:lpstr>Montana_edomexgen</vt:lpstr>
      <vt:lpstr>Montana_edadgen</vt:lpstr>
      <vt:lpstr>Montana_ocupgral</vt:lpstr>
      <vt:lpstr>Montana_edadgen!Área_de_impresión</vt:lpstr>
      <vt:lpstr>Montana_EDOMEX!Área_de_impresión</vt:lpstr>
      <vt:lpstr>Montana_edomexgen!Área_de_impresión</vt:lpstr>
      <vt:lpstr>Montana_Eduedo!Área_de_impresión</vt:lpstr>
      <vt:lpstr>Montana_edadgen!Títulos_a_imprimir</vt:lpstr>
      <vt:lpstr>Montana_EDOMEX!Títulos_a_imprimir</vt:lpstr>
      <vt:lpstr>Montana_edomexgen!Títulos_a_imprimir</vt:lpstr>
      <vt:lpstr>Montana_Edomexgral!Títulos_a_imprimir</vt:lpstr>
      <vt:lpstr>Montana_Educagral!Títulos_a_imprimir</vt:lpstr>
      <vt:lpstr>Montana_Eduedo!Títulos_a_imprimir</vt:lpstr>
      <vt:lpstr>Montana_gengral!Títulos_a_imprimir</vt:lpstr>
      <vt:lpstr>Montana_ocupgral!Títulos_a_imprimir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2020-05-14T21:43:19Z</dcterms:created>
  <dcterms:modified xsi:type="dcterms:W3CDTF">2023-05-24T20:33:06Z</dcterms:modified>
</cp:coreProperties>
</file>