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2\USA\Finales_USA\"/>
    </mc:Choice>
  </mc:AlternateContent>
  <bookViews>
    <workbookView xWindow="0" yWindow="0" windowWidth="23355" windowHeight="8880" tabRatio="702" activeTab="1"/>
  </bookViews>
  <sheets>
    <sheet name="Índice" sheetId="1" r:id="rId1"/>
    <sheet name="District of Columbia_Edomexgral" sheetId="2" r:id="rId2"/>
    <sheet name="District of Columbia_EDOMEX" sheetId="12" r:id="rId3"/>
    <sheet name="District of Columbia_Educagral" sheetId="4" r:id="rId4"/>
    <sheet name="District of Columbia_Eduedo" sheetId="11" r:id="rId5"/>
    <sheet name="District of Columbia_gengral" sheetId="6" r:id="rId6"/>
    <sheet name="District of Columbia_edomexgen" sheetId="7" r:id="rId7"/>
    <sheet name="District of Columbia_edadgen" sheetId="8" r:id="rId8"/>
    <sheet name="District of Columbia_ocupgral" sheetId="10" r:id="rId9"/>
  </sheets>
  <definedNames>
    <definedName name="_xlnm._FilterDatabase" localSheetId="7" hidden="1">'District of Columbia_edadgen'!$B$9:$E$9</definedName>
    <definedName name="_xlnm._FilterDatabase" localSheetId="2" hidden="1">'District of Columbia_EDOMEX'!$B$9:$E$9</definedName>
    <definedName name="_xlnm._FilterDatabase" localSheetId="6" hidden="1">'District of Columbia_edomexgen'!$B$9:$E$9</definedName>
    <definedName name="_xlnm._FilterDatabase" localSheetId="1" hidden="1">'District of Columbia_Edomexgral'!$B$11:$D$11</definedName>
    <definedName name="_xlnm._FilterDatabase" localSheetId="3" hidden="1">'District of Columbia_Educagral'!$B$11:$D$11</definedName>
    <definedName name="_xlnm._FilterDatabase" localSheetId="4" hidden="1">'District of Columbia_Eduedo'!$B$9:$E$9</definedName>
    <definedName name="_xlnm._FilterDatabase" localSheetId="5" hidden="1">'District of Columbia_gengral'!$B$11:$D$11</definedName>
    <definedName name="_xlnm._FilterDatabase" localSheetId="8" hidden="1">'District of Columbia_ocupgral'!$B$11:$D$11</definedName>
    <definedName name="_xlnm.Print_Area" localSheetId="7">'District of Columbia_edadgen'!$A$1:$E$9</definedName>
    <definedName name="_xlnm.Print_Area" localSheetId="2">'District of Columbia_EDOMEX'!$A$1:$E$9</definedName>
    <definedName name="_xlnm.Print_Area" localSheetId="6">'District of Columbia_edomexgen'!$A$1:$E$9</definedName>
    <definedName name="_xlnm.Print_Area" localSheetId="4">'District of Columbia_Eduedo'!$A$1:$E$9</definedName>
    <definedName name="_xlnm.Print_Titles" localSheetId="7">'District of Columbia_edadgen'!$1:$9</definedName>
    <definedName name="_xlnm.Print_Titles" localSheetId="2">'District of Columbia_EDOMEX'!$1:$9</definedName>
    <definedName name="_xlnm.Print_Titles" localSheetId="6">'District of Columbia_edomexgen'!$1:$9</definedName>
    <definedName name="_xlnm.Print_Titles" localSheetId="1">'District of Columbia_Edomexgral'!$1:$11</definedName>
    <definedName name="_xlnm.Print_Titles" localSheetId="3">'District of Columbia_Educagral'!$1:$11</definedName>
    <definedName name="_xlnm.Print_Titles" localSheetId="4">'District of Columbia_Eduedo'!$1:$9</definedName>
    <definedName name="_xlnm.Print_Titles" localSheetId="5">'District of Columbia_gengral'!$1:$11</definedName>
    <definedName name="_xlnm.Print_Titles" localSheetId="8">'District of Columbia_ocupgral'!$1:$11</definedName>
  </definedNames>
  <calcPr calcId="152511"/>
</workbook>
</file>

<file path=xl/calcChain.xml><?xml version="1.0" encoding="utf-8"?>
<calcChain xmlns="http://schemas.openxmlformats.org/spreadsheetml/2006/main">
  <c r="D58" i="7" l="1"/>
  <c r="D116" i="12"/>
</calcChain>
</file>

<file path=xl/sharedStrings.xml><?xml version="1.0" encoding="utf-8"?>
<sst xmlns="http://schemas.openxmlformats.org/spreadsheetml/2006/main" count="465" uniqueCount="179">
  <si>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</si>
  <si>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</si>
  <si>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</si>
  <si>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</si>
  <si>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</si>
  <si>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</si>
  <si>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</si>
  <si>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</si>
  <si>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</si>
  <si>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</si>
  <si>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</si>
  <si>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</si>
  <si>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</si>
  <si>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</si>
  <si>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</si>
  <si>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</si>
  <si>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Tabasco</t>
  </si>
  <si>
    <t>Nuevo León</t>
  </si>
  <si>
    <t>Tlaxcala</t>
  </si>
  <si>
    <t>Tamaulipas</t>
  </si>
  <si>
    <t>Querétaro</t>
  </si>
  <si>
    <t>Michoacán</t>
  </si>
  <si>
    <t>Jalisco</t>
  </si>
  <si>
    <t>Morelos</t>
  </si>
  <si>
    <t>Veracruz</t>
  </si>
  <si>
    <t>Chiapas</t>
  </si>
  <si>
    <t>Estado de México</t>
  </si>
  <si>
    <t>Oaxaca</t>
  </si>
  <si>
    <t>Ciudad de México</t>
  </si>
  <si>
    <t>Puebla</t>
  </si>
  <si>
    <t>Guerrero</t>
  </si>
  <si>
    <t>Porcentaje de Matrículas</t>
  </si>
  <si>
    <t>Número de Matrículas</t>
  </si>
  <si>
    <t>Estado de Origen</t>
  </si>
  <si>
    <t>Tepanco de López</t>
  </si>
  <si>
    <t>Tehuitzingo</t>
  </si>
  <si>
    <t>Tehuacán</t>
  </si>
  <si>
    <t>Izúcar de Matamoros</t>
  </si>
  <si>
    <t>San Pablo Huitzo</t>
  </si>
  <si>
    <t>Tlaquiltenango</t>
  </si>
  <si>
    <t>Cuautla</t>
  </si>
  <si>
    <t>Tlapa de Comonfort</t>
  </si>
  <si>
    <t>Copanatoyac</t>
  </si>
  <si>
    <t>Chilapa de Álvarez</t>
  </si>
  <si>
    <t>Atlixtac</t>
  </si>
  <si>
    <t>Ahuacuotzingo</t>
  </si>
  <si>
    <t>Tejupilco</t>
  </si>
  <si>
    <t>Miguel Hidalgo</t>
  </si>
  <si>
    <t>Iztacalco</t>
  </si>
  <si>
    <t>Cuauhtémoc</t>
  </si>
  <si>
    <t>Municipio Origen</t>
  </si>
  <si>
    <t>Posgrado [Maestría]</t>
  </si>
  <si>
    <t>Profesional Titulado</t>
  </si>
  <si>
    <t>Profesional pasante</t>
  </si>
  <si>
    <t>Preparatoria con certificado</t>
  </si>
  <si>
    <t>Preparatoria sin certificado</t>
  </si>
  <si>
    <t>Secundaria con certificado</t>
  </si>
  <si>
    <t>3° Secundaria</t>
  </si>
  <si>
    <t>2°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</si>
  <si>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</si>
  <si>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</si>
  <si>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</si>
  <si>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</si>
  <si>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</si>
  <si>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</si>
  <si>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Sin Estudios</t>
  </si>
  <si>
    <t>Nivel de Estudios</t>
  </si>
  <si>
    <t>MATRÍCULAS CONSULARES EXPEDIDAS EN EL ESTADO DE DISTRICT OF COLUMBIA EN EE.UU. POR NIVEL DE EDUCACIÓN</t>
  </si>
  <si>
    <t>TOTAL</t>
  </si>
  <si>
    <t>MUJER</t>
  </si>
  <si>
    <t>HOMBRE</t>
  </si>
  <si>
    <t>Género</t>
  </si>
  <si>
    <t>Mujer</t>
  </si>
  <si>
    <t>Hombre</t>
  </si>
  <si>
    <t>Entre 50 y 65 Años</t>
  </si>
  <si>
    <t>Entre 40 y 49 Años</t>
  </si>
  <si>
    <t>Entre 29 y 39 Años</t>
  </si>
  <si>
    <t>Entre 18 y 28 Años</t>
  </si>
  <si>
    <t>Edad cumplida</t>
  </si>
  <si>
    <t>Campesino(a)</t>
  </si>
  <si>
    <t>Estudiante</t>
  </si>
  <si>
    <t>Albañil</t>
  </si>
  <si>
    <t>Mesero(a)</t>
  </si>
  <si>
    <t>Profesionista</t>
  </si>
  <si>
    <t>Hogar</t>
  </si>
  <si>
    <t>Obrero(a)</t>
  </si>
  <si>
    <t>Otro</t>
  </si>
  <si>
    <t>Cocinero(a)</t>
  </si>
  <si>
    <t>Empleado(a)</t>
  </si>
  <si>
    <t>Ocupación</t>
  </si>
  <si>
    <t>Profesional titulado</t>
  </si>
  <si>
    <t>Amatenango de la Frontera</t>
  </si>
  <si>
    <t>Tonalá</t>
  </si>
  <si>
    <t>Tlacotepec de Benito Juárez</t>
  </si>
  <si>
    <t>Entre 66 y 75 Años</t>
  </si>
  <si>
    <t>Entre 11 y 17 Años</t>
  </si>
  <si>
    <t>Jardinero(a)</t>
  </si>
  <si>
    <t>Benito Juárez</t>
  </si>
  <si>
    <t>Gustavo A. Madero</t>
  </si>
  <si>
    <t>Venustiano Carranza</t>
  </si>
  <si>
    <t>Tlalnepantla de Baz</t>
  </si>
  <si>
    <t>Villa Victoria</t>
  </si>
  <si>
    <t>Acapulco de Juárez</t>
  </si>
  <si>
    <t>Zacapu</t>
  </si>
  <si>
    <t>Monterrey</t>
  </si>
  <si>
    <t>Xochitlán Todos Santos</t>
  </si>
  <si>
    <t>Nuevo Laredo</t>
  </si>
  <si>
    <t>1° Primaria</t>
  </si>
  <si>
    <t>Menores de edad</t>
  </si>
  <si>
    <t>Menores De Edad</t>
  </si>
  <si>
    <t>Matrículas consulares expedidas a mexicanos  en el estado de District of Columbia en el 2022.</t>
  </si>
  <si>
    <t>Acapetahua</t>
  </si>
  <si>
    <t>La Concordia</t>
  </si>
  <si>
    <t>Villa Corzo</t>
  </si>
  <si>
    <t>Chihuahua</t>
  </si>
  <si>
    <t>Camargo</t>
  </si>
  <si>
    <t>Durango</t>
  </si>
  <si>
    <t>Lerdo</t>
  </si>
  <si>
    <t>Coatepec Harinas</t>
  </si>
  <si>
    <t>Lerma</t>
  </si>
  <si>
    <t>Nezahualcóyotl</t>
  </si>
  <si>
    <t>Tlatlaya</t>
  </si>
  <si>
    <t>Toluca</t>
  </si>
  <si>
    <t>Valle de Chalco Solidaridad</t>
  </si>
  <si>
    <t>Ayutla de los Libres</t>
  </si>
  <si>
    <t>Chilpancingo de los Bravo</t>
  </si>
  <si>
    <t>Cocula</t>
  </si>
  <si>
    <t>Coyuca de Benítez</t>
  </si>
  <si>
    <t>Olinalá</t>
  </si>
  <si>
    <t>San Marcos</t>
  </si>
  <si>
    <t>Xalpatláhuac</t>
  </si>
  <si>
    <t>Guadalajara</t>
  </si>
  <si>
    <t>Buenavista</t>
  </si>
  <si>
    <t>Churintzio</t>
  </si>
  <si>
    <t>Maravatío</t>
  </si>
  <si>
    <t>Zacualpan de Amilpas</t>
  </si>
  <si>
    <t>Huautepec</t>
  </si>
  <si>
    <t>San Francisco Tlapancingo</t>
  </si>
  <si>
    <t>San Juan Bautista Guelache</t>
  </si>
  <si>
    <t>San Lucas Ojitlán</t>
  </si>
  <si>
    <t>San Martín Itunyoso</t>
  </si>
  <si>
    <t>San Miguel del Puerto</t>
  </si>
  <si>
    <t>Santiago Tetepec</t>
  </si>
  <si>
    <t>Villa de Zaachila</t>
  </si>
  <si>
    <t>Atoyatempan</t>
  </si>
  <si>
    <t>Chalchicomula de Sesma</t>
  </si>
  <si>
    <t>Chiautzingo</t>
  </si>
  <si>
    <t>Huaquechula</t>
  </si>
  <si>
    <t>Juan N. Méndez</t>
  </si>
  <si>
    <t>Petlalcingo</t>
  </si>
  <si>
    <t>Piaxtla</t>
  </si>
  <si>
    <t>Quimixtlán</t>
  </si>
  <si>
    <t>Tepeaca</t>
  </si>
  <si>
    <t>Xochitlán de Vicente Suárez</t>
  </si>
  <si>
    <t>Sonora</t>
  </si>
  <si>
    <t>Hermosillo</t>
  </si>
  <si>
    <t>Huimanguillo</t>
  </si>
  <si>
    <t>Chiautempan</t>
  </si>
  <si>
    <t>Tocatlán</t>
  </si>
  <si>
    <t>Altotonga</t>
  </si>
  <si>
    <t>Córdoba</t>
  </si>
  <si>
    <t>Cosamaloapan de Carpio</t>
  </si>
  <si>
    <t>Las Choapas</t>
  </si>
  <si>
    <t>Paso del Macho</t>
  </si>
  <si>
    <t>Tierra Blanca</t>
  </si>
  <si>
    <t>Tlalixcoyan</t>
  </si>
  <si>
    <t>Xalapa</t>
  </si>
  <si>
    <t>Yanga</t>
  </si>
  <si>
    <t>Yucatán</t>
  </si>
  <si>
    <t>Tixkokob</t>
  </si>
  <si>
    <t>Tamaño de la muestra: 566,547</t>
  </si>
  <si>
    <t>Mayo de 2023</t>
  </si>
  <si>
    <t>MATRÍCULAS CONSULARES DE ALTA SEGURIDAD EXPEDIDAS EN EL ESTADO DE DISTRICT OF COLUMBIA EN EE.UU. POR ESTADO DE LA REPÚBLICA MEXICANA</t>
  </si>
  <si>
    <t>MATRÍCULAS CONSULARES DE ALTA SEGURIDAD EXPEDIDAS EN EE.UU A MEXICANOS EN EL ESTADO DE  DISTRICT OF COLUMBIA, POR PERFIL OCUPACIONAL</t>
  </si>
  <si>
    <t>Cajero(a)</t>
  </si>
  <si>
    <t>Comerciante</t>
  </si>
  <si>
    <t>MATRÍCULAS CONSULARES DE ALTA SEGURIDAD EXPEDIDAS EN EE.UU A MEXICANOS EN EL ESTADO DE DISTRICT OF COLUMBIA, POR GÉNERO</t>
  </si>
  <si>
    <t>1° Secundaria</t>
  </si>
  <si>
    <t>Posgrado [Doctorado]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</si>
</sst>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11"/>
      <name val="Arial Narrow"/>
      <family val="2"/>
    </font>
    <font>
      <b/>
      <sz val="9"/>
      <color rgb="FFFFFFFF"/>
      <name val="Montserrat"/>
    </font>
    <font>
      <sz val="7"/>
      <color rgb="FF000000"/>
      <name val="Montserrat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21" fillId="0" borderId="0"/>
  </cellStyleXfs>
  <cellXfs count="82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/>
    <xf numFmtId="0" fontId="4" fillId="0" borderId="0" xfId="0" applyFont="1" applyBorder="1" applyAlignment="1"/>
    <xf numFmtId="0" fontId="4" fillId="0" borderId="5" xfId="0" applyFont="1" applyBorder="1" applyAlignment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3" borderId="0" xfId="0" applyFont="1" applyFill="1"/>
    <xf numFmtId="3" fontId="0" fillId="3" borderId="0" xfId="0" applyNumberFormat="1" applyFont="1" applyFill="1"/>
    <xf numFmtId="0" fontId="8" fillId="3" borderId="0" xfId="0" applyFont="1" applyFill="1"/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164" fontId="9" fillId="4" borderId="9" xfId="0" applyNumberFormat="1" applyFont="1" applyFill="1" applyBorder="1" applyAlignment="1">
      <alignment horizontal="right" vertical="top" wrapText="1"/>
    </xf>
    <xf numFmtId="3" fontId="9" fillId="4" borderId="9" xfId="0" applyNumberFormat="1" applyFont="1" applyFill="1" applyBorder="1" applyAlignment="1">
      <alignment horizontal="right" vertical="top" wrapText="1"/>
    </xf>
    <xf numFmtId="49" fontId="9" fillId="4" borderId="9" xfId="0" applyNumberFormat="1" applyFont="1" applyFill="1" applyBorder="1" applyAlignment="1">
      <alignment vertical="top" wrapText="1"/>
    </xf>
    <xf numFmtId="164" fontId="10" fillId="3" borderId="9" xfId="0" applyNumberFormat="1" applyFont="1" applyFill="1" applyBorder="1" applyAlignment="1">
      <alignment horizontal="right" vertical="top" wrapText="1"/>
    </xf>
    <xf numFmtId="3" fontId="10" fillId="3" borderId="9" xfId="0" applyNumberFormat="1" applyFont="1" applyFill="1" applyBorder="1" applyAlignment="1">
      <alignment horizontal="right" vertical="top" wrapText="1"/>
    </xf>
    <xf numFmtId="49" fontId="11" fillId="3" borderId="9" xfId="0" applyNumberFormat="1" applyFont="1" applyFill="1" applyBorder="1" applyAlignment="1">
      <alignment vertical="top" wrapText="1"/>
    </xf>
    <xf numFmtId="0" fontId="12" fillId="3" borderId="0" xfId="0" applyFont="1" applyFill="1"/>
    <xf numFmtId="0" fontId="13" fillId="0" borderId="0" xfId="0" applyFont="1"/>
    <xf numFmtId="0" fontId="9" fillId="2" borderId="10" xfId="0" applyFont="1" applyFill="1" applyBorder="1" applyAlignment="1">
      <alignment horizontal="center" vertical="center" wrapText="1"/>
    </xf>
    <xf numFmtId="1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16" fillId="3" borderId="0" xfId="0" applyFont="1" applyFill="1"/>
    <xf numFmtId="0" fontId="17" fillId="3" borderId="0" xfId="0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0" fontId="20" fillId="3" borderId="0" xfId="0" applyFont="1" applyFill="1"/>
    <xf numFmtId="0" fontId="13" fillId="3" borderId="0" xfId="0" applyFont="1" applyFill="1"/>
    <xf numFmtId="0" fontId="22" fillId="3" borderId="0" xfId="0" applyFont="1" applyFill="1" applyAlignment="1"/>
    <xf numFmtId="0" fontId="20" fillId="3" borderId="0" xfId="0" applyFont="1" applyFill="1" applyAlignment="1">
      <alignment vertical="center"/>
    </xf>
    <xf numFmtId="0" fontId="13" fillId="3" borderId="0" xfId="0" applyFont="1" applyFill="1" applyBorder="1"/>
    <xf numFmtId="3" fontId="13" fillId="3" borderId="0" xfId="0" applyNumberFormat="1" applyFont="1" applyFill="1" applyBorder="1"/>
    <xf numFmtId="1" fontId="13" fillId="3" borderId="0" xfId="0" applyNumberFormat="1" applyFont="1" applyFill="1" applyBorder="1"/>
    <xf numFmtId="0" fontId="20" fillId="3" borderId="0" xfId="0" applyFont="1" applyFill="1" applyBorder="1"/>
    <xf numFmtId="0" fontId="20" fillId="3" borderId="0" xfId="0" applyFont="1" applyFill="1" applyBorder="1" applyAlignment="1">
      <alignment vertical="center"/>
    </xf>
    <xf numFmtId="3" fontId="12" fillId="3" borderId="0" xfId="0" applyNumberFormat="1" applyFont="1" applyFill="1"/>
    <xf numFmtId="0" fontId="18" fillId="0" borderId="0" xfId="0" applyFont="1" applyAlignment="1">
      <alignment horizontal="justify" vertical="center"/>
    </xf>
    <xf numFmtId="0" fontId="18" fillId="0" borderId="0" xfId="0" applyFont="1" applyAlignment="1">
      <alignment vertical="top"/>
    </xf>
    <xf numFmtId="0" fontId="23" fillId="5" borderId="10" xfId="4" applyFont="1" applyFill="1" applyBorder="1" applyAlignment="1">
      <alignment horizontal="center" vertical="center" wrapText="1"/>
    </xf>
    <xf numFmtId="1" fontId="23" fillId="5" borderId="10" xfId="4" applyNumberFormat="1" applyFont="1" applyFill="1" applyBorder="1" applyAlignment="1">
      <alignment horizontal="center" vertical="center" wrapText="1"/>
    </xf>
    <xf numFmtId="49" fontId="19" fillId="6" borderId="9" xfId="3" applyNumberFormat="1" applyFont="1" applyFill="1" applyBorder="1" applyAlignment="1">
      <alignment vertical="center" wrapText="1"/>
    </xf>
    <xf numFmtId="166" fontId="19" fillId="6" borderId="9" xfId="3" applyNumberFormat="1" applyFont="1" applyFill="1" applyBorder="1" applyAlignment="1">
      <alignment horizontal="right" vertical="center" wrapText="1"/>
    </xf>
    <xf numFmtId="164" fontId="19" fillId="6" borderId="9" xfId="3" applyNumberFormat="1" applyFont="1" applyFill="1" applyBorder="1" applyAlignment="1">
      <alignment horizontal="right" vertical="center" wrapText="1"/>
    </xf>
    <xf numFmtId="49" fontId="23" fillId="7" borderId="9" xfId="3" applyNumberFormat="1" applyFont="1" applyFill="1" applyBorder="1" applyAlignment="1">
      <alignment vertical="center" wrapText="1"/>
    </xf>
    <xf numFmtId="3" fontId="23" fillId="7" borderId="9" xfId="3" applyNumberFormat="1" applyFont="1" applyFill="1" applyBorder="1" applyAlignment="1">
      <alignment horizontal="right" vertical="center" wrapText="1"/>
    </xf>
    <xf numFmtId="165" fontId="23" fillId="7" borderId="9" xfId="1" applyNumberFormat="1" applyFont="1" applyFill="1" applyBorder="1" applyAlignment="1">
      <alignment vertical="center" wrapText="1"/>
    </xf>
    <xf numFmtId="3" fontId="23" fillId="8" borderId="9" xfId="0" applyNumberFormat="1" applyFont="1" applyFill="1" applyBorder="1" applyAlignment="1">
      <alignment horizontal="right" vertical="center" wrapText="1"/>
    </xf>
    <xf numFmtId="164" fontId="23" fillId="8" borderId="9" xfId="0" applyNumberFormat="1" applyFont="1" applyFill="1" applyBorder="1" applyAlignment="1">
      <alignment horizontal="right" vertical="center" wrapText="1"/>
    </xf>
    <xf numFmtId="0" fontId="17" fillId="6" borderId="0" xfId="0" applyFont="1" applyFill="1" applyBorder="1"/>
    <xf numFmtId="0" fontId="24" fillId="6" borderId="0" xfId="0" applyFont="1" applyFill="1" applyBorder="1"/>
    <xf numFmtId="0" fontId="24" fillId="6" borderId="0" xfId="0" applyFont="1" applyFill="1" applyBorder="1" applyAlignment="1">
      <alignment vertical="center"/>
    </xf>
    <xf numFmtId="0" fontId="24" fillId="6" borderId="0" xfId="0" applyFont="1" applyFill="1" applyBorder="1" applyAlignment="1">
      <alignment vertical="top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5" fillId="0" borderId="0" xfId="0" applyFont="1" applyBorder="1" applyAlignment="1">
      <alignment horizontal="center" vertical="center" wrapText="1"/>
    </xf>
    <xf numFmtId="49" fontId="19" fillId="6" borderId="10" xfId="3" applyNumberFormat="1" applyFont="1" applyFill="1" applyBorder="1" applyAlignment="1">
      <alignment horizontal="center" vertical="center" wrapText="1"/>
    </xf>
    <xf numFmtId="49" fontId="19" fillId="6" borderId="15" xfId="3" applyNumberFormat="1" applyFont="1" applyFill="1" applyBorder="1" applyAlignment="1">
      <alignment horizontal="center" vertical="center" wrapText="1"/>
    </xf>
    <xf numFmtId="49" fontId="19" fillId="6" borderId="14" xfId="3" applyNumberFormat="1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  <xf numFmtId="49" fontId="23" fillId="8" borderId="13" xfId="0" applyNumberFormat="1" applyFont="1" applyFill="1" applyBorder="1" applyAlignment="1">
      <alignment horizontal="center" vertical="center" wrapText="1"/>
    </xf>
    <xf numFmtId="49" fontId="23" fillId="8" borderId="12" xfId="0" applyNumberFormat="1" applyFont="1" applyFill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484598</xdr:colOff>
      <xdr:row>1</xdr:row>
      <xdr:rowOff>219405</xdr:rowOff>
    </xdr:from>
    <xdr:to>
      <xdr:col>3</xdr:col>
      <xdr:colOff>996695</xdr:colOff>
      <xdr:row>2</xdr:row>
      <xdr:rowOff>209881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08823" y="752805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DISTRICT OF COLUMBIA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219075</xdr:colOff>
      <xdr:row>8</xdr:row>
      <xdr:rowOff>0</xdr:rowOff>
    </xdr:from>
    <xdr:to>
      <xdr:col>5</xdr:col>
      <xdr:colOff>112047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48200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DISTRICT OF COLUMBIA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DISTRICT OF COLUMBIA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571500</xdr:colOff>
      <xdr:row>7</xdr:row>
      <xdr:rowOff>210207</xdr:rowOff>
    </xdr:from>
    <xdr:to>
      <xdr:col>4</xdr:col>
      <xdr:colOff>1083597</xdr:colOff>
      <xdr:row>7</xdr:row>
      <xdr:rowOff>389502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10175" y="1953282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DISTRICT OF COLUMBIA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228600</xdr:colOff>
      <xdr:row>8</xdr:row>
      <xdr:rowOff>9525</xdr:rowOff>
    </xdr:from>
    <xdr:to>
      <xdr:col>5</xdr:col>
      <xdr:colOff>121572</xdr:colOff>
      <xdr:row>8</xdr:row>
      <xdr:rowOff>200026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248275" y="17240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DISTRICT OF COLUMBIA,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DISTRICT OF COLUMBIA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583163</xdr:colOff>
      <xdr:row>7</xdr:row>
      <xdr:rowOff>136071</xdr:rowOff>
    </xdr:from>
    <xdr:to>
      <xdr:col>4</xdr:col>
      <xdr:colOff>1095260</xdr:colOff>
      <xdr:row>7</xdr:row>
      <xdr:rowOff>326572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9917663" y="1469571"/>
          <a:ext cx="512097" cy="571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DISTRICT OF COLUMBIA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161925</xdr:colOff>
      <xdr:row>8</xdr:row>
      <xdr:rowOff>0</xdr:rowOff>
    </xdr:from>
    <xdr:to>
      <xdr:col>5</xdr:col>
      <xdr:colOff>54897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91050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DISTRICT OF COLUMBIA,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DISTRICT OF COLUMBIA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591207</xdr:colOff>
      <xdr:row>7</xdr:row>
      <xdr:rowOff>144517</xdr:rowOff>
    </xdr:from>
    <xdr:to>
      <xdr:col>4</xdr:col>
      <xdr:colOff>1103304</xdr:colOff>
      <xdr:row>7</xdr:row>
      <xdr:rowOff>335018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28897" y="1885293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DISTRICT OF COLUMBIA,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DISTRICT OF COLUMBIA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564931</xdr:colOff>
      <xdr:row>7</xdr:row>
      <xdr:rowOff>151086</xdr:rowOff>
    </xdr:from>
    <xdr:to>
      <xdr:col>4</xdr:col>
      <xdr:colOff>1077028</xdr:colOff>
      <xdr:row>7</xdr:row>
      <xdr:rowOff>341587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02621" y="1891862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DISTRICT OF COLUMBIA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266700</xdr:colOff>
      <xdr:row>8</xdr:row>
      <xdr:rowOff>0</xdr:rowOff>
    </xdr:from>
    <xdr:to>
      <xdr:col>5</xdr:col>
      <xdr:colOff>159672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9582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D21"/>
  <sheetViews>
    <sheetView showGridLines="0" view="pageBreakPreview" zoomScaleNormal="100" zoomScaleSheetLayoutView="100" workbookViewId="0">
      <selection activeCell="F8" sqref="F8"/>
    </sheetView>
  </sheetViews>
  <sheetFormatPr baseColWidth="10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69" t="s">
        <v>110</v>
      </c>
      <c r="B1" s="70"/>
      <c r="C1" s="70"/>
      <c r="D1" s="71"/>
    </row>
    <row r="2" spans="1:4" ht="18.75">
      <c r="A2" s="2"/>
      <c r="B2" s="3"/>
      <c r="C2" s="3"/>
      <c r="D2" s="4"/>
    </row>
    <row r="3" spans="1:4">
      <c r="A3" s="72" t="s">
        <v>0</v>
      </c>
      <c r="B3" s="73"/>
      <c r="C3" s="73"/>
      <c r="D3" s="74"/>
    </row>
    <row r="4" spans="1:4">
      <c r="A4" s="72"/>
      <c r="B4" s="73"/>
      <c r="C4" s="73"/>
      <c r="D4" s="74"/>
    </row>
    <row r="5" spans="1:4" ht="18.75">
      <c r="A5" s="5"/>
      <c r="B5" s="6"/>
      <c r="C5" s="6"/>
      <c r="D5" s="7"/>
    </row>
    <row r="6" spans="1:4" ht="18.75">
      <c r="A6" s="68" t="s">
        <v>1</v>
      </c>
      <c r="B6" s="66"/>
      <c r="C6" s="66"/>
      <c r="D6" s="67"/>
    </row>
    <row r="7" spans="1:4" ht="18.75">
      <c r="A7" s="8"/>
      <c r="B7" s="9"/>
      <c r="C7" s="9"/>
      <c r="D7" s="10"/>
    </row>
    <row r="8" spans="1:4" ht="18.75">
      <c r="A8" s="11" t="s">
        <v>2</v>
      </c>
      <c r="B8" s="12"/>
      <c r="C8" s="12"/>
      <c r="D8" s="13"/>
    </row>
    <row r="9" spans="1:4" ht="18.75">
      <c r="A9" s="11"/>
      <c r="B9" s="66" t="s">
        <v>3</v>
      </c>
      <c r="C9" s="66"/>
      <c r="D9" s="67"/>
    </row>
    <row r="10" spans="1:4" ht="18.75">
      <c r="A10" s="11" t="s">
        <v>4</v>
      </c>
      <c r="B10" s="12"/>
      <c r="C10" s="12"/>
      <c r="D10" s="13"/>
    </row>
    <row r="11" spans="1:4" ht="18.75">
      <c r="A11" s="11"/>
      <c r="B11" s="66" t="s">
        <v>5</v>
      </c>
      <c r="C11" s="66"/>
      <c r="D11" s="67"/>
    </row>
    <row r="12" spans="1:4" ht="18.75">
      <c r="A12" s="11"/>
      <c r="B12" s="66" t="s">
        <v>6</v>
      </c>
      <c r="C12" s="66"/>
      <c r="D12" s="67"/>
    </row>
    <row r="13" spans="1:4" ht="18.75">
      <c r="A13" s="11"/>
      <c r="B13" s="12"/>
      <c r="C13" s="12"/>
      <c r="D13" s="13"/>
    </row>
    <row r="14" spans="1:4" ht="18.75">
      <c r="A14" s="11" t="s">
        <v>7</v>
      </c>
      <c r="B14" s="12"/>
      <c r="C14" s="12"/>
      <c r="D14" s="13"/>
    </row>
    <row r="15" spans="1:4" ht="18.75">
      <c r="A15" s="11"/>
      <c r="B15" s="66" t="s">
        <v>8</v>
      </c>
      <c r="C15" s="66"/>
      <c r="D15" s="67"/>
    </row>
    <row r="16" spans="1:4" ht="18.75">
      <c r="A16" s="11"/>
      <c r="B16" s="66" t="s">
        <v>9</v>
      </c>
      <c r="C16" s="66"/>
      <c r="D16" s="67"/>
    </row>
    <row r="17" spans="1:4" ht="18.75">
      <c r="A17" s="11"/>
      <c r="B17" s="12"/>
      <c r="C17" s="12"/>
      <c r="D17" s="13"/>
    </row>
    <row r="18" spans="1:4" ht="18.75">
      <c r="A18" s="68" t="s">
        <v>10</v>
      </c>
      <c r="B18" s="66"/>
      <c r="C18" s="66"/>
      <c r="D18" s="67"/>
    </row>
    <row r="19" spans="1:4" ht="18.75">
      <c r="A19" s="11"/>
      <c r="B19" s="12"/>
      <c r="C19" s="12"/>
      <c r="D19" s="13"/>
    </row>
    <row r="20" spans="1:4" ht="18.75">
      <c r="A20" s="68" t="s">
        <v>11</v>
      </c>
      <c r="B20" s="66"/>
      <c r="C20" s="66"/>
      <c r="D20" s="67"/>
    </row>
    <row r="21" spans="1:4" ht="19.5" thickBot="1">
      <c r="A21" s="14"/>
      <c r="B21" s="15"/>
      <c r="C21" s="15"/>
      <c r="D21" s="16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'District of Columbia_Edomexgral'!A1" display="1. Por Estados de la República Mexicana"/>
    <hyperlink ref="B9" location="Alabama_EDOMEX!Área_de_impresión" display="2.1 Por estado de la República Mexicana y municipio de origen"/>
    <hyperlink ref="B11:D11" location="'District of Columbia_Educagral'!A1" display="3.1 Educación general"/>
    <hyperlink ref="B12:D12" location="'District of Columbia_Eduedo'!A1" display="3.2 Por Estado de la República Mexicana"/>
    <hyperlink ref="B15:D15" location="'District of Columbia_gengral'!A1" display="4.1 Género General"/>
    <hyperlink ref="B16:D16" location="'District of Columbia_edomexgen'!A1" display="4.2 Por Estados de la República Mexicana"/>
    <hyperlink ref="A18:D18" location="'District of Columbia_edadgen'!A1" display="5. Por estructura de Edad"/>
    <hyperlink ref="A20:D20" location="'District of Columbia_ocupgral'!A1" display="6. Por Ocupación"/>
    <hyperlink ref="B9:D9" location="'District of Columbia_EDOMEX'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37"/>
  <sheetViews>
    <sheetView showGridLines="0" tabSelected="1" topLeftCell="A13" zoomScaleNormal="100" zoomScaleSheetLayoutView="115" workbookViewId="0">
      <selection activeCell="E36" sqref="E36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75" t="s">
        <v>172</v>
      </c>
      <c r="C7" s="75"/>
      <c r="D7" s="75"/>
    </row>
    <row r="8" spans="1:5" s="29" customFormat="1" ht="15" customHeight="1">
      <c r="B8" s="75"/>
      <c r="C8" s="75"/>
      <c r="D8" s="75"/>
    </row>
    <row r="9" spans="1:5" s="29" customFormat="1" ht="33" customHeight="1">
      <c r="B9" s="75"/>
      <c r="C9" s="75"/>
      <c r="D9" s="75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33</v>
      </c>
      <c r="C11" s="31" t="s">
        <v>32</v>
      </c>
      <c r="D11" s="30" t="s">
        <v>31</v>
      </c>
    </row>
    <row r="12" spans="1:5">
      <c r="B12" s="27" t="s">
        <v>30</v>
      </c>
      <c r="C12" s="26">
        <v>60</v>
      </c>
      <c r="D12" s="25">
        <v>0.34482758620689657</v>
      </c>
    </row>
    <row r="13" spans="1:5">
      <c r="B13" s="27" t="s">
        <v>29</v>
      </c>
      <c r="C13" s="26">
        <v>34</v>
      </c>
      <c r="D13" s="25">
        <v>0.19540229885057472</v>
      </c>
    </row>
    <row r="14" spans="1:5">
      <c r="A14" s="28"/>
      <c r="B14" s="27" t="s">
        <v>28</v>
      </c>
      <c r="C14" s="26">
        <v>14</v>
      </c>
      <c r="D14" s="25">
        <v>8.0459770114942528E-2</v>
      </c>
      <c r="E14" s="28"/>
    </row>
    <row r="15" spans="1:5">
      <c r="A15" s="28"/>
      <c r="B15" s="27" t="s">
        <v>26</v>
      </c>
      <c r="C15" s="26">
        <v>13</v>
      </c>
      <c r="D15" s="25">
        <v>7.4712643678160925E-2</v>
      </c>
      <c r="E15" s="28"/>
    </row>
    <row r="16" spans="1:5">
      <c r="B16" s="27" t="s">
        <v>24</v>
      </c>
      <c r="C16" s="26">
        <v>12</v>
      </c>
      <c r="D16" s="25">
        <v>6.8965517241379309E-2</v>
      </c>
    </row>
    <row r="17" spans="2:4">
      <c r="B17" s="27" t="s">
        <v>27</v>
      </c>
      <c r="C17" s="26">
        <v>9</v>
      </c>
      <c r="D17" s="25">
        <v>5.1724137931034482E-2</v>
      </c>
    </row>
    <row r="18" spans="2:4">
      <c r="B18" s="27" t="s">
        <v>25</v>
      </c>
      <c r="C18" s="26">
        <v>6</v>
      </c>
      <c r="D18" s="25">
        <v>3.4482758620689655E-2</v>
      </c>
    </row>
    <row r="19" spans="2:4">
      <c r="B19" s="27" t="s">
        <v>23</v>
      </c>
      <c r="C19" s="26">
        <v>6</v>
      </c>
      <c r="D19" s="25">
        <v>3.4482758620689655E-2</v>
      </c>
    </row>
    <row r="20" spans="2:4">
      <c r="B20" s="27" t="s">
        <v>21</v>
      </c>
      <c r="C20" s="26">
        <v>5</v>
      </c>
      <c r="D20" s="25">
        <v>2.8735632183908046E-2</v>
      </c>
    </row>
    <row r="21" spans="2:4">
      <c r="B21" s="27" t="s">
        <v>18</v>
      </c>
      <c r="C21" s="26">
        <v>4</v>
      </c>
      <c r="D21" s="25">
        <v>2.2988505747126436E-2</v>
      </c>
    </row>
    <row r="22" spans="2:4">
      <c r="B22" s="27" t="s">
        <v>114</v>
      </c>
      <c r="C22" s="26">
        <v>2</v>
      </c>
      <c r="D22" s="25">
        <v>1.1494252873563218E-2</v>
      </c>
    </row>
    <row r="23" spans="2:4">
      <c r="B23" s="27" t="s">
        <v>154</v>
      </c>
      <c r="C23" s="26">
        <v>2</v>
      </c>
      <c r="D23" s="25">
        <v>1.1494252873563218E-2</v>
      </c>
    </row>
    <row r="24" spans="2:4">
      <c r="B24" s="27" t="s">
        <v>116</v>
      </c>
      <c r="C24" s="26">
        <v>1</v>
      </c>
      <c r="D24" s="25">
        <v>5.7471264367816091E-3</v>
      </c>
    </row>
    <row r="25" spans="2:4">
      <c r="B25" s="27" t="s">
        <v>22</v>
      </c>
      <c r="C25" s="26">
        <v>1</v>
      </c>
      <c r="D25" s="25">
        <v>5.7471264367816091E-3</v>
      </c>
    </row>
    <row r="26" spans="2:4">
      <c r="B26" s="27" t="s">
        <v>17</v>
      </c>
      <c r="C26" s="26">
        <v>1</v>
      </c>
      <c r="D26" s="25">
        <v>5.7471264367816091E-3</v>
      </c>
    </row>
    <row r="27" spans="2:4">
      <c r="B27" s="27" t="s">
        <v>20</v>
      </c>
      <c r="C27" s="26">
        <v>1</v>
      </c>
      <c r="D27" s="25">
        <v>5.7471264367816091E-3</v>
      </c>
    </row>
    <row r="28" spans="2:4">
      <c r="B28" s="27" t="s">
        <v>16</v>
      </c>
      <c r="C28" s="26">
        <v>1</v>
      </c>
      <c r="D28" s="25">
        <v>5.7471264367816091E-3</v>
      </c>
    </row>
    <row r="29" spans="2:4">
      <c r="B29" s="27" t="s">
        <v>19</v>
      </c>
      <c r="C29" s="26">
        <v>1</v>
      </c>
      <c r="D29" s="25">
        <v>5.7471264367816091E-3</v>
      </c>
    </row>
    <row r="30" spans="2:4">
      <c r="B30" s="27" t="s">
        <v>168</v>
      </c>
      <c r="C30" s="26">
        <v>1</v>
      </c>
      <c r="D30" s="25">
        <v>5.7471264367816091E-3</v>
      </c>
    </row>
    <row r="31" spans="2:4">
      <c r="B31" s="24" t="s">
        <v>15</v>
      </c>
      <c r="C31" s="23">
        <v>174</v>
      </c>
      <c r="D31" s="22">
        <v>1</v>
      </c>
    </row>
    <row r="33" spans="2:2">
      <c r="B33" s="19" t="s">
        <v>170</v>
      </c>
    </row>
    <row r="34" spans="2:2">
      <c r="B34" s="21" t="s">
        <v>14</v>
      </c>
    </row>
    <row r="35" spans="2:2">
      <c r="B35" s="20" t="s">
        <v>13</v>
      </c>
    </row>
    <row r="36" spans="2:2">
      <c r="B36" s="19" t="s">
        <v>12</v>
      </c>
    </row>
    <row r="37" spans="2:2">
      <c r="B37" s="19" t="s">
        <v>171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301"/>
  <sheetViews>
    <sheetView showGridLines="0" zoomScaleNormal="100" zoomScaleSheetLayoutView="100" workbookViewId="0">
      <selection activeCell="F1" sqref="F1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44" customFormat="1" ht="12" customHeight="1">
      <c r="B1" s="48"/>
      <c r="C1" s="47"/>
      <c r="D1" s="47"/>
      <c r="E1" s="47"/>
    </row>
    <row r="2" spans="1:5" s="44" customFormat="1" ht="15" customHeight="1">
      <c r="C2" s="46"/>
    </row>
    <row r="3" spans="1:5" s="44" customFormat="1" ht="15" customHeight="1">
      <c r="C3" s="46"/>
    </row>
    <row r="4" spans="1:5" s="44" customFormat="1" ht="30" customHeight="1">
      <c r="C4" s="46"/>
      <c r="D4" s="45"/>
    </row>
    <row r="5" spans="1:5" s="44" customFormat="1" ht="15" customHeight="1">
      <c r="C5" s="46"/>
      <c r="D5" s="45"/>
    </row>
    <row r="6" spans="1:5" s="41" customFormat="1" ht="24" customHeight="1">
      <c r="B6" s="43"/>
      <c r="C6" s="40"/>
      <c r="D6" s="40"/>
      <c r="E6" s="40"/>
    </row>
    <row r="7" spans="1:5" s="41" customFormat="1" ht="26.25" customHeight="1">
      <c r="A7" s="42"/>
      <c r="B7" s="79"/>
      <c r="C7" s="79"/>
      <c r="D7" s="79"/>
      <c r="E7" s="79"/>
    </row>
    <row r="8" spans="1:5" s="41" customFormat="1" ht="33" customHeight="1">
      <c r="A8" s="42"/>
      <c r="B8" s="79"/>
      <c r="C8" s="79"/>
      <c r="D8" s="79"/>
      <c r="E8" s="79"/>
    </row>
    <row r="9" spans="1:5" s="29" customFormat="1" ht="40.5" customHeight="1">
      <c r="B9" s="52" t="s">
        <v>33</v>
      </c>
      <c r="C9" s="52" t="s">
        <v>50</v>
      </c>
      <c r="D9" s="53" t="s">
        <v>32</v>
      </c>
      <c r="E9" s="52" t="s">
        <v>31</v>
      </c>
    </row>
    <row r="10" spans="1:5" ht="15" customHeight="1">
      <c r="B10" s="76" t="s">
        <v>25</v>
      </c>
      <c r="C10" s="54" t="s">
        <v>111</v>
      </c>
      <c r="D10" s="55">
        <v>1</v>
      </c>
      <c r="E10" s="56">
        <v>5.7471264367816091E-3</v>
      </c>
    </row>
    <row r="11" spans="1:5" ht="15" customHeight="1">
      <c r="B11" s="77"/>
      <c r="C11" s="54" t="s">
        <v>91</v>
      </c>
      <c r="D11" s="55">
        <v>2</v>
      </c>
      <c r="E11" s="56">
        <v>1.1494252873563218E-2</v>
      </c>
    </row>
    <row r="12" spans="1:5" ht="15" customHeight="1">
      <c r="B12" s="77"/>
      <c r="C12" s="54" t="s">
        <v>112</v>
      </c>
      <c r="D12" s="55">
        <v>1</v>
      </c>
      <c r="E12" s="56">
        <v>5.7471264367816091E-3</v>
      </c>
    </row>
    <row r="13" spans="1:5" ht="15" customHeight="1">
      <c r="B13" s="77"/>
      <c r="C13" s="54" t="s">
        <v>92</v>
      </c>
      <c r="D13" s="55">
        <v>1</v>
      </c>
      <c r="E13" s="56">
        <v>5.7471264367816091E-3</v>
      </c>
    </row>
    <row r="14" spans="1:5" ht="15" customHeight="1">
      <c r="B14" s="77"/>
      <c r="C14" s="54" t="s">
        <v>113</v>
      </c>
      <c r="D14" s="55">
        <v>1</v>
      </c>
      <c r="E14" s="56">
        <v>5.7471264367816091E-3</v>
      </c>
    </row>
    <row r="15" spans="1:5" ht="15" customHeight="1">
      <c r="B15" s="78"/>
      <c r="C15" s="57" t="s">
        <v>15</v>
      </c>
      <c r="D15" s="58">
        <v>6</v>
      </c>
      <c r="E15" s="59">
        <v>3.4482758620689655E-2</v>
      </c>
    </row>
    <row r="16" spans="1:5" ht="15" customHeight="1">
      <c r="B16" s="76" t="s">
        <v>114</v>
      </c>
      <c r="C16" s="54" t="s">
        <v>115</v>
      </c>
      <c r="D16" s="55">
        <v>1</v>
      </c>
      <c r="E16" s="56">
        <v>5.7471264367816091E-3</v>
      </c>
    </row>
    <row r="17" spans="2:5" ht="15" customHeight="1">
      <c r="B17" s="77"/>
      <c r="C17" s="54" t="s">
        <v>114</v>
      </c>
      <c r="D17" s="55">
        <v>1</v>
      </c>
      <c r="E17" s="56">
        <v>5.7471264367816091E-3</v>
      </c>
    </row>
    <row r="18" spans="2:5" ht="15" customHeight="1">
      <c r="B18" s="78"/>
      <c r="C18" s="57" t="s">
        <v>15</v>
      </c>
      <c r="D18" s="58">
        <v>2</v>
      </c>
      <c r="E18" s="59">
        <v>1.1494252873563218E-2</v>
      </c>
    </row>
    <row r="19" spans="2:5" ht="15" customHeight="1">
      <c r="B19" s="76" t="s">
        <v>28</v>
      </c>
      <c r="C19" s="54" t="s">
        <v>97</v>
      </c>
      <c r="D19" s="55">
        <v>5</v>
      </c>
      <c r="E19" s="56">
        <v>2.8735632183908046E-2</v>
      </c>
    </row>
    <row r="20" spans="2:5" ht="15" customHeight="1">
      <c r="B20" s="77"/>
      <c r="C20" s="54" t="s">
        <v>49</v>
      </c>
      <c r="D20" s="55">
        <v>4</v>
      </c>
      <c r="E20" s="56">
        <v>2.2988505747126436E-2</v>
      </c>
    </row>
    <row r="21" spans="2:5" ht="15" customHeight="1">
      <c r="B21" s="77"/>
      <c r="C21" s="54" t="s">
        <v>98</v>
      </c>
      <c r="D21" s="55">
        <v>1</v>
      </c>
      <c r="E21" s="56">
        <v>5.7471264367816091E-3</v>
      </c>
    </row>
    <row r="22" spans="2:5" ht="15" customHeight="1">
      <c r="B22" s="77"/>
      <c r="C22" s="54" t="s">
        <v>48</v>
      </c>
      <c r="D22" s="55">
        <v>1</v>
      </c>
      <c r="E22" s="56">
        <v>5.7471264367816091E-3</v>
      </c>
    </row>
    <row r="23" spans="2:5" ht="15" customHeight="1">
      <c r="B23" s="77"/>
      <c r="C23" s="54" t="s">
        <v>47</v>
      </c>
      <c r="D23" s="55">
        <v>2</v>
      </c>
      <c r="E23" s="56">
        <v>1.1494252873563218E-2</v>
      </c>
    </row>
    <row r="24" spans="2:5" ht="15" customHeight="1">
      <c r="B24" s="77"/>
      <c r="C24" s="54" t="s">
        <v>99</v>
      </c>
      <c r="D24" s="55">
        <v>1</v>
      </c>
      <c r="E24" s="56">
        <v>5.7471264367816091E-3</v>
      </c>
    </row>
    <row r="25" spans="2:5" ht="15" customHeight="1">
      <c r="B25" s="78"/>
      <c r="C25" s="57" t="s">
        <v>15</v>
      </c>
      <c r="D25" s="58">
        <v>14</v>
      </c>
      <c r="E25" s="59">
        <v>8.0459770114942528E-2</v>
      </c>
    </row>
    <row r="26" spans="2:5" ht="15" customHeight="1">
      <c r="B26" s="76" t="s">
        <v>116</v>
      </c>
      <c r="C26" s="54" t="s">
        <v>117</v>
      </c>
      <c r="D26" s="55">
        <v>1</v>
      </c>
      <c r="E26" s="56">
        <v>5.7471264367816091E-3</v>
      </c>
    </row>
    <row r="27" spans="2:5" ht="15" customHeight="1">
      <c r="B27" s="78"/>
      <c r="C27" s="57" t="s">
        <v>15</v>
      </c>
      <c r="D27" s="58">
        <v>1</v>
      </c>
      <c r="E27" s="59">
        <v>5.7471264367816091E-3</v>
      </c>
    </row>
    <row r="28" spans="2:5" ht="15" customHeight="1">
      <c r="B28" s="76" t="s">
        <v>26</v>
      </c>
      <c r="C28" s="54" t="s">
        <v>118</v>
      </c>
      <c r="D28" s="55">
        <v>2</v>
      </c>
      <c r="E28" s="56">
        <v>1.1494252873563218E-2</v>
      </c>
    </row>
    <row r="29" spans="2:5" ht="15" customHeight="1">
      <c r="B29" s="77"/>
      <c r="C29" s="54" t="s">
        <v>119</v>
      </c>
      <c r="D29" s="55">
        <v>1</v>
      </c>
      <c r="E29" s="56">
        <v>5.7471264367816091E-3</v>
      </c>
    </row>
    <row r="30" spans="2:5" ht="15" customHeight="1">
      <c r="B30" s="77"/>
      <c r="C30" s="54" t="s">
        <v>120</v>
      </c>
      <c r="D30" s="55">
        <v>1</v>
      </c>
      <c r="E30" s="56">
        <v>5.7471264367816091E-3</v>
      </c>
    </row>
    <row r="31" spans="2:5" ht="15" customHeight="1">
      <c r="B31" s="77"/>
      <c r="C31" s="54" t="s">
        <v>46</v>
      </c>
      <c r="D31" s="55">
        <v>4</v>
      </c>
      <c r="E31" s="56">
        <v>2.2988505747126436E-2</v>
      </c>
    </row>
    <row r="32" spans="2:5" ht="15" customHeight="1">
      <c r="B32" s="77"/>
      <c r="C32" s="54" t="s">
        <v>100</v>
      </c>
      <c r="D32" s="55">
        <v>1</v>
      </c>
      <c r="E32" s="56">
        <v>5.7471264367816091E-3</v>
      </c>
    </row>
    <row r="33" spans="2:5" ht="15" customHeight="1">
      <c r="B33" s="77"/>
      <c r="C33" s="54" t="s">
        <v>121</v>
      </c>
      <c r="D33" s="55">
        <v>1</v>
      </c>
      <c r="E33" s="56">
        <v>5.7471264367816091E-3</v>
      </c>
    </row>
    <row r="34" spans="2:5" ht="15" customHeight="1">
      <c r="B34" s="77"/>
      <c r="C34" s="54" t="s">
        <v>122</v>
      </c>
      <c r="D34" s="55">
        <v>1</v>
      </c>
      <c r="E34" s="56">
        <v>5.7471264367816091E-3</v>
      </c>
    </row>
    <row r="35" spans="2:5" ht="15" customHeight="1">
      <c r="B35" s="77"/>
      <c r="C35" s="54" t="s">
        <v>123</v>
      </c>
      <c r="D35" s="55">
        <v>1</v>
      </c>
      <c r="E35" s="56">
        <v>5.7471264367816091E-3</v>
      </c>
    </row>
    <row r="36" spans="2:5" ht="15" customHeight="1">
      <c r="B36" s="77"/>
      <c r="C36" s="54" t="s">
        <v>101</v>
      </c>
      <c r="D36" s="55">
        <v>1</v>
      </c>
      <c r="E36" s="56">
        <v>5.7471264367816091E-3</v>
      </c>
    </row>
    <row r="37" spans="2:5" ht="15" customHeight="1">
      <c r="B37" s="78"/>
      <c r="C37" s="57" t="s">
        <v>15</v>
      </c>
      <c r="D37" s="58">
        <v>13</v>
      </c>
      <c r="E37" s="59">
        <v>7.4712643678160925E-2</v>
      </c>
    </row>
    <row r="38" spans="2:5" ht="15" customHeight="1">
      <c r="B38" s="76" t="s">
        <v>30</v>
      </c>
      <c r="C38" s="54" t="s">
        <v>102</v>
      </c>
      <c r="D38" s="55">
        <v>1</v>
      </c>
      <c r="E38" s="56">
        <v>5.7471264367816091E-3</v>
      </c>
    </row>
    <row r="39" spans="2:5" ht="15" customHeight="1">
      <c r="B39" s="77"/>
      <c r="C39" s="54" t="s">
        <v>45</v>
      </c>
      <c r="D39" s="55">
        <v>35</v>
      </c>
      <c r="E39" s="56">
        <v>0.20114942528735633</v>
      </c>
    </row>
    <row r="40" spans="2:5" ht="15" customHeight="1">
      <c r="B40" s="77"/>
      <c r="C40" s="54" t="s">
        <v>44</v>
      </c>
      <c r="D40" s="55">
        <v>1</v>
      </c>
      <c r="E40" s="56">
        <v>5.7471264367816091E-3</v>
      </c>
    </row>
    <row r="41" spans="2:5" ht="15" customHeight="1">
      <c r="B41" s="77"/>
      <c r="C41" s="54" t="s">
        <v>124</v>
      </c>
      <c r="D41" s="55">
        <v>1</v>
      </c>
      <c r="E41" s="56">
        <v>5.7471264367816091E-3</v>
      </c>
    </row>
    <row r="42" spans="2:5" ht="15" customHeight="1">
      <c r="B42" s="77"/>
      <c r="C42" s="54" t="s">
        <v>43</v>
      </c>
      <c r="D42" s="55">
        <v>9</v>
      </c>
      <c r="E42" s="56">
        <v>5.1724137931034482E-2</v>
      </c>
    </row>
    <row r="43" spans="2:5" ht="15" customHeight="1">
      <c r="B43" s="77"/>
      <c r="C43" s="54" t="s">
        <v>125</v>
      </c>
      <c r="D43" s="55">
        <v>3</v>
      </c>
      <c r="E43" s="56">
        <v>1.7241379310344827E-2</v>
      </c>
    </row>
    <row r="44" spans="2:5" ht="15" customHeight="1">
      <c r="B44" s="77"/>
      <c r="C44" s="54" t="s">
        <v>126</v>
      </c>
      <c r="D44" s="55">
        <v>1</v>
      </c>
      <c r="E44" s="56">
        <v>5.7471264367816091E-3</v>
      </c>
    </row>
    <row r="45" spans="2:5" ht="15" customHeight="1">
      <c r="B45" s="77"/>
      <c r="C45" s="54" t="s">
        <v>42</v>
      </c>
      <c r="D45" s="55">
        <v>4</v>
      </c>
      <c r="E45" s="56">
        <v>2.2988505747126436E-2</v>
      </c>
    </row>
    <row r="46" spans="2:5" ht="15" customHeight="1">
      <c r="B46" s="77"/>
      <c r="C46" s="54" t="s">
        <v>127</v>
      </c>
      <c r="D46" s="55">
        <v>1</v>
      </c>
      <c r="E46" s="56">
        <v>5.7471264367816091E-3</v>
      </c>
    </row>
    <row r="47" spans="2:5" ht="15" customHeight="1">
      <c r="B47" s="77"/>
      <c r="C47" s="54" t="s">
        <v>128</v>
      </c>
      <c r="D47" s="55">
        <v>1</v>
      </c>
      <c r="E47" s="56">
        <v>5.7471264367816091E-3</v>
      </c>
    </row>
    <row r="48" spans="2:5" ht="15" customHeight="1">
      <c r="B48" s="77"/>
      <c r="C48" s="54" t="s">
        <v>129</v>
      </c>
      <c r="D48" s="55">
        <v>1</v>
      </c>
      <c r="E48" s="56">
        <v>5.7471264367816091E-3</v>
      </c>
    </row>
    <row r="49" spans="2:5" ht="15" customHeight="1">
      <c r="B49" s="77"/>
      <c r="C49" s="54" t="s">
        <v>41</v>
      </c>
      <c r="D49" s="55">
        <v>1</v>
      </c>
      <c r="E49" s="56">
        <v>5.7471264367816091E-3</v>
      </c>
    </row>
    <row r="50" spans="2:5" ht="15" customHeight="1">
      <c r="B50" s="77"/>
      <c r="C50" s="54" t="s">
        <v>130</v>
      </c>
      <c r="D50" s="55">
        <v>1</v>
      </c>
      <c r="E50" s="56">
        <v>5.7471264367816091E-3</v>
      </c>
    </row>
    <row r="51" spans="2:5" ht="15" customHeight="1">
      <c r="B51" s="78"/>
      <c r="C51" s="57" t="s">
        <v>15</v>
      </c>
      <c r="D51" s="58">
        <v>60</v>
      </c>
      <c r="E51" s="59">
        <v>0.34482758620689657</v>
      </c>
    </row>
    <row r="52" spans="2:5" ht="15" customHeight="1">
      <c r="B52" s="76" t="s">
        <v>22</v>
      </c>
      <c r="C52" s="54" t="s">
        <v>131</v>
      </c>
      <c r="D52" s="55">
        <v>1</v>
      </c>
      <c r="E52" s="56">
        <v>5.7471264367816091E-3</v>
      </c>
    </row>
    <row r="53" spans="2:5" ht="15" customHeight="1">
      <c r="B53" s="78"/>
      <c r="C53" s="57" t="s">
        <v>15</v>
      </c>
      <c r="D53" s="58">
        <v>1</v>
      </c>
      <c r="E53" s="59">
        <v>5.7471264367816091E-3</v>
      </c>
    </row>
    <row r="54" spans="2:5" ht="15" customHeight="1">
      <c r="B54" s="76" t="s">
        <v>21</v>
      </c>
      <c r="C54" s="54" t="s">
        <v>132</v>
      </c>
      <c r="D54" s="55">
        <v>1</v>
      </c>
      <c r="E54" s="56">
        <v>5.7471264367816091E-3</v>
      </c>
    </row>
    <row r="55" spans="2:5" ht="15" customHeight="1">
      <c r="B55" s="77"/>
      <c r="C55" s="54" t="s">
        <v>133</v>
      </c>
      <c r="D55" s="55">
        <v>1</v>
      </c>
      <c r="E55" s="56">
        <v>5.7471264367816091E-3</v>
      </c>
    </row>
    <row r="56" spans="2:5" ht="15" customHeight="1">
      <c r="B56" s="77"/>
      <c r="C56" s="54" t="s">
        <v>134</v>
      </c>
      <c r="D56" s="55">
        <v>2</v>
      </c>
      <c r="E56" s="56">
        <v>1.1494252873563218E-2</v>
      </c>
    </row>
    <row r="57" spans="2:5" ht="15" customHeight="1">
      <c r="B57" s="77"/>
      <c r="C57" s="54" t="s">
        <v>103</v>
      </c>
      <c r="D57" s="55">
        <v>1</v>
      </c>
      <c r="E57" s="56">
        <v>5.7471264367816091E-3</v>
      </c>
    </row>
    <row r="58" spans="2:5" ht="15" customHeight="1">
      <c r="B58" s="78"/>
      <c r="C58" s="57" t="s">
        <v>15</v>
      </c>
      <c r="D58" s="58">
        <v>5</v>
      </c>
      <c r="E58" s="59">
        <v>2.8735632183908046E-2</v>
      </c>
    </row>
    <row r="59" spans="2:5" ht="15" customHeight="1">
      <c r="B59" s="76" t="s">
        <v>23</v>
      </c>
      <c r="C59" s="54" t="s">
        <v>40</v>
      </c>
      <c r="D59" s="55">
        <v>1</v>
      </c>
      <c r="E59" s="56">
        <v>5.7471264367816091E-3</v>
      </c>
    </row>
    <row r="60" spans="2:5" ht="15" customHeight="1">
      <c r="B60" s="77"/>
      <c r="C60" s="54" t="s">
        <v>39</v>
      </c>
      <c r="D60" s="55">
        <v>4</v>
      </c>
      <c r="E60" s="56">
        <v>2.2988505747126436E-2</v>
      </c>
    </row>
    <row r="61" spans="2:5" ht="15" customHeight="1">
      <c r="B61" s="77"/>
      <c r="C61" s="54" t="s">
        <v>135</v>
      </c>
      <c r="D61" s="55">
        <v>1</v>
      </c>
      <c r="E61" s="56">
        <v>5.7471264367816091E-3</v>
      </c>
    </row>
    <row r="62" spans="2:5" ht="15" customHeight="1">
      <c r="B62" s="78"/>
      <c r="C62" s="57" t="s">
        <v>15</v>
      </c>
      <c r="D62" s="58">
        <v>6</v>
      </c>
      <c r="E62" s="59">
        <v>3.4482758620689655E-2</v>
      </c>
    </row>
    <row r="63" spans="2:5" ht="15" customHeight="1">
      <c r="B63" s="76" t="s">
        <v>17</v>
      </c>
      <c r="C63" s="54" t="s">
        <v>104</v>
      </c>
      <c r="D63" s="55">
        <v>1</v>
      </c>
      <c r="E63" s="56">
        <v>5.7471264367816091E-3</v>
      </c>
    </row>
    <row r="64" spans="2:5" ht="15" customHeight="1">
      <c r="B64" s="78"/>
      <c r="C64" s="57" t="s">
        <v>15</v>
      </c>
      <c r="D64" s="58">
        <v>1</v>
      </c>
      <c r="E64" s="59">
        <v>5.7471264367816091E-3</v>
      </c>
    </row>
    <row r="65" spans="2:5" ht="15" customHeight="1">
      <c r="B65" s="76" t="s">
        <v>27</v>
      </c>
      <c r="C65" s="54" t="s">
        <v>136</v>
      </c>
      <c r="D65" s="55">
        <v>1</v>
      </c>
      <c r="E65" s="56">
        <v>5.7471264367816091E-3</v>
      </c>
    </row>
    <row r="66" spans="2:5" ht="15" customHeight="1">
      <c r="B66" s="77"/>
      <c r="C66" s="54" t="s">
        <v>137</v>
      </c>
      <c r="D66" s="55">
        <v>1</v>
      </c>
      <c r="E66" s="56">
        <v>5.7471264367816091E-3</v>
      </c>
    </row>
    <row r="67" spans="2:5" ht="15" customHeight="1">
      <c r="B67" s="77"/>
      <c r="C67" s="54" t="s">
        <v>138</v>
      </c>
      <c r="D67" s="55">
        <v>1</v>
      </c>
      <c r="E67" s="56">
        <v>5.7471264367816091E-3</v>
      </c>
    </row>
    <row r="68" spans="2:5" ht="15" customHeight="1">
      <c r="B68" s="77"/>
      <c r="C68" s="54" t="s">
        <v>139</v>
      </c>
      <c r="D68" s="55">
        <v>1</v>
      </c>
      <c r="E68" s="56">
        <v>5.7471264367816091E-3</v>
      </c>
    </row>
    <row r="69" spans="2:5" ht="15" customHeight="1">
      <c r="B69" s="77"/>
      <c r="C69" s="54" t="s">
        <v>140</v>
      </c>
      <c r="D69" s="55">
        <v>1</v>
      </c>
      <c r="E69" s="56">
        <v>5.7471264367816091E-3</v>
      </c>
    </row>
    <row r="70" spans="2:5" ht="15" customHeight="1">
      <c r="B70" s="77"/>
      <c r="C70" s="54" t="s">
        <v>141</v>
      </c>
      <c r="D70" s="55">
        <v>1</v>
      </c>
      <c r="E70" s="56">
        <v>5.7471264367816091E-3</v>
      </c>
    </row>
    <row r="71" spans="2:5" ht="15" customHeight="1">
      <c r="B71" s="77"/>
      <c r="C71" s="54" t="s">
        <v>38</v>
      </c>
      <c r="D71" s="55">
        <v>1</v>
      </c>
      <c r="E71" s="56">
        <v>5.7471264367816091E-3</v>
      </c>
    </row>
    <row r="72" spans="2:5" ht="15" customHeight="1">
      <c r="B72" s="77"/>
      <c r="C72" s="54" t="s">
        <v>142</v>
      </c>
      <c r="D72" s="55">
        <v>1</v>
      </c>
      <c r="E72" s="56">
        <v>5.7471264367816091E-3</v>
      </c>
    </row>
    <row r="73" spans="2:5" ht="15" customHeight="1">
      <c r="B73" s="77"/>
      <c r="C73" s="54" t="s">
        <v>143</v>
      </c>
      <c r="D73" s="55">
        <v>1</v>
      </c>
      <c r="E73" s="56">
        <v>5.7471264367816091E-3</v>
      </c>
    </row>
    <row r="74" spans="2:5" ht="15" customHeight="1">
      <c r="B74" s="78"/>
      <c r="C74" s="57" t="s">
        <v>15</v>
      </c>
      <c r="D74" s="58">
        <v>9</v>
      </c>
      <c r="E74" s="59">
        <v>5.1724137931034482E-2</v>
      </c>
    </row>
    <row r="75" spans="2:5" ht="15" customHeight="1">
      <c r="B75" s="76" t="s">
        <v>29</v>
      </c>
      <c r="C75" s="54" t="s">
        <v>144</v>
      </c>
      <c r="D75" s="55">
        <v>1</v>
      </c>
      <c r="E75" s="56">
        <v>5.7471264367816091E-3</v>
      </c>
    </row>
    <row r="76" spans="2:5" ht="15" customHeight="1">
      <c r="B76" s="77"/>
      <c r="C76" s="54" t="s">
        <v>145</v>
      </c>
      <c r="D76" s="55">
        <v>1</v>
      </c>
      <c r="E76" s="56">
        <v>5.7471264367816091E-3</v>
      </c>
    </row>
    <row r="77" spans="2:5" ht="15" customHeight="1">
      <c r="B77" s="77"/>
      <c r="C77" s="54" t="s">
        <v>146</v>
      </c>
      <c r="D77" s="55">
        <v>1</v>
      </c>
      <c r="E77" s="56">
        <v>5.7471264367816091E-3</v>
      </c>
    </row>
    <row r="78" spans="2:5" ht="15" customHeight="1">
      <c r="B78" s="77"/>
      <c r="C78" s="54" t="s">
        <v>147</v>
      </c>
      <c r="D78" s="55">
        <v>1</v>
      </c>
      <c r="E78" s="56">
        <v>5.7471264367816091E-3</v>
      </c>
    </row>
    <row r="79" spans="2:5" ht="15" customHeight="1">
      <c r="B79" s="77"/>
      <c r="C79" s="54" t="s">
        <v>37</v>
      </c>
      <c r="D79" s="55">
        <v>2</v>
      </c>
      <c r="E79" s="56">
        <v>1.1494252873563218E-2</v>
      </c>
    </row>
    <row r="80" spans="2:5" ht="15" customHeight="1">
      <c r="B80" s="77"/>
      <c r="C80" s="54" t="s">
        <v>148</v>
      </c>
      <c r="D80" s="55">
        <v>1</v>
      </c>
      <c r="E80" s="56">
        <v>5.7471264367816091E-3</v>
      </c>
    </row>
    <row r="81" spans="2:5" ht="15" customHeight="1">
      <c r="B81" s="77"/>
      <c r="C81" s="54" t="s">
        <v>149</v>
      </c>
      <c r="D81" s="55">
        <v>1</v>
      </c>
      <c r="E81" s="56">
        <v>5.7471264367816091E-3</v>
      </c>
    </row>
    <row r="82" spans="2:5" ht="15" customHeight="1">
      <c r="B82" s="77"/>
      <c r="C82" s="54" t="s">
        <v>150</v>
      </c>
      <c r="D82" s="55">
        <v>2</v>
      </c>
      <c r="E82" s="56">
        <v>1.1494252873563218E-2</v>
      </c>
    </row>
    <row r="83" spans="2:5" ht="15" customHeight="1">
      <c r="B83" s="77"/>
      <c r="C83" s="54" t="s">
        <v>151</v>
      </c>
      <c r="D83" s="55">
        <v>1</v>
      </c>
      <c r="E83" s="56">
        <v>5.7471264367816091E-3</v>
      </c>
    </row>
    <row r="84" spans="2:5" ht="15" customHeight="1">
      <c r="B84" s="77"/>
      <c r="C84" s="54" t="s">
        <v>36</v>
      </c>
      <c r="D84" s="55">
        <v>3</v>
      </c>
      <c r="E84" s="56">
        <v>1.7241379310344827E-2</v>
      </c>
    </row>
    <row r="85" spans="2:5" ht="15" customHeight="1">
      <c r="B85" s="77"/>
      <c r="C85" s="54" t="s">
        <v>35</v>
      </c>
      <c r="D85" s="55">
        <v>4</v>
      </c>
      <c r="E85" s="56">
        <v>2.2988505747126436E-2</v>
      </c>
    </row>
    <row r="86" spans="2:5" ht="15" customHeight="1">
      <c r="B86" s="77"/>
      <c r="C86" s="54" t="s">
        <v>34</v>
      </c>
      <c r="D86" s="55">
        <v>7</v>
      </c>
      <c r="E86" s="56">
        <v>4.0229885057471264E-2</v>
      </c>
    </row>
    <row r="87" spans="2:5" ht="15" customHeight="1">
      <c r="B87" s="77"/>
      <c r="C87" s="54" t="s">
        <v>152</v>
      </c>
      <c r="D87" s="55">
        <v>2</v>
      </c>
      <c r="E87" s="56">
        <v>1.1494252873563218E-2</v>
      </c>
    </row>
    <row r="88" spans="2:5" ht="15" customHeight="1">
      <c r="B88" s="77"/>
      <c r="C88" s="54" t="s">
        <v>93</v>
      </c>
      <c r="D88" s="55">
        <v>5</v>
      </c>
      <c r="E88" s="56">
        <v>2.8735632183908046E-2</v>
      </c>
    </row>
    <row r="89" spans="2:5" ht="15" customHeight="1">
      <c r="B89" s="77"/>
      <c r="C89" s="54" t="s">
        <v>153</v>
      </c>
      <c r="D89" s="55">
        <v>1</v>
      </c>
      <c r="E89" s="56">
        <v>5.7471264367816091E-3</v>
      </c>
    </row>
    <row r="90" spans="2:5" ht="15" customHeight="1">
      <c r="B90" s="77"/>
      <c r="C90" s="54" t="s">
        <v>105</v>
      </c>
      <c r="D90" s="55">
        <v>1</v>
      </c>
      <c r="E90" s="56">
        <v>5.7471264367816091E-3</v>
      </c>
    </row>
    <row r="91" spans="2:5" ht="15" customHeight="1">
      <c r="B91" s="78"/>
      <c r="C91" s="57" t="s">
        <v>15</v>
      </c>
      <c r="D91" s="58">
        <v>34</v>
      </c>
      <c r="E91" s="59">
        <v>0.19540229885057472</v>
      </c>
    </row>
    <row r="92" spans="2:5" ht="15" customHeight="1">
      <c r="B92" s="76" t="s">
        <v>20</v>
      </c>
      <c r="C92" s="54" t="s">
        <v>20</v>
      </c>
      <c r="D92" s="55">
        <v>1</v>
      </c>
      <c r="E92" s="56">
        <v>5.7471264367816091E-3</v>
      </c>
    </row>
    <row r="93" spans="2:5" ht="15" customHeight="1">
      <c r="B93" s="78"/>
      <c r="C93" s="57" t="s">
        <v>15</v>
      </c>
      <c r="D93" s="58">
        <v>1</v>
      </c>
      <c r="E93" s="59">
        <v>5.7471264367816091E-3</v>
      </c>
    </row>
    <row r="94" spans="2:5" ht="15" customHeight="1">
      <c r="B94" s="76" t="s">
        <v>154</v>
      </c>
      <c r="C94" s="54" t="s">
        <v>155</v>
      </c>
      <c r="D94" s="55">
        <v>2</v>
      </c>
      <c r="E94" s="56">
        <v>1.1494252873563218E-2</v>
      </c>
    </row>
    <row r="95" spans="2:5" ht="15" customHeight="1">
      <c r="B95" s="78"/>
      <c r="C95" s="57" t="s">
        <v>15</v>
      </c>
      <c r="D95" s="58">
        <v>2</v>
      </c>
      <c r="E95" s="59">
        <v>1.1494252873563218E-2</v>
      </c>
    </row>
    <row r="96" spans="2:5" ht="15" customHeight="1">
      <c r="B96" s="76" t="s">
        <v>16</v>
      </c>
      <c r="C96" s="54" t="s">
        <v>156</v>
      </c>
      <c r="D96" s="55">
        <v>1</v>
      </c>
      <c r="E96" s="56">
        <v>5.7471264367816091E-3</v>
      </c>
    </row>
    <row r="97" spans="2:5" ht="15" customHeight="1">
      <c r="B97" s="78"/>
      <c r="C97" s="57" t="s">
        <v>15</v>
      </c>
      <c r="D97" s="58">
        <v>1</v>
      </c>
      <c r="E97" s="59">
        <v>5.7471264367816091E-3</v>
      </c>
    </row>
    <row r="98" spans="2:5" ht="15" customHeight="1">
      <c r="B98" s="76" t="s">
        <v>19</v>
      </c>
      <c r="C98" s="54" t="s">
        <v>106</v>
      </c>
      <c r="D98" s="55">
        <v>1</v>
      </c>
      <c r="E98" s="56">
        <v>5.7471264367816091E-3</v>
      </c>
    </row>
    <row r="99" spans="2:5" ht="15" customHeight="1">
      <c r="B99" s="78"/>
      <c r="C99" s="57" t="s">
        <v>15</v>
      </c>
      <c r="D99" s="58">
        <v>1</v>
      </c>
      <c r="E99" s="59">
        <v>5.7471264367816091E-3</v>
      </c>
    </row>
    <row r="100" spans="2:5" ht="15" customHeight="1">
      <c r="B100" s="76" t="s">
        <v>18</v>
      </c>
      <c r="C100" s="54" t="s">
        <v>157</v>
      </c>
      <c r="D100" s="55">
        <v>1</v>
      </c>
      <c r="E100" s="56">
        <v>5.7471264367816091E-3</v>
      </c>
    </row>
    <row r="101" spans="2:5" ht="15" customHeight="1">
      <c r="B101" s="77"/>
      <c r="C101" s="54" t="s">
        <v>18</v>
      </c>
      <c r="D101" s="55">
        <v>2</v>
      </c>
      <c r="E101" s="56">
        <v>1.1494252873563218E-2</v>
      </c>
    </row>
    <row r="102" spans="2:5" ht="15" customHeight="1">
      <c r="B102" s="77"/>
      <c r="C102" s="54" t="s">
        <v>158</v>
      </c>
      <c r="D102" s="55">
        <v>1</v>
      </c>
      <c r="E102" s="56">
        <v>5.7471264367816091E-3</v>
      </c>
    </row>
    <row r="103" spans="2:5" ht="15" customHeight="1">
      <c r="B103" s="78"/>
      <c r="C103" s="57" t="s">
        <v>15</v>
      </c>
      <c r="D103" s="58">
        <v>4</v>
      </c>
      <c r="E103" s="59">
        <v>2.2988505747126436E-2</v>
      </c>
    </row>
    <row r="104" spans="2:5" ht="15" customHeight="1">
      <c r="B104" s="76" t="s">
        <v>24</v>
      </c>
      <c r="C104" s="54" t="s">
        <v>159</v>
      </c>
      <c r="D104" s="55">
        <v>1</v>
      </c>
      <c r="E104" s="56">
        <v>5.7471264367816091E-3</v>
      </c>
    </row>
    <row r="105" spans="2:5" ht="15" customHeight="1">
      <c r="B105" s="77"/>
      <c r="C105" s="54" t="s">
        <v>160</v>
      </c>
      <c r="D105" s="55">
        <v>1</v>
      </c>
      <c r="E105" s="56">
        <v>5.7471264367816091E-3</v>
      </c>
    </row>
    <row r="106" spans="2:5" ht="15" customHeight="1">
      <c r="B106" s="77"/>
      <c r="C106" s="54" t="s">
        <v>161</v>
      </c>
      <c r="D106" s="55">
        <v>1</v>
      </c>
      <c r="E106" s="56">
        <v>5.7471264367816091E-3</v>
      </c>
    </row>
    <row r="107" spans="2:5" ht="15" customHeight="1">
      <c r="B107" s="77"/>
      <c r="C107" s="54" t="s">
        <v>162</v>
      </c>
      <c r="D107" s="55">
        <v>1</v>
      </c>
      <c r="E107" s="56">
        <v>5.7471264367816091E-3</v>
      </c>
    </row>
    <row r="108" spans="2:5" ht="15" customHeight="1">
      <c r="B108" s="77"/>
      <c r="C108" s="54" t="s">
        <v>163</v>
      </c>
      <c r="D108" s="55">
        <v>1</v>
      </c>
      <c r="E108" s="56">
        <v>5.7471264367816091E-3</v>
      </c>
    </row>
    <row r="109" spans="2:5" ht="15" customHeight="1">
      <c r="B109" s="77"/>
      <c r="C109" s="54" t="s">
        <v>164</v>
      </c>
      <c r="D109" s="55">
        <v>1</v>
      </c>
      <c r="E109" s="56">
        <v>5.7471264367816091E-3</v>
      </c>
    </row>
    <row r="110" spans="2:5" ht="15" customHeight="1">
      <c r="B110" s="77"/>
      <c r="C110" s="54" t="s">
        <v>165</v>
      </c>
      <c r="D110" s="55">
        <v>1</v>
      </c>
      <c r="E110" s="56">
        <v>5.7471264367816091E-3</v>
      </c>
    </row>
    <row r="111" spans="2:5" ht="15" customHeight="1">
      <c r="B111" s="77"/>
      <c r="C111" s="54" t="s">
        <v>166</v>
      </c>
      <c r="D111" s="55">
        <v>1</v>
      </c>
      <c r="E111" s="56">
        <v>5.7471264367816091E-3</v>
      </c>
    </row>
    <row r="112" spans="2:5" ht="15" customHeight="1">
      <c r="B112" s="77"/>
      <c r="C112" s="54" t="s">
        <v>167</v>
      </c>
      <c r="D112" s="55">
        <v>4</v>
      </c>
      <c r="E112" s="56">
        <v>2.2988505747126436E-2</v>
      </c>
    </row>
    <row r="113" spans="2:5" ht="15" customHeight="1">
      <c r="B113" s="78"/>
      <c r="C113" s="57" t="s">
        <v>15</v>
      </c>
      <c r="D113" s="58">
        <v>12</v>
      </c>
      <c r="E113" s="59">
        <v>6.8965517241379309E-2</v>
      </c>
    </row>
    <row r="114" spans="2:5" ht="15" customHeight="1">
      <c r="B114" s="76" t="s">
        <v>168</v>
      </c>
      <c r="C114" s="54" t="s">
        <v>169</v>
      </c>
      <c r="D114" s="55">
        <v>1</v>
      </c>
      <c r="E114" s="56">
        <v>5.7471264367816091E-3</v>
      </c>
    </row>
    <row r="115" spans="2:5" ht="15" customHeight="1">
      <c r="B115" s="78"/>
      <c r="C115" s="57" t="s">
        <v>15</v>
      </c>
      <c r="D115" s="58">
        <v>1</v>
      </c>
      <c r="E115" s="59">
        <v>5.7471264367816091E-3</v>
      </c>
    </row>
    <row r="116" spans="2:5" ht="15" customHeight="1">
      <c r="B116" s="80" t="s">
        <v>15</v>
      </c>
      <c r="C116" s="81"/>
      <c r="D116" s="60">
        <f>SUMIF(C$10:C115,"Total",D$10:D115)</f>
        <v>174</v>
      </c>
      <c r="E116" s="61">
        <v>1</v>
      </c>
    </row>
    <row r="117" spans="2:5" ht="15" customHeight="1">
      <c r="B117" s="62"/>
      <c r="C117" s="62"/>
      <c r="D117" s="62"/>
      <c r="E117" s="62"/>
    </row>
    <row r="118" spans="2:5" ht="15" customHeight="1">
      <c r="B118" s="63" t="s">
        <v>170</v>
      </c>
      <c r="C118" s="62"/>
      <c r="D118" s="62"/>
      <c r="E118" s="62"/>
    </row>
    <row r="119" spans="2:5" ht="15" customHeight="1">
      <c r="B119" s="64" t="s">
        <v>14</v>
      </c>
      <c r="C119" s="62"/>
      <c r="D119" s="62"/>
      <c r="E119" s="62"/>
    </row>
    <row r="120" spans="2:5" ht="15" customHeight="1">
      <c r="B120" s="65" t="s">
        <v>13</v>
      </c>
      <c r="C120" s="62"/>
      <c r="D120" s="62"/>
      <c r="E120" s="62"/>
    </row>
    <row r="121" spans="2:5" ht="15" customHeight="1">
      <c r="B121" s="63" t="s">
        <v>12</v>
      </c>
      <c r="C121" s="62"/>
      <c r="D121" s="62"/>
      <c r="E121" s="62"/>
    </row>
    <row r="122" spans="2:5" ht="15" customHeight="1">
      <c r="B122" s="63" t="s">
        <v>171</v>
      </c>
      <c r="C122" s="62"/>
      <c r="D122" s="62"/>
      <c r="E122" s="62"/>
    </row>
    <row r="297" spans="1:2" s="37" customFormat="1" ht="15" customHeight="1">
      <c r="A297" s="36"/>
      <c r="B297" s="38"/>
    </row>
    <row r="298" spans="1:2" s="37" customFormat="1" ht="15" customHeight="1">
      <c r="A298" s="36"/>
      <c r="B298" s="39"/>
    </row>
    <row r="299" spans="1:2" s="37" customFormat="1" ht="15" customHeight="1">
      <c r="A299" s="36"/>
      <c r="B299" s="39"/>
    </row>
    <row r="300" spans="1:2" s="37" customFormat="1" ht="15" customHeight="1">
      <c r="A300" s="36"/>
      <c r="B300" s="38"/>
    </row>
    <row r="301" spans="1:2" s="37" customFormat="1" ht="15" customHeight="1">
      <c r="A301" s="36"/>
      <c r="B301" s="38"/>
    </row>
  </sheetData>
  <mergeCells count="21">
    <mergeCell ref="B116:C116"/>
    <mergeCell ref="B63:B64"/>
    <mergeCell ref="B38:B51"/>
    <mergeCell ref="B52:B53"/>
    <mergeCell ref="B54:B58"/>
    <mergeCell ref="B59:B62"/>
    <mergeCell ref="B65:B74"/>
    <mergeCell ref="B75:B91"/>
    <mergeCell ref="B92:B93"/>
    <mergeCell ref="B94:B95"/>
    <mergeCell ref="B96:B97"/>
    <mergeCell ref="B98:B99"/>
    <mergeCell ref="B100:B103"/>
    <mergeCell ref="B104:B113"/>
    <mergeCell ref="B114:B115"/>
    <mergeCell ref="B28:B37"/>
    <mergeCell ref="B7:E8"/>
    <mergeCell ref="B10:B15"/>
    <mergeCell ref="B16:B18"/>
    <mergeCell ref="B19:B25"/>
    <mergeCell ref="B26:B27"/>
  </mergeCells>
  <printOptions horizontalCentered="1"/>
  <pageMargins left="0.70866141732283472" right="0.70866141732283472" top="0.74803149606299213" bottom="0.74803149606299213" header="0.31496062992125984" footer="0.31496062992125984"/>
  <pageSetup scale="79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38"/>
  <sheetViews>
    <sheetView showGridLines="0" zoomScaleNormal="100" zoomScaleSheetLayoutView="115" workbookViewId="0">
      <selection activeCell="F1" sqref="F1"/>
    </sheetView>
  </sheetViews>
  <sheetFormatPr baseColWidth="10" defaultColWidth="11.42578125" defaultRowHeight="15"/>
  <cols>
    <col min="1" max="1" width="9.28515625" style="17" customWidth="1"/>
    <col min="2" max="2" width="30.570312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75" t="s">
        <v>67</v>
      </c>
      <c r="C7" s="75"/>
      <c r="D7" s="75"/>
    </row>
    <row r="8" spans="1:4" s="29" customFormat="1" ht="15" customHeight="1">
      <c r="B8" s="75"/>
      <c r="C8" s="75"/>
      <c r="D8" s="75"/>
    </row>
    <row r="9" spans="1:4" s="29" customFormat="1" ht="33" customHeight="1">
      <c r="B9" s="75"/>
      <c r="C9" s="75"/>
      <c r="D9" s="75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66</v>
      </c>
      <c r="C11" s="31" t="s">
        <v>32</v>
      </c>
      <c r="D11" s="30" t="s">
        <v>31</v>
      </c>
    </row>
    <row r="12" spans="1:4">
      <c r="B12" s="27" t="s">
        <v>65</v>
      </c>
      <c r="C12" s="26">
        <v>5</v>
      </c>
      <c r="D12" s="25">
        <v>2.8735632183908046E-2</v>
      </c>
    </row>
    <row r="13" spans="1:4">
      <c r="B13" s="27" t="s">
        <v>107</v>
      </c>
      <c r="C13" s="26">
        <v>2</v>
      </c>
      <c r="D13" s="25">
        <v>1.1494252873563218E-2</v>
      </c>
    </row>
    <row r="14" spans="1:4">
      <c r="A14" s="28"/>
      <c r="B14" s="27" t="s">
        <v>64</v>
      </c>
      <c r="C14" s="26">
        <v>3</v>
      </c>
      <c r="D14" s="25">
        <v>1.7241379310344827E-2</v>
      </c>
    </row>
    <row r="15" spans="1:4">
      <c r="A15" s="28"/>
      <c r="B15" s="27" t="s">
        <v>63</v>
      </c>
      <c r="C15" s="26">
        <v>4</v>
      </c>
      <c r="D15" s="25">
        <v>2.2988505747126436E-2</v>
      </c>
    </row>
    <row r="16" spans="1:4">
      <c r="B16" s="27" t="s">
        <v>62</v>
      </c>
      <c r="C16" s="26">
        <v>4</v>
      </c>
      <c r="D16" s="25">
        <v>2.2988505747126436E-2</v>
      </c>
    </row>
    <row r="17" spans="2:4">
      <c r="B17" s="27" t="s">
        <v>61</v>
      </c>
      <c r="C17" s="26">
        <v>2</v>
      </c>
      <c r="D17" s="25">
        <v>1.1494252873563218E-2</v>
      </c>
    </row>
    <row r="18" spans="2:4">
      <c r="B18" s="27" t="s">
        <v>60</v>
      </c>
      <c r="C18" s="26">
        <v>15</v>
      </c>
      <c r="D18" s="25">
        <v>8.6206896551724144E-2</v>
      </c>
    </row>
    <row r="19" spans="2:4">
      <c r="B19" s="27" t="s">
        <v>59</v>
      </c>
      <c r="C19" s="26">
        <v>20</v>
      </c>
      <c r="D19" s="25">
        <v>0.11494252873563218</v>
      </c>
    </row>
    <row r="20" spans="2:4">
      <c r="B20" s="27" t="s">
        <v>177</v>
      </c>
      <c r="C20" s="26">
        <v>5</v>
      </c>
      <c r="D20" s="25">
        <v>2.8735632183908046E-2</v>
      </c>
    </row>
    <row r="21" spans="2:4">
      <c r="B21" s="27" t="s">
        <v>58</v>
      </c>
      <c r="C21" s="26">
        <v>6</v>
      </c>
      <c r="D21" s="25">
        <v>3.4482758620689655E-2</v>
      </c>
    </row>
    <row r="22" spans="2:4">
      <c r="B22" s="27" t="s">
        <v>57</v>
      </c>
      <c r="C22" s="26">
        <v>9</v>
      </c>
      <c r="D22" s="25">
        <v>5.1724137931034482E-2</v>
      </c>
    </row>
    <row r="23" spans="2:4">
      <c r="B23" s="27" t="s">
        <v>56</v>
      </c>
      <c r="C23" s="26">
        <v>41</v>
      </c>
      <c r="D23" s="25">
        <v>0.23563218390804597</v>
      </c>
    </row>
    <row r="24" spans="2:4">
      <c r="B24" s="27" t="s">
        <v>55</v>
      </c>
      <c r="C24" s="26">
        <v>4</v>
      </c>
      <c r="D24" s="25">
        <v>2.2988505747126436E-2</v>
      </c>
    </row>
    <row r="25" spans="2:4">
      <c r="B25" s="27" t="s">
        <v>54</v>
      </c>
      <c r="C25" s="26">
        <v>34</v>
      </c>
      <c r="D25" s="25">
        <v>0.19540229885057472</v>
      </c>
    </row>
    <row r="26" spans="2:4">
      <c r="B26" s="27" t="s">
        <v>53</v>
      </c>
      <c r="C26" s="26">
        <v>2</v>
      </c>
      <c r="D26" s="25">
        <v>1.1494252873563218E-2</v>
      </c>
    </row>
    <row r="27" spans="2:4">
      <c r="B27" s="27" t="s">
        <v>52</v>
      </c>
      <c r="C27" s="26">
        <v>13</v>
      </c>
      <c r="D27" s="25">
        <v>7.4712643678160925E-2</v>
      </c>
    </row>
    <row r="28" spans="2:4">
      <c r="B28" s="27" t="s">
        <v>108</v>
      </c>
      <c r="C28" s="26">
        <v>1</v>
      </c>
      <c r="D28" s="25">
        <v>5.7471264367816091E-3</v>
      </c>
    </row>
    <row r="29" spans="2:4">
      <c r="B29" s="27" t="s">
        <v>51</v>
      </c>
      <c r="C29" s="26">
        <v>3</v>
      </c>
      <c r="D29" s="25">
        <v>1.7241379310344827E-2</v>
      </c>
    </row>
    <row r="30" spans="2:4">
      <c r="B30" s="27" t="s">
        <v>178</v>
      </c>
      <c r="C30" s="26">
        <v>1</v>
      </c>
      <c r="D30" s="25">
        <v>5.7471264367816091E-3</v>
      </c>
    </row>
    <row r="31" spans="2:4">
      <c r="B31" s="24" t="s">
        <v>15</v>
      </c>
      <c r="C31" s="23">
        <v>174</v>
      </c>
      <c r="D31" s="22">
        <v>1</v>
      </c>
    </row>
    <row r="33" spans="2:2">
      <c r="B33" s="19" t="s">
        <v>170</v>
      </c>
    </row>
    <row r="34" spans="2:2">
      <c r="B34" s="21" t="s">
        <v>14</v>
      </c>
    </row>
    <row r="35" spans="2:2">
      <c r="B35" s="20" t="s">
        <v>13</v>
      </c>
    </row>
    <row r="36" spans="2:2">
      <c r="B36" s="19" t="s">
        <v>12</v>
      </c>
    </row>
    <row r="37" spans="2:2">
      <c r="B37" s="19" t="s">
        <v>171</v>
      </c>
    </row>
    <row r="38" spans="2:2">
      <c r="B38" s="19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9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115"/>
  <sheetViews>
    <sheetView showGridLines="0" topLeftCell="A87" zoomScaleNormal="100" zoomScaleSheetLayoutView="100" workbookViewId="0">
      <selection activeCell="F106" sqref="F106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44" customFormat="1" ht="12" customHeight="1">
      <c r="B1" s="48"/>
      <c r="C1" s="47"/>
      <c r="D1" s="47"/>
      <c r="E1" s="47"/>
    </row>
    <row r="2" spans="1:5" s="44" customFormat="1" ht="15" customHeight="1">
      <c r="C2" s="46"/>
    </row>
    <row r="3" spans="1:5" s="44" customFormat="1" ht="15" customHeight="1">
      <c r="C3" s="46"/>
    </row>
    <row r="4" spans="1:5" s="44" customFormat="1" ht="30" customHeight="1">
      <c r="C4" s="46"/>
      <c r="D4" s="45"/>
    </row>
    <row r="5" spans="1:5" s="44" customFormat="1" ht="15" customHeight="1">
      <c r="C5" s="46"/>
      <c r="D5" s="45"/>
    </row>
    <row r="6" spans="1:5" s="41" customFormat="1" ht="24" customHeight="1">
      <c r="B6" s="43"/>
      <c r="C6" s="40"/>
      <c r="D6" s="40"/>
      <c r="E6" s="40"/>
    </row>
    <row r="7" spans="1:5" s="41" customFormat="1" ht="26.25" customHeight="1">
      <c r="A7" s="42"/>
      <c r="B7" s="79"/>
      <c r="C7" s="79"/>
      <c r="D7" s="79"/>
      <c r="E7" s="79"/>
    </row>
    <row r="8" spans="1:5" s="41" customFormat="1" ht="33" customHeight="1">
      <c r="A8" s="42"/>
      <c r="B8" s="79"/>
      <c r="C8" s="79"/>
      <c r="D8" s="79"/>
      <c r="E8" s="79"/>
    </row>
    <row r="9" spans="1:5" s="29" customFormat="1" ht="40.5" customHeight="1">
      <c r="B9" s="52" t="s">
        <v>66</v>
      </c>
      <c r="C9" s="52" t="s">
        <v>33</v>
      </c>
      <c r="D9" s="53" t="s">
        <v>32</v>
      </c>
      <c r="E9" s="52" t="s">
        <v>31</v>
      </c>
    </row>
    <row r="10" spans="1:5" ht="15" customHeight="1">
      <c r="B10" s="76" t="s">
        <v>65</v>
      </c>
      <c r="C10" s="54" t="s">
        <v>30</v>
      </c>
      <c r="D10" s="55">
        <v>5</v>
      </c>
      <c r="E10" s="56">
        <v>2.8901734104046242E-2</v>
      </c>
    </row>
    <row r="11" spans="1:5" ht="15" customHeight="1">
      <c r="B11" s="78"/>
      <c r="C11" s="57" t="s">
        <v>15</v>
      </c>
      <c r="D11" s="58">
        <v>5</v>
      </c>
      <c r="E11" s="59">
        <v>2.8901734104046242E-2</v>
      </c>
    </row>
    <row r="12" spans="1:5" ht="15" customHeight="1">
      <c r="B12" s="76" t="s">
        <v>107</v>
      </c>
      <c r="C12" s="54" t="s">
        <v>26</v>
      </c>
      <c r="D12" s="55">
        <v>1</v>
      </c>
      <c r="E12" s="56">
        <v>5.7803468208092483E-3</v>
      </c>
    </row>
    <row r="13" spans="1:5" ht="15" customHeight="1">
      <c r="B13" s="77"/>
      <c r="C13" s="54" t="s">
        <v>30</v>
      </c>
      <c r="D13" s="55">
        <v>1</v>
      </c>
      <c r="E13" s="56">
        <v>5.7803468208092483E-3</v>
      </c>
    </row>
    <row r="14" spans="1:5" ht="15" customHeight="1">
      <c r="B14" s="78"/>
      <c r="C14" s="57" t="s">
        <v>15</v>
      </c>
      <c r="D14" s="58">
        <v>2</v>
      </c>
      <c r="E14" s="59">
        <v>1.1560693641618497E-2</v>
      </c>
    </row>
    <row r="15" spans="1:5" ht="15" customHeight="1">
      <c r="B15" s="76" t="s">
        <v>64</v>
      </c>
      <c r="C15" s="54" t="s">
        <v>30</v>
      </c>
      <c r="D15" s="55">
        <v>1</v>
      </c>
      <c r="E15" s="56">
        <v>5.7803468208092483E-3</v>
      </c>
    </row>
    <row r="16" spans="1:5" ht="15" customHeight="1">
      <c r="B16" s="77"/>
      <c r="C16" s="54" t="s">
        <v>29</v>
      </c>
      <c r="D16" s="55">
        <v>1</v>
      </c>
      <c r="E16" s="56">
        <v>5.7803468208092483E-3</v>
      </c>
    </row>
    <row r="17" spans="2:5" ht="15" customHeight="1">
      <c r="B17" s="77"/>
      <c r="C17" s="54" t="s">
        <v>168</v>
      </c>
      <c r="D17" s="55">
        <v>1</v>
      </c>
      <c r="E17" s="56">
        <v>5.7803468208092483E-3</v>
      </c>
    </row>
    <row r="18" spans="2:5" ht="15" customHeight="1">
      <c r="B18" s="78"/>
      <c r="C18" s="57" t="s">
        <v>15</v>
      </c>
      <c r="D18" s="58">
        <v>3</v>
      </c>
      <c r="E18" s="59">
        <v>1.7341040462427744E-2</v>
      </c>
    </row>
    <row r="19" spans="2:5" ht="15" customHeight="1">
      <c r="B19" s="76" t="s">
        <v>63</v>
      </c>
      <c r="C19" s="54" t="s">
        <v>30</v>
      </c>
      <c r="D19" s="55">
        <v>3</v>
      </c>
      <c r="E19" s="56">
        <v>1.7341040462427744E-2</v>
      </c>
    </row>
    <row r="20" spans="2:5" ht="15" customHeight="1">
      <c r="B20" s="77"/>
      <c r="C20" s="54" t="s">
        <v>24</v>
      </c>
      <c r="D20" s="55">
        <v>1</v>
      </c>
      <c r="E20" s="56">
        <v>5.7803468208092483E-3</v>
      </c>
    </row>
    <row r="21" spans="2:5" ht="15" customHeight="1">
      <c r="B21" s="78"/>
      <c r="C21" s="57" t="s">
        <v>15</v>
      </c>
      <c r="D21" s="58">
        <v>4</v>
      </c>
      <c r="E21" s="59">
        <v>2.3121387283236993E-2</v>
      </c>
    </row>
    <row r="22" spans="2:5" ht="15" customHeight="1">
      <c r="B22" s="76" t="s">
        <v>62</v>
      </c>
      <c r="C22" s="54" t="s">
        <v>26</v>
      </c>
      <c r="D22" s="55">
        <v>1</v>
      </c>
      <c r="E22" s="56">
        <v>5.7803468208092483E-3</v>
      </c>
    </row>
    <row r="23" spans="2:5" ht="15" customHeight="1">
      <c r="B23" s="77"/>
      <c r="C23" s="54" t="s">
        <v>30</v>
      </c>
      <c r="D23" s="55">
        <v>1</v>
      </c>
      <c r="E23" s="56">
        <v>5.7803468208092483E-3</v>
      </c>
    </row>
    <row r="24" spans="2:5" ht="15" customHeight="1">
      <c r="B24" s="77"/>
      <c r="C24" s="54" t="s">
        <v>29</v>
      </c>
      <c r="D24" s="55">
        <v>2</v>
      </c>
      <c r="E24" s="56">
        <v>1.1560693641618497E-2</v>
      </c>
    </row>
    <row r="25" spans="2:5" ht="15" customHeight="1">
      <c r="B25" s="78"/>
      <c r="C25" s="57" t="s">
        <v>15</v>
      </c>
      <c r="D25" s="58">
        <v>4</v>
      </c>
      <c r="E25" s="59">
        <v>2.3121387283236993E-2</v>
      </c>
    </row>
    <row r="26" spans="2:5" ht="15" customHeight="1">
      <c r="B26" s="76" t="s">
        <v>61</v>
      </c>
      <c r="C26" s="54" t="s">
        <v>27</v>
      </c>
      <c r="D26" s="55">
        <v>1</v>
      </c>
      <c r="E26" s="56">
        <v>5.7803468208092483E-3</v>
      </c>
    </row>
    <row r="27" spans="2:5" ht="15" customHeight="1">
      <c r="B27" s="77"/>
      <c r="C27" s="54" t="s">
        <v>29</v>
      </c>
      <c r="D27" s="55">
        <v>1</v>
      </c>
      <c r="E27" s="56">
        <v>5.7803468208092483E-3</v>
      </c>
    </row>
    <row r="28" spans="2:5" ht="15" customHeight="1">
      <c r="B28" s="78"/>
      <c r="C28" s="57" t="s">
        <v>15</v>
      </c>
      <c r="D28" s="58">
        <v>2</v>
      </c>
      <c r="E28" s="59">
        <v>1.1560693641618497E-2</v>
      </c>
    </row>
    <row r="29" spans="2:5" ht="15" customHeight="1">
      <c r="B29" s="76" t="s">
        <v>60</v>
      </c>
      <c r="C29" s="54" t="s">
        <v>26</v>
      </c>
      <c r="D29" s="55">
        <v>4</v>
      </c>
      <c r="E29" s="56">
        <v>2.3121387283236993E-2</v>
      </c>
    </row>
    <row r="30" spans="2:5" ht="15" customHeight="1">
      <c r="B30" s="77"/>
      <c r="C30" s="54" t="s">
        <v>30</v>
      </c>
      <c r="D30" s="55">
        <v>6</v>
      </c>
      <c r="E30" s="56">
        <v>3.4682080924855488E-2</v>
      </c>
    </row>
    <row r="31" spans="2:5" ht="15" customHeight="1">
      <c r="B31" s="77"/>
      <c r="C31" s="54" t="s">
        <v>21</v>
      </c>
      <c r="D31" s="55">
        <v>1</v>
      </c>
      <c r="E31" s="56">
        <v>5.7803468208092483E-3</v>
      </c>
    </row>
    <row r="32" spans="2:5" ht="15" customHeight="1">
      <c r="B32" s="77"/>
      <c r="C32" s="54" t="s">
        <v>29</v>
      </c>
      <c r="D32" s="55">
        <v>3</v>
      </c>
      <c r="E32" s="56">
        <v>1.7341040462427744E-2</v>
      </c>
    </row>
    <row r="33" spans="2:5" ht="15" customHeight="1">
      <c r="B33" s="77"/>
      <c r="C33" s="54" t="s">
        <v>24</v>
      </c>
      <c r="D33" s="55">
        <v>1</v>
      </c>
      <c r="E33" s="56">
        <v>5.7803468208092483E-3</v>
      </c>
    </row>
    <row r="34" spans="2:5" ht="15" customHeight="1">
      <c r="B34" s="78"/>
      <c r="C34" s="57" t="s">
        <v>15</v>
      </c>
      <c r="D34" s="58">
        <v>15</v>
      </c>
      <c r="E34" s="59">
        <v>8.6705202312138727E-2</v>
      </c>
    </row>
    <row r="35" spans="2:5" ht="15" customHeight="1">
      <c r="B35" s="76" t="s">
        <v>59</v>
      </c>
      <c r="C35" s="54" t="s">
        <v>25</v>
      </c>
      <c r="D35" s="55">
        <v>1</v>
      </c>
      <c r="E35" s="56">
        <v>5.7803468208092483E-3</v>
      </c>
    </row>
    <row r="36" spans="2:5" ht="15" customHeight="1">
      <c r="B36" s="77"/>
      <c r="C36" s="54" t="s">
        <v>28</v>
      </c>
      <c r="D36" s="55">
        <v>1</v>
      </c>
      <c r="E36" s="56">
        <v>5.7803468208092483E-3</v>
      </c>
    </row>
    <row r="37" spans="2:5" ht="15" customHeight="1">
      <c r="B37" s="77"/>
      <c r="C37" s="54" t="s">
        <v>30</v>
      </c>
      <c r="D37" s="55">
        <v>9</v>
      </c>
      <c r="E37" s="56">
        <v>5.2023121387283239E-2</v>
      </c>
    </row>
    <row r="38" spans="2:5" ht="15" customHeight="1">
      <c r="B38" s="77"/>
      <c r="C38" s="54" t="s">
        <v>27</v>
      </c>
      <c r="D38" s="55">
        <v>1</v>
      </c>
      <c r="E38" s="56">
        <v>5.7803468208092483E-3</v>
      </c>
    </row>
    <row r="39" spans="2:5" ht="15" customHeight="1">
      <c r="B39" s="77"/>
      <c r="C39" s="54" t="s">
        <v>29</v>
      </c>
      <c r="D39" s="55">
        <v>5</v>
      </c>
      <c r="E39" s="56">
        <v>2.8901734104046242E-2</v>
      </c>
    </row>
    <row r="40" spans="2:5" ht="15" customHeight="1">
      <c r="B40" s="77"/>
      <c r="C40" s="54" t="s">
        <v>24</v>
      </c>
      <c r="D40" s="55">
        <v>3</v>
      </c>
      <c r="E40" s="56">
        <v>1.7341040462427744E-2</v>
      </c>
    </row>
    <row r="41" spans="2:5" ht="15" customHeight="1">
      <c r="B41" s="78"/>
      <c r="C41" s="57" t="s">
        <v>15</v>
      </c>
      <c r="D41" s="58">
        <v>20</v>
      </c>
      <c r="E41" s="59">
        <v>0.11560693641618497</v>
      </c>
    </row>
    <row r="42" spans="2:5" ht="15" customHeight="1">
      <c r="B42" s="76" t="s">
        <v>177</v>
      </c>
      <c r="C42" s="54" t="s">
        <v>116</v>
      </c>
      <c r="D42" s="55">
        <v>1</v>
      </c>
      <c r="E42" s="56">
        <v>5.7803468208092483E-3</v>
      </c>
    </row>
    <row r="43" spans="2:5" ht="15" customHeight="1">
      <c r="B43" s="77"/>
      <c r="C43" s="54" t="s">
        <v>30</v>
      </c>
      <c r="D43" s="55">
        <v>1</v>
      </c>
      <c r="E43" s="56">
        <v>5.7803468208092483E-3</v>
      </c>
    </row>
    <row r="44" spans="2:5" ht="15" customHeight="1">
      <c r="B44" s="77"/>
      <c r="C44" s="54" t="s">
        <v>21</v>
      </c>
      <c r="D44" s="55">
        <v>1</v>
      </c>
      <c r="E44" s="56">
        <v>5.7803468208092483E-3</v>
      </c>
    </row>
    <row r="45" spans="2:5" ht="15" customHeight="1">
      <c r="B45" s="77"/>
      <c r="C45" s="54" t="s">
        <v>29</v>
      </c>
      <c r="D45" s="55">
        <v>2</v>
      </c>
      <c r="E45" s="56">
        <v>1.1560693641618497E-2</v>
      </c>
    </row>
    <row r="46" spans="2:5" ht="15" customHeight="1">
      <c r="B46" s="78"/>
      <c r="C46" s="57" t="s">
        <v>15</v>
      </c>
      <c r="D46" s="58">
        <v>5</v>
      </c>
      <c r="E46" s="59">
        <v>2.8901734104046242E-2</v>
      </c>
    </row>
    <row r="47" spans="2:5" ht="15" customHeight="1">
      <c r="B47" s="76" t="s">
        <v>58</v>
      </c>
      <c r="C47" s="54" t="s">
        <v>26</v>
      </c>
      <c r="D47" s="55">
        <v>1</v>
      </c>
      <c r="E47" s="56">
        <v>5.7803468208092483E-3</v>
      </c>
    </row>
    <row r="48" spans="2:5" ht="15" customHeight="1">
      <c r="B48" s="77"/>
      <c r="C48" s="54" t="s">
        <v>30</v>
      </c>
      <c r="D48" s="55">
        <v>4</v>
      </c>
      <c r="E48" s="56">
        <v>2.3121387283236993E-2</v>
      </c>
    </row>
    <row r="49" spans="2:5" ht="15" customHeight="1">
      <c r="B49" s="77"/>
      <c r="C49" s="54" t="s">
        <v>24</v>
      </c>
      <c r="D49" s="55">
        <v>1</v>
      </c>
      <c r="E49" s="56">
        <v>5.7803468208092483E-3</v>
      </c>
    </row>
    <row r="50" spans="2:5" ht="15" customHeight="1">
      <c r="B50" s="78"/>
      <c r="C50" s="57" t="s">
        <v>15</v>
      </c>
      <c r="D50" s="58">
        <v>6</v>
      </c>
      <c r="E50" s="59">
        <v>3.4682080924855488E-2</v>
      </c>
    </row>
    <row r="51" spans="2:5" ht="15" customHeight="1">
      <c r="B51" s="76" t="s">
        <v>57</v>
      </c>
      <c r="C51" s="54" t="s">
        <v>26</v>
      </c>
      <c r="D51" s="55">
        <v>1</v>
      </c>
      <c r="E51" s="56">
        <v>5.7803468208092483E-3</v>
      </c>
    </row>
    <row r="52" spans="2:5" ht="15" customHeight="1">
      <c r="B52" s="77"/>
      <c r="C52" s="54" t="s">
        <v>30</v>
      </c>
      <c r="D52" s="55">
        <v>6</v>
      </c>
      <c r="E52" s="56">
        <v>3.4682080924855488E-2</v>
      </c>
    </row>
    <row r="53" spans="2:5" ht="15" customHeight="1">
      <c r="B53" s="77"/>
      <c r="C53" s="54" t="s">
        <v>23</v>
      </c>
      <c r="D53" s="55">
        <v>1</v>
      </c>
      <c r="E53" s="56">
        <v>5.7803468208092483E-3</v>
      </c>
    </row>
    <row r="54" spans="2:5" ht="15" customHeight="1">
      <c r="B54" s="77"/>
      <c r="C54" s="54" t="s">
        <v>27</v>
      </c>
      <c r="D54" s="55">
        <v>1</v>
      </c>
      <c r="E54" s="56">
        <v>5.7803468208092483E-3</v>
      </c>
    </row>
    <row r="55" spans="2:5" ht="15" customHeight="1">
      <c r="B55" s="78"/>
      <c r="C55" s="57" t="s">
        <v>15</v>
      </c>
      <c r="D55" s="58">
        <v>9</v>
      </c>
      <c r="E55" s="59">
        <v>5.2023121387283239E-2</v>
      </c>
    </row>
    <row r="56" spans="2:5" ht="15" customHeight="1">
      <c r="B56" s="76" t="s">
        <v>56</v>
      </c>
      <c r="C56" s="54" t="s">
        <v>25</v>
      </c>
      <c r="D56" s="55">
        <v>2</v>
      </c>
      <c r="E56" s="56">
        <v>1.1560693641618497E-2</v>
      </c>
    </row>
    <row r="57" spans="2:5" ht="15" customHeight="1">
      <c r="B57" s="77"/>
      <c r="C57" s="54" t="s">
        <v>28</v>
      </c>
      <c r="D57" s="55">
        <v>4</v>
      </c>
      <c r="E57" s="56">
        <v>2.3121387283236993E-2</v>
      </c>
    </row>
    <row r="58" spans="2:5" ht="15" customHeight="1">
      <c r="B58" s="77"/>
      <c r="C58" s="54" t="s">
        <v>26</v>
      </c>
      <c r="D58" s="55">
        <v>3</v>
      </c>
      <c r="E58" s="56">
        <v>1.7341040462427744E-2</v>
      </c>
    </row>
    <row r="59" spans="2:5" ht="15" customHeight="1">
      <c r="B59" s="77"/>
      <c r="C59" s="54" t="s">
        <v>30</v>
      </c>
      <c r="D59" s="55">
        <v>11</v>
      </c>
      <c r="E59" s="56">
        <v>6.358381502890173E-2</v>
      </c>
    </row>
    <row r="60" spans="2:5" ht="15" customHeight="1">
      <c r="B60" s="77"/>
      <c r="C60" s="54" t="s">
        <v>21</v>
      </c>
      <c r="D60" s="55">
        <v>1</v>
      </c>
      <c r="E60" s="56">
        <v>5.7803468208092483E-3</v>
      </c>
    </row>
    <row r="61" spans="2:5" ht="15" customHeight="1">
      <c r="B61" s="77"/>
      <c r="C61" s="54" t="s">
        <v>23</v>
      </c>
      <c r="D61" s="55">
        <v>1</v>
      </c>
      <c r="E61" s="56">
        <v>5.7803468208092483E-3</v>
      </c>
    </row>
    <row r="62" spans="2:5" ht="15" customHeight="1">
      <c r="B62" s="77"/>
      <c r="C62" s="54" t="s">
        <v>27</v>
      </c>
      <c r="D62" s="55">
        <v>1</v>
      </c>
      <c r="E62" s="56">
        <v>5.7803468208092483E-3</v>
      </c>
    </row>
    <row r="63" spans="2:5" ht="15" customHeight="1">
      <c r="B63" s="77"/>
      <c r="C63" s="54" t="s">
        <v>29</v>
      </c>
      <c r="D63" s="55">
        <v>12</v>
      </c>
      <c r="E63" s="56">
        <v>6.9364161849710976E-2</v>
      </c>
    </row>
    <row r="64" spans="2:5" ht="15" customHeight="1">
      <c r="B64" s="77"/>
      <c r="C64" s="54" t="s">
        <v>154</v>
      </c>
      <c r="D64" s="55">
        <v>1</v>
      </c>
      <c r="E64" s="56">
        <v>5.7803468208092483E-3</v>
      </c>
    </row>
    <row r="65" spans="2:5" ht="15" customHeight="1">
      <c r="B65" s="77"/>
      <c r="C65" s="54" t="s">
        <v>24</v>
      </c>
      <c r="D65" s="55">
        <v>5</v>
      </c>
      <c r="E65" s="56">
        <v>2.8901734104046242E-2</v>
      </c>
    </row>
    <row r="66" spans="2:5" ht="15" customHeight="1">
      <c r="B66" s="78"/>
      <c r="C66" s="57" t="s">
        <v>15</v>
      </c>
      <c r="D66" s="58">
        <v>41</v>
      </c>
      <c r="E66" s="59">
        <v>0.23699421965317918</v>
      </c>
    </row>
    <row r="67" spans="2:5" ht="15" customHeight="1">
      <c r="B67" s="76" t="s">
        <v>55</v>
      </c>
      <c r="C67" s="54" t="s">
        <v>28</v>
      </c>
      <c r="D67" s="55">
        <v>1</v>
      </c>
      <c r="E67" s="56">
        <v>5.7803468208092483E-3</v>
      </c>
    </row>
    <row r="68" spans="2:5" ht="15" customHeight="1">
      <c r="B68" s="77"/>
      <c r="C68" s="54" t="s">
        <v>27</v>
      </c>
      <c r="D68" s="55">
        <v>1</v>
      </c>
      <c r="E68" s="56">
        <v>5.7803468208092483E-3</v>
      </c>
    </row>
    <row r="69" spans="2:5" ht="15" customHeight="1">
      <c r="B69" s="77"/>
      <c r="C69" s="54" t="s">
        <v>18</v>
      </c>
      <c r="D69" s="55">
        <v>2</v>
      </c>
      <c r="E69" s="56">
        <v>1.1560693641618497E-2</v>
      </c>
    </row>
    <row r="70" spans="2:5" ht="15" customHeight="1">
      <c r="B70" s="78"/>
      <c r="C70" s="57" t="s">
        <v>15</v>
      </c>
      <c r="D70" s="58">
        <v>4</v>
      </c>
      <c r="E70" s="59">
        <v>2.3121387283236993E-2</v>
      </c>
    </row>
    <row r="71" spans="2:5" ht="15" customHeight="1">
      <c r="B71" s="76" t="s">
        <v>54</v>
      </c>
      <c r="C71" s="54" t="s">
        <v>25</v>
      </c>
      <c r="D71" s="55">
        <v>3</v>
      </c>
      <c r="E71" s="56">
        <v>1.7341040462427744E-2</v>
      </c>
    </row>
    <row r="72" spans="2:5" ht="15" customHeight="1">
      <c r="B72" s="77"/>
      <c r="C72" s="54" t="s">
        <v>28</v>
      </c>
      <c r="D72" s="55">
        <v>5</v>
      </c>
      <c r="E72" s="56">
        <v>2.8901734104046242E-2</v>
      </c>
    </row>
    <row r="73" spans="2:5" ht="15" customHeight="1">
      <c r="B73" s="77"/>
      <c r="C73" s="54" t="s">
        <v>26</v>
      </c>
      <c r="D73" s="55">
        <v>1</v>
      </c>
      <c r="E73" s="56">
        <v>5.7803468208092483E-3</v>
      </c>
    </row>
    <row r="74" spans="2:5" ht="15" customHeight="1">
      <c r="B74" s="77"/>
      <c r="C74" s="54" t="s">
        <v>30</v>
      </c>
      <c r="D74" s="55">
        <v>9</v>
      </c>
      <c r="E74" s="56">
        <v>5.2023121387283239E-2</v>
      </c>
    </row>
    <row r="75" spans="2:5" ht="15" customHeight="1">
      <c r="B75" s="77"/>
      <c r="C75" s="54" t="s">
        <v>22</v>
      </c>
      <c r="D75" s="55">
        <v>1</v>
      </c>
      <c r="E75" s="56">
        <v>5.7803468208092483E-3</v>
      </c>
    </row>
    <row r="76" spans="2:5" ht="15" customHeight="1">
      <c r="B76" s="77"/>
      <c r="C76" s="54" t="s">
        <v>21</v>
      </c>
      <c r="D76" s="55">
        <v>1</v>
      </c>
      <c r="E76" s="56">
        <v>5.7803468208092483E-3</v>
      </c>
    </row>
    <row r="77" spans="2:5" ht="15" customHeight="1">
      <c r="B77" s="77"/>
      <c r="C77" s="54" t="s">
        <v>23</v>
      </c>
      <c r="D77" s="55">
        <v>1</v>
      </c>
      <c r="E77" s="56">
        <v>5.7803468208092483E-3</v>
      </c>
    </row>
    <row r="78" spans="2:5" ht="15" customHeight="1">
      <c r="B78" s="77"/>
      <c r="C78" s="54" t="s">
        <v>27</v>
      </c>
      <c r="D78" s="55">
        <v>2</v>
      </c>
      <c r="E78" s="56">
        <v>1.1560693641618497E-2</v>
      </c>
    </row>
    <row r="79" spans="2:5" ht="15" customHeight="1">
      <c r="B79" s="77"/>
      <c r="C79" s="54" t="s">
        <v>29</v>
      </c>
      <c r="D79" s="55">
        <v>7</v>
      </c>
      <c r="E79" s="56">
        <v>4.046242774566474E-2</v>
      </c>
    </row>
    <row r="80" spans="2:5" ht="15" customHeight="1">
      <c r="B80" s="77"/>
      <c r="C80" s="54" t="s">
        <v>16</v>
      </c>
      <c r="D80" s="55">
        <v>1</v>
      </c>
      <c r="E80" s="56">
        <v>5.7803468208092483E-3</v>
      </c>
    </row>
    <row r="81" spans="2:6" ht="15" customHeight="1">
      <c r="B81" s="77"/>
      <c r="C81" s="54" t="s">
        <v>18</v>
      </c>
      <c r="D81" s="55">
        <v>2</v>
      </c>
      <c r="E81" s="56">
        <v>1.1560693641618497E-2</v>
      </c>
    </row>
    <row r="82" spans="2:6" ht="15" customHeight="1">
      <c r="B82" s="77"/>
      <c r="C82" s="54" t="s">
        <v>24</v>
      </c>
      <c r="D82" s="55">
        <v>1</v>
      </c>
      <c r="E82" s="56">
        <v>5.7803468208092483E-3</v>
      </c>
    </row>
    <row r="83" spans="2:6" ht="15" customHeight="1">
      <c r="B83" s="78"/>
      <c r="C83" s="57" t="s">
        <v>15</v>
      </c>
      <c r="D83" s="58">
        <v>34</v>
      </c>
      <c r="E83" s="59">
        <v>0.19653179190751446</v>
      </c>
    </row>
    <row r="84" spans="2:6" ht="15" customHeight="1">
      <c r="B84" s="76" t="s">
        <v>53</v>
      </c>
      <c r="C84" s="54" t="s">
        <v>23</v>
      </c>
      <c r="D84" s="55">
        <v>2</v>
      </c>
      <c r="E84" s="56">
        <v>1.1560693641618497E-2</v>
      </c>
    </row>
    <row r="85" spans="2:6" ht="15" customHeight="1">
      <c r="B85" s="78"/>
      <c r="C85" s="57" t="s">
        <v>15</v>
      </c>
      <c r="D85" s="58">
        <v>2</v>
      </c>
      <c r="E85" s="59">
        <v>1.1560693641618497E-2</v>
      </c>
    </row>
    <row r="86" spans="2:6" ht="15" customHeight="1">
      <c r="B86" s="76" t="s">
        <v>90</v>
      </c>
      <c r="C86" s="54" t="s">
        <v>114</v>
      </c>
      <c r="D86" s="55">
        <v>1</v>
      </c>
      <c r="E86" s="56">
        <v>5.7803468208092483E-3</v>
      </c>
    </row>
    <row r="87" spans="2:6" ht="15" customHeight="1">
      <c r="B87" s="77"/>
      <c r="C87" s="54" t="s">
        <v>28</v>
      </c>
      <c r="D87" s="55">
        <v>2</v>
      </c>
      <c r="E87" s="56">
        <v>1.1560693641618497E-2</v>
      </c>
    </row>
    <row r="88" spans="2:6" ht="15" customHeight="1">
      <c r="B88" s="77"/>
      <c r="C88" s="54" t="s">
        <v>26</v>
      </c>
      <c r="D88" s="55">
        <v>1</v>
      </c>
      <c r="E88" s="56">
        <v>5.7803468208092483E-3</v>
      </c>
    </row>
    <row r="89" spans="2:6" ht="15" customHeight="1">
      <c r="B89" s="77"/>
      <c r="C89" s="54" t="s">
        <v>30</v>
      </c>
      <c r="D89" s="55">
        <v>1</v>
      </c>
      <c r="E89" s="56">
        <v>5.7803468208092483E-3</v>
      </c>
    </row>
    <row r="90" spans="2:6" ht="15" customHeight="1">
      <c r="B90" s="77"/>
      <c r="C90" s="54" t="s">
        <v>21</v>
      </c>
      <c r="D90" s="55">
        <v>1</v>
      </c>
      <c r="E90" s="56">
        <v>5.7803468208092483E-3</v>
      </c>
    </row>
    <row r="91" spans="2:6" ht="15" customHeight="1">
      <c r="B91" s="77"/>
      <c r="C91" s="54" t="s">
        <v>23</v>
      </c>
      <c r="D91" s="55">
        <v>1</v>
      </c>
      <c r="E91" s="56">
        <v>5.7803468208092483E-3</v>
      </c>
    </row>
    <row r="92" spans="2:6" ht="15" customHeight="1">
      <c r="B92" s="77"/>
      <c r="C92" s="54" t="s">
        <v>27</v>
      </c>
      <c r="D92" s="55">
        <v>2</v>
      </c>
      <c r="E92" s="56">
        <v>1.1560693641618497E-2</v>
      </c>
    </row>
    <row r="93" spans="2:6" ht="15" customHeight="1">
      <c r="B93" s="77"/>
      <c r="C93" s="54" t="s">
        <v>29</v>
      </c>
      <c r="D93" s="55">
        <v>1</v>
      </c>
      <c r="E93" s="56">
        <v>5.7803468208092483E-3</v>
      </c>
    </row>
    <row r="94" spans="2:6" ht="15" customHeight="1">
      <c r="B94" s="77"/>
      <c r="C94" s="54" t="s">
        <v>20</v>
      </c>
      <c r="D94" s="55">
        <v>1</v>
      </c>
      <c r="E94" s="56">
        <v>5.7803468208092483E-3</v>
      </c>
    </row>
    <row r="95" spans="2:6" ht="15" customHeight="1">
      <c r="B95" s="77"/>
      <c r="C95" s="54" t="s">
        <v>154</v>
      </c>
      <c r="D95" s="55">
        <v>1</v>
      </c>
      <c r="E95" s="56">
        <v>5.7803468208092483E-3</v>
      </c>
    </row>
    <row r="96" spans="2:6" ht="15" customHeight="1">
      <c r="B96" s="77"/>
      <c r="C96" s="54" t="s">
        <v>19</v>
      </c>
      <c r="D96" s="55">
        <v>1</v>
      </c>
      <c r="E96" s="56">
        <v>5.7803468208092483E-3</v>
      </c>
      <c r="F96" s="17"/>
    </row>
    <row r="97" spans="2:6" ht="15" customHeight="1">
      <c r="B97" s="78"/>
      <c r="C97" s="57" t="s">
        <v>15</v>
      </c>
      <c r="D97" s="58">
        <v>13</v>
      </c>
      <c r="E97" s="59">
        <v>7.5144508670520235E-2</v>
      </c>
      <c r="F97" s="17"/>
    </row>
    <row r="98" spans="2:6" ht="15" customHeight="1">
      <c r="B98" s="76" t="s">
        <v>109</v>
      </c>
      <c r="C98" s="54" t="s">
        <v>30</v>
      </c>
      <c r="D98" s="55">
        <v>1</v>
      </c>
      <c r="E98" s="56">
        <v>5.7803468208092483E-3</v>
      </c>
      <c r="F98" s="17"/>
    </row>
    <row r="99" spans="2:6" ht="15" customHeight="1">
      <c r="B99" s="78"/>
      <c r="C99" s="57" t="s">
        <v>15</v>
      </c>
      <c r="D99" s="58">
        <v>1</v>
      </c>
      <c r="E99" s="59">
        <v>5.7803468208092483E-3</v>
      </c>
      <c r="F99" s="17"/>
    </row>
    <row r="100" spans="2:6" ht="15" customHeight="1">
      <c r="B100" s="76" t="s">
        <v>51</v>
      </c>
      <c r="C100" s="54" t="s">
        <v>28</v>
      </c>
      <c r="D100" s="55">
        <v>1</v>
      </c>
      <c r="E100" s="56">
        <v>5.7803468208092483E-3</v>
      </c>
      <c r="F100" s="17"/>
    </row>
    <row r="101" spans="2:6" ht="15" customHeight="1">
      <c r="B101" s="77"/>
      <c r="C101" s="54" t="s">
        <v>30</v>
      </c>
      <c r="D101" s="55">
        <v>1</v>
      </c>
      <c r="E101" s="56">
        <v>5.7803468208092483E-3</v>
      </c>
    </row>
    <row r="102" spans="2:6" ht="15" customHeight="1">
      <c r="B102" s="77"/>
      <c r="C102" s="54" t="s">
        <v>17</v>
      </c>
      <c r="D102" s="55">
        <v>1</v>
      </c>
      <c r="E102" s="56">
        <v>5.7803468208092483E-3</v>
      </c>
    </row>
    <row r="103" spans="2:6" ht="15" customHeight="1">
      <c r="B103" s="78"/>
      <c r="C103" s="57" t="s">
        <v>15</v>
      </c>
      <c r="D103" s="58">
        <v>3</v>
      </c>
      <c r="E103" s="59">
        <v>1.7341040462427744E-2</v>
      </c>
    </row>
    <row r="104" spans="2:6" ht="15" customHeight="1">
      <c r="B104" s="76" t="s">
        <v>178</v>
      </c>
      <c r="C104" s="54" t="s">
        <v>114</v>
      </c>
      <c r="D104" s="55">
        <v>1</v>
      </c>
      <c r="E104" s="56">
        <v>5.7471264367816091E-3</v>
      </c>
    </row>
    <row r="105" spans="2:6" ht="15" customHeight="1">
      <c r="B105" s="78"/>
      <c r="C105" s="57" t="s">
        <v>15</v>
      </c>
      <c r="D105" s="58">
        <v>1</v>
      </c>
      <c r="E105" s="59">
        <v>5.7471264367816091E-3</v>
      </c>
    </row>
    <row r="106" spans="2:6" ht="15" customHeight="1">
      <c r="B106" s="80" t="s">
        <v>15</v>
      </c>
      <c r="C106" s="81"/>
      <c r="D106" s="60">
        <v>174</v>
      </c>
      <c r="E106" s="61">
        <v>1</v>
      </c>
    </row>
    <row r="107" spans="2:6" ht="15" customHeight="1">
      <c r="B107" s="62"/>
      <c r="C107" s="62"/>
      <c r="D107" s="62"/>
      <c r="E107" s="62"/>
    </row>
    <row r="108" spans="2:6" ht="15" customHeight="1">
      <c r="B108" s="63" t="s">
        <v>170</v>
      </c>
      <c r="C108" s="62"/>
      <c r="D108" s="62"/>
      <c r="E108" s="62"/>
    </row>
    <row r="109" spans="2:6" ht="15" customHeight="1">
      <c r="B109" s="64" t="s">
        <v>14</v>
      </c>
      <c r="C109" s="62"/>
      <c r="D109" s="62"/>
      <c r="E109" s="62"/>
    </row>
    <row r="110" spans="2:6" ht="15" customHeight="1">
      <c r="B110" s="65" t="s">
        <v>13</v>
      </c>
      <c r="C110" s="62"/>
      <c r="D110" s="62"/>
      <c r="E110" s="62"/>
    </row>
    <row r="111" spans="2:6" ht="15" customHeight="1">
      <c r="B111" s="63" t="s">
        <v>12</v>
      </c>
      <c r="C111" s="62"/>
      <c r="D111" s="62"/>
      <c r="E111" s="62"/>
    </row>
    <row r="112" spans="2:6" ht="15" customHeight="1">
      <c r="B112" s="63" t="s">
        <v>171</v>
      </c>
      <c r="C112" s="62"/>
      <c r="D112" s="62"/>
      <c r="E112" s="62"/>
    </row>
    <row r="113" spans="2:2" ht="15" customHeight="1">
      <c r="B113" s="20"/>
    </row>
    <row r="114" spans="2:2" ht="15" customHeight="1">
      <c r="B114" s="19"/>
    </row>
    <row r="115" spans="2:2" ht="15" customHeight="1">
      <c r="B115" s="19"/>
    </row>
  </sheetData>
  <mergeCells count="21">
    <mergeCell ref="B7:E8"/>
    <mergeCell ref="B10:B11"/>
    <mergeCell ref="B12:B14"/>
    <mergeCell ref="B15:B18"/>
    <mergeCell ref="B19:B21"/>
    <mergeCell ref="B47:B50"/>
    <mergeCell ref="B104:B105"/>
    <mergeCell ref="B106:C106"/>
    <mergeCell ref="B22:B25"/>
    <mergeCell ref="B26:B28"/>
    <mergeCell ref="B29:B34"/>
    <mergeCell ref="B35:B41"/>
    <mergeCell ref="B42:B46"/>
    <mergeCell ref="B86:B97"/>
    <mergeCell ref="B98:B99"/>
    <mergeCell ref="B100:B103"/>
    <mergeCell ref="B51:B55"/>
    <mergeCell ref="B56:B66"/>
    <mergeCell ref="B67:B70"/>
    <mergeCell ref="B71:B83"/>
    <mergeCell ref="B84:B8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H16" sqref="H16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75" t="s">
        <v>176</v>
      </c>
      <c r="C7" s="75"/>
      <c r="D7" s="75"/>
    </row>
    <row r="8" spans="1:5" s="29" customFormat="1" ht="15" customHeight="1">
      <c r="B8" s="75"/>
      <c r="C8" s="75"/>
      <c r="D8" s="75"/>
    </row>
    <row r="9" spans="1:5" s="29" customFormat="1" ht="33" customHeight="1">
      <c r="B9" s="75"/>
      <c r="C9" s="75"/>
      <c r="D9" s="75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71</v>
      </c>
      <c r="C11" s="31" t="s">
        <v>32</v>
      </c>
      <c r="D11" s="30" t="s">
        <v>31</v>
      </c>
    </row>
    <row r="12" spans="1:5">
      <c r="B12" s="27" t="s">
        <v>70</v>
      </c>
      <c r="C12" s="26">
        <v>132</v>
      </c>
      <c r="D12" s="25">
        <v>0.75862068965517238</v>
      </c>
    </row>
    <row r="13" spans="1:5">
      <c r="B13" s="27" t="s">
        <v>69</v>
      </c>
      <c r="C13" s="26">
        <v>42</v>
      </c>
      <c r="D13" s="25">
        <v>0.2413793103448276</v>
      </c>
    </row>
    <row r="14" spans="1:5">
      <c r="B14" s="24" t="s">
        <v>68</v>
      </c>
      <c r="C14" s="23">
        <v>174</v>
      </c>
      <c r="D14" s="22">
        <v>1</v>
      </c>
    </row>
    <row r="15" spans="1:5">
      <c r="A15" s="28"/>
      <c r="B15" s="28"/>
      <c r="C15" s="49"/>
      <c r="D15" s="28"/>
      <c r="E15" s="28"/>
    </row>
    <row r="16" spans="1:5">
      <c r="B16" s="19" t="s">
        <v>170</v>
      </c>
      <c r="C16" s="49"/>
      <c r="D16" s="28"/>
    </row>
    <row r="17" spans="2:4">
      <c r="B17" s="21" t="s">
        <v>14</v>
      </c>
      <c r="C17" s="50"/>
      <c r="D17" s="50"/>
    </row>
    <row r="18" spans="2:4">
      <c r="B18" s="20" t="s">
        <v>13</v>
      </c>
      <c r="C18" s="51"/>
      <c r="D18" s="51"/>
    </row>
    <row r="19" spans="2:4">
      <c r="B19" s="19" t="s">
        <v>12</v>
      </c>
    </row>
    <row r="20" spans="2:4">
      <c r="B20" s="19" t="s">
        <v>171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showGridLines="0" zoomScaleNormal="100" zoomScaleSheetLayoutView="100" workbookViewId="0">
      <selection activeCell="F1" sqref="F1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44" customFormat="1" ht="12" customHeight="1">
      <c r="B1" s="48"/>
      <c r="C1" s="47"/>
      <c r="D1" s="47"/>
      <c r="E1" s="47"/>
    </row>
    <row r="2" spans="1:5" s="44" customFormat="1" ht="15" customHeight="1">
      <c r="C2" s="46"/>
    </row>
    <row r="3" spans="1:5" s="44" customFormat="1" ht="15" customHeight="1">
      <c r="C3" s="46"/>
    </row>
    <row r="4" spans="1:5" s="44" customFormat="1" ht="30" customHeight="1">
      <c r="C4" s="46"/>
      <c r="D4" s="45"/>
    </row>
    <row r="5" spans="1:5" s="44" customFormat="1" ht="15" customHeight="1">
      <c r="C5" s="46"/>
      <c r="D5" s="45"/>
    </row>
    <row r="6" spans="1:5" s="41" customFormat="1" ht="24" customHeight="1">
      <c r="B6" s="43"/>
      <c r="C6" s="40"/>
      <c r="D6" s="40"/>
      <c r="E6" s="40"/>
    </row>
    <row r="7" spans="1:5" s="41" customFormat="1" ht="26.25" customHeight="1">
      <c r="A7" s="42"/>
      <c r="B7" s="79"/>
      <c r="C7" s="79"/>
      <c r="D7" s="79"/>
      <c r="E7" s="79"/>
    </row>
    <row r="8" spans="1:5" s="41" customFormat="1" ht="33" customHeight="1">
      <c r="A8" s="42"/>
      <c r="B8" s="79"/>
      <c r="C8" s="79"/>
      <c r="D8" s="79"/>
      <c r="E8" s="79"/>
    </row>
    <row r="9" spans="1:5" s="29" customFormat="1" ht="40.5" customHeight="1">
      <c r="B9" s="52" t="s">
        <v>33</v>
      </c>
      <c r="C9" s="52" t="s">
        <v>71</v>
      </c>
      <c r="D9" s="53" t="s">
        <v>32</v>
      </c>
      <c r="E9" s="52" t="s">
        <v>31</v>
      </c>
    </row>
    <row r="10" spans="1:5" ht="15" customHeight="1">
      <c r="B10" s="76" t="s">
        <v>25</v>
      </c>
      <c r="C10" s="54" t="s">
        <v>73</v>
      </c>
      <c r="D10" s="55">
        <v>6</v>
      </c>
      <c r="E10" s="56">
        <v>3.4482758620689655E-2</v>
      </c>
    </row>
    <row r="11" spans="1:5" ht="15" customHeight="1">
      <c r="B11" s="78"/>
      <c r="C11" s="57" t="s">
        <v>15</v>
      </c>
      <c r="D11" s="58">
        <v>6</v>
      </c>
      <c r="E11" s="59">
        <v>3.4482758620689655E-2</v>
      </c>
    </row>
    <row r="12" spans="1:5" ht="15" customHeight="1">
      <c r="B12" s="76" t="s">
        <v>114</v>
      </c>
      <c r="C12" s="54" t="s">
        <v>73</v>
      </c>
      <c r="D12" s="55">
        <v>1</v>
      </c>
      <c r="E12" s="56">
        <v>5.7471264367816091E-3</v>
      </c>
    </row>
    <row r="13" spans="1:5" ht="15" customHeight="1">
      <c r="B13" s="77"/>
      <c r="C13" s="54" t="s">
        <v>72</v>
      </c>
      <c r="D13" s="55">
        <v>1</v>
      </c>
      <c r="E13" s="56">
        <v>5.7471264367816091E-3</v>
      </c>
    </row>
    <row r="14" spans="1:5" ht="15" customHeight="1">
      <c r="B14" s="78"/>
      <c r="C14" s="57" t="s">
        <v>15</v>
      </c>
      <c r="D14" s="58">
        <v>2</v>
      </c>
      <c r="E14" s="59">
        <v>1.1494252873563218E-2</v>
      </c>
    </row>
    <row r="15" spans="1:5" ht="15" customHeight="1">
      <c r="B15" s="76" t="s">
        <v>28</v>
      </c>
      <c r="C15" s="54" t="s">
        <v>73</v>
      </c>
      <c r="D15" s="55">
        <v>13</v>
      </c>
      <c r="E15" s="56">
        <v>7.4712643678160925E-2</v>
      </c>
    </row>
    <row r="16" spans="1:5" ht="15" customHeight="1">
      <c r="B16" s="77"/>
      <c r="C16" s="54" t="s">
        <v>72</v>
      </c>
      <c r="D16" s="55">
        <v>1</v>
      </c>
      <c r="E16" s="56">
        <v>5.7471264367816091E-3</v>
      </c>
    </row>
    <row r="17" spans="2:5" ht="15" customHeight="1">
      <c r="B17" s="78"/>
      <c r="C17" s="57" t="s">
        <v>15</v>
      </c>
      <c r="D17" s="58">
        <v>14</v>
      </c>
      <c r="E17" s="59">
        <v>8.0459770114942528E-2</v>
      </c>
    </row>
    <row r="18" spans="2:5" ht="15" customHeight="1">
      <c r="B18" s="76" t="s">
        <v>116</v>
      </c>
      <c r="C18" s="54" t="s">
        <v>73</v>
      </c>
      <c r="D18" s="55">
        <v>1</v>
      </c>
      <c r="E18" s="56">
        <v>5.7471264367816091E-3</v>
      </c>
    </row>
    <row r="19" spans="2:5" ht="15" customHeight="1">
      <c r="B19" s="78"/>
      <c r="C19" s="57" t="s">
        <v>15</v>
      </c>
      <c r="D19" s="58">
        <v>1</v>
      </c>
      <c r="E19" s="59">
        <v>5.7471264367816091E-3</v>
      </c>
    </row>
    <row r="20" spans="2:5" ht="15" customHeight="1">
      <c r="B20" s="76" t="s">
        <v>26</v>
      </c>
      <c r="C20" s="54" t="s">
        <v>73</v>
      </c>
      <c r="D20" s="55">
        <v>9</v>
      </c>
      <c r="E20" s="56">
        <v>5.1724137931034482E-2</v>
      </c>
    </row>
    <row r="21" spans="2:5" ht="15" customHeight="1">
      <c r="B21" s="77"/>
      <c r="C21" s="54" t="s">
        <v>72</v>
      </c>
      <c r="D21" s="55">
        <v>4</v>
      </c>
      <c r="E21" s="56">
        <v>2.2988505747126436E-2</v>
      </c>
    </row>
    <row r="22" spans="2:5" ht="15" customHeight="1">
      <c r="B22" s="78"/>
      <c r="C22" s="57" t="s">
        <v>15</v>
      </c>
      <c r="D22" s="58">
        <v>13</v>
      </c>
      <c r="E22" s="59">
        <v>7.4712643678160925E-2</v>
      </c>
    </row>
    <row r="23" spans="2:5" ht="15" customHeight="1">
      <c r="B23" s="76" t="s">
        <v>30</v>
      </c>
      <c r="C23" s="54" t="s">
        <v>73</v>
      </c>
      <c r="D23" s="55">
        <v>44</v>
      </c>
      <c r="E23" s="56">
        <v>0.25287356321839083</v>
      </c>
    </row>
    <row r="24" spans="2:5" ht="15" customHeight="1">
      <c r="B24" s="77"/>
      <c r="C24" s="54" t="s">
        <v>72</v>
      </c>
      <c r="D24" s="55">
        <v>16</v>
      </c>
      <c r="E24" s="56">
        <v>9.1954022988505746E-2</v>
      </c>
    </row>
    <row r="25" spans="2:5" ht="15" customHeight="1">
      <c r="B25" s="78"/>
      <c r="C25" s="57" t="s">
        <v>15</v>
      </c>
      <c r="D25" s="58">
        <v>60</v>
      </c>
      <c r="E25" s="59">
        <v>0.34482758620689657</v>
      </c>
    </row>
    <row r="26" spans="2:5" ht="15" customHeight="1">
      <c r="B26" s="76" t="s">
        <v>22</v>
      </c>
      <c r="C26" s="54" t="s">
        <v>72</v>
      </c>
      <c r="D26" s="55">
        <v>1</v>
      </c>
      <c r="E26" s="56">
        <v>5.7471264367816091E-3</v>
      </c>
    </row>
    <row r="27" spans="2:5" ht="15" customHeight="1">
      <c r="B27" s="78"/>
      <c r="C27" s="57" t="s">
        <v>15</v>
      </c>
      <c r="D27" s="58">
        <v>1</v>
      </c>
      <c r="E27" s="59">
        <v>5.7471264367816091E-3</v>
      </c>
    </row>
    <row r="28" spans="2:5" ht="15" customHeight="1">
      <c r="B28" s="76" t="s">
        <v>21</v>
      </c>
      <c r="C28" s="54" t="s">
        <v>73</v>
      </c>
      <c r="D28" s="55">
        <v>4</v>
      </c>
      <c r="E28" s="56">
        <v>2.2988505747126436E-2</v>
      </c>
    </row>
    <row r="29" spans="2:5" ht="15" customHeight="1">
      <c r="B29" s="77"/>
      <c r="C29" s="54" t="s">
        <v>72</v>
      </c>
      <c r="D29" s="55">
        <v>1</v>
      </c>
      <c r="E29" s="56">
        <v>5.7471264367816091E-3</v>
      </c>
    </row>
    <row r="30" spans="2:5" ht="15" customHeight="1">
      <c r="B30" s="78"/>
      <c r="C30" s="57" t="s">
        <v>15</v>
      </c>
      <c r="D30" s="58">
        <v>5</v>
      </c>
      <c r="E30" s="59">
        <v>2.8735632183908046E-2</v>
      </c>
    </row>
    <row r="31" spans="2:5" ht="15" customHeight="1">
      <c r="B31" s="76" t="s">
        <v>23</v>
      </c>
      <c r="C31" s="54" t="s">
        <v>73</v>
      </c>
      <c r="D31" s="55">
        <v>5</v>
      </c>
      <c r="E31" s="56">
        <v>2.8735632183908046E-2</v>
      </c>
    </row>
    <row r="32" spans="2:5" ht="15" customHeight="1">
      <c r="B32" s="77"/>
      <c r="C32" s="54" t="s">
        <v>72</v>
      </c>
      <c r="D32" s="55">
        <v>1</v>
      </c>
      <c r="E32" s="56">
        <v>5.7471264367816091E-3</v>
      </c>
    </row>
    <row r="33" spans="2:5" ht="15" customHeight="1">
      <c r="B33" s="78"/>
      <c r="C33" s="57" t="s">
        <v>15</v>
      </c>
      <c r="D33" s="58">
        <v>6</v>
      </c>
      <c r="E33" s="59">
        <v>3.4482758620689655E-2</v>
      </c>
    </row>
    <row r="34" spans="2:5" ht="15" customHeight="1">
      <c r="B34" s="76" t="s">
        <v>17</v>
      </c>
      <c r="C34" s="54" t="s">
        <v>73</v>
      </c>
      <c r="D34" s="55">
        <v>1</v>
      </c>
      <c r="E34" s="56">
        <v>5.7471264367816091E-3</v>
      </c>
    </row>
    <row r="35" spans="2:5" ht="15" customHeight="1">
      <c r="B35" s="78"/>
      <c r="C35" s="57" t="s">
        <v>15</v>
      </c>
      <c r="D35" s="58">
        <v>1</v>
      </c>
      <c r="E35" s="59">
        <v>5.7471264367816091E-3</v>
      </c>
    </row>
    <row r="36" spans="2:5" ht="15" customHeight="1">
      <c r="B36" s="76" t="s">
        <v>27</v>
      </c>
      <c r="C36" s="54" t="s">
        <v>73</v>
      </c>
      <c r="D36" s="55">
        <v>7</v>
      </c>
      <c r="E36" s="56">
        <v>4.0229885057471264E-2</v>
      </c>
    </row>
    <row r="37" spans="2:5" ht="15" customHeight="1">
      <c r="B37" s="77"/>
      <c r="C37" s="54" t="s">
        <v>72</v>
      </c>
      <c r="D37" s="55">
        <v>2</v>
      </c>
      <c r="E37" s="56">
        <v>1.1494252873563218E-2</v>
      </c>
    </row>
    <row r="38" spans="2:5" ht="15" customHeight="1">
      <c r="B38" s="78"/>
      <c r="C38" s="57" t="s">
        <v>15</v>
      </c>
      <c r="D38" s="58">
        <v>9</v>
      </c>
      <c r="E38" s="59">
        <v>5.1724137931034482E-2</v>
      </c>
    </row>
    <row r="39" spans="2:5" ht="15" customHeight="1">
      <c r="B39" s="76" t="s">
        <v>29</v>
      </c>
      <c r="C39" s="54" t="s">
        <v>73</v>
      </c>
      <c r="D39" s="55">
        <v>28</v>
      </c>
      <c r="E39" s="56">
        <v>0.16091954022988506</v>
      </c>
    </row>
    <row r="40" spans="2:5" ht="15" customHeight="1">
      <c r="B40" s="77"/>
      <c r="C40" s="54" t="s">
        <v>72</v>
      </c>
      <c r="D40" s="55">
        <v>6</v>
      </c>
      <c r="E40" s="56">
        <v>3.4482758620689655E-2</v>
      </c>
    </row>
    <row r="41" spans="2:5" ht="15" customHeight="1">
      <c r="B41" s="78"/>
      <c r="C41" s="57" t="s">
        <v>15</v>
      </c>
      <c r="D41" s="58">
        <v>34</v>
      </c>
      <c r="E41" s="59">
        <v>0.19540229885057472</v>
      </c>
    </row>
    <row r="42" spans="2:5" ht="15" customHeight="1">
      <c r="B42" s="76" t="s">
        <v>20</v>
      </c>
      <c r="C42" s="54" t="s">
        <v>72</v>
      </c>
      <c r="D42" s="55">
        <v>1</v>
      </c>
      <c r="E42" s="56">
        <v>5.7471264367816091E-3</v>
      </c>
    </row>
    <row r="43" spans="2:5" ht="15" customHeight="1">
      <c r="B43" s="78"/>
      <c r="C43" s="57" t="s">
        <v>15</v>
      </c>
      <c r="D43" s="58">
        <v>1</v>
      </c>
      <c r="E43" s="59">
        <v>5.7471264367816091E-3</v>
      </c>
    </row>
    <row r="44" spans="2:5" ht="15" customHeight="1">
      <c r="B44" s="76" t="s">
        <v>154</v>
      </c>
      <c r="C44" s="54" t="s">
        <v>72</v>
      </c>
      <c r="D44" s="55">
        <v>2</v>
      </c>
      <c r="E44" s="56">
        <v>1.1494252873563218E-2</v>
      </c>
    </row>
    <row r="45" spans="2:5" ht="15" customHeight="1">
      <c r="B45" s="78"/>
      <c r="C45" s="57" t="s">
        <v>15</v>
      </c>
      <c r="D45" s="58">
        <v>2</v>
      </c>
      <c r="E45" s="59">
        <v>1.1494252873563218E-2</v>
      </c>
    </row>
    <row r="46" spans="2:5" ht="15" customHeight="1">
      <c r="B46" s="76" t="s">
        <v>16</v>
      </c>
      <c r="C46" s="54" t="s">
        <v>73</v>
      </c>
      <c r="D46" s="55">
        <v>1</v>
      </c>
      <c r="E46" s="56">
        <v>5.7471264367816091E-3</v>
      </c>
    </row>
    <row r="47" spans="2:5" ht="15" customHeight="1">
      <c r="B47" s="78"/>
      <c r="C47" s="57" t="s">
        <v>15</v>
      </c>
      <c r="D47" s="58">
        <v>1</v>
      </c>
      <c r="E47" s="59">
        <v>5.7471264367816091E-3</v>
      </c>
    </row>
    <row r="48" spans="2:5" ht="15" customHeight="1">
      <c r="B48" s="76" t="s">
        <v>19</v>
      </c>
      <c r="C48" s="54" t="s">
        <v>72</v>
      </c>
      <c r="D48" s="55">
        <v>1</v>
      </c>
      <c r="E48" s="56">
        <v>5.7471264367816091E-3</v>
      </c>
    </row>
    <row r="49" spans="2:6" ht="15" customHeight="1">
      <c r="B49" s="78"/>
      <c r="C49" s="57" t="s">
        <v>15</v>
      </c>
      <c r="D49" s="58">
        <v>1</v>
      </c>
      <c r="E49" s="59">
        <v>5.7471264367816091E-3</v>
      </c>
    </row>
    <row r="50" spans="2:6" ht="15" customHeight="1">
      <c r="B50" s="76" t="s">
        <v>18</v>
      </c>
      <c r="C50" s="54" t="s">
        <v>73</v>
      </c>
      <c r="D50" s="55">
        <v>3</v>
      </c>
      <c r="E50" s="56">
        <v>1.7241379310344827E-2</v>
      </c>
    </row>
    <row r="51" spans="2:6" ht="15" customHeight="1">
      <c r="B51" s="77"/>
      <c r="C51" s="54" t="s">
        <v>72</v>
      </c>
      <c r="D51" s="55">
        <v>1</v>
      </c>
      <c r="E51" s="56">
        <v>5.7471264367816091E-3</v>
      </c>
    </row>
    <row r="52" spans="2:6" ht="15" customHeight="1">
      <c r="B52" s="78"/>
      <c r="C52" s="57" t="s">
        <v>15</v>
      </c>
      <c r="D52" s="58">
        <v>4</v>
      </c>
      <c r="E52" s="59">
        <v>2.2988505747126436E-2</v>
      </c>
    </row>
    <row r="53" spans="2:6" ht="15" customHeight="1">
      <c r="B53" s="76" t="s">
        <v>24</v>
      </c>
      <c r="C53" s="54" t="s">
        <v>73</v>
      </c>
      <c r="D53" s="55">
        <v>8</v>
      </c>
      <c r="E53" s="56">
        <v>4.5977011494252873E-2</v>
      </c>
    </row>
    <row r="54" spans="2:6" ht="15" customHeight="1">
      <c r="B54" s="77"/>
      <c r="C54" s="54" t="s">
        <v>72</v>
      </c>
      <c r="D54" s="55">
        <v>4</v>
      </c>
      <c r="E54" s="56">
        <v>2.2988505747126436E-2</v>
      </c>
    </row>
    <row r="55" spans="2:6" ht="15" customHeight="1">
      <c r="B55" s="78"/>
      <c r="C55" s="57" t="s">
        <v>15</v>
      </c>
      <c r="D55" s="58">
        <v>12</v>
      </c>
      <c r="E55" s="59">
        <v>6.8965517241379309E-2</v>
      </c>
    </row>
    <row r="56" spans="2:6" ht="15" customHeight="1">
      <c r="B56" s="76" t="s">
        <v>168</v>
      </c>
      <c r="C56" s="54" t="s">
        <v>73</v>
      </c>
      <c r="D56" s="55">
        <v>1</v>
      </c>
      <c r="E56" s="56">
        <v>5.7471264367816091E-3</v>
      </c>
    </row>
    <row r="57" spans="2:6" ht="15" customHeight="1">
      <c r="B57" s="78"/>
      <c r="C57" s="57" t="s">
        <v>15</v>
      </c>
      <c r="D57" s="58">
        <v>1</v>
      </c>
      <c r="E57" s="59">
        <v>5.7471264367816091E-3</v>
      </c>
    </row>
    <row r="58" spans="2:6" ht="15" customHeight="1">
      <c r="B58" s="80" t="s">
        <v>15</v>
      </c>
      <c r="C58" s="81"/>
      <c r="D58" s="60">
        <f>SUMIF(C10:C57,"TOTAL",D10:D57)</f>
        <v>174</v>
      </c>
      <c r="E58" s="61">
        <v>1</v>
      </c>
    </row>
    <row r="59" spans="2:6" ht="15" customHeight="1">
      <c r="B59" s="62"/>
      <c r="C59" s="62"/>
      <c r="D59" s="62"/>
      <c r="E59" s="62"/>
    </row>
    <row r="60" spans="2:6" ht="15" customHeight="1">
      <c r="B60" s="63" t="s">
        <v>170</v>
      </c>
      <c r="C60" s="62"/>
      <c r="D60" s="62"/>
      <c r="E60" s="62"/>
      <c r="F60" s="17"/>
    </row>
    <row r="61" spans="2:6" ht="15" customHeight="1">
      <c r="B61" s="64" t="s">
        <v>14</v>
      </c>
      <c r="C61" s="62"/>
      <c r="D61" s="62"/>
      <c r="E61" s="62"/>
      <c r="F61" s="17"/>
    </row>
    <row r="62" spans="2:6" ht="15" customHeight="1">
      <c r="B62" s="65" t="s">
        <v>13</v>
      </c>
      <c r="C62" s="62"/>
      <c r="D62" s="62"/>
      <c r="E62" s="62"/>
      <c r="F62" s="17"/>
    </row>
    <row r="63" spans="2:6" ht="15" customHeight="1">
      <c r="B63" s="63" t="s">
        <v>12</v>
      </c>
      <c r="C63" s="62"/>
      <c r="D63" s="62"/>
      <c r="E63" s="62"/>
      <c r="F63" s="17"/>
    </row>
    <row r="64" spans="2:6" ht="15" customHeight="1">
      <c r="B64" s="63" t="s">
        <v>171</v>
      </c>
      <c r="C64" s="62"/>
      <c r="D64" s="62"/>
      <c r="E64" s="62"/>
      <c r="F64" s="17"/>
    </row>
    <row r="377" spans="2:2" s="37" customFormat="1" ht="15" customHeight="1">
      <c r="B377" s="38"/>
    </row>
    <row r="378" spans="2:2" s="37" customFormat="1" ht="15" customHeight="1">
      <c r="B378" s="39"/>
    </row>
    <row r="379" spans="2:2" s="37" customFormat="1" ht="15" customHeight="1">
      <c r="B379" s="39"/>
    </row>
    <row r="380" spans="2:2" s="37" customFormat="1" ht="15" customHeight="1">
      <c r="B380" s="38"/>
    </row>
    <row r="381" spans="2:2" s="37" customFormat="1" ht="15" customHeight="1">
      <c r="B381" s="38"/>
    </row>
  </sheetData>
  <mergeCells count="21">
    <mergeCell ref="B56:B57"/>
    <mergeCell ref="B58:C58"/>
    <mergeCell ref="B53:B55"/>
    <mergeCell ref="B44:B45"/>
    <mergeCell ref="B46:B47"/>
    <mergeCell ref="B48:B49"/>
    <mergeCell ref="B50:B52"/>
    <mergeCell ref="B39:B41"/>
    <mergeCell ref="B31:B33"/>
    <mergeCell ref="B34:B35"/>
    <mergeCell ref="B36:B38"/>
    <mergeCell ref="B42:B43"/>
    <mergeCell ref="B20:B22"/>
    <mergeCell ref="B23:B25"/>
    <mergeCell ref="B26:B27"/>
    <mergeCell ref="B28:B30"/>
    <mergeCell ref="B7:E8"/>
    <mergeCell ref="B10:B11"/>
    <mergeCell ref="B12:B14"/>
    <mergeCell ref="B15:B17"/>
    <mergeCell ref="B18:B1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F467"/>
  <sheetViews>
    <sheetView showGridLines="0" zoomScaleNormal="100" zoomScaleSheetLayoutView="100" workbookViewId="0">
      <selection activeCell="F24" sqref="F24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44" customFormat="1" ht="12" customHeight="1">
      <c r="B1" s="48"/>
      <c r="C1" s="47"/>
      <c r="D1" s="47"/>
      <c r="E1" s="47"/>
    </row>
    <row r="2" spans="1:5" s="44" customFormat="1" ht="15" customHeight="1">
      <c r="C2" s="46"/>
    </row>
    <row r="3" spans="1:5" s="44" customFormat="1" ht="15" customHeight="1">
      <c r="C3" s="46"/>
    </row>
    <row r="4" spans="1:5" s="44" customFormat="1" ht="30" customHeight="1">
      <c r="C4" s="46"/>
      <c r="D4" s="45"/>
    </row>
    <row r="5" spans="1:5" s="44" customFormat="1" ht="15" customHeight="1">
      <c r="C5" s="46"/>
      <c r="D5" s="45"/>
    </row>
    <row r="6" spans="1:5" s="41" customFormat="1" ht="24" customHeight="1">
      <c r="B6" s="43"/>
      <c r="C6" s="40"/>
      <c r="D6" s="40"/>
      <c r="E6" s="40"/>
    </row>
    <row r="7" spans="1:5" s="41" customFormat="1" ht="26.25" customHeight="1">
      <c r="A7" s="42"/>
      <c r="B7" s="79"/>
      <c r="C7" s="79"/>
      <c r="D7" s="79"/>
      <c r="E7" s="79"/>
    </row>
    <row r="8" spans="1:5" s="41" customFormat="1" ht="33" customHeight="1">
      <c r="A8" s="42"/>
      <c r="B8" s="79"/>
      <c r="C8" s="79"/>
      <c r="D8" s="79"/>
      <c r="E8" s="79"/>
    </row>
    <row r="9" spans="1:5" s="29" customFormat="1" ht="40.5" customHeight="1">
      <c r="B9" s="52" t="s">
        <v>71</v>
      </c>
      <c r="C9" s="52" t="s">
        <v>78</v>
      </c>
      <c r="D9" s="53" t="s">
        <v>32</v>
      </c>
      <c r="E9" s="52" t="s">
        <v>31</v>
      </c>
    </row>
    <row r="10" spans="1:5" ht="15" customHeight="1">
      <c r="B10" s="76" t="s">
        <v>73</v>
      </c>
      <c r="C10" s="54" t="s">
        <v>77</v>
      </c>
      <c r="D10" s="55">
        <v>25</v>
      </c>
      <c r="E10" s="56">
        <v>0.14367816091954022</v>
      </c>
    </row>
    <row r="11" spans="1:5" ht="15" customHeight="1">
      <c r="B11" s="77"/>
      <c r="C11" s="54" t="s">
        <v>76</v>
      </c>
      <c r="D11" s="55">
        <v>62</v>
      </c>
      <c r="E11" s="56">
        <v>0.35632183908045978</v>
      </c>
    </row>
    <row r="12" spans="1:5" ht="15" customHeight="1">
      <c r="B12" s="77"/>
      <c r="C12" s="54" t="s">
        <v>75</v>
      </c>
      <c r="D12" s="55">
        <v>32</v>
      </c>
      <c r="E12" s="56">
        <v>0.18390804597701149</v>
      </c>
    </row>
    <row r="13" spans="1:5" ht="15" customHeight="1">
      <c r="B13" s="77"/>
      <c r="C13" s="54" t="s">
        <v>74</v>
      </c>
      <c r="D13" s="55">
        <v>11</v>
      </c>
      <c r="E13" s="56">
        <v>6.3218390804597707E-2</v>
      </c>
    </row>
    <row r="14" spans="1:5" ht="15" customHeight="1">
      <c r="B14" s="78"/>
      <c r="C14" s="54" t="s">
        <v>94</v>
      </c>
      <c r="D14" s="55">
        <v>2</v>
      </c>
      <c r="E14" s="56">
        <v>1.1494252873563218E-2</v>
      </c>
    </row>
    <row r="15" spans="1:5" ht="15" customHeight="1">
      <c r="B15" s="76" t="s">
        <v>72</v>
      </c>
      <c r="C15" s="54" t="s">
        <v>95</v>
      </c>
      <c r="D15" s="55">
        <v>1</v>
      </c>
      <c r="E15" s="56">
        <v>5.7471264367816091E-3</v>
      </c>
    </row>
    <row r="16" spans="1:5" ht="15" customHeight="1">
      <c r="B16" s="77"/>
      <c r="C16" s="54" t="s">
        <v>77</v>
      </c>
      <c r="D16" s="55">
        <v>9</v>
      </c>
      <c r="E16" s="56">
        <v>5.1724137931034482E-2</v>
      </c>
    </row>
    <row r="17" spans="2:6" ht="15" customHeight="1">
      <c r="B17" s="77"/>
      <c r="C17" s="54" t="s">
        <v>76</v>
      </c>
      <c r="D17" s="55">
        <v>16</v>
      </c>
      <c r="E17" s="56">
        <v>9.1954022988505746E-2</v>
      </c>
    </row>
    <row r="18" spans="2:6" ht="15" customHeight="1">
      <c r="B18" s="77"/>
      <c r="C18" s="54" t="s">
        <v>75</v>
      </c>
      <c r="D18" s="55">
        <v>10</v>
      </c>
      <c r="E18" s="56">
        <v>5.7471264367816091E-2</v>
      </c>
    </row>
    <row r="19" spans="2:6" ht="15" customHeight="1">
      <c r="B19" s="78"/>
      <c r="C19" s="54" t="s">
        <v>74</v>
      </c>
      <c r="D19" s="55">
        <v>6</v>
      </c>
      <c r="E19" s="56">
        <v>3.4482758620689655E-2</v>
      </c>
    </row>
    <row r="20" spans="2:6" ht="15" customHeight="1">
      <c r="B20" s="80" t="s">
        <v>15</v>
      </c>
      <c r="C20" s="81"/>
      <c r="D20" s="60">
        <v>174</v>
      </c>
      <c r="E20" s="61">
        <v>1</v>
      </c>
    </row>
    <row r="21" spans="2:6" ht="15" customHeight="1">
      <c r="B21" s="62"/>
      <c r="C21" s="62"/>
      <c r="D21" s="62"/>
      <c r="E21" s="62"/>
    </row>
    <row r="22" spans="2:6" ht="15" customHeight="1">
      <c r="B22" s="63" t="s">
        <v>170</v>
      </c>
      <c r="C22" s="62"/>
      <c r="D22" s="62"/>
      <c r="E22" s="62"/>
      <c r="F22" s="17"/>
    </row>
    <row r="23" spans="2:6" ht="15" customHeight="1">
      <c r="B23" s="64" t="s">
        <v>14</v>
      </c>
      <c r="C23" s="62"/>
      <c r="D23" s="62"/>
      <c r="E23" s="62"/>
      <c r="F23" s="17"/>
    </row>
    <row r="24" spans="2:6" ht="15" customHeight="1">
      <c r="B24" s="65" t="s">
        <v>13</v>
      </c>
      <c r="C24" s="62"/>
      <c r="D24" s="62"/>
      <c r="E24" s="62"/>
      <c r="F24" s="17"/>
    </row>
    <row r="25" spans="2:6" ht="15" customHeight="1">
      <c r="B25" s="63" t="s">
        <v>12</v>
      </c>
      <c r="C25" s="62"/>
      <c r="D25" s="62"/>
      <c r="E25" s="62"/>
      <c r="F25" s="17"/>
    </row>
    <row r="26" spans="2:6" ht="15" customHeight="1">
      <c r="B26" s="63" t="s">
        <v>171</v>
      </c>
      <c r="C26" s="62"/>
      <c r="D26" s="62"/>
      <c r="E26" s="62"/>
      <c r="F26" s="17"/>
    </row>
    <row r="27" spans="2:6" ht="15" customHeight="1">
      <c r="B27" s="19"/>
    </row>
    <row r="28" spans="2:6" ht="15" customHeight="1">
      <c r="B28" s="19"/>
    </row>
    <row r="463" spans="2:2" s="37" customFormat="1" ht="15" customHeight="1">
      <c r="B463" s="38"/>
    </row>
    <row r="464" spans="2:2" s="37" customFormat="1" ht="15" customHeight="1">
      <c r="B464" s="39"/>
    </row>
    <row r="465" spans="2:2" s="37" customFormat="1" ht="15" customHeight="1">
      <c r="B465" s="39"/>
    </row>
    <row r="466" spans="2:2" s="37" customFormat="1" ht="15" customHeight="1">
      <c r="B466" s="38"/>
    </row>
    <row r="467" spans="2:2" s="37" customFormat="1" ht="15" customHeight="1">
      <c r="B467" s="38"/>
    </row>
  </sheetData>
  <mergeCells count="4">
    <mergeCell ref="B7:E8"/>
    <mergeCell ref="B10:B14"/>
    <mergeCell ref="B15:B19"/>
    <mergeCell ref="B20:C2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32"/>
  <sheetViews>
    <sheetView showGridLines="0" zoomScaleNormal="100" zoomScaleSheetLayoutView="115" workbookViewId="0">
      <selection activeCell="G1" sqref="G1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75" t="s">
        <v>173</v>
      </c>
      <c r="C7" s="75"/>
      <c r="D7" s="75"/>
    </row>
    <row r="8" spans="1:5" s="29" customFormat="1" ht="15" customHeight="1">
      <c r="B8" s="75"/>
      <c r="C8" s="75"/>
      <c r="D8" s="75"/>
    </row>
    <row r="9" spans="1:5" s="29" customFormat="1" ht="33" customHeight="1">
      <c r="B9" s="75"/>
      <c r="C9" s="75"/>
      <c r="D9" s="75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89</v>
      </c>
      <c r="C11" s="31" t="s">
        <v>32</v>
      </c>
      <c r="D11" s="30" t="s">
        <v>31</v>
      </c>
    </row>
    <row r="12" spans="1:5">
      <c r="B12" s="27" t="s">
        <v>88</v>
      </c>
      <c r="C12" s="26">
        <v>54</v>
      </c>
      <c r="D12" s="25">
        <v>0.31034482758620691</v>
      </c>
    </row>
    <row r="13" spans="1:5">
      <c r="B13" s="27" t="s">
        <v>86</v>
      </c>
      <c r="C13" s="26">
        <v>38</v>
      </c>
      <c r="D13" s="25">
        <v>0.21839080459770116</v>
      </c>
    </row>
    <row r="14" spans="1:5">
      <c r="A14" s="28"/>
      <c r="B14" s="27" t="s">
        <v>87</v>
      </c>
      <c r="C14" s="26">
        <v>35</v>
      </c>
      <c r="D14" s="25">
        <v>0.20114942528735633</v>
      </c>
      <c r="E14" s="28"/>
    </row>
    <row r="15" spans="1:5">
      <c r="A15" s="28"/>
      <c r="B15" s="27" t="s">
        <v>84</v>
      </c>
      <c r="C15" s="26">
        <v>12</v>
      </c>
      <c r="D15" s="25">
        <v>6.8965517241379309E-2</v>
      </c>
      <c r="E15" s="28"/>
    </row>
    <row r="16" spans="1:5">
      <c r="B16" s="27" t="s">
        <v>82</v>
      </c>
      <c r="C16" s="26">
        <v>11</v>
      </c>
      <c r="D16" s="25">
        <v>6.3218390804597707E-2</v>
      </c>
    </row>
    <row r="17" spans="2:4">
      <c r="B17" s="27" t="s">
        <v>81</v>
      </c>
      <c r="C17" s="26">
        <v>7</v>
      </c>
      <c r="D17" s="25">
        <v>4.0229885057471264E-2</v>
      </c>
    </row>
    <row r="18" spans="2:4">
      <c r="B18" s="27" t="s">
        <v>83</v>
      </c>
      <c r="C18" s="26">
        <v>7</v>
      </c>
      <c r="D18" s="25">
        <v>4.0229885057471264E-2</v>
      </c>
    </row>
    <row r="19" spans="2:4">
      <c r="B19" s="27" t="s">
        <v>80</v>
      </c>
      <c r="C19" s="26">
        <v>3</v>
      </c>
      <c r="D19" s="25">
        <v>1.7241379310344827E-2</v>
      </c>
    </row>
    <row r="20" spans="2:4">
      <c r="B20" s="27" t="s">
        <v>174</v>
      </c>
      <c r="C20" s="26">
        <v>2</v>
      </c>
      <c r="D20" s="25">
        <v>1.1494252873563218E-2</v>
      </c>
    </row>
    <row r="21" spans="2:4">
      <c r="B21" s="27" t="s">
        <v>96</v>
      </c>
      <c r="C21" s="26">
        <v>2</v>
      </c>
      <c r="D21" s="25">
        <v>1.1494252873563218E-2</v>
      </c>
    </row>
    <row r="22" spans="2:4">
      <c r="B22" s="27" t="s">
        <v>79</v>
      </c>
      <c r="C22" s="26">
        <v>1</v>
      </c>
      <c r="D22" s="25">
        <v>5.7471264367816091E-3</v>
      </c>
    </row>
    <row r="23" spans="2:4">
      <c r="B23" s="27" t="s">
        <v>175</v>
      </c>
      <c r="C23" s="26">
        <v>1</v>
      </c>
      <c r="D23" s="25">
        <v>5.7471264367816091E-3</v>
      </c>
    </row>
    <row r="24" spans="2:4">
      <c r="B24" s="27" t="s">
        <v>85</v>
      </c>
      <c r="C24" s="26">
        <v>1</v>
      </c>
      <c r="D24" s="25">
        <v>5.7471264367816091E-3</v>
      </c>
    </row>
    <row r="25" spans="2:4">
      <c r="B25" s="24" t="s">
        <v>15</v>
      </c>
      <c r="C25" s="23">
        <v>174</v>
      </c>
      <c r="D25" s="22">
        <v>1</v>
      </c>
    </row>
    <row r="27" spans="2:4">
      <c r="B27" s="19" t="s">
        <v>170</v>
      </c>
    </row>
    <row r="28" spans="2:4">
      <c r="B28" s="21" t="s">
        <v>14</v>
      </c>
    </row>
    <row r="29" spans="2:4">
      <c r="B29" s="20" t="s">
        <v>13</v>
      </c>
    </row>
    <row r="30" spans="2:4">
      <c r="B30" s="19" t="s">
        <v>12</v>
      </c>
    </row>
    <row r="31" spans="2:4">
      <c r="B31" s="19" t="s">
        <v>171</v>
      </c>
    </row>
    <row r="32" spans="2:4">
      <c r="B32" s="19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8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District of Columbia_Edomexgral</vt:lpstr>
      <vt:lpstr>District of Columbia_EDOMEX</vt:lpstr>
      <vt:lpstr>District of Columbia_Educagral</vt:lpstr>
      <vt:lpstr>District of Columbia_Eduedo</vt:lpstr>
      <vt:lpstr>District of Columbia_gengral</vt:lpstr>
      <vt:lpstr>District of Columbia_edomexgen</vt:lpstr>
      <vt:lpstr>District of Columbia_edadgen</vt:lpstr>
      <vt:lpstr>District of Columbia_ocupgral</vt:lpstr>
      <vt:lpstr>'District of Columbia_edadgen'!Área_de_impresión</vt:lpstr>
      <vt:lpstr>'District of Columbia_EDOMEX'!Área_de_impresión</vt:lpstr>
      <vt:lpstr>'District of Columbia_edomexgen'!Área_de_impresión</vt:lpstr>
      <vt:lpstr>'District of Columbia_Eduedo'!Área_de_impresión</vt:lpstr>
      <vt:lpstr>'District of Columbia_edadgen'!Títulos_a_imprimir</vt:lpstr>
      <vt:lpstr>'District of Columbia_EDOMEX'!Títulos_a_imprimir</vt:lpstr>
      <vt:lpstr>'District of Columbia_edomexgen'!Títulos_a_imprimir</vt:lpstr>
      <vt:lpstr>'District of Columbia_Edomexgral'!Títulos_a_imprimir</vt:lpstr>
      <vt:lpstr>'District of Columbia_Educagral'!Títulos_a_imprimir</vt:lpstr>
      <vt:lpstr>'District of Columbia_Eduedo'!Títulos_a_imprimir</vt:lpstr>
      <vt:lpstr>'District of Columbia_gengral'!Títulos_a_imprimir</vt:lpstr>
      <vt:lpstr>'District of Columbia_ocupgral'!Títulos_a_imprimir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2020-06-18T19:28:27Z</dcterms:created>
  <dcterms:modified xsi:type="dcterms:W3CDTF">2023-07-03T22:41:05Z</dcterms:modified>
</cp:coreProperties>
</file>