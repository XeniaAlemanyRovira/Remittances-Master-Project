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2\USA\Finales_USA\"/>
    </mc:Choice>
  </mc:AlternateContent>
  <bookViews>
    <workbookView xWindow="0" yWindow="0" windowWidth="11880" windowHeight="7320" tabRatio="819" activeTab="1"/>
  </bookViews>
  <sheets>
    <sheet name="Índice" sheetId="1" r:id="rId1"/>
    <sheet name="Alaska_Edomexgral" sheetId="2" r:id="rId2"/>
    <sheet name="Alaska_EDOMEX" sheetId="11" r:id="rId3"/>
    <sheet name="Alaska_Educagral" sheetId="4" r:id="rId4"/>
    <sheet name="Alaska_Eduedo" sheetId="10" r:id="rId5"/>
    <sheet name="Alaska_gengral" sheetId="6" r:id="rId6"/>
    <sheet name="Alaska_edomexgen" sheetId="7" r:id="rId7"/>
    <sheet name="Alaska_edadgen" sheetId="8" r:id="rId8"/>
    <sheet name="Alaska_ocupgral" sheetId="9" r:id="rId9"/>
  </sheets>
  <definedNames>
    <definedName name="_xlnm._FilterDatabase" localSheetId="7" hidden="1">Alaska_edadgen!$B$9:$E$13</definedName>
    <definedName name="_xlnm._FilterDatabase" localSheetId="2" hidden="1">Alaska_EDOMEX!$B$9:$E$13</definedName>
    <definedName name="_xlnm._FilterDatabase" localSheetId="6" hidden="1">Alaska_edomexgen!$B$9:$E$12</definedName>
    <definedName name="_xlnm._FilterDatabase" localSheetId="1" hidden="1">Alaska_Edomexgral!$B$11:$D$12</definedName>
    <definedName name="_xlnm._FilterDatabase" localSheetId="3" hidden="1">Alaska_Educagral!$B$11:$D$12</definedName>
    <definedName name="_xlnm._FilterDatabase" localSheetId="4" hidden="1">Alaska_Eduedo!$B$9:$E$13</definedName>
    <definedName name="_xlnm._FilterDatabase" localSheetId="5" hidden="1">Alaska_gengral!$B$11:$D$12</definedName>
    <definedName name="_xlnm._FilterDatabase" localSheetId="8" hidden="1">Alaska_ocupgral!$B$11:$D$12</definedName>
    <definedName name="_xlnm.Print_Area" localSheetId="7">Alaska_edadgen!$A$1:$E$28</definedName>
    <definedName name="_xlnm.Print_Area" localSheetId="2">Alaska_EDOMEX!$A$1:$E$57</definedName>
    <definedName name="_xlnm.Print_Area" localSheetId="6">Alaska_edomexgen!$A$1:$E$50</definedName>
    <definedName name="_xlnm.Print_Area" localSheetId="4">Alaska_Eduedo!$A$1:$E$40</definedName>
    <definedName name="_xlnm.Print_Titles" localSheetId="7">Alaska_edadgen!$1:$9</definedName>
    <definedName name="_xlnm.Print_Titles" localSheetId="2">Alaska_EDOMEX!$1:$9</definedName>
    <definedName name="_xlnm.Print_Titles" localSheetId="6">Alaska_edomexgen!$1:$9</definedName>
    <definedName name="_xlnm.Print_Titles" localSheetId="1">Alaska_Edomexgral!$1:$11</definedName>
    <definedName name="_xlnm.Print_Titles" localSheetId="3">Alaska_Educagral!$1:$11</definedName>
    <definedName name="_xlnm.Print_Titles" localSheetId="4">Alaska_Eduedo!$1:$9</definedName>
    <definedName name="_xlnm.Print_Titles" localSheetId="5">Alaska_gengral!$1:$11</definedName>
    <definedName name="_xlnm.Print_Titles" localSheetId="8">Alaska_ocupgral!$1:$11</definedName>
  </definedNames>
  <calcPr calcId="152511"/>
</workbook>
</file>

<file path=xl/calcChain.xml><?xml version="1.0" encoding="utf-8"?>
<calcChain xmlns="http://schemas.openxmlformats.org/spreadsheetml/2006/main">
  <c r="D46" i="7" l="1"/>
  <c r="D57" i="11"/>
</calcChain>
</file>

<file path=xl/sharedStrings.xml><?xml version="1.0" encoding="utf-8"?>
<sst xmlns="http://schemas.openxmlformats.org/spreadsheetml/2006/main" count="294" uniqueCount="104">
  <si>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</si>
  <si>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</si>
  <si>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</si>
  <si>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</si>
  <si>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</si>
  <si>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</si>
  <si>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</si>
  <si>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</si>
  <si>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</si>
  <si>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</si>
  <si>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</si>
  <si>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</si>
  <si>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</si>
  <si>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</si>
  <si>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</si>
  <si>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</si>
  <si>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Nuevo León</t>
  </si>
  <si>
    <t>Nayarit</t>
  </si>
  <si>
    <t>Guanajuato</t>
  </si>
  <si>
    <t>Ciudad de México</t>
  </si>
  <si>
    <t>Zacatecas</t>
  </si>
  <si>
    <t>Baja California</t>
  </si>
  <si>
    <t>Chihuahua</t>
  </si>
  <si>
    <t>Oaxaca</t>
  </si>
  <si>
    <t>Michoacán</t>
  </si>
  <si>
    <t>Jalisco</t>
  </si>
  <si>
    <t>Porcentaje de Matrículas</t>
  </si>
  <si>
    <t>Número de Matrículas</t>
  </si>
  <si>
    <t>Estado de Origen</t>
  </si>
  <si>
    <t>Cuauhtémoc</t>
  </si>
  <si>
    <t>Santiago Juxtlahuaca</t>
  </si>
  <si>
    <t>Morelia</t>
  </si>
  <si>
    <t>Acuitzio</t>
  </si>
  <si>
    <t>Tepatitlán de Morelos</t>
  </si>
  <si>
    <t>Jalostotitlán</t>
  </si>
  <si>
    <t>Guadalajara</t>
  </si>
  <si>
    <t>Tijuana</t>
  </si>
  <si>
    <t>Ensenada</t>
  </si>
  <si>
    <t>Municipio Origen</t>
  </si>
  <si>
    <t>Profesional Titulado</t>
  </si>
  <si>
    <t>Preparatoria con certificado</t>
  </si>
  <si>
    <t>Preparatoria sin certificado</t>
  </si>
  <si>
    <t>Capacitación Técnica</t>
  </si>
  <si>
    <t>Secundaria con certificado</t>
  </si>
  <si>
    <t>Primaria con certificado</t>
  </si>
  <si>
    <t>6° Primaria</t>
  </si>
  <si>
    <t>Nivel de Estudios</t>
  </si>
  <si>
    <t>MATRÍCULAS CONSULARES EXPEDIDAS EN EL ESTADO DE ALASKA EN EE.UU. POR NIVEL DE EDUCACIÓN</t>
  </si>
  <si>
    <t>TOTAL</t>
  </si>
  <si>
    <t>MUJER</t>
  </si>
  <si>
    <t>HOMBRE</t>
  </si>
  <si>
    <t>Género</t>
  </si>
  <si>
    <t>Mujer</t>
  </si>
  <si>
    <t>Hombre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</si>
  <si>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</si>
  <si>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</si>
  <si>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</si>
  <si>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</si>
  <si>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</si>
  <si>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</si>
  <si>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Otro</t>
  </si>
  <si>
    <t>Cocinero(a)</t>
  </si>
  <si>
    <t>Estudiante</t>
  </si>
  <si>
    <t>Hogar</t>
  </si>
  <si>
    <t>Empleado(a)</t>
  </si>
  <si>
    <t>Ocupación</t>
  </si>
  <si>
    <t>Profesional titulado</t>
  </si>
  <si>
    <t>Capacitación técnica</t>
  </si>
  <si>
    <t>Estado de México</t>
  </si>
  <si>
    <t>Sonora</t>
  </si>
  <si>
    <t>Nezahualcóyotl</t>
  </si>
  <si>
    <t>Valle de Guadalupe</t>
  </si>
  <si>
    <t>Tepic</t>
  </si>
  <si>
    <t>Monterrey</t>
  </si>
  <si>
    <t>Profesional pasante</t>
  </si>
  <si>
    <t>Campesino(a)</t>
  </si>
  <si>
    <t>Matrículas consulares expedidas a mexicanos  en el estado de Alaska en el 2022.</t>
  </si>
  <si>
    <t>Mexicali</t>
  </si>
  <si>
    <t>Miguel Hidalgo</t>
  </si>
  <si>
    <t>Durango</t>
  </si>
  <si>
    <t>Tepehuanes</t>
  </si>
  <si>
    <t>Vicente Guerrero</t>
  </si>
  <si>
    <t>Acambay de Ruíz Castañeda</t>
  </si>
  <si>
    <t>Celaya</t>
  </si>
  <si>
    <t>Cortazar</t>
  </si>
  <si>
    <t>León</t>
  </si>
  <si>
    <t>Ocotlán</t>
  </si>
  <si>
    <t>San Juan de los Lagos</t>
  </si>
  <si>
    <t>San Miguel el Alto</t>
  </si>
  <si>
    <t>Teuchitlán</t>
  </si>
  <si>
    <t>Tlaquepaque</t>
  </si>
  <si>
    <t>Santiago Jamiltepec</t>
  </si>
  <si>
    <t>Sinaloa</t>
  </si>
  <si>
    <t>Choix</t>
  </si>
  <si>
    <t>Caborca</t>
  </si>
  <si>
    <t>Puerto Peñasco</t>
  </si>
  <si>
    <t>Villanueva</t>
  </si>
  <si>
    <t>Tamaño de la muestra: 566,547</t>
  </si>
  <si>
    <t>Mayo de 2023</t>
  </si>
  <si>
    <t>MATRÍCULAS CONSULARES DE ALTA SEGURIDAD EXPEDIDAS EN EL ESTADO DE ALASKA EN EE.UU. POR ESTADO DE LA REPÚBLICA MEXICANA</t>
  </si>
  <si>
    <t xml:space="preserve">MATRÍCULAS CONSULARES DE ALTA SEGURIDAD EXPEDIDAS EN EE.UU A MEXICANOS EN EL ESTADO DE  ALASKA, POR PERFIL OCUPACIONAL </t>
  </si>
  <si>
    <t>Jardinero(a)</t>
  </si>
  <si>
    <t>MATRÍCULAS CONSULARES DE ALTA SEGURIDAD EXPEDIDAS EN EE.UU A MEXICANOS EN EL ESTADO DE ALASKA, POR GÉNERO</t>
  </si>
  <si>
    <t>Posgrado [Doctorado]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</si>
</sst>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11"/>
      <name val="Arial Narrow"/>
      <family val="2"/>
    </font>
    <font>
      <b/>
      <sz val="9"/>
      <color rgb="FFFFFFFF"/>
      <name val="Montserrat"/>
    </font>
    <font>
      <sz val="7"/>
      <color rgb="FF000000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BFBFBF"/>
        <bgColor rgb="FF000000"/>
      </patternFill>
    </fill>
    <fill>
      <patternFill patternType="solid">
        <fgColor rgb="FF757171"/>
        <bgColor rgb="FF000000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1" fillId="0" borderId="0"/>
  </cellStyleXfs>
  <cellXfs count="82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0" fontId="18" fillId="0" borderId="0" xfId="0" applyFont="1" applyBorder="1"/>
    <xf numFmtId="0" fontId="18" fillId="0" borderId="0" xfId="0" applyFont="1" applyBorder="1" applyAlignment="1">
      <alignment vertical="top"/>
    </xf>
    <xf numFmtId="0" fontId="20" fillId="3" borderId="0" xfId="0" applyFont="1" applyFill="1"/>
    <xf numFmtId="0" fontId="13" fillId="3" borderId="0" xfId="0" applyFont="1" applyFill="1"/>
    <xf numFmtId="0" fontId="22" fillId="3" borderId="0" xfId="0" applyFont="1" applyFill="1" applyAlignment="1"/>
    <xf numFmtId="0" fontId="20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20" fillId="3" borderId="0" xfId="0" applyFont="1" applyFill="1" applyBorder="1"/>
    <xf numFmtId="0" fontId="20" fillId="3" borderId="0" xfId="0" applyFont="1" applyFill="1" applyBorder="1" applyAlignment="1">
      <alignment vertical="center"/>
    </xf>
    <xf numFmtId="0" fontId="18" fillId="0" borderId="0" xfId="0" applyFont="1" applyAlignment="1">
      <alignment vertical="top"/>
    </xf>
    <xf numFmtId="0" fontId="18" fillId="0" borderId="0" xfId="0" applyFont="1" applyAlignment="1">
      <alignment horizontal="justify" vertical="center"/>
    </xf>
    <xf numFmtId="3" fontId="12" fillId="3" borderId="0" xfId="0" applyNumberFormat="1" applyFont="1" applyFill="1"/>
    <xf numFmtId="0" fontId="23" fillId="5" borderId="10" xfId="4" applyFont="1" applyFill="1" applyBorder="1" applyAlignment="1">
      <alignment horizontal="center" vertical="center" wrapText="1"/>
    </xf>
    <xf numFmtId="1" fontId="23" fillId="5" borderId="10" xfId="4" applyNumberFormat="1" applyFont="1" applyFill="1" applyBorder="1" applyAlignment="1">
      <alignment horizontal="center" vertical="center" wrapText="1"/>
    </xf>
    <xf numFmtId="49" fontId="19" fillId="6" borderId="9" xfId="3" applyNumberFormat="1" applyFont="1" applyFill="1" applyBorder="1" applyAlignment="1">
      <alignment vertical="center" wrapText="1"/>
    </xf>
    <xf numFmtId="166" fontId="19" fillId="6" borderId="9" xfId="3" applyNumberFormat="1" applyFont="1" applyFill="1" applyBorder="1" applyAlignment="1">
      <alignment horizontal="right" vertical="center" wrapText="1"/>
    </xf>
    <xf numFmtId="164" fontId="19" fillId="6" borderId="9" xfId="3" applyNumberFormat="1" applyFont="1" applyFill="1" applyBorder="1" applyAlignment="1">
      <alignment horizontal="right" vertical="center" wrapText="1"/>
    </xf>
    <xf numFmtId="49" fontId="23" fillId="7" borderId="9" xfId="3" applyNumberFormat="1" applyFont="1" applyFill="1" applyBorder="1" applyAlignment="1">
      <alignment vertical="center" wrapText="1"/>
    </xf>
    <xf numFmtId="3" fontId="23" fillId="7" borderId="9" xfId="3" applyNumberFormat="1" applyFont="1" applyFill="1" applyBorder="1" applyAlignment="1">
      <alignment horizontal="right" vertical="center" wrapText="1"/>
    </xf>
    <xf numFmtId="165" fontId="23" fillId="7" borderId="9" xfId="1" applyNumberFormat="1" applyFont="1" applyFill="1" applyBorder="1" applyAlignment="1">
      <alignment vertical="center" wrapText="1"/>
    </xf>
    <xf numFmtId="3" fontId="23" fillId="8" borderId="9" xfId="0" applyNumberFormat="1" applyFont="1" applyFill="1" applyBorder="1" applyAlignment="1">
      <alignment horizontal="right" vertical="center" wrapText="1"/>
    </xf>
    <xf numFmtId="164" fontId="23" fillId="8" borderId="9" xfId="0" applyNumberFormat="1" applyFont="1" applyFill="1" applyBorder="1" applyAlignment="1">
      <alignment horizontal="right" vertical="center" wrapText="1"/>
    </xf>
    <xf numFmtId="0" fontId="17" fillId="6" borderId="0" xfId="0" applyFont="1" applyFill="1" applyBorder="1"/>
    <xf numFmtId="0" fontId="24" fillId="6" borderId="0" xfId="0" applyFont="1" applyFill="1" applyBorder="1"/>
    <xf numFmtId="0" fontId="24" fillId="6" borderId="0" xfId="0" applyFont="1" applyFill="1" applyBorder="1" applyAlignment="1">
      <alignment vertical="center"/>
    </xf>
    <xf numFmtId="0" fontId="24" fillId="6" borderId="0" xfId="0" applyFont="1" applyFill="1" applyBorder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9" fillId="6" borderId="10" xfId="3" applyNumberFormat="1" applyFont="1" applyFill="1" applyBorder="1" applyAlignment="1">
      <alignment horizontal="center" vertical="center" wrapText="1"/>
    </xf>
    <xf numFmtId="49" fontId="19" fillId="6" borderId="15" xfId="3" applyNumberFormat="1" applyFont="1" applyFill="1" applyBorder="1" applyAlignment="1">
      <alignment horizontal="center" vertical="center" wrapText="1"/>
    </xf>
    <xf numFmtId="49" fontId="19" fillId="6" borderId="14" xfId="3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  <xf numFmtId="49" fontId="23" fillId="8" borderId="13" xfId="0" applyNumberFormat="1" applyFont="1" applyFill="1" applyBorder="1" applyAlignment="1">
      <alignment horizontal="center" vertical="center" wrapText="1"/>
    </xf>
    <xf numFmtId="49" fontId="23" fillId="8" borderId="12" xfId="0" applyNumberFormat="1" applyFont="1" applyFill="1" applyBorder="1" applyAlignment="1">
      <alignment horizontal="center" vertic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456584</xdr:colOff>
      <xdr:row>1</xdr:row>
      <xdr:rowOff>232292</xdr:rowOff>
    </xdr:from>
    <xdr:to>
      <xdr:col>3</xdr:col>
      <xdr:colOff>968681</xdr:colOff>
      <xdr:row>2</xdr:row>
      <xdr:rowOff>222768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780809" y="765692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  <xdr:oneCellAnchor>
    <xdr:from>
      <xdr:col>3</xdr:col>
      <xdr:colOff>818029</xdr:colOff>
      <xdr:row>16</xdr:row>
      <xdr:rowOff>0</xdr:rowOff>
    </xdr:from>
    <xdr:ext cx="184731" cy="264560"/>
    <xdr:sp macro="" textlink="">
      <xdr:nvSpPr>
        <xdr:cNvPr id="3" name="2 CuadroTexto"/>
        <xdr:cNvSpPr txBox="1"/>
      </xdr:nvSpPr>
      <xdr:spPr>
        <a:xfrm>
          <a:off x="4146176" y="341779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MX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19050</xdr:rowOff>
    </xdr:from>
    <xdr:to>
      <xdr:col>5</xdr:col>
      <xdr:colOff>92997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29150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ALASKA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7</xdr:row>
      <xdr:rowOff>131379</xdr:rowOff>
    </xdr:from>
    <xdr:to>
      <xdr:col>4</xdr:col>
      <xdr:colOff>1044183</xdr:colOff>
      <xdr:row>7</xdr:row>
      <xdr:rowOff>310674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0761" y="187445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95250</xdr:colOff>
      <xdr:row>8</xdr:row>
      <xdr:rowOff>0</xdr:rowOff>
    </xdr:from>
    <xdr:to>
      <xdr:col>4</xdr:col>
      <xdr:colOff>607347</xdr:colOff>
      <xdr:row>8</xdr:row>
      <xdr:rowOff>190501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114925" y="171450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ALASKA, POR NIVEL DE EDUCACIÓN Y ESTADO DE LA REPÚBLICA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491290</xdr:colOff>
      <xdr:row>7</xdr:row>
      <xdr:rowOff>120315</xdr:rowOff>
    </xdr:from>
    <xdr:to>
      <xdr:col>4</xdr:col>
      <xdr:colOff>1003387</xdr:colOff>
      <xdr:row>7</xdr:row>
      <xdr:rowOff>310816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25790" y="1453815"/>
          <a:ext cx="512097" cy="66676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190500</xdr:colOff>
      <xdr:row>8</xdr:row>
      <xdr:rowOff>19050</xdr:rowOff>
    </xdr:from>
    <xdr:to>
      <xdr:col>5</xdr:col>
      <xdr:colOff>83472</xdr:colOff>
      <xdr:row>8</xdr:row>
      <xdr:rowOff>209551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19625" y="1733550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ALASKA,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505408</xdr:colOff>
      <xdr:row>7</xdr:row>
      <xdr:rowOff>116633</xdr:rowOff>
    </xdr:from>
    <xdr:to>
      <xdr:col>4</xdr:col>
      <xdr:colOff>1017505</xdr:colOff>
      <xdr:row>7</xdr:row>
      <xdr:rowOff>311022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51275" y="1866123"/>
          <a:ext cx="512097" cy="19438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ALASKA,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533400</xdr:colOff>
      <xdr:row>7</xdr:row>
      <xdr:rowOff>133350</xdr:rowOff>
    </xdr:from>
    <xdr:to>
      <xdr:col>4</xdr:col>
      <xdr:colOff>1045497</xdr:colOff>
      <xdr:row>7</xdr:row>
      <xdr:rowOff>323851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72075" y="18764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ALASKA 2022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523875</xdr:colOff>
      <xdr:row>7</xdr:row>
      <xdr:rowOff>85725</xdr:rowOff>
    </xdr:from>
    <xdr:to>
      <xdr:col>6</xdr:col>
      <xdr:colOff>35847</xdr:colOff>
      <xdr:row>8</xdr:row>
      <xdr:rowOff>85726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953000" y="1609725"/>
          <a:ext cx="512097" cy="1905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view="pageBreakPreview" zoomScaleNormal="100" zoomScaleSheetLayoutView="100" workbookViewId="0">
      <selection activeCell="F18" sqref="F18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9" t="s">
        <v>76</v>
      </c>
      <c r="B1" s="70"/>
      <c r="C1" s="70"/>
      <c r="D1" s="71"/>
    </row>
    <row r="2" spans="1:4" ht="18.75">
      <c r="A2" s="2"/>
      <c r="B2" s="3"/>
      <c r="C2" s="3"/>
      <c r="D2" s="4"/>
    </row>
    <row r="3" spans="1:4">
      <c r="A3" s="72" t="s">
        <v>0</v>
      </c>
      <c r="B3" s="73"/>
      <c r="C3" s="73"/>
      <c r="D3" s="74"/>
    </row>
    <row r="4" spans="1:4">
      <c r="A4" s="72"/>
      <c r="B4" s="73"/>
      <c r="C4" s="73"/>
      <c r="D4" s="74"/>
    </row>
    <row r="5" spans="1:4" ht="18.75">
      <c r="A5" s="5"/>
      <c r="B5" s="6"/>
      <c r="C5" s="6"/>
      <c r="D5" s="7"/>
    </row>
    <row r="6" spans="1:4" ht="18.75">
      <c r="A6" s="68" t="s">
        <v>1</v>
      </c>
      <c r="B6" s="66"/>
      <c r="C6" s="66"/>
      <c r="D6" s="67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6" t="s">
        <v>3</v>
      </c>
      <c r="C9" s="66"/>
      <c r="D9" s="67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6" t="s">
        <v>5</v>
      </c>
      <c r="C11" s="66"/>
      <c r="D11" s="67"/>
    </row>
    <row r="12" spans="1:4" ht="18.75">
      <c r="A12" s="11"/>
      <c r="B12" s="66" t="s">
        <v>6</v>
      </c>
      <c r="C12" s="66"/>
      <c r="D12" s="67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6" t="s">
        <v>8</v>
      </c>
      <c r="C15" s="66"/>
      <c r="D15" s="67"/>
    </row>
    <row r="16" spans="1:4" ht="18.75">
      <c r="A16" s="11"/>
      <c r="B16" s="66" t="s">
        <v>9</v>
      </c>
      <c r="C16" s="66"/>
      <c r="D16" s="67"/>
    </row>
    <row r="17" spans="1:4" ht="18.75">
      <c r="A17" s="11"/>
      <c r="B17" s="12"/>
      <c r="C17" s="12"/>
      <c r="D17" s="13"/>
    </row>
    <row r="18" spans="1:4" ht="18.75">
      <c r="A18" s="68" t="s">
        <v>10</v>
      </c>
      <c r="B18" s="66"/>
      <c r="C18" s="66"/>
      <c r="D18" s="67"/>
    </row>
    <row r="19" spans="1:4" ht="18.75">
      <c r="A19" s="11"/>
      <c r="B19" s="12"/>
      <c r="C19" s="12"/>
      <c r="D19" s="13"/>
    </row>
    <row r="20" spans="1:4" ht="18.75">
      <c r="A20" s="68" t="s">
        <v>11</v>
      </c>
      <c r="B20" s="66"/>
      <c r="C20" s="66"/>
      <c r="D20" s="67"/>
    </row>
    <row r="21" spans="1:4" ht="19.5" thickBot="1">
      <c r="A21" s="14"/>
      <c r="B21" s="15"/>
      <c r="C21" s="15"/>
      <c r="D21" s="16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Alaska_Edomexgral!A1" display="1. Por Estados de la República Mexicana"/>
    <hyperlink ref="B9" location="Alabama_EDOMEX!Área_de_impresión" display="2.1 Por estado de la República Mexicana y municipio de origen"/>
    <hyperlink ref="B11:D11" location="Alaska_Educagral!A1" display="3.1 Educación general"/>
    <hyperlink ref="B12:D12" location="Alaska_Eduedo!A1" display="3.2 Por Estado de la República Mexicana"/>
    <hyperlink ref="B15:D15" location="Alaska_gengral!A1" display="4.1 Género General"/>
    <hyperlink ref="B16:D16" location="Alaska_edomexgen!A1" display="4.2 Por Estados de la República Mexicana"/>
    <hyperlink ref="A18:D18" location="Alaska_edadgen!A1" display="5. Por estructura de Edad"/>
    <hyperlink ref="A20:D20" location="Alaska_ocupgral!A1" display="6. Por Ocupación"/>
    <hyperlink ref="B9:D9" location="Alaska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  <pageSetUpPr fitToPage="1"/>
  </sheetPr>
  <dimension ref="B1:D50"/>
  <sheetViews>
    <sheetView showGridLines="0" tabSelected="1" topLeftCell="A7" zoomScaleNormal="100" zoomScaleSheetLayoutView="115" workbookViewId="0">
      <selection activeCell="G24" sqref="G24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2:4" s="29" customFormat="1" ht="15" customHeight="1">
      <c r="C1" s="35"/>
    </row>
    <row r="2" spans="2:4" s="29" customFormat="1" ht="15" customHeight="1">
      <c r="C2" s="35"/>
    </row>
    <row r="3" spans="2:4" s="29" customFormat="1" ht="15" customHeight="1">
      <c r="C3" s="35"/>
    </row>
    <row r="4" spans="2:4" s="29" customFormat="1" ht="30" customHeight="1">
      <c r="C4" s="35"/>
      <c r="D4" s="34"/>
    </row>
    <row r="5" spans="2:4" s="29" customFormat="1" ht="15" customHeight="1">
      <c r="C5" s="35"/>
      <c r="D5" s="34"/>
    </row>
    <row r="6" spans="2:4" s="29" customFormat="1" ht="15" customHeight="1">
      <c r="C6" s="35"/>
      <c r="D6" s="34"/>
    </row>
    <row r="7" spans="2:4" s="29" customFormat="1" ht="15" customHeight="1">
      <c r="B7" s="75" t="s">
        <v>99</v>
      </c>
      <c r="C7" s="75"/>
      <c r="D7" s="75"/>
    </row>
    <row r="8" spans="2:4" s="29" customFormat="1" ht="15" customHeight="1">
      <c r="B8" s="75"/>
      <c r="C8" s="75"/>
      <c r="D8" s="75"/>
    </row>
    <row r="9" spans="2:4" s="29" customFormat="1" ht="33" customHeight="1">
      <c r="B9" s="75"/>
      <c r="C9" s="75"/>
      <c r="D9" s="75"/>
    </row>
    <row r="10" spans="2:4" s="29" customFormat="1" ht="4.5" customHeight="1">
      <c r="B10" s="33"/>
      <c r="C10" s="33"/>
      <c r="D10" s="33"/>
    </row>
    <row r="11" spans="2:4" s="29" customFormat="1" ht="33" customHeight="1">
      <c r="B11" s="32" t="s">
        <v>28</v>
      </c>
      <c r="C11" s="31" t="s">
        <v>27</v>
      </c>
      <c r="D11" s="30" t="s">
        <v>26</v>
      </c>
    </row>
    <row r="12" spans="2:4" ht="15" customHeight="1">
      <c r="B12" s="27" t="s">
        <v>25</v>
      </c>
      <c r="C12" s="26">
        <v>19</v>
      </c>
      <c r="D12" s="25">
        <v>0.38</v>
      </c>
    </row>
    <row r="13" spans="2:4">
      <c r="B13" s="27" t="s">
        <v>23</v>
      </c>
      <c r="C13" s="26">
        <v>7</v>
      </c>
      <c r="D13" s="25">
        <v>0.14000000000000001</v>
      </c>
    </row>
    <row r="14" spans="2:4" s="28" customFormat="1">
      <c r="B14" s="27" t="s">
        <v>24</v>
      </c>
      <c r="C14" s="26">
        <v>4</v>
      </c>
      <c r="D14" s="25">
        <v>0.08</v>
      </c>
    </row>
    <row r="15" spans="2:4" s="28" customFormat="1">
      <c r="B15" s="27" t="s">
        <v>21</v>
      </c>
      <c r="C15" s="26">
        <v>3</v>
      </c>
      <c r="D15" s="25">
        <v>0.06</v>
      </c>
    </row>
    <row r="16" spans="2:4">
      <c r="B16" s="27" t="s">
        <v>18</v>
      </c>
      <c r="C16" s="26">
        <v>3</v>
      </c>
      <c r="D16" s="25">
        <v>0.06</v>
      </c>
    </row>
    <row r="17" spans="2:4">
      <c r="B17" s="27" t="s">
        <v>19</v>
      </c>
      <c r="C17" s="26">
        <v>2</v>
      </c>
      <c r="D17" s="25">
        <v>0.04</v>
      </c>
    </row>
    <row r="18" spans="2:4">
      <c r="B18" s="27" t="s">
        <v>79</v>
      </c>
      <c r="C18" s="26">
        <v>2</v>
      </c>
      <c r="D18" s="25">
        <v>0.04</v>
      </c>
    </row>
    <row r="19" spans="2:4">
      <c r="B19" s="27" t="s">
        <v>68</v>
      </c>
      <c r="C19" s="26">
        <v>2</v>
      </c>
      <c r="D19" s="25">
        <v>0.04</v>
      </c>
    </row>
    <row r="20" spans="2:4">
      <c r="B20" s="27" t="s">
        <v>69</v>
      </c>
      <c r="C20" s="26">
        <v>2</v>
      </c>
      <c r="D20" s="25">
        <v>0.04</v>
      </c>
    </row>
    <row r="21" spans="2:4">
      <c r="B21" s="27" t="s">
        <v>20</v>
      </c>
      <c r="C21" s="26">
        <v>2</v>
      </c>
      <c r="D21" s="25">
        <v>0.04</v>
      </c>
    </row>
    <row r="22" spans="2:4">
      <c r="B22" s="27" t="s">
        <v>22</v>
      </c>
      <c r="C22" s="26">
        <v>1</v>
      </c>
      <c r="D22" s="25">
        <v>0.02</v>
      </c>
    </row>
    <row r="23" spans="2:4">
      <c r="B23" s="27" t="s">
        <v>17</v>
      </c>
      <c r="C23" s="26">
        <v>1</v>
      </c>
      <c r="D23" s="25">
        <v>0.02</v>
      </c>
    </row>
    <row r="24" spans="2:4">
      <c r="B24" s="27" t="s">
        <v>16</v>
      </c>
      <c r="C24" s="26">
        <v>1</v>
      </c>
      <c r="D24" s="25">
        <v>0.02</v>
      </c>
    </row>
    <row r="25" spans="2:4">
      <c r="B25" s="27" t="s">
        <v>92</v>
      </c>
      <c r="C25" s="26">
        <v>1</v>
      </c>
      <c r="D25" s="25">
        <v>0.02</v>
      </c>
    </row>
    <row r="26" spans="2:4">
      <c r="B26" s="24" t="s">
        <v>15</v>
      </c>
      <c r="C26" s="23">
        <v>50</v>
      </c>
      <c r="D26" s="22">
        <v>1</v>
      </c>
    </row>
    <row r="28" spans="2:4">
      <c r="B28" s="19" t="s">
        <v>97</v>
      </c>
    </row>
    <row r="29" spans="2:4">
      <c r="B29" s="21" t="s">
        <v>14</v>
      </c>
    </row>
    <row r="30" spans="2:4">
      <c r="B30" s="20" t="s">
        <v>13</v>
      </c>
    </row>
    <row r="31" spans="2:4">
      <c r="B31" s="19" t="s">
        <v>12</v>
      </c>
    </row>
    <row r="32" spans="2:4">
      <c r="B32" s="19" t="s">
        <v>98</v>
      </c>
    </row>
    <row r="33" spans="3:3">
      <c r="C33" s="17"/>
    </row>
    <row r="34" spans="3:3">
      <c r="C34" s="17"/>
    </row>
    <row r="35" spans="3:3">
      <c r="C35" s="17"/>
    </row>
    <row r="36" spans="3:3">
      <c r="C36" s="17"/>
    </row>
    <row r="37" spans="3:3">
      <c r="C37" s="17"/>
    </row>
    <row r="38" spans="3:3">
      <c r="C38" s="17"/>
    </row>
    <row r="39" spans="3:3">
      <c r="C39" s="17"/>
    </row>
    <row r="40" spans="3:3">
      <c r="C40" s="17"/>
    </row>
    <row r="41" spans="3:3">
      <c r="C41" s="17"/>
    </row>
    <row r="42" spans="3:3">
      <c r="C42" s="17"/>
    </row>
    <row r="43" spans="3:3">
      <c r="C43" s="17"/>
    </row>
    <row r="44" spans="3:3">
      <c r="C44" s="17"/>
    </row>
    <row r="45" spans="3:3">
      <c r="C45" s="17"/>
    </row>
    <row r="46" spans="3:3">
      <c r="C46" s="17"/>
    </row>
    <row r="47" spans="3:3">
      <c r="C47" s="17"/>
    </row>
    <row r="48" spans="3:3">
      <c r="C48" s="17"/>
    </row>
    <row r="49" spans="3:3">
      <c r="C49" s="17"/>
    </row>
    <row r="50" spans="3:3">
      <c r="C50" s="17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E438"/>
  <sheetViews>
    <sheetView showGridLines="0" zoomScaleNormal="100" zoomScaleSheetLayoutView="100" workbookViewId="0">
      <selection activeCell="F6" sqref="F6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28</v>
      </c>
      <c r="C9" s="52" t="s">
        <v>38</v>
      </c>
      <c r="D9" s="53" t="s">
        <v>27</v>
      </c>
      <c r="E9" s="52" t="s">
        <v>26</v>
      </c>
    </row>
    <row r="10" spans="1:5" ht="15" customHeight="1">
      <c r="B10" s="76" t="s">
        <v>21</v>
      </c>
      <c r="C10" s="54" t="s">
        <v>37</v>
      </c>
      <c r="D10" s="55">
        <v>1</v>
      </c>
      <c r="E10" s="56">
        <v>0.02</v>
      </c>
    </row>
    <row r="11" spans="1:5" ht="15" customHeight="1">
      <c r="B11" s="77"/>
      <c r="C11" s="54" t="s">
        <v>77</v>
      </c>
      <c r="D11" s="55">
        <v>1</v>
      </c>
      <c r="E11" s="56">
        <v>0.02</v>
      </c>
    </row>
    <row r="12" spans="1:5" ht="15" customHeight="1">
      <c r="B12" s="77"/>
      <c r="C12" s="54" t="s">
        <v>36</v>
      </c>
      <c r="D12" s="55">
        <v>1</v>
      </c>
      <c r="E12" s="56">
        <v>0.02</v>
      </c>
    </row>
    <row r="13" spans="1:5" ht="15" customHeight="1">
      <c r="B13" s="78"/>
      <c r="C13" s="57" t="s">
        <v>15</v>
      </c>
      <c r="D13" s="58">
        <v>3</v>
      </c>
      <c r="E13" s="59">
        <v>0.06</v>
      </c>
    </row>
    <row r="14" spans="1:5" ht="15" customHeight="1">
      <c r="B14" s="76" t="s">
        <v>22</v>
      </c>
      <c r="C14" s="54" t="s">
        <v>22</v>
      </c>
      <c r="D14" s="55">
        <v>1</v>
      </c>
      <c r="E14" s="56">
        <v>0.02</v>
      </c>
    </row>
    <row r="15" spans="1:5" s="40" customFormat="1" ht="15" customHeight="1">
      <c r="B15" s="78"/>
      <c r="C15" s="57" t="s">
        <v>15</v>
      </c>
      <c r="D15" s="58">
        <v>1</v>
      </c>
      <c r="E15" s="59">
        <v>0.02</v>
      </c>
    </row>
    <row r="16" spans="1:5" s="40" customFormat="1" ht="15" customHeight="1">
      <c r="B16" s="76" t="s">
        <v>19</v>
      </c>
      <c r="C16" s="54" t="s">
        <v>29</v>
      </c>
      <c r="D16" s="55">
        <v>1</v>
      </c>
      <c r="E16" s="56">
        <v>0.02</v>
      </c>
    </row>
    <row r="17" spans="2:5" s="40" customFormat="1" ht="15" customHeight="1">
      <c r="B17" s="77"/>
      <c r="C17" s="54" t="s">
        <v>78</v>
      </c>
      <c r="D17" s="55">
        <v>1</v>
      </c>
      <c r="E17" s="56">
        <v>0.02</v>
      </c>
    </row>
    <row r="18" spans="2:5" s="40" customFormat="1" ht="15" customHeight="1">
      <c r="B18" s="78"/>
      <c r="C18" s="57" t="s">
        <v>15</v>
      </c>
      <c r="D18" s="58">
        <v>2</v>
      </c>
      <c r="E18" s="59">
        <v>0.04</v>
      </c>
    </row>
    <row r="19" spans="2:5" s="40" customFormat="1" ht="15" customHeight="1">
      <c r="B19" s="76" t="s">
        <v>79</v>
      </c>
      <c r="C19" s="54" t="s">
        <v>80</v>
      </c>
      <c r="D19" s="55">
        <v>1</v>
      </c>
      <c r="E19" s="56">
        <v>0.02</v>
      </c>
    </row>
    <row r="20" spans="2:5" ht="15" customHeight="1">
      <c r="B20" s="77"/>
      <c r="C20" s="54" t="s">
        <v>81</v>
      </c>
      <c r="D20" s="55">
        <v>1</v>
      </c>
      <c r="E20" s="56">
        <v>0.02</v>
      </c>
    </row>
    <row r="21" spans="2:5" ht="15" customHeight="1">
      <c r="B21" s="78"/>
      <c r="C21" s="57" t="s">
        <v>15</v>
      </c>
      <c r="D21" s="58">
        <v>2</v>
      </c>
      <c r="E21" s="59">
        <v>0.04</v>
      </c>
    </row>
    <row r="22" spans="2:5" ht="15" customHeight="1">
      <c r="B22" s="76" t="s">
        <v>68</v>
      </c>
      <c r="C22" s="54" t="s">
        <v>82</v>
      </c>
      <c r="D22" s="55">
        <v>1</v>
      </c>
      <c r="E22" s="56">
        <v>0.02</v>
      </c>
    </row>
    <row r="23" spans="2:5" ht="15" customHeight="1">
      <c r="B23" s="77"/>
      <c r="C23" s="54" t="s">
        <v>70</v>
      </c>
      <c r="D23" s="55">
        <v>1</v>
      </c>
      <c r="E23" s="56">
        <v>0.02</v>
      </c>
    </row>
    <row r="24" spans="2:5" ht="15" customHeight="1">
      <c r="B24" s="78"/>
      <c r="C24" s="57" t="s">
        <v>15</v>
      </c>
      <c r="D24" s="58">
        <v>2</v>
      </c>
      <c r="E24" s="59">
        <v>0.04</v>
      </c>
    </row>
    <row r="25" spans="2:5" ht="15" customHeight="1">
      <c r="B25" s="76" t="s">
        <v>18</v>
      </c>
      <c r="C25" s="54" t="s">
        <v>83</v>
      </c>
      <c r="D25" s="55">
        <v>1</v>
      </c>
      <c r="E25" s="56">
        <v>0.02</v>
      </c>
    </row>
    <row r="26" spans="2:5" ht="15" customHeight="1">
      <c r="B26" s="77"/>
      <c r="C26" s="54" t="s">
        <v>84</v>
      </c>
      <c r="D26" s="55">
        <v>1</v>
      </c>
      <c r="E26" s="56">
        <v>0.02</v>
      </c>
    </row>
    <row r="27" spans="2:5" ht="15" customHeight="1">
      <c r="B27" s="77"/>
      <c r="C27" s="54" t="s">
        <v>85</v>
      </c>
      <c r="D27" s="55">
        <v>1</v>
      </c>
      <c r="E27" s="56">
        <v>0.02</v>
      </c>
    </row>
    <row r="28" spans="2:5" ht="15" customHeight="1">
      <c r="B28" s="78"/>
      <c r="C28" s="57" t="s">
        <v>15</v>
      </c>
      <c r="D28" s="58">
        <v>3</v>
      </c>
      <c r="E28" s="59">
        <v>0.06</v>
      </c>
    </row>
    <row r="29" spans="2:5" ht="15" customHeight="1">
      <c r="B29" s="76" t="s">
        <v>25</v>
      </c>
      <c r="C29" s="54" t="s">
        <v>35</v>
      </c>
      <c r="D29" s="55">
        <v>4</v>
      </c>
      <c r="E29" s="56">
        <v>0.08</v>
      </c>
    </row>
    <row r="30" spans="2:5" ht="15" customHeight="1">
      <c r="B30" s="77"/>
      <c r="C30" s="54" t="s">
        <v>34</v>
      </c>
      <c r="D30" s="55">
        <v>3</v>
      </c>
      <c r="E30" s="56">
        <v>0.06</v>
      </c>
    </row>
    <row r="31" spans="2:5" ht="15" customHeight="1">
      <c r="B31" s="77"/>
      <c r="C31" s="54" t="s">
        <v>86</v>
      </c>
      <c r="D31" s="55">
        <v>3</v>
      </c>
      <c r="E31" s="56">
        <v>0.06</v>
      </c>
    </row>
    <row r="32" spans="2:5" ht="15" customHeight="1">
      <c r="B32" s="77"/>
      <c r="C32" s="54" t="s">
        <v>87</v>
      </c>
      <c r="D32" s="55">
        <v>1</v>
      </c>
      <c r="E32" s="56">
        <v>0.02</v>
      </c>
    </row>
    <row r="33" spans="2:5" ht="15" customHeight="1">
      <c r="B33" s="77"/>
      <c r="C33" s="54" t="s">
        <v>88</v>
      </c>
      <c r="D33" s="55">
        <v>3</v>
      </c>
      <c r="E33" s="56">
        <v>0.06</v>
      </c>
    </row>
    <row r="34" spans="2:5" ht="15" customHeight="1">
      <c r="B34" s="77"/>
      <c r="C34" s="54" t="s">
        <v>33</v>
      </c>
      <c r="D34" s="55">
        <v>1</v>
      </c>
      <c r="E34" s="56">
        <v>0.02</v>
      </c>
    </row>
    <row r="35" spans="2:5" ht="15" customHeight="1">
      <c r="B35" s="77"/>
      <c r="C35" s="54" t="s">
        <v>89</v>
      </c>
      <c r="D35" s="55">
        <v>1</v>
      </c>
      <c r="E35" s="56">
        <v>0.02</v>
      </c>
    </row>
    <row r="36" spans="2:5" ht="15" customHeight="1">
      <c r="B36" s="77"/>
      <c r="C36" s="54" t="s">
        <v>90</v>
      </c>
      <c r="D36" s="55">
        <v>1</v>
      </c>
      <c r="E36" s="56">
        <v>0.02</v>
      </c>
    </row>
    <row r="37" spans="2:5" ht="15" customHeight="1">
      <c r="B37" s="77"/>
      <c r="C37" s="54" t="s">
        <v>71</v>
      </c>
      <c r="D37" s="55">
        <v>2</v>
      </c>
      <c r="E37" s="56">
        <v>0.04</v>
      </c>
    </row>
    <row r="38" spans="2:5" ht="15" customHeight="1">
      <c r="B38" s="78"/>
      <c r="C38" s="57" t="s">
        <v>15</v>
      </c>
      <c r="D38" s="58">
        <v>19</v>
      </c>
      <c r="E38" s="59">
        <v>0.38</v>
      </c>
    </row>
    <row r="39" spans="2:5" ht="15" customHeight="1">
      <c r="B39" s="76" t="s">
        <v>24</v>
      </c>
      <c r="C39" s="54" t="s">
        <v>32</v>
      </c>
      <c r="D39" s="55">
        <v>1</v>
      </c>
      <c r="E39" s="56">
        <v>0.02</v>
      </c>
    </row>
    <row r="40" spans="2:5" ht="15" customHeight="1">
      <c r="B40" s="77"/>
      <c r="C40" s="54" t="s">
        <v>31</v>
      </c>
      <c r="D40" s="55">
        <v>3</v>
      </c>
      <c r="E40" s="56">
        <v>0.06</v>
      </c>
    </row>
    <row r="41" spans="2:5" ht="15" customHeight="1">
      <c r="B41" s="78"/>
      <c r="C41" s="57" t="s">
        <v>15</v>
      </c>
      <c r="D41" s="58">
        <v>4</v>
      </c>
      <c r="E41" s="59">
        <v>0.08</v>
      </c>
    </row>
    <row r="42" spans="2:5" ht="15" customHeight="1">
      <c r="B42" s="76" t="s">
        <v>17</v>
      </c>
      <c r="C42" s="54" t="s">
        <v>72</v>
      </c>
      <c r="D42" s="55">
        <v>1</v>
      </c>
      <c r="E42" s="56">
        <v>0.02</v>
      </c>
    </row>
    <row r="43" spans="2:5" ht="15" customHeight="1">
      <c r="B43" s="78"/>
      <c r="C43" s="57" t="s">
        <v>15</v>
      </c>
      <c r="D43" s="58">
        <v>1</v>
      </c>
      <c r="E43" s="59">
        <v>0.02</v>
      </c>
    </row>
    <row r="44" spans="2:5" ht="15" customHeight="1">
      <c r="B44" s="76" t="s">
        <v>16</v>
      </c>
      <c r="C44" s="54" t="s">
        <v>73</v>
      </c>
      <c r="D44" s="55">
        <v>1</v>
      </c>
      <c r="E44" s="56">
        <v>0.02</v>
      </c>
    </row>
    <row r="45" spans="2:5" ht="15" customHeight="1">
      <c r="B45" s="78"/>
      <c r="C45" s="57" t="s">
        <v>15</v>
      </c>
      <c r="D45" s="58">
        <v>1</v>
      </c>
      <c r="E45" s="59">
        <v>0.02</v>
      </c>
    </row>
    <row r="46" spans="2:5" ht="15" customHeight="1">
      <c r="B46" s="76" t="s">
        <v>23</v>
      </c>
      <c r="C46" s="54" t="s">
        <v>91</v>
      </c>
      <c r="D46" s="55">
        <v>1</v>
      </c>
      <c r="E46" s="56">
        <v>0.02</v>
      </c>
    </row>
    <row r="47" spans="2:5" ht="15" customHeight="1">
      <c r="B47" s="77"/>
      <c r="C47" s="54" t="s">
        <v>30</v>
      </c>
      <c r="D47" s="55">
        <v>6</v>
      </c>
      <c r="E47" s="56">
        <v>0.12</v>
      </c>
    </row>
    <row r="48" spans="2:5" ht="15" customHeight="1">
      <c r="B48" s="78"/>
      <c r="C48" s="57" t="s">
        <v>15</v>
      </c>
      <c r="D48" s="58">
        <v>7</v>
      </c>
      <c r="E48" s="59">
        <v>0.14000000000000001</v>
      </c>
    </row>
    <row r="49" spans="2:5" ht="15" customHeight="1">
      <c r="B49" s="76" t="s">
        <v>92</v>
      </c>
      <c r="C49" s="54" t="s">
        <v>93</v>
      </c>
      <c r="D49" s="55">
        <v>1</v>
      </c>
      <c r="E49" s="56">
        <v>0.02</v>
      </c>
    </row>
    <row r="50" spans="2:5" ht="15" customHeight="1">
      <c r="B50" s="78"/>
      <c r="C50" s="57" t="s">
        <v>15</v>
      </c>
      <c r="D50" s="58">
        <v>1</v>
      </c>
      <c r="E50" s="59">
        <v>0.02</v>
      </c>
    </row>
    <row r="51" spans="2:5" ht="15" customHeight="1">
      <c r="B51" s="76" t="s">
        <v>69</v>
      </c>
      <c r="C51" s="54" t="s">
        <v>94</v>
      </c>
      <c r="D51" s="55">
        <v>1</v>
      </c>
      <c r="E51" s="56">
        <v>0.02</v>
      </c>
    </row>
    <row r="52" spans="2:5" ht="15" customHeight="1">
      <c r="B52" s="77"/>
      <c r="C52" s="54" t="s">
        <v>95</v>
      </c>
      <c r="D52" s="55">
        <v>1</v>
      </c>
      <c r="E52" s="56">
        <v>0.02</v>
      </c>
    </row>
    <row r="53" spans="2:5" ht="15" customHeight="1">
      <c r="B53" s="78"/>
      <c r="C53" s="57" t="s">
        <v>15</v>
      </c>
      <c r="D53" s="58">
        <v>2</v>
      </c>
      <c r="E53" s="59">
        <v>0.04</v>
      </c>
    </row>
    <row r="54" spans="2:5" ht="15" customHeight="1">
      <c r="B54" s="76" t="s">
        <v>20</v>
      </c>
      <c r="C54" s="54" t="s">
        <v>29</v>
      </c>
      <c r="D54" s="55">
        <v>1</v>
      </c>
      <c r="E54" s="56">
        <v>0.02</v>
      </c>
    </row>
    <row r="55" spans="2:5" ht="15" customHeight="1">
      <c r="B55" s="77"/>
      <c r="C55" s="54" t="s">
        <v>96</v>
      </c>
      <c r="D55" s="55">
        <v>1</v>
      </c>
      <c r="E55" s="56">
        <v>0.02</v>
      </c>
    </row>
    <row r="56" spans="2:5" ht="15" customHeight="1">
      <c r="B56" s="78"/>
      <c r="C56" s="57" t="s">
        <v>15</v>
      </c>
      <c r="D56" s="58">
        <v>2</v>
      </c>
      <c r="E56" s="59">
        <v>0.04</v>
      </c>
    </row>
    <row r="57" spans="2:5" ht="15" customHeight="1">
      <c r="B57" s="80" t="s">
        <v>15</v>
      </c>
      <c r="C57" s="81"/>
      <c r="D57" s="60">
        <f>SUMIF(C$10:C56,"Total",D$10:D56)</f>
        <v>50</v>
      </c>
      <c r="E57" s="61">
        <v>1</v>
      </c>
    </row>
    <row r="58" spans="2:5" ht="15" customHeight="1">
      <c r="B58" s="62"/>
      <c r="C58" s="62"/>
      <c r="D58" s="62"/>
      <c r="E58" s="62"/>
    </row>
    <row r="59" spans="2:5" ht="15" customHeight="1">
      <c r="B59" s="63" t="s">
        <v>97</v>
      </c>
      <c r="C59" s="62"/>
      <c r="D59" s="62"/>
      <c r="E59" s="62"/>
    </row>
    <row r="60" spans="2:5" ht="15" customHeight="1">
      <c r="B60" s="64" t="s">
        <v>14</v>
      </c>
      <c r="C60" s="62"/>
      <c r="D60" s="62"/>
      <c r="E60" s="62"/>
    </row>
    <row r="61" spans="2:5" ht="15" customHeight="1">
      <c r="B61" s="65" t="s">
        <v>13</v>
      </c>
      <c r="C61" s="62"/>
      <c r="D61" s="62"/>
      <c r="E61" s="62"/>
    </row>
    <row r="62" spans="2:5" ht="15" customHeight="1">
      <c r="B62" s="63" t="s">
        <v>12</v>
      </c>
      <c r="C62" s="62"/>
      <c r="D62" s="62"/>
      <c r="E62" s="62"/>
    </row>
    <row r="63" spans="2:5" ht="15" customHeight="1">
      <c r="B63" s="63" t="s">
        <v>98</v>
      </c>
      <c r="C63" s="62"/>
      <c r="D63" s="62"/>
      <c r="E63" s="62"/>
    </row>
    <row r="434" spans="1:2" s="37" customFormat="1" ht="15" customHeight="1">
      <c r="A434" s="36"/>
      <c r="B434" s="38"/>
    </row>
    <row r="435" spans="1:2" s="37" customFormat="1" ht="15" customHeight="1">
      <c r="A435" s="36"/>
      <c r="B435" s="39"/>
    </row>
    <row r="436" spans="1:2" s="37" customFormat="1" ht="15" customHeight="1">
      <c r="A436" s="36"/>
      <c r="B436" s="39"/>
    </row>
    <row r="437" spans="1:2" s="37" customFormat="1" ht="15" customHeight="1">
      <c r="A437" s="36"/>
      <c r="B437" s="38"/>
    </row>
    <row r="438" spans="1:2" s="37" customFormat="1" ht="15" customHeight="1">
      <c r="A438" s="36"/>
      <c r="B438" s="38"/>
    </row>
  </sheetData>
  <mergeCells count="16">
    <mergeCell ref="B46:B48"/>
    <mergeCell ref="B49:B50"/>
    <mergeCell ref="B51:B53"/>
    <mergeCell ref="B54:B56"/>
    <mergeCell ref="B57:C57"/>
    <mergeCell ref="B25:B28"/>
    <mergeCell ref="B29:B38"/>
    <mergeCell ref="B39:B41"/>
    <mergeCell ref="B42:B43"/>
    <mergeCell ref="B44:B45"/>
    <mergeCell ref="B22:B24"/>
    <mergeCell ref="B7:E8"/>
    <mergeCell ref="B10:B13"/>
    <mergeCell ref="B14:B15"/>
    <mergeCell ref="B16:B18"/>
    <mergeCell ref="B19:B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49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27"/>
  <sheetViews>
    <sheetView showGridLines="0" zoomScaleNormal="100" zoomScaleSheetLayoutView="115" workbookViewId="0">
      <selection activeCell="G16" sqref="G16"/>
    </sheetView>
  </sheetViews>
  <sheetFormatPr baseColWidth="10" defaultColWidth="11.42578125" defaultRowHeight="15"/>
  <cols>
    <col min="1" max="1" width="9.28515625" style="17" customWidth="1"/>
    <col min="2" max="2" width="30.570312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2:4" s="29" customFormat="1" ht="15" customHeight="1">
      <c r="C1" s="35"/>
    </row>
    <row r="2" spans="2:4" s="29" customFormat="1" ht="15" customHeight="1">
      <c r="C2" s="35"/>
    </row>
    <row r="3" spans="2:4" s="29" customFormat="1" ht="15" customHeight="1">
      <c r="C3" s="35"/>
    </row>
    <row r="4" spans="2:4" s="29" customFormat="1" ht="30" customHeight="1">
      <c r="C4" s="35"/>
      <c r="D4" s="34"/>
    </row>
    <row r="5" spans="2:4" s="29" customFormat="1" ht="15" customHeight="1">
      <c r="C5" s="35"/>
      <c r="D5" s="34"/>
    </row>
    <row r="6" spans="2:4" s="29" customFormat="1" ht="15" customHeight="1">
      <c r="C6" s="35"/>
      <c r="D6" s="34"/>
    </row>
    <row r="7" spans="2:4" s="29" customFormat="1" ht="15" customHeight="1">
      <c r="B7" s="75" t="s">
        <v>47</v>
      </c>
      <c r="C7" s="75"/>
      <c r="D7" s="75"/>
    </row>
    <row r="8" spans="2:4" s="29" customFormat="1" ht="15" customHeight="1">
      <c r="B8" s="75"/>
      <c r="C8" s="75"/>
      <c r="D8" s="75"/>
    </row>
    <row r="9" spans="2:4" s="29" customFormat="1" ht="33" customHeight="1">
      <c r="B9" s="75"/>
      <c r="C9" s="75"/>
      <c r="D9" s="75"/>
    </row>
    <row r="10" spans="2:4" s="29" customFormat="1" ht="4.5" customHeight="1">
      <c r="B10" s="33"/>
      <c r="C10" s="33"/>
      <c r="D10" s="33"/>
    </row>
    <row r="11" spans="2:4" s="29" customFormat="1" ht="33" customHeight="1">
      <c r="B11" s="32" t="s">
        <v>46</v>
      </c>
      <c r="C11" s="31" t="s">
        <v>27</v>
      </c>
      <c r="D11" s="30" t="s">
        <v>26</v>
      </c>
    </row>
    <row r="12" spans="2:4" ht="15" customHeight="1">
      <c r="B12" s="27" t="s">
        <v>45</v>
      </c>
      <c r="C12" s="26">
        <v>7</v>
      </c>
      <c r="D12" s="25">
        <v>0.14000000000000001</v>
      </c>
    </row>
    <row r="13" spans="2:4">
      <c r="B13" s="27" t="s">
        <v>44</v>
      </c>
      <c r="C13" s="26">
        <v>2</v>
      </c>
      <c r="D13" s="25">
        <v>0.04</v>
      </c>
    </row>
    <row r="14" spans="2:4" s="28" customFormat="1">
      <c r="B14" s="27" t="s">
        <v>43</v>
      </c>
      <c r="C14" s="26">
        <v>12</v>
      </c>
      <c r="D14" s="25">
        <v>0.24</v>
      </c>
    </row>
    <row r="15" spans="2:4" s="28" customFormat="1">
      <c r="B15" s="27" t="s">
        <v>42</v>
      </c>
      <c r="C15" s="26">
        <v>1</v>
      </c>
      <c r="D15" s="25">
        <v>0.02</v>
      </c>
    </row>
    <row r="16" spans="2:4">
      <c r="B16" s="27" t="s">
        <v>41</v>
      </c>
      <c r="C16" s="26">
        <v>4</v>
      </c>
      <c r="D16" s="25">
        <v>0.08</v>
      </c>
    </row>
    <row r="17" spans="2:4">
      <c r="B17" s="27" t="s">
        <v>40</v>
      </c>
      <c r="C17" s="26">
        <v>14</v>
      </c>
      <c r="D17" s="25">
        <v>0.28000000000000003</v>
      </c>
    </row>
    <row r="18" spans="2:4">
      <c r="B18" s="27" t="s">
        <v>74</v>
      </c>
      <c r="C18" s="26">
        <v>2</v>
      </c>
      <c r="D18" s="25">
        <v>0.04</v>
      </c>
    </row>
    <row r="19" spans="2:4">
      <c r="B19" s="27" t="s">
        <v>39</v>
      </c>
      <c r="C19" s="26">
        <v>7</v>
      </c>
      <c r="D19" s="25">
        <v>0.14000000000000001</v>
      </c>
    </row>
    <row r="20" spans="2:4">
      <c r="B20" s="27" t="s">
        <v>103</v>
      </c>
      <c r="C20" s="26">
        <v>1</v>
      </c>
      <c r="D20" s="25">
        <v>0.02</v>
      </c>
    </row>
    <row r="21" spans="2:4">
      <c r="B21" s="24" t="s">
        <v>15</v>
      </c>
      <c r="C21" s="23">
        <v>50</v>
      </c>
      <c r="D21" s="22">
        <v>1</v>
      </c>
    </row>
    <row r="23" spans="2:4">
      <c r="B23" s="19" t="s">
        <v>97</v>
      </c>
    </row>
    <row r="24" spans="2:4">
      <c r="B24" s="21" t="s">
        <v>14</v>
      </c>
    </row>
    <row r="25" spans="2:4">
      <c r="B25" s="20" t="s">
        <v>13</v>
      </c>
    </row>
    <row r="26" spans="2:4">
      <c r="B26" s="19" t="s">
        <v>12</v>
      </c>
    </row>
    <row r="27" spans="2:4">
      <c r="B27" s="19" t="s">
        <v>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0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54"/>
  <sheetViews>
    <sheetView showGridLines="0" topLeftCell="A31" zoomScaleNormal="100" zoomScaleSheetLayoutView="100" workbookViewId="0">
      <selection activeCell="F56" sqref="F56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46</v>
      </c>
      <c r="C9" s="52" t="s">
        <v>28</v>
      </c>
      <c r="D9" s="53" t="s">
        <v>27</v>
      </c>
      <c r="E9" s="52" t="s">
        <v>26</v>
      </c>
    </row>
    <row r="10" spans="1:5" ht="15" customHeight="1">
      <c r="B10" s="76" t="s">
        <v>45</v>
      </c>
      <c r="C10" s="54" t="s">
        <v>21</v>
      </c>
      <c r="D10" s="55">
        <v>1</v>
      </c>
      <c r="E10" s="56">
        <v>2.0408163265306121E-2</v>
      </c>
    </row>
    <row r="11" spans="1:5" ht="15" customHeight="1">
      <c r="B11" s="77"/>
      <c r="C11" s="54" t="s">
        <v>79</v>
      </c>
      <c r="D11" s="55">
        <v>1</v>
      </c>
      <c r="E11" s="56">
        <v>2.0408163265306121E-2</v>
      </c>
    </row>
    <row r="12" spans="1:5" ht="15" customHeight="1">
      <c r="B12" s="77"/>
      <c r="C12" s="54" t="s">
        <v>68</v>
      </c>
      <c r="D12" s="55">
        <v>1</v>
      </c>
      <c r="E12" s="56">
        <v>2.0408163265306121E-2</v>
      </c>
    </row>
    <row r="13" spans="1:5" ht="15" customHeight="1">
      <c r="B13" s="77"/>
      <c r="C13" s="54" t="s">
        <v>25</v>
      </c>
      <c r="D13" s="55">
        <v>1</v>
      </c>
      <c r="E13" s="56">
        <v>2.0408163265306121E-2</v>
      </c>
    </row>
    <row r="14" spans="1:5" ht="15" customHeight="1">
      <c r="B14" s="77"/>
      <c r="C14" s="54" t="s">
        <v>17</v>
      </c>
      <c r="D14" s="55">
        <v>1</v>
      </c>
      <c r="E14" s="56">
        <v>2.0408163265306121E-2</v>
      </c>
    </row>
    <row r="15" spans="1:5" s="40" customFormat="1" ht="15" customHeight="1">
      <c r="A15" s="36"/>
      <c r="B15" s="77"/>
      <c r="C15" s="54" t="s">
        <v>23</v>
      </c>
      <c r="D15" s="55">
        <v>1</v>
      </c>
      <c r="E15" s="56">
        <v>2.0408163265306121E-2</v>
      </c>
    </row>
    <row r="16" spans="1:5" s="40" customFormat="1" ht="15" customHeight="1">
      <c r="A16" s="36"/>
      <c r="B16" s="77"/>
      <c r="C16" s="54" t="s">
        <v>20</v>
      </c>
      <c r="D16" s="55">
        <v>1</v>
      </c>
      <c r="E16" s="56">
        <v>2.0408163265306121E-2</v>
      </c>
    </row>
    <row r="17" spans="1:5" s="40" customFormat="1" ht="15" customHeight="1">
      <c r="A17" s="36"/>
      <c r="B17" s="78"/>
      <c r="C17" s="57" t="s">
        <v>15</v>
      </c>
      <c r="D17" s="58">
        <v>7</v>
      </c>
      <c r="E17" s="59">
        <v>0.14285714285714285</v>
      </c>
    </row>
    <row r="18" spans="1:5" s="40" customFormat="1" ht="15" customHeight="1">
      <c r="A18" s="36"/>
      <c r="B18" s="76" t="s">
        <v>44</v>
      </c>
      <c r="C18" s="54" t="s">
        <v>24</v>
      </c>
      <c r="D18" s="55">
        <v>1</v>
      </c>
      <c r="E18" s="56">
        <v>2.0408163265306121E-2</v>
      </c>
    </row>
    <row r="19" spans="1:5" s="40" customFormat="1" ht="15" customHeight="1">
      <c r="A19" s="36"/>
      <c r="B19" s="77"/>
      <c r="C19" s="54" t="s">
        <v>92</v>
      </c>
      <c r="D19" s="55">
        <v>1</v>
      </c>
      <c r="E19" s="56">
        <v>2.0408163265306121E-2</v>
      </c>
    </row>
    <row r="20" spans="1:5" ht="15" customHeight="1">
      <c r="B20" s="78"/>
      <c r="C20" s="57" t="s">
        <v>15</v>
      </c>
      <c r="D20" s="58">
        <v>2</v>
      </c>
      <c r="E20" s="59">
        <v>4.0816326530612242E-2</v>
      </c>
    </row>
    <row r="21" spans="1:5" ht="15" customHeight="1">
      <c r="B21" s="76" t="s">
        <v>43</v>
      </c>
      <c r="C21" s="54" t="s">
        <v>21</v>
      </c>
      <c r="D21" s="55">
        <v>2</v>
      </c>
      <c r="E21" s="56">
        <v>4.0816326530612242E-2</v>
      </c>
    </row>
    <row r="22" spans="1:5" ht="15" customHeight="1">
      <c r="B22" s="77"/>
      <c r="C22" s="54" t="s">
        <v>25</v>
      </c>
      <c r="D22" s="55">
        <v>5</v>
      </c>
      <c r="E22" s="56">
        <v>0.10204081632653061</v>
      </c>
    </row>
    <row r="23" spans="1:5" ht="15" customHeight="1">
      <c r="B23" s="77"/>
      <c r="C23" s="54" t="s">
        <v>24</v>
      </c>
      <c r="D23" s="55">
        <v>1</v>
      </c>
      <c r="E23" s="56">
        <v>2.0408163265306121E-2</v>
      </c>
    </row>
    <row r="24" spans="1:5" ht="15" customHeight="1">
      <c r="B24" s="77"/>
      <c r="C24" s="54" t="s">
        <v>23</v>
      </c>
      <c r="D24" s="55">
        <v>4</v>
      </c>
      <c r="E24" s="56">
        <v>8.1632653061224483E-2</v>
      </c>
    </row>
    <row r="25" spans="1:5" ht="15" customHeight="1">
      <c r="B25" s="78"/>
      <c r="C25" s="57" t="s">
        <v>15</v>
      </c>
      <c r="D25" s="58">
        <v>12</v>
      </c>
      <c r="E25" s="59">
        <v>0.24489795918367346</v>
      </c>
    </row>
    <row r="26" spans="1:5" ht="15" customHeight="1">
      <c r="B26" s="76" t="s">
        <v>67</v>
      </c>
      <c r="C26" s="54" t="s">
        <v>25</v>
      </c>
      <c r="D26" s="55">
        <v>1</v>
      </c>
      <c r="E26" s="56">
        <v>2.0408163265306121E-2</v>
      </c>
    </row>
    <row r="27" spans="1:5" ht="15" customHeight="1">
      <c r="B27" s="78"/>
      <c r="C27" s="57" t="s">
        <v>15</v>
      </c>
      <c r="D27" s="58">
        <v>1</v>
      </c>
      <c r="E27" s="59">
        <v>2.0408163265306121E-2</v>
      </c>
    </row>
    <row r="28" spans="1:5" ht="15" customHeight="1">
      <c r="B28" s="76" t="s">
        <v>41</v>
      </c>
      <c r="C28" s="54" t="s">
        <v>25</v>
      </c>
      <c r="D28" s="55">
        <v>3</v>
      </c>
      <c r="E28" s="56">
        <v>6.1224489795918366E-2</v>
      </c>
    </row>
    <row r="29" spans="1:5" ht="15" customHeight="1">
      <c r="B29" s="77"/>
      <c r="C29" s="54" t="s">
        <v>69</v>
      </c>
      <c r="D29" s="55">
        <v>1</v>
      </c>
      <c r="E29" s="56">
        <v>2.0408163265306121E-2</v>
      </c>
    </row>
    <row r="30" spans="1:5" ht="15" customHeight="1">
      <c r="B30" s="78"/>
      <c r="C30" s="57" t="s">
        <v>15</v>
      </c>
      <c r="D30" s="58">
        <v>4</v>
      </c>
      <c r="E30" s="59">
        <v>8.1632653061224483E-2</v>
      </c>
    </row>
    <row r="31" spans="1:5" ht="15" customHeight="1">
      <c r="B31" s="76" t="s">
        <v>40</v>
      </c>
      <c r="C31" s="54" t="s">
        <v>79</v>
      </c>
      <c r="D31" s="55">
        <v>1</v>
      </c>
      <c r="E31" s="56">
        <v>2.0408163265306121E-2</v>
      </c>
    </row>
    <row r="32" spans="1:5" ht="15" customHeight="1">
      <c r="B32" s="77"/>
      <c r="C32" s="54" t="s">
        <v>68</v>
      </c>
      <c r="D32" s="55">
        <v>1</v>
      </c>
      <c r="E32" s="56">
        <v>2.0408163265306121E-2</v>
      </c>
    </row>
    <row r="33" spans="2:5" ht="15" customHeight="1">
      <c r="B33" s="77"/>
      <c r="C33" s="54" t="s">
        <v>18</v>
      </c>
      <c r="D33" s="55">
        <v>3</v>
      </c>
      <c r="E33" s="56">
        <v>6.1224489795918366E-2</v>
      </c>
    </row>
    <row r="34" spans="2:5" ht="15" customHeight="1">
      <c r="B34" s="77"/>
      <c r="C34" s="54" t="s">
        <v>25</v>
      </c>
      <c r="D34" s="55">
        <v>4</v>
      </c>
      <c r="E34" s="56">
        <v>8.1632653061224483E-2</v>
      </c>
    </row>
    <row r="35" spans="2:5" ht="15" customHeight="1">
      <c r="B35" s="77"/>
      <c r="C35" s="54" t="s">
        <v>24</v>
      </c>
      <c r="D35" s="55">
        <v>2</v>
      </c>
      <c r="E35" s="56">
        <v>4.0816326530612242E-2</v>
      </c>
    </row>
    <row r="36" spans="2:5" ht="15" customHeight="1">
      <c r="B36" s="77"/>
      <c r="C36" s="54" t="s">
        <v>23</v>
      </c>
      <c r="D36" s="55">
        <v>2</v>
      </c>
      <c r="E36" s="56">
        <v>4.0816326530612242E-2</v>
      </c>
    </row>
    <row r="37" spans="2:5" ht="15" customHeight="1">
      <c r="B37" s="77"/>
      <c r="C37" s="54" t="s">
        <v>20</v>
      </c>
      <c r="D37" s="55">
        <v>1</v>
      </c>
      <c r="E37" s="56">
        <v>2.0408163265306121E-2</v>
      </c>
    </row>
    <row r="38" spans="2:5" ht="15" customHeight="1">
      <c r="B38" s="78"/>
      <c r="C38" s="57" t="s">
        <v>15</v>
      </c>
      <c r="D38" s="58">
        <v>14</v>
      </c>
      <c r="E38" s="59">
        <v>0.2857142857142857</v>
      </c>
    </row>
    <row r="39" spans="2:5" ht="15" customHeight="1">
      <c r="B39" s="76" t="s">
        <v>74</v>
      </c>
      <c r="C39" s="54" t="s">
        <v>19</v>
      </c>
      <c r="D39" s="55">
        <v>1</v>
      </c>
      <c r="E39" s="56">
        <v>2.0408163265306121E-2</v>
      </c>
    </row>
    <row r="40" spans="2:5" ht="15" customHeight="1">
      <c r="B40" s="77"/>
      <c r="C40" s="54" t="s">
        <v>69</v>
      </c>
      <c r="D40" s="55">
        <v>1</v>
      </c>
      <c r="E40" s="56">
        <v>2.0408163265306121E-2</v>
      </c>
    </row>
    <row r="41" spans="2:5" ht="15" customHeight="1">
      <c r="B41" s="78"/>
      <c r="C41" s="57" t="s">
        <v>15</v>
      </c>
      <c r="D41" s="58">
        <v>2</v>
      </c>
      <c r="E41" s="59">
        <v>4.0816326530612242E-2</v>
      </c>
    </row>
    <row r="42" spans="2:5" ht="15" customHeight="1">
      <c r="B42" s="76" t="s">
        <v>66</v>
      </c>
      <c r="C42" s="54" t="s">
        <v>22</v>
      </c>
      <c r="D42" s="55">
        <v>1</v>
      </c>
      <c r="E42" s="56">
        <v>2.0408163265306121E-2</v>
      </c>
    </row>
    <row r="43" spans="2:5" ht="15" customHeight="1">
      <c r="B43" s="77"/>
      <c r="C43" s="54" t="s">
        <v>25</v>
      </c>
      <c r="D43" s="55">
        <v>5</v>
      </c>
      <c r="E43" s="56">
        <v>0.10204081632653061</v>
      </c>
    </row>
    <row r="44" spans="2:5" ht="15" customHeight="1">
      <c r="B44" s="77"/>
      <c r="C44" s="54" t="s">
        <v>16</v>
      </c>
      <c r="D44" s="55">
        <v>1</v>
      </c>
      <c r="E44" s="56">
        <v>2.0408163265306121E-2</v>
      </c>
    </row>
    <row r="45" spans="2:5" ht="15" customHeight="1">
      <c r="B45" s="78"/>
      <c r="C45" s="57" t="s">
        <v>15</v>
      </c>
      <c r="D45" s="58">
        <v>7</v>
      </c>
      <c r="E45" s="59">
        <v>0.14285714285714285</v>
      </c>
    </row>
    <row r="46" spans="2:5" ht="15" customHeight="1">
      <c r="B46" s="76" t="s">
        <v>103</v>
      </c>
      <c r="C46" s="54" t="s">
        <v>19</v>
      </c>
      <c r="D46" s="55">
        <v>1</v>
      </c>
      <c r="E46" s="56">
        <v>0.02</v>
      </c>
    </row>
    <row r="47" spans="2:5" ht="15" customHeight="1">
      <c r="B47" s="78"/>
      <c r="C47" s="57" t="s">
        <v>15</v>
      </c>
      <c r="D47" s="58">
        <v>1</v>
      </c>
      <c r="E47" s="59">
        <v>0.02</v>
      </c>
    </row>
    <row r="48" spans="2:5" ht="15" customHeight="1">
      <c r="B48" s="80" t="s">
        <v>15</v>
      </c>
      <c r="C48" s="81"/>
      <c r="D48" s="60">
        <v>50</v>
      </c>
      <c r="E48" s="61">
        <v>1</v>
      </c>
    </row>
    <row r="49" spans="2:5" ht="15" customHeight="1">
      <c r="B49" s="62"/>
      <c r="C49" s="62"/>
      <c r="D49" s="62"/>
      <c r="E49" s="62"/>
    </row>
    <row r="50" spans="2:5" ht="15" customHeight="1">
      <c r="B50" s="63" t="s">
        <v>97</v>
      </c>
      <c r="C50" s="62"/>
      <c r="D50" s="62"/>
      <c r="E50" s="62"/>
    </row>
    <row r="51" spans="2:5" ht="15" customHeight="1">
      <c r="B51" s="64" t="s">
        <v>14</v>
      </c>
      <c r="C51" s="62"/>
      <c r="D51" s="62"/>
      <c r="E51" s="62"/>
    </row>
    <row r="52" spans="2:5" ht="15" customHeight="1">
      <c r="B52" s="65" t="s">
        <v>13</v>
      </c>
      <c r="C52" s="62"/>
      <c r="D52" s="62"/>
      <c r="E52" s="62"/>
    </row>
    <row r="53" spans="2:5" ht="15" customHeight="1">
      <c r="B53" s="63" t="s">
        <v>12</v>
      </c>
      <c r="C53" s="62"/>
      <c r="D53" s="62"/>
      <c r="E53" s="62"/>
    </row>
    <row r="54" spans="2:5" ht="15" customHeight="1">
      <c r="B54" s="63" t="s">
        <v>98</v>
      </c>
      <c r="C54" s="62"/>
      <c r="D54" s="62"/>
      <c r="E54" s="62"/>
    </row>
  </sheetData>
  <mergeCells count="11">
    <mergeCell ref="B48:C48"/>
    <mergeCell ref="B7:E8"/>
    <mergeCell ref="B10:B17"/>
    <mergeCell ref="B18:B20"/>
    <mergeCell ref="B21:B25"/>
    <mergeCell ref="B46:B47"/>
    <mergeCell ref="B26:B27"/>
    <mergeCell ref="B28:B30"/>
    <mergeCell ref="B31:B38"/>
    <mergeCell ref="B39:B41"/>
    <mergeCell ref="B42:B4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>
      <selection activeCell="H18" sqref="H18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2:4" s="29" customFormat="1" ht="15" customHeight="1">
      <c r="C1" s="35"/>
    </row>
    <row r="2" spans="2:4" s="29" customFormat="1" ht="15" customHeight="1">
      <c r="C2" s="35"/>
    </row>
    <row r="3" spans="2:4" s="29" customFormat="1" ht="15" customHeight="1">
      <c r="C3" s="35"/>
    </row>
    <row r="4" spans="2:4" s="29" customFormat="1" ht="30" customHeight="1">
      <c r="C4" s="35"/>
      <c r="D4" s="34"/>
    </row>
    <row r="5" spans="2:4" s="29" customFormat="1" ht="15" customHeight="1">
      <c r="C5" s="35"/>
      <c r="D5" s="34"/>
    </row>
    <row r="6" spans="2:4" s="29" customFormat="1" ht="15" customHeight="1">
      <c r="C6" s="35"/>
      <c r="D6" s="34"/>
    </row>
    <row r="7" spans="2:4" s="29" customFormat="1" ht="15" customHeight="1">
      <c r="B7" s="75" t="s">
        <v>102</v>
      </c>
      <c r="C7" s="75"/>
      <c r="D7" s="75"/>
    </row>
    <row r="8" spans="2:4" s="29" customFormat="1" ht="15" customHeight="1">
      <c r="B8" s="75"/>
      <c r="C8" s="75"/>
      <c r="D8" s="75"/>
    </row>
    <row r="9" spans="2:4" s="29" customFormat="1" ht="33" customHeight="1">
      <c r="B9" s="75"/>
      <c r="C9" s="75"/>
      <c r="D9" s="75"/>
    </row>
    <row r="10" spans="2:4" s="29" customFormat="1" ht="4.5" customHeight="1">
      <c r="B10" s="33"/>
      <c r="C10" s="33"/>
      <c r="D10" s="33"/>
    </row>
    <row r="11" spans="2:4" s="29" customFormat="1" ht="33" customHeight="1">
      <c r="B11" s="32" t="s">
        <v>51</v>
      </c>
      <c r="C11" s="31" t="s">
        <v>27</v>
      </c>
      <c r="D11" s="30" t="s">
        <v>26</v>
      </c>
    </row>
    <row r="12" spans="2:4" ht="15" customHeight="1">
      <c r="B12" s="27" t="s">
        <v>50</v>
      </c>
      <c r="C12" s="26">
        <v>33</v>
      </c>
      <c r="D12" s="25">
        <v>0.66</v>
      </c>
    </row>
    <row r="13" spans="2:4" ht="15" customHeight="1">
      <c r="B13" s="27" t="s">
        <v>49</v>
      </c>
      <c r="C13" s="26">
        <v>17</v>
      </c>
      <c r="D13" s="25">
        <v>0.34</v>
      </c>
    </row>
    <row r="14" spans="2:4">
      <c r="B14" s="24" t="s">
        <v>48</v>
      </c>
      <c r="C14" s="23">
        <v>50</v>
      </c>
      <c r="D14" s="22">
        <v>1</v>
      </c>
    </row>
    <row r="15" spans="2:4" s="28" customFormat="1">
      <c r="C15" s="51"/>
    </row>
    <row r="16" spans="2:4" s="28" customFormat="1">
      <c r="B16" s="19" t="s">
        <v>97</v>
      </c>
      <c r="C16" s="51"/>
    </row>
    <row r="17" spans="2:4">
      <c r="B17" s="21" t="s">
        <v>14</v>
      </c>
      <c r="C17" s="50"/>
      <c r="D17" s="50"/>
    </row>
    <row r="18" spans="2:4">
      <c r="B18" s="20" t="s">
        <v>13</v>
      </c>
      <c r="C18" s="49"/>
      <c r="D18" s="49"/>
    </row>
    <row r="19" spans="2:4">
      <c r="B19" s="19" t="s">
        <v>12</v>
      </c>
    </row>
    <row r="20" spans="2:4">
      <c r="B20" s="19" t="s">
        <v>98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423"/>
  <sheetViews>
    <sheetView showGridLines="0" zoomScale="98" zoomScaleNormal="98" zoomScaleSheetLayoutView="100" workbookViewId="0">
      <selection activeCell="G55" sqref="G55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28</v>
      </c>
      <c r="C9" s="52" t="s">
        <v>51</v>
      </c>
      <c r="D9" s="53" t="s">
        <v>27</v>
      </c>
      <c r="E9" s="52" t="s">
        <v>26</v>
      </c>
    </row>
    <row r="10" spans="1:5" ht="15" customHeight="1">
      <c r="B10" s="76" t="s">
        <v>21</v>
      </c>
      <c r="C10" s="54" t="s">
        <v>53</v>
      </c>
      <c r="D10" s="55">
        <v>2</v>
      </c>
      <c r="E10" s="56">
        <v>0.04</v>
      </c>
    </row>
    <row r="11" spans="1:5" ht="15" customHeight="1">
      <c r="B11" s="77"/>
      <c r="C11" s="54" t="s">
        <v>52</v>
      </c>
      <c r="D11" s="55">
        <v>1</v>
      </c>
      <c r="E11" s="56">
        <v>0.02</v>
      </c>
    </row>
    <row r="12" spans="1:5" ht="15" customHeight="1">
      <c r="B12" s="78"/>
      <c r="C12" s="57" t="s">
        <v>15</v>
      </c>
      <c r="D12" s="58">
        <v>3</v>
      </c>
      <c r="E12" s="59">
        <v>0.06</v>
      </c>
    </row>
    <row r="13" spans="1:5" ht="15" customHeight="1">
      <c r="B13" s="76" t="s">
        <v>22</v>
      </c>
      <c r="C13" s="54" t="s">
        <v>53</v>
      </c>
      <c r="D13" s="55">
        <v>1</v>
      </c>
      <c r="E13" s="56">
        <v>0.02</v>
      </c>
    </row>
    <row r="14" spans="1:5" s="40" customFormat="1" ht="15" customHeight="1">
      <c r="B14" s="78"/>
      <c r="C14" s="57" t="s">
        <v>15</v>
      </c>
      <c r="D14" s="58">
        <v>1</v>
      </c>
      <c r="E14" s="59">
        <v>0.02</v>
      </c>
    </row>
    <row r="15" spans="1:5" ht="15" customHeight="1">
      <c r="B15" s="76" t="s">
        <v>19</v>
      </c>
      <c r="C15" s="54" t="s">
        <v>53</v>
      </c>
      <c r="D15" s="55">
        <v>1</v>
      </c>
      <c r="E15" s="56">
        <v>0.02</v>
      </c>
    </row>
    <row r="16" spans="1:5" ht="15" customHeight="1">
      <c r="B16" s="77"/>
      <c r="C16" s="54" t="s">
        <v>52</v>
      </c>
      <c r="D16" s="55">
        <v>1</v>
      </c>
      <c r="E16" s="56">
        <v>0.02</v>
      </c>
    </row>
    <row r="17" spans="2:5" ht="15" customHeight="1">
      <c r="B17" s="78"/>
      <c r="C17" s="57" t="s">
        <v>15</v>
      </c>
      <c r="D17" s="58">
        <v>2</v>
      </c>
      <c r="E17" s="59">
        <v>0.04</v>
      </c>
    </row>
    <row r="18" spans="2:5" ht="15" customHeight="1">
      <c r="B18" s="76" t="s">
        <v>79</v>
      </c>
      <c r="C18" s="54" t="s">
        <v>53</v>
      </c>
      <c r="D18" s="55">
        <v>2</v>
      </c>
      <c r="E18" s="56">
        <v>0.04</v>
      </c>
    </row>
    <row r="19" spans="2:5" ht="15" customHeight="1">
      <c r="B19" s="78"/>
      <c r="C19" s="57" t="s">
        <v>15</v>
      </c>
      <c r="D19" s="58">
        <v>2</v>
      </c>
      <c r="E19" s="59">
        <v>0.04</v>
      </c>
    </row>
    <row r="20" spans="2:5" ht="15" customHeight="1">
      <c r="B20" s="76" t="s">
        <v>68</v>
      </c>
      <c r="C20" s="54" t="s">
        <v>53</v>
      </c>
      <c r="D20" s="55">
        <v>1</v>
      </c>
      <c r="E20" s="56">
        <v>0.02</v>
      </c>
    </row>
    <row r="21" spans="2:5" ht="15" customHeight="1">
      <c r="B21" s="77"/>
      <c r="C21" s="54" t="s">
        <v>52</v>
      </c>
      <c r="D21" s="55">
        <v>1</v>
      </c>
      <c r="E21" s="56">
        <v>0.02</v>
      </c>
    </row>
    <row r="22" spans="2:5" ht="15" customHeight="1">
      <c r="B22" s="78"/>
      <c r="C22" s="57" t="s">
        <v>15</v>
      </c>
      <c r="D22" s="58">
        <v>2</v>
      </c>
      <c r="E22" s="59">
        <v>0.04</v>
      </c>
    </row>
    <row r="23" spans="2:5" ht="15" customHeight="1">
      <c r="B23" s="76" t="s">
        <v>18</v>
      </c>
      <c r="C23" s="54" t="s">
        <v>53</v>
      </c>
      <c r="D23" s="55">
        <v>2</v>
      </c>
      <c r="E23" s="56">
        <v>0.04</v>
      </c>
    </row>
    <row r="24" spans="2:5" ht="15" customHeight="1">
      <c r="B24" s="77"/>
      <c r="C24" s="54" t="s">
        <v>52</v>
      </c>
      <c r="D24" s="55">
        <v>1</v>
      </c>
      <c r="E24" s="56">
        <v>0.02</v>
      </c>
    </row>
    <row r="25" spans="2:5" ht="15" customHeight="1">
      <c r="B25" s="78"/>
      <c r="C25" s="57" t="s">
        <v>15</v>
      </c>
      <c r="D25" s="58">
        <v>3</v>
      </c>
      <c r="E25" s="59">
        <v>0.06</v>
      </c>
    </row>
    <row r="26" spans="2:5" ht="15" customHeight="1">
      <c r="B26" s="76" t="s">
        <v>25</v>
      </c>
      <c r="C26" s="54" t="s">
        <v>53</v>
      </c>
      <c r="D26" s="55">
        <v>11</v>
      </c>
      <c r="E26" s="56">
        <v>0.22</v>
      </c>
    </row>
    <row r="27" spans="2:5" ht="15" customHeight="1">
      <c r="B27" s="77"/>
      <c r="C27" s="54" t="s">
        <v>52</v>
      </c>
      <c r="D27" s="55">
        <v>8</v>
      </c>
      <c r="E27" s="56">
        <v>0.16</v>
      </c>
    </row>
    <row r="28" spans="2:5" ht="15" customHeight="1">
      <c r="B28" s="78"/>
      <c r="C28" s="57" t="s">
        <v>15</v>
      </c>
      <c r="D28" s="58">
        <v>19</v>
      </c>
      <c r="E28" s="59">
        <v>0.38</v>
      </c>
    </row>
    <row r="29" spans="2:5" ht="15" customHeight="1">
      <c r="B29" s="76" t="s">
        <v>24</v>
      </c>
      <c r="C29" s="54" t="s">
        <v>53</v>
      </c>
      <c r="D29" s="55">
        <v>3</v>
      </c>
      <c r="E29" s="56">
        <v>0.06</v>
      </c>
    </row>
    <row r="30" spans="2:5" ht="15" customHeight="1">
      <c r="B30" s="77"/>
      <c r="C30" s="54" t="s">
        <v>52</v>
      </c>
      <c r="D30" s="55">
        <v>1</v>
      </c>
      <c r="E30" s="56">
        <v>0.02</v>
      </c>
    </row>
    <row r="31" spans="2:5" ht="15" customHeight="1">
      <c r="B31" s="78"/>
      <c r="C31" s="57" t="s">
        <v>15</v>
      </c>
      <c r="D31" s="58">
        <v>4</v>
      </c>
      <c r="E31" s="59">
        <v>0.08</v>
      </c>
    </row>
    <row r="32" spans="2:5" ht="15" customHeight="1">
      <c r="B32" s="76" t="s">
        <v>17</v>
      </c>
      <c r="C32" s="54" t="s">
        <v>53</v>
      </c>
      <c r="D32" s="55">
        <v>1</v>
      </c>
      <c r="E32" s="56">
        <v>0.02</v>
      </c>
    </row>
    <row r="33" spans="2:5" ht="15" customHeight="1">
      <c r="B33" s="78"/>
      <c r="C33" s="57" t="s">
        <v>15</v>
      </c>
      <c r="D33" s="58">
        <v>1</v>
      </c>
      <c r="E33" s="59">
        <v>0.02</v>
      </c>
    </row>
    <row r="34" spans="2:5" ht="15" customHeight="1">
      <c r="B34" s="76" t="s">
        <v>16</v>
      </c>
      <c r="C34" s="54" t="s">
        <v>53</v>
      </c>
      <c r="D34" s="55">
        <v>1</v>
      </c>
      <c r="E34" s="56">
        <v>0.02</v>
      </c>
    </row>
    <row r="35" spans="2:5" ht="15" customHeight="1">
      <c r="B35" s="78"/>
      <c r="C35" s="57" t="s">
        <v>15</v>
      </c>
      <c r="D35" s="58">
        <v>1</v>
      </c>
      <c r="E35" s="59">
        <v>0.02</v>
      </c>
    </row>
    <row r="36" spans="2:5" ht="15" customHeight="1">
      <c r="B36" s="76" t="s">
        <v>23</v>
      </c>
      <c r="C36" s="54" t="s">
        <v>53</v>
      </c>
      <c r="D36" s="55">
        <v>5</v>
      </c>
      <c r="E36" s="56">
        <v>0.1</v>
      </c>
    </row>
    <row r="37" spans="2:5" ht="15" customHeight="1">
      <c r="B37" s="77"/>
      <c r="C37" s="54" t="s">
        <v>52</v>
      </c>
      <c r="D37" s="55">
        <v>2</v>
      </c>
      <c r="E37" s="56">
        <v>0.04</v>
      </c>
    </row>
    <row r="38" spans="2:5" ht="15" customHeight="1">
      <c r="B38" s="78"/>
      <c r="C38" s="57" t="s">
        <v>15</v>
      </c>
      <c r="D38" s="58">
        <v>7</v>
      </c>
      <c r="E38" s="59">
        <v>0.14000000000000001</v>
      </c>
    </row>
    <row r="39" spans="2:5" ht="15" customHeight="1">
      <c r="B39" s="76" t="s">
        <v>92</v>
      </c>
      <c r="C39" s="54" t="s">
        <v>52</v>
      </c>
      <c r="D39" s="55">
        <v>1</v>
      </c>
      <c r="E39" s="56">
        <v>0.02</v>
      </c>
    </row>
    <row r="40" spans="2:5" ht="15" customHeight="1">
      <c r="B40" s="78"/>
      <c r="C40" s="57" t="s">
        <v>15</v>
      </c>
      <c r="D40" s="58">
        <v>1</v>
      </c>
      <c r="E40" s="59">
        <v>0.02</v>
      </c>
    </row>
    <row r="41" spans="2:5" ht="15" customHeight="1">
      <c r="B41" s="76" t="s">
        <v>69</v>
      </c>
      <c r="C41" s="54" t="s">
        <v>53</v>
      </c>
      <c r="D41" s="55">
        <v>2</v>
      </c>
      <c r="E41" s="56">
        <v>0.04</v>
      </c>
    </row>
    <row r="42" spans="2:5" ht="15" customHeight="1">
      <c r="B42" s="78"/>
      <c r="C42" s="57" t="s">
        <v>15</v>
      </c>
      <c r="D42" s="58">
        <v>2</v>
      </c>
      <c r="E42" s="59">
        <v>0.04</v>
      </c>
    </row>
    <row r="43" spans="2:5" ht="15" customHeight="1">
      <c r="B43" s="76" t="s">
        <v>20</v>
      </c>
      <c r="C43" s="54" t="s">
        <v>53</v>
      </c>
      <c r="D43" s="55">
        <v>1</v>
      </c>
      <c r="E43" s="56">
        <v>0.02</v>
      </c>
    </row>
    <row r="44" spans="2:5" ht="15" customHeight="1">
      <c r="B44" s="77"/>
      <c r="C44" s="54" t="s">
        <v>52</v>
      </c>
      <c r="D44" s="55">
        <v>1</v>
      </c>
      <c r="E44" s="56">
        <v>0.02</v>
      </c>
    </row>
    <row r="45" spans="2:5" ht="15" customHeight="1">
      <c r="B45" s="78"/>
      <c r="C45" s="57" t="s">
        <v>15</v>
      </c>
      <c r="D45" s="58">
        <v>2</v>
      </c>
      <c r="E45" s="59">
        <v>0.04</v>
      </c>
    </row>
    <row r="46" spans="2:5" ht="15" customHeight="1">
      <c r="B46" s="80" t="s">
        <v>15</v>
      </c>
      <c r="C46" s="81"/>
      <c r="D46" s="60">
        <f>SUMIF(C10:C45,"TOTAL",D10:D45)</f>
        <v>50</v>
      </c>
      <c r="E46" s="61">
        <v>1</v>
      </c>
    </row>
    <row r="47" spans="2:5" ht="15" customHeight="1">
      <c r="B47" s="62"/>
      <c r="C47" s="62"/>
      <c r="D47" s="62"/>
      <c r="E47" s="62"/>
    </row>
    <row r="48" spans="2:5" ht="15" customHeight="1">
      <c r="B48" s="63" t="s">
        <v>97</v>
      </c>
      <c r="C48" s="62"/>
      <c r="D48" s="62"/>
      <c r="E48" s="62"/>
    </row>
    <row r="49" spans="2:5" ht="15" customHeight="1">
      <c r="B49" s="64" t="s">
        <v>14</v>
      </c>
      <c r="C49" s="62"/>
      <c r="D49" s="62"/>
      <c r="E49" s="62"/>
    </row>
    <row r="50" spans="2:5" ht="15" customHeight="1">
      <c r="B50" s="65" t="s">
        <v>13</v>
      </c>
      <c r="C50" s="62"/>
      <c r="D50" s="62"/>
      <c r="E50" s="62"/>
    </row>
    <row r="51" spans="2:5" ht="15" customHeight="1">
      <c r="B51" s="63" t="s">
        <v>12</v>
      </c>
      <c r="C51" s="62"/>
      <c r="D51" s="62"/>
      <c r="E51" s="62"/>
    </row>
    <row r="52" spans="2:5" ht="15" customHeight="1">
      <c r="B52" s="63" t="s">
        <v>98</v>
      </c>
      <c r="C52" s="62"/>
      <c r="D52" s="62"/>
      <c r="E52" s="62"/>
    </row>
    <row r="419" spans="2:2" s="37" customFormat="1" ht="15" customHeight="1">
      <c r="B419" s="38"/>
    </row>
    <row r="420" spans="2:2" s="37" customFormat="1" ht="15" customHeight="1">
      <c r="B420" s="39"/>
    </row>
    <row r="421" spans="2:2" s="37" customFormat="1" ht="15" customHeight="1">
      <c r="B421" s="39"/>
    </row>
    <row r="422" spans="2:2" s="37" customFormat="1" ht="15" customHeight="1">
      <c r="B422" s="38"/>
    </row>
    <row r="423" spans="2:2" s="37" customFormat="1" ht="15" customHeight="1">
      <c r="B423" s="38"/>
    </row>
  </sheetData>
  <mergeCells count="16">
    <mergeCell ref="B7:E8"/>
    <mergeCell ref="B10:B12"/>
    <mergeCell ref="B13:B14"/>
    <mergeCell ref="B15:B17"/>
    <mergeCell ref="B18:B19"/>
    <mergeCell ref="B20:B22"/>
    <mergeCell ref="B23:B25"/>
    <mergeCell ref="B26:B28"/>
    <mergeCell ref="B29:B31"/>
    <mergeCell ref="B32:B33"/>
    <mergeCell ref="B46:C46"/>
    <mergeCell ref="B34:B35"/>
    <mergeCell ref="B36:B38"/>
    <mergeCell ref="B39:B40"/>
    <mergeCell ref="B41:B42"/>
    <mergeCell ref="B43:B4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32" max="4" man="1"/>
  </rowBreaks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showGridLines="0" zoomScaleNormal="100" zoomScaleSheetLayoutView="100" workbookViewId="0">
      <selection activeCell="F11" sqref="F11"/>
    </sheetView>
  </sheetViews>
  <sheetFormatPr baseColWidth="10" defaultColWidth="35" defaultRowHeight="15" customHeight="1"/>
  <cols>
    <col min="1" max="1" width="1" style="36" customWidth="1"/>
    <col min="2" max="2" width="22.85546875" style="37" customWidth="1"/>
    <col min="3" max="3" width="31.42578125" style="37" customWidth="1"/>
    <col min="4" max="4" width="14.28515625" style="37" customWidth="1"/>
    <col min="5" max="5" width="16.85546875" style="37" customWidth="1"/>
    <col min="6" max="16384" width="35" style="36"/>
  </cols>
  <sheetData>
    <row r="1" spans="1:5" s="44" customFormat="1" ht="12" customHeight="1">
      <c r="B1" s="48"/>
      <c r="C1" s="47"/>
      <c r="D1" s="47"/>
      <c r="E1" s="47"/>
    </row>
    <row r="2" spans="1:5" s="44" customFormat="1" ht="15" customHeight="1">
      <c r="C2" s="46"/>
    </row>
    <row r="3" spans="1:5" s="44" customFormat="1" ht="15" customHeight="1">
      <c r="C3" s="46"/>
    </row>
    <row r="4" spans="1:5" s="44" customFormat="1" ht="30" customHeight="1">
      <c r="C4" s="46"/>
      <c r="D4" s="45"/>
    </row>
    <row r="5" spans="1:5" s="44" customFormat="1" ht="15" customHeight="1">
      <c r="C5" s="46"/>
      <c r="D5" s="45"/>
    </row>
    <row r="6" spans="1:5" s="41" customFormat="1" ht="24" customHeight="1">
      <c r="B6" s="43"/>
      <c r="C6" s="40"/>
      <c r="D6" s="40"/>
      <c r="E6" s="40"/>
    </row>
    <row r="7" spans="1:5" s="41" customFormat="1" ht="26.25" customHeight="1">
      <c r="A7" s="42"/>
      <c r="B7" s="79"/>
      <c r="C7" s="79"/>
      <c r="D7" s="79"/>
      <c r="E7" s="79"/>
    </row>
    <row r="8" spans="1:5" s="41" customFormat="1" ht="33" customHeight="1">
      <c r="A8" s="42"/>
      <c r="B8" s="79"/>
      <c r="C8" s="79"/>
      <c r="D8" s="79"/>
      <c r="E8" s="79"/>
    </row>
    <row r="9" spans="1:5" s="29" customFormat="1" ht="40.5" customHeight="1">
      <c r="B9" s="52" t="s">
        <v>51</v>
      </c>
      <c r="C9" s="52" t="s">
        <v>59</v>
      </c>
      <c r="D9" s="53" t="s">
        <v>27</v>
      </c>
      <c r="E9" s="52" t="s">
        <v>26</v>
      </c>
    </row>
    <row r="10" spans="1:5" ht="15" customHeight="1">
      <c r="B10" s="76" t="s">
        <v>53</v>
      </c>
      <c r="C10" s="54" t="s">
        <v>57</v>
      </c>
      <c r="D10" s="55">
        <v>5</v>
      </c>
      <c r="E10" s="56">
        <v>0.1</v>
      </c>
    </row>
    <row r="11" spans="1:5" ht="15" customHeight="1">
      <c r="B11" s="77"/>
      <c r="C11" s="54" t="s">
        <v>56</v>
      </c>
      <c r="D11" s="55">
        <v>14</v>
      </c>
      <c r="E11" s="56">
        <v>0.28000000000000003</v>
      </c>
    </row>
    <row r="12" spans="1:5" ht="15" customHeight="1">
      <c r="B12" s="77"/>
      <c r="C12" s="54" t="s">
        <v>55</v>
      </c>
      <c r="D12" s="55">
        <v>8</v>
      </c>
      <c r="E12" s="56">
        <v>0.16</v>
      </c>
    </row>
    <row r="13" spans="1:5" ht="15" customHeight="1">
      <c r="B13" s="78"/>
      <c r="C13" s="54" t="s">
        <v>54</v>
      </c>
      <c r="D13" s="55">
        <v>6</v>
      </c>
      <c r="E13" s="56">
        <v>0.12</v>
      </c>
    </row>
    <row r="14" spans="1:5" ht="15" customHeight="1">
      <c r="B14" s="76" t="s">
        <v>52</v>
      </c>
      <c r="C14" s="54" t="s">
        <v>58</v>
      </c>
      <c r="D14" s="55">
        <v>1</v>
      </c>
      <c r="E14" s="56">
        <v>0.02</v>
      </c>
    </row>
    <row r="15" spans="1:5" s="40" customFormat="1" ht="15" customHeight="1">
      <c r="B15" s="77"/>
      <c r="C15" s="54" t="s">
        <v>57</v>
      </c>
      <c r="D15" s="55">
        <v>2</v>
      </c>
      <c r="E15" s="56">
        <v>0.04</v>
      </c>
    </row>
    <row r="16" spans="1:5" s="40" customFormat="1" ht="15" customHeight="1">
      <c r="B16" s="77"/>
      <c r="C16" s="54" t="s">
        <v>56</v>
      </c>
      <c r="D16" s="55">
        <v>5</v>
      </c>
      <c r="E16" s="56">
        <v>0.1</v>
      </c>
    </row>
    <row r="17" spans="2:5" s="40" customFormat="1" ht="15" customHeight="1">
      <c r="B17" s="77"/>
      <c r="C17" s="54" t="s">
        <v>55</v>
      </c>
      <c r="D17" s="55">
        <v>5</v>
      </c>
      <c r="E17" s="56">
        <v>0.1</v>
      </c>
    </row>
    <row r="18" spans="2:5" s="40" customFormat="1" ht="15" customHeight="1">
      <c r="B18" s="78"/>
      <c r="C18" s="54" t="s">
        <v>54</v>
      </c>
      <c r="D18" s="55">
        <v>4</v>
      </c>
      <c r="E18" s="56">
        <v>0.08</v>
      </c>
    </row>
    <row r="19" spans="2:5" s="40" customFormat="1" ht="15" customHeight="1">
      <c r="B19" s="80" t="s">
        <v>15</v>
      </c>
      <c r="C19" s="81"/>
      <c r="D19" s="60">
        <v>50</v>
      </c>
      <c r="E19" s="61">
        <v>1</v>
      </c>
    </row>
    <row r="20" spans="2:5" ht="15" customHeight="1">
      <c r="B20" s="62"/>
      <c r="C20" s="62"/>
      <c r="D20" s="62"/>
      <c r="E20" s="62"/>
    </row>
    <row r="21" spans="2:5" ht="15" customHeight="1">
      <c r="B21" s="63" t="s">
        <v>97</v>
      </c>
      <c r="C21" s="62"/>
      <c r="D21" s="62"/>
      <c r="E21" s="62"/>
    </row>
    <row r="22" spans="2:5" ht="15" customHeight="1">
      <c r="B22" s="64" t="s">
        <v>14</v>
      </c>
      <c r="C22" s="62"/>
      <c r="D22" s="62"/>
      <c r="E22" s="62"/>
    </row>
    <row r="23" spans="2:5" ht="15" customHeight="1">
      <c r="B23" s="65" t="s">
        <v>13</v>
      </c>
      <c r="C23" s="62"/>
      <c r="D23" s="62"/>
      <c r="E23" s="62"/>
    </row>
    <row r="24" spans="2:5" ht="15" customHeight="1">
      <c r="B24" s="63" t="s">
        <v>12</v>
      </c>
      <c r="C24" s="62"/>
      <c r="D24" s="62"/>
      <c r="E24" s="62"/>
    </row>
    <row r="25" spans="2:5" ht="15" customHeight="1">
      <c r="B25" s="63" t="s">
        <v>98</v>
      </c>
      <c r="C25" s="62"/>
      <c r="D25" s="62"/>
      <c r="E25" s="62"/>
    </row>
    <row r="26" spans="2:5" ht="15" customHeight="1">
      <c r="B26" s="21"/>
    </row>
    <row r="27" spans="2:5" ht="15" customHeight="1">
      <c r="B27" s="20"/>
    </row>
    <row r="28" spans="2:5" ht="15" customHeight="1">
      <c r="B28" s="19"/>
    </row>
    <row r="29" spans="2:5" ht="15" customHeight="1">
      <c r="B29" s="19"/>
    </row>
    <row r="485" spans="2:2" s="37" customFormat="1" ht="15" customHeight="1">
      <c r="B485" s="38"/>
    </row>
    <row r="486" spans="2:2" s="37" customFormat="1" ht="15" customHeight="1">
      <c r="B486" s="39"/>
    </row>
    <row r="487" spans="2:2" s="37" customFormat="1" ht="15" customHeight="1">
      <c r="B487" s="39"/>
    </row>
    <row r="488" spans="2:2" s="37" customFormat="1" ht="15" customHeight="1">
      <c r="B488" s="38"/>
    </row>
    <row r="489" spans="2:2" s="37" customFormat="1" ht="15" customHeight="1">
      <c r="B489" s="38"/>
    </row>
  </sheetData>
  <mergeCells count="4">
    <mergeCell ref="B7:E8"/>
    <mergeCell ref="B10:B13"/>
    <mergeCell ref="B14:B18"/>
    <mergeCell ref="B19:C19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26"/>
  <sheetViews>
    <sheetView showGridLines="0" zoomScaleNormal="100" zoomScaleSheetLayoutView="115" workbookViewId="0">
      <selection activeCell="G15" sqref="G15"/>
    </sheetView>
  </sheetViews>
  <sheetFormatPr baseColWidth="10" defaultColWidth="11.42578125" defaultRowHeight="15"/>
  <cols>
    <col min="1" max="1" width="9.28515625" style="17" customWidth="1"/>
    <col min="2" max="2" width="21.7109375" style="17" customWidth="1"/>
    <col min="3" max="3" width="17.7109375" style="18" customWidth="1"/>
    <col min="4" max="4" width="17.7109375" style="17" customWidth="1"/>
    <col min="5" max="5" width="9.28515625" style="17" customWidth="1"/>
    <col min="6" max="6" width="5.7109375" style="17" customWidth="1"/>
    <col min="7" max="16384" width="11.42578125" style="17"/>
  </cols>
  <sheetData>
    <row r="1" spans="2:4" s="29" customFormat="1" ht="15" customHeight="1">
      <c r="C1" s="35"/>
    </row>
    <row r="2" spans="2:4" s="29" customFormat="1" ht="15" customHeight="1">
      <c r="C2" s="35"/>
    </row>
    <row r="3" spans="2:4" s="29" customFormat="1" ht="15" customHeight="1">
      <c r="C3" s="35"/>
    </row>
    <row r="4" spans="2:4" s="29" customFormat="1" ht="30" customHeight="1">
      <c r="C4" s="35"/>
      <c r="D4" s="34"/>
    </row>
    <row r="5" spans="2:4" s="29" customFormat="1" ht="15" customHeight="1">
      <c r="C5" s="35"/>
      <c r="D5" s="34"/>
    </row>
    <row r="6" spans="2:4" s="29" customFormat="1" ht="15" customHeight="1">
      <c r="C6" s="35"/>
      <c r="D6" s="34"/>
    </row>
    <row r="7" spans="2:4" s="29" customFormat="1" ht="15" customHeight="1">
      <c r="B7" s="75" t="s">
        <v>100</v>
      </c>
      <c r="C7" s="75"/>
      <c r="D7" s="75"/>
    </row>
    <row r="8" spans="2:4" s="29" customFormat="1" ht="15" customHeight="1">
      <c r="B8" s="75"/>
      <c r="C8" s="75"/>
      <c r="D8" s="75"/>
    </row>
    <row r="9" spans="2:4" s="29" customFormat="1" ht="33" customHeight="1">
      <c r="B9" s="75"/>
      <c r="C9" s="75"/>
      <c r="D9" s="75"/>
    </row>
    <row r="10" spans="2:4" s="29" customFormat="1" ht="4.5" customHeight="1">
      <c r="B10" s="33"/>
      <c r="C10" s="33"/>
      <c r="D10" s="33"/>
    </row>
    <row r="11" spans="2:4" s="29" customFormat="1" ht="33" customHeight="1">
      <c r="B11" s="32" t="s">
        <v>65</v>
      </c>
      <c r="C11" s="31" t="s">
        <v>27</v>
      </c>
      <c r="D11" s="30" t="s">
        <v>26</v>
      </c>
    </row>
    <row r="12" spans="2:4" ht="15" customHeight="1">
      <c r="B12" s="27" t="s">
        <v>64</v>
      </c>
      <c r="C12" s="26">
        <v>29</v>
      </c>
      <c r="D12" s="25">
        <v>0.57999999999999996</v>
      </c>
    </row>
    <row r="13" spans="2:4">
      <c r="B13" s="27" t="s">
        <v>63</v>
      </c>
      <c r="C13" s="26">
        <v>8</v>
      </c>
      <c r="D13" s="25">
        <v>0.16</v>
      </c>
    </row>
    <row r="14" spans="2:4" s="28" customFormat="1">
      <c r="B14" s="27" t="s">
        <v>61</v>
      </c>
      <c r="C14" s="26">
        <v>5</v>
      </c>
      <c r="D14" s="25">
        <v>0.1</v>
      </c>
    </row>
    <row r="15" spans="2:4" s="28" customFormat="1">
      <c r="B15" s="27" t="s">
        <v>60</v>
      </c>
      <c r="C15" s="26">
        <v>5</v>
      </c>
      <c r="D15" s="25">
        <v>0.1</v>
      </c>
    </row>
    <row r="16" spans="2:4">
      <c r="B16" s="27" t="s">
        <v>75</v>
      </c>
      <c r="C16" s="26">
        <v>1</v>
      </c>
      <c r="D16" s="25">
        <v>0.02</v>
      </c>
    </row>
    <row r="17" spans="2:4">
      <c r="B17" s="27" t="s">
        <v>62</v>
      </c>
      <c r="C17" s="26">
        <v>1</v>
      </c>
      <c r="D17" s="25">
        <v>0.02</v>
      </c>
    </row>
    <row r="18" spans="2:4">
      <c r="B18" s="27" t="s">
        <v>101</v>
      </c>
      <c r="C18" s="26">
        <v>1</v>
      </c>
      <c r="D18" s="25">
        <v>0.02</v>
      </c>
    </row>
    <row r="19" spans="2:4">
      <c r="B19" s="24" t="s">
        <v>15</v>
      </c>
      <c r="C19" s="23">
        <v>50</v>
      </c>
      <c r="D19" s="22">
        <v>1</v>
      </c>
    </row>
    <row r="21" spans="2:4">
      <c r="B21" s="19" t="s">
        <v>97</v>
      </c>
    </row>
    <row r="22" spans="2:4">
      <c r="B22" s="21" t="s">
        <v>14</v>
      </c>
    </row>
    <row r="23" spans="2:4">
      <c r="B23" s="20" t="s">
        <v>13</v>
      </c>
    </row>
    <row r="24" spans="2:4">
      <c r="B24" s="19" t="s">
        <v>12</v>
      </c>
    </row>
    <row r="25" spans="2:4">
      <c r="B25" s="19" t="s">
        <v>98</v>
      </c>
    </row>
    <row r="26" spans="2:4">
      <c r="B26" s="19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Alaska_Edomexgral</vt:lpstr>
      <vt:lpstr>Alaska_EDOMEX</vt:lpstr>
      <vt:lpstr>Alaska_Educagral</vt:lpstr>
      <vt:lpstr>Alaska_Eduedo</vt:lpstr>
      <vt:lpstr>Alaska_gengral</vt:lpstr>
      <vt:lpstr>Alaska_edomexgen</vt:lpstr>
      <vt:lpstr>Alaska_edadgen</vt:lpstr>
      <vt:lpstr>Alaska_ocupgral</vt:lpstr>
      <vt:lpstr>Alaska_edadgen!Área_de_impresión</vt:lpstr>
      <vt:lpstr>Alaska_EDOMEX!Área_de_impresión</vt:lpstr>
      <vt:lpstr>Alaska_edomexgen!Área_de_impresión</vt:lpstr>
      <vt:lpstr>Alaska_Eduedo!Área_de_impresión</vt:lpstr>
      <vt:lpstr>Alaska_edadgen!Títulos_a_imprimir</vt:lpstr>
      <vt:lpstr>Alaska_EDOMEX!Títulos_a_imprimir</vt:lpstr>
      <vt:lpstr>Alaska_edomexgen!Títulos_a_imprimir</vt:lpstr>
      <vt:lpstr>Alaska_Edomexgral!Títulos_a_imprimir</vt:lpstr>
      <vt:lpstr>Alaska_Educagral!Títulos_a_imprimir</vt:lpstr>
      <vt:lpstr>Alaska_Eduedo!Títulos_a_imprimir</vt:lpstr>
      <vt:lpstr>Alaska_gengral!Títulos_a_imprimir</vt:lpstr>
      <vt:lpstr>Alaska_ocupgral!Títulos_a_imprimir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2020-06-18T17:12:35Z</dcterms:created>
  <dcterms:modified xsi:type="dcterms:W3CDTF">2023-07-03T22:33:45Z</dcterms:modified>
</cp:coreProperties>
</file>