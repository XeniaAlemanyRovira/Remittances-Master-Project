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28"/>
  </bookViews>
  <sheets>
    <sheet name="Índice" sheetId="10" r:id="rId1"/>
    <sheet name="Vermont_Edomexgral" sheetId="2" r:id="rId2"/>
    <sheet name="Vermont_EDOMEX" sheetId="12" r:id="rId3"/>
    <sheet name="Vermont_Educagral" sheetId="4" r:id="rId4"/>
    <sheet name="Vermont_Eduedo" sheetId="11" r:id="rId5"/>
    <sheet name="Vermont_gengral" sheetId="6" r:id="rId6"/>
    <sheet name="Vermont_edomexgen" sheetId="7" r:id="rId7"/>
    <sheet name="Vermont_edadgen" sheetId="8" r:id="rId8"/>
    <sheet name="Vermont_ocupgral" sheetId="9" r:id="rId9"/>
  </sheets>
  <definedNames>
    <definedName name="_xlnm._FilterDatabase" localSheetId="7" hidden="1">Vermont_edadgen!$B$9:$E$9</definedName>
    <definedName name="_xlnm._FilterDatabase" localSheetId="2" hidden="1">Vermont_EDOMEX!$B$9:$E$9</definedName>
    <definedName name="_xlnm._FilterDatabase" localSheetId="6" hidden="1">Vermont_edomexgen!$B$9:$E$9</definedName>
    <definedName name="_xlnm._FilterDatabase" localSheetId="1" hidden="1">Vermont_Edomexgral!$B$11:$D$11</definedName>
    <definedName name="_xlnm._FilterDatabase" localSheetId="3" hidden="1">Vermont_Educagral!$B$11:$D$11</definedName>
    <definedName name="_xlnm._FilterDatabase" localSheetId="4" hidden="1">Vermont_Eduedo!$B$9:$E$9</definedName>
    <definedName name="_xlnm._FilterDatabase" localSheetId="5" hidden="1">Vermont_gengral!$B$11:$D$11</definedName>
    <definedName name="_xlnm._FilterDatabase" localSheetId="8" hidden="1">Vermont_ocupgral!$B$11:$D$11</definedName>
    <definedName name="_xlnm.Print_Area" localSheetId="0">Índice!$A$1:$D$21</definedName>
    <definedName name="_xlnm.Print_Area" localSheetId="7">Vermont_edadgen!$A$1:$E$9</definedName>
    <definedName name="_xlnm.Print_Area" localSheetId="2">Vermont_EDOMEX!$A$1:$E$9</definedName>
    <definedName name="_xlnm.Print_Area" localSheetId="6">Vermont_edomexgen!$A$1:$E$9</definedName>
    <definedName name="_xlnm.Print_Area" localSheetId="4">Vermont_Eduedo!$A$1:$E$9</definedName>
    <definedName name="_xlnm.Print_Titles" localSheetId="7">Vermont_edadgen!$1:$9</definedName>
    <definedName name="_xlnm.Print_Titles" localSheetId="2">Vermont_EDOMEX!$1:$9</definedName>
    <definedName name="_xlnm.Print_Titles" localSheetId="6">Vermont_edomexgen!$1:$9</definedName>
    <definedName name="_xlnm.Print_Titles" localSheetId="1">Vermont_Edomexgral!$1:$11</definedName>
    <definedName name="_xlnm.Print_Titles" localSheetId="3">Vermont_Educagral!$1:$11</definedName>
    <definedName name="_xlnm.Print_Titles" localSheetId="4">Vermont_Eduedo!$1:$9</definedName>
    <definedName name="_xlnm.Print_Titles" localSheetId="5">Vermont_gengral!$1:$11</definedName>
    <definedName name="_xlnm.Print_Titles" localSheetId="8">Vermont_ocupgral!$1:$11</definedName>
  </definedNames>
  <calcPr calcId="152511"/>
</workbook>
</file>

<file path=xl/calcChain.xml><?xml version="1.0" encoding="utf-8"?>
<calcChain xmlns="http://schemas.openxmlformats.org/spreadsheetml/2006/main">
  <c r="D30" i="12" l="1"/>
  <c r="D25" i="7" l="1"/>
</calcChain>
</file>

<file path=xl/sharedStrings.xml><?xml version="1.0" encoding="utf-8"?>
<sst xmlns="http://schemas.openxmlformats.org/spreadsheetml/2006/main" count="191" uniqueCount="67">
  <si>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</si>
  <si>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</si>
  <si>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</si>
  <si>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</si>
  <si>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Puebla</t>
  </si>
  <si>
    <t>Hidalgo</t>
  </si>
  <si>
    <t>Oaxaca</t>
  </si>
  <si>
    <t>Veracruz</t>
  </si>
  <si>
    <t>Chiapas</t>
  </si>
  <si>
    <t>Tabasco</t>
  </si>
  <si>
    <t>Porcentaje de Matrículas</t>
  </si>
  <si>
    <t>Número de Matrículas</t>
  </si>
  <si>
    <t>Estado de Origen</t>
  </si>
  <si>
    <t>Cárdenas</t>
  </si>
  <si>
    <t>Las Margaritas</t>
  </si>
  <si>
    <t>Municipio Origen</t>
  </si>
  <si>
    <t>Preparatoria con certificado</t>
  </si>
  <si>
    <t>Secundaria con certificado</t>
  </si>
  <si>
    <t>3° Secundaria</t>
  </si>
  <si>
    <t>Primaria con certificado</t>
  </si>
  <si>
    <t>6° Primaria</t>
  </si>
  <si>
    <t>Nivel de Estudios</t>
  </si>
  <si>
    <t>MATRÍCULAS CONSULARES EXPEDIDAS EN EL ESTADO DE VERMONT EN EE.UU. POR NIVEL DE EDUCACIÓN</t>
  </si>
  <si>
    <t>TOTAL</t>
  </si>
  <si>
    <t>Género</t>
  </si>
  <si>
    <t>Mujer</t>
  </si>
  <si>
    <t>Hombre</t>
  </si>
  <si>
    <t>Entre 40 y 49 Años</t>
  </si>
  <si>
    <t>Entre 29 y 39 Años</t>
  </si>
  <si>
    <t>Entre 18 y 28 Años</t>
  </si>
  <si>
    <t>Edad cumplida</t>
  </si>
  <si>
    <t>Obrero(a)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</si>
  <si>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</si>
  <si>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</si>
  <si>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</si>
  <si>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</si>
  <si>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</si>
  <si>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</si>
  <si>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</si>
  <si>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</si>
  <si>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</si>
  <si>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</si>
  <si>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</si>
  <si>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</si>
  <si>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</si>
  <si>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</si>
  <si>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San Cristóbal de las Casas</t>
  </si>
  <si>
    <t>Xiutetelco</t>
  </si>
  <si>
    <t>Altotonga</t>
  </si>
  <si>
    <t>Martínez de la Torre</t>
  </si>
  <si>
    <t>Profesional Titulado</t>
  </si>
  <si>
    <t>Profesional titulado</t>
  </si>
  <si>
    <t>Matrículas consulares expedidas a mexicanos  en el estado de Vermont en el 2022</t>
  </si>
  <si>
    <t>Tamaño de la muestra: 566,547</t>
  </si>
  <si>
    <t>Mayo de 2023</t>
  </si>
  <si>
    <t>Michoacán</t>
  </si>
  <si>
    <t>MATRÍCULAS CONSULARES DE ALTA SEGURIDAD EXPEDIDAS EN EE.UU A MEXICANOS EN EL ESTADO DE VERMONT, POR GÉNERO</t>
  </si>
  <si>
    <t>Comerciante</t>
  </si>
  <si>
    <t>MATRÍCULAS CONSULARES DE ALTA SEGURIDAD EXPEDIDAS EN EE.UU A MEXICANOS EN EL ESTADO DE  VERMONT, POR PERFIL OCUPACIONAL</t>
  </si>
  <si>
    <t>MATRÍCULAS CONSULARES DE ALTA SEGURIDAD EXPEDIDAS EN EL ESTADO DE VERMONT EN EE.UU. POR ESTADO DE LA REPÚBLICA MEXICANA</t>
  </si>
  <si>
    <t>Jacala de Ledezma</t>
  </si>
  <si>
    <t>Carácuaro</t>
  </si>
  <si>
    <t>Múgica</t>
  </si>
  <si>
    <t>Santa María Chimalapa</t>
  </si>
  <si>
    <t>Acajete</t>
  </si>
  <si>
    <t>Huayacocotla</t>
  </si>
  <si>
    <t>Soteapan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</si>
</sst>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1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 applyBorder="1"/>
    <xf numFmtId="0" fontId="14" fillId="0" borderId="0" xfId="0" applyFont="1" applyBorder="1" applyAlignment="1">
      <alignment vertical="top"/>
    </xf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5" fillId="3" borderId="1" xfId="2" applyNumberFormat="1" applyFont="1" applyFill="1" applyBorder="1" applyAlignment="1">
      <alignment horizontal="right" vertical="center" wrapText="1"/>
    </xf>
    <xf numFmtId="166" fontId="15" fillId="3" borderId="1" xfId="2" applyNumberFormat="1" applyFont="1" applyFill="1" applyBorder="1" applyAlignment="1">
      <alignment horizontal="right" vertical="center" wrapText="1"/>
    </xf>
    <xf numFmtId="49" fontId="15" fillId="3" borderId="1" xfId="2" applyNumberFormat="1" applyFont="1" applyFill="1" applyBorder="1" applyAlignment="1">
      <alignment vertical="center" wrapText="1"/>
    </xf>
    <xf numFmtId="0" fontId="16" fillId="3" borderId="0" xfId="0" applyFont="1" applyFill="1"/>
    <xf numFmtId="0" fontId="17" fillId="2" borderId="2" xfId="3" applyFont="1" applyFill="1" applyBorder="1" applyAlignment="1">
      <alignment horizontal="center" vertical="center" wrapText="1"/>
    </xf>
    <xf numFmtId="1" fontId="17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8" fillId="3" borderId="0" xfId="0" applyFont="1" applyFill="1" applyAlignment="1"/>
    <xf numFmtId="0" fontId="16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4" fillId="0" borderId="0" xfId="0" applyFont="1" applyAlignment="1">
      <alignment vertical="top"/>
    </xf>
    <xf numFmtId="3" fontId="8" fillId="3" borderId="0" xfId="0" applyNumberFormat="1" applyFont="1" applyFill="1"/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horizontal="justify" vertical="center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5" fillId="3" borderId="2" xfId="2" applyNumberFormat="1" applyFont="1" applyFill="1" applyBorder="1" applyAlignment="1">
      <alignment horizontal="center" vertical="center" wrapText="1"/>
    </xf>
    <xf numFmtId="49" fontId="15" fillId="3" borderId="7" xfId="2" applyNumberFormat="1" applyFont="1" applyFill="1" applyBorder="1" applyAlignment="1">
      <alignment horizontal="center" vertical="center" wrapText="1"/>
    </xf>
    <xf numFmtId="49" fontId="15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15" fillId="3" borderId="1" xfId="2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200354</xdr:rowOff>
    </xdr:from>
    <xdr:to>
      <xdr:col>3</xdr:col>
      <xdr:colOff>997818</xdr:colOff>
      <xdr:row>2</xdr:row>
      <xdr:rowOff>190830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9946" y="73375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104775</xdr:rowOff>
    </xdr:from>
    <xdr:to>
      <xdr:col>5</xdr:col>
      <xdr:colOff>64422</xdr:colOff>
      <xdr:row>8</xdr:row>
      <xdr:rowOff>284070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8192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VERMONT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280823</xdr:colOff>
      <xdr:row>7</xdr:row>
      <xdr:rowOff>179004</xdr:rowOff>
    </xdr:from>
    <xdr:to>
      <xdr:col>5</xdr:col>
      <xdr:colOff>981075</xdr:colOff>
      <xdr:row>7</xdr:row>
      <xdr:rowOff>371475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043448" y="1922079"/>
          <a:ext cx="700252" cy="19247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114300</xdr:rowOff>
    </xdr:from>
    <xdr:to>
      <xdr:col>4</xdr:col>
      <xdr:colOff>512097</xdr:colOff>
      <xdr:row>8</xdr:row>
      <xdr:rowOff>293595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8288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VERMONT,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177362</xdr:rowOff>
    </xdr:from>
    <xdr:to>
      <xdr:col>4</xdr:col>
      <xdr:colOff>1037614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91813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76200</xdr:rowOff>
    </xdr:from>
    <xdr:to>
      <xdr:col>4</xdr:col>
      <xdr:colOff>607347</xdr:colOff>
      <xdr:row>8</xdr:row>
      <xdr:rowOff>255495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24375" y="17907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VERMONT,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610914</xdr:colOff>
      <xdr:row>7</xdr:row>
      <xdr:rowOff>144517</xdr:rowOff>
    </xdr:from>
    <xdr:to>
      <xdr:col>4</xdr:col>
      <xdr:colOff>1123011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8604" y="188529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VERMONT,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144517</xdr:rowOff>
    </xdr:from>
    <xdr:to>
      <xdr:col>4</xdr:col>
      <xdr:colOff>971924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8529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activeCell="D14" sqref="D14"/>
    </sheetView>
  </sheetViews>
  <sheetFormatPr baseColWidth="10" defaultColWidth="11.42578125" defaultRowHeight="18"/>
  <cols>
    <col min="1" max="1" width="5.140625" style="44" customWidth="1"/>
    <col min="2" max="2" width="20" style="44" customWidth="1"/>
    <col min="3" max="3" width="24.7109375" style="44" customWidth="1"/>
    <col min="4" max="4" width="28.85546875" style="44" customWidth="1"/>
    <col min="5" max="16384" width="11.42578125" style="44"/>
  </cols>
  <sheetData>
    <row r="1" spans="1:4" ht="42" customHeight="1" thickBot="1">
      <c r="A1" s="67" t="s">
        <v>52</v>
      </c>
      <c r="B1" s="68"/>
      <c r="C1" s="68"/>
      <c r="D1" s="69"/>
    </row>
    <row r="2" spans="1:4" ht="18.75">
      <c r="A2" s="45"/>
      <c r="B2" s="46"/>
      <c r="C2" s="46"/>
      <c r="D2" s="47"/>
    </row>
    <row r="3" spans="1:4">
      <c r="A3" s="70" t="s">
        <v>34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48"/>
      <c r="B5" s="49"/>
      <c r="C5" s="49"/>
      <c r="D5" s="50"/>
    </row>
    <row r="6" spans="1:4" ht="18.75">
      <c r="A6" s="66" t="s">
        <v>35</v>
      </c>
      <c r="B6" s="64"/>
      <c r="C6" s="64"/>
      <c r="D6" s="65"/>
    </row>
    <row r="7" spans="1:4" ht="18.75">
      <c r="A7" s="51"/>
      <c r="B7" s="52"/>
      <c r="C7" s="52"/>
      <c r="D7" s="53"/>
    </row>
    <row r="8" spans="1:4" ht="18.75">
      <c r="A8" s="54" t="s">
        <v>36</v>
      </c>
      <c r="B8" s="55"/>
      <c r="C8" s="55"/>
      <c r="D8" s="56"/>
    </row>
    <row r="9" spans="1:4" ht="18.75">
      <c r="A9" s="54"/>
      <c r="B9" s="64" t="s">
        <v>37</v>
      </c>
      <c r="C9" s="64"/>
      <c r="D9" s="65"/>
    </row>
    <row r="10" spans="1:4" ht="18.75">
      <c r="A10" s="54" t="s">
        <v>38</v>
      </c>
      <c r="B10" s="55"/>
      <c r="C10" s="55"/>
      <c r="D10" s="56"/>
    </row>
    <row r="11" spans="1:4" ht="18.75">
      <c r="A11" s="54"/>
      <c r="B11" s="64" t="s">
        <v>39</v>
      </c>
      <c r="C11" s="64"/>
      <c r="D11" s="65"/>
    </row>
    <row r="12" spans="1:4" ht="18.75">
      <c r="A12" s="54"/>
      <c r="B12" s="64" t="s">
        <v>40</v>
      </c>
      <c r="C12" s="64"/>
      <c r="D12" s="65"/>
    </row>
    <row r="13" spans="1:4" ht="18.75">
      <c r="A13" s="54"/>
      <c r="B13" s="55"/>
      <c r="C13" s="55"/>
      <c r="D13" s="56"/>
    </row>
    <row r="14" spans="1:4" ht="18.75">
      <c r="A14" s="54" t="s">
        <v>41</v>
      </c>
      <c r="B14" s="55"/>
      <c r="C14" s="55"/>
      <c r="D14" s="56"/>
    </row>
    <row r="15" spans="1:4" ht="18.75">
      <c r="A15" s="54"/>
      <c r="B15" s="64" t="s">
        <v>42</v>
      </c>
      <c r="C15" s="64"/>
      <c r="D15" s="65"/>
    </row>
    <row r="16" spans="1:4" ht="18.75">
      <c r="A16" s="54"/>
      <c r="B16" s="64" t="s">
        <v>43</v>
      </c>
      <c r="C16" s="64"/>
      <c r="D16" s="65"/>
    </row>
    <row r="17" spans="1:4" ht="18.75">
      <c r="A17" s="54"/>
      <c r="B17" s="55"/>
      <c r="C17" s="55"/>
      <c r="D17" s="56"/>
    </row>
    <row r="18" spans="1:4" ht="18.75">
      <c r="A18" s="66" t="s">
        <v>44</v>
      </c>
      <c r="B18" s="64"/>
      <c r="C18" s="64"/>
      <c r="D18" s="65"/>
    </row>
    <row r="19" spans="1:4" ht="18.75">
      <c r="A19" s="54"/>
      <c r="B19" s="55"/>
      <c r="C19" s="55"/>
      <c r="D19" s="56"/>
    </row>
    <row r="20" spans="1:4" ht="18.75">
      <c r="A20" s="66" t="s">
        <v>45</v>
      </c>
      <c r="B20" s="64"/>
      <c r="C20" s="64"/>
      <c r="D20" s="65"/>
    </row>
    <row r="21" spans="1:4" ht="19.5" thickBot="1">
      <c r="A21" s="57"/>
      <c r="B21" s="58"/>
      <c r="C21" s="58"/>
      <c r="D21" s="59"/>
    </row>
    <row r="22" spans="1:4" ht="18.75">
      <c r="A22" s="60"/>
      <c r="B22" s="60"/>
      <c r="C22" s="60"/>
      <c r="D22" s="6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Vermont_Edomexgral!A1" display="1. Por Estados de la República Mexicana"/>
    <hyperlink ref="B9" location="'New Jersey_EDOMEX'!A1" display="2.1 Por estado de la República Mexicana y municipio de origen"/>
    <hyperlink ref="B11:D11" location="Vermont_Educagral!A1" display="3.1 Educación general"/>
    <hyperlink ref="B12:D12" location="Vermont_Eduedo!A1" display="3.2 Por Estado de la República Mexicana"/>
    <hyperlink ref="B15:D15" location="Vermont_gengral!A1" display="4.1 Género General"/>
    <hyperlink ref="B16:D16" location="Vermont_edomexgen!A1" display="4.2 Por Estados de la República Mexicana"/>
    <hyperlink ref="A18:D18" location="Vermont_edadgen!A1" display="5. Por estructura de Edad"/>
    <hyperlink ref="A20:D20" location="Vermont_ocupgral!A1" display="6. Por Ocupación"/>
    <hyperlink ref="B9:D9" location="Vermont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25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>
      <c r="C1" s="19"/>
    </row>
    <row r="2" spans="2:4" s="13" customFormat="1" ht="15" customHeight="1">
      <c r="C2" s="19"/>
    </row>
    <row r="3" spans="2:4" s="13" customFormat="1" ht="15" customHeight="1">
      <c r="C3" s="19"/>
    </row>
    <row r="4" spans="2:4" s="13" customFormat="1" ht="30" customHeight="1">
      <c r="C4" s="19"/>
      <c r="D4" s="18"/>
    </row>
    <row r="5" spans="2:4" s="13" customFormat="1" ht="15" customHeight="1">
      <c r="C5" s="19"/>
      <c r="D5" s="18"/>
    </row>
    <row r="6" spans="2:4" s="13" customFormat="1" ht="15" customHeight="1">
      <c r="C6" s="19"/>
      <c r="D6" s="18"/>
    </row>
    <row r="7" spans="2:4" s="13" customFormat="1" ht="15" customHeight="1">
      <c r="B7" s="73" t="s">
        <v>59</v>
      </c>
      <c r="C7" s="73"/>
      <c r="D7" s="73"/>
    </row>
    <row r="8" spans="2:4" s="13" customFormat="1" ht="15" customHeight="1">
      <c r="B8" s="73"/>
      <c r="C8" s="73"/>
      <c r="D8" s="73"/>
    </row>
    <row r="9" spans="2:4" s="13" customFormat="1" ht="33" customHeight="1">
      <c r="B9" s="73"/>
      <c r="C9" s="73"/>
      <c r="D9" s="73"/>
    </row>
    <row r="10" spans="2:4" s="13" customFormat="1" ht="4.5" customHeight="1">
      <c r="B10" s="17"/>
      <c r="C10" s="17"/>
      <c r="D10" s="17"/>
    </row>
    <row r="11" spans="2:4" s="13" customFormat="1" ht="33" customHeight="1">
      <c r="B11" s="16" t="s">
        <v>12</v>
      </c>
      <c r="C11" s="15" t="s">
        <v>11</v>
      </c>
      <c r="D11" s="14" t="s">
        <v>10</v>
      </c>
    </row>
    <row r="12" spans="2:4">
      <c r="B12" s="11" t="s">
        <v>7</v>
      </c>
      <c r="C12" s="10">
        <v>6</v>
      </c>
      <c r="D12" s="9">
        <v>0.33333333333333331</v>
      </c>
    </row>
    <row r="13" spans="2:4">
      <c r="B13" s="11" t="s">
        <v>8</v>
      </c>
      <c r="C13" s="10">
        <v>4</v>
      </c>
      <c r="D13" s="9">
        <v>0.22222222222222221</v>
      </c>
    </row>
    <row r="14" spans="2:4">
      <c r="B14" s="11" t="s">
        <v>5</v>
      </c>
      <c r="C14" s="10">
        <v>2</v>
      </c>
      <c r="D14" s="9">
        <v>0.1111111111111111</v>
      </c>
    </row>
    <row r="15" spans="2:4">
      <c r="B15" s="11" t="s">
        <v>55</v>
      </c>
      <c r="C15" s="10">
        <v>2</v>
      </c>
      <c r="D15" s="9">
        <v>0.1111111111111111</v>
      </c>
    </row>
    <row r="16" spans="2:4">
      <c r="B16" s="11" t="s">
        <v>9</v>
      </c>
      <c r="C16" s="10">
        <v>2</v>
      </c>
      <c r="D16" s="9">
        <v>0.1111111111111111</v>
      </c>
    </row>
    <row r="17" spans="2:4">
      <c r="B17" s="11" t="s">
        <v>6</v>
      </c>
      <c r="C17" s="10">
        <v>1</v>
      </c>
      <c r="D17" s="9">
        <v>5.5555555555555552E-2</v>
      </c>
    </row>
    <row r="18" spans="2:4">
      <c r="B18" s="11" t="s">
        <v>4</v>
      </c>
      <c r="C18" s="10">
        <v>1</v>
      </c>
      <c r="D18" s="9">
        <v>5.5555555555555552E-2</v>
      </c>
    </row>
    <row r="19" spans="2:4">
      <c r="B19" s="8" t="s">
        <v>3</v>
      </c>
      <c r="C19" s="7">
        <v>18</v>
      </c>
      <c r="D19" s="6">
        <v>1</v>
      </c>
    </row>
    <row r="21" spans="2:4">
      <c r="B21" s="3" t="s">
        <v>53</v>
      </c>
    </row>
    <row r="22" spans="2:4">
      <c r="B22" s="5" t="s">
        <v>2</v>
      </c>
    </row>
    <row r="23" spans="2:4">
      <c r="B23" s="4" t="s">
        <v>1</v>
      </c>
    </row>
    <row r="24" spans="2:4">
      <c r="B24" s="3" t="s">
        <v>0</v>
      </c>
    </row>
    <row r="25" spans="2:4">
      <c r="B25" s="3" t="s">
        <v>54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62"/>
  <sheetViews>
    <sheetView showGridLines="0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9"/>
      <c r="C7" s="79"/>
      <c r="D7" s="79"/>
      <c r="E7" s="79"/>
    </row>
    <row r="8" spans="1:5" s="34" customFormat="1" ht="33" customHeight="1">
      <c r="A8" s="35"/>
      <c r="B8" s="79"/>
      <c r="C8" s="79"/>
      <c r="D8" s="79"/>
      <c r="E8" s="79"/>
    </row>
    <row r="9" spans="1:5" s="13" customFormat="1" ht="30" customHeight="1">
      <c r="B9" s="31" t="s">
        <v>12</v>
      </c>
      <c r="C9" s="33" t="s">
        <v>15</v>
      </c>
      <c r="D9" s="32" t="s">
        <v>11</v>
      </c>
      <c r="E9" s="31" t="s">
        <v>10</v>
      </c>
    </row>
    <row r="10" spans="1:5" ht="15" customHeight="1">
      <c r="B10" s="74" t="s">
        <v>8</v>
      </c>
      <c r="C10" s="29" t="s">
        <v>14</v>
      </c>
      <c r="D10" s="28">
        <v>3</v>
      </c>
      <c r="E10" s="27">
        <v>0.16666666666666666</v>
      </c>
    </row>
    <row r="11" spans="1:5" ht="15" customHeight="1">
      <c r="B11" s="75"/>
      <c r="C11" s="29" t="s">
        <v>46</v>
      </c>
      <c r="D11" s="28">
        <v>1</v>
      </c>
      <c r="E11" s="27">
        <v>5.5555555555555552E-2</v>
      </c>
    </row>
    <row r="12" spans="1:5" ht="15" customHeight="1">
      <c r="B12" s="76"/>
      <c r="C12" s="26" t="s">
        <v>3</v>
      </c>
      <c r="D12" s="25">
        <v>4</v>
      </c>
      <c r="E12" s="24">
        <v>0.22222222222222221</v>
      </c>
    </row>
    <row r="13" spans="1:5" ht="15" customHeight="1">
      <c r="B13" s="74" t="s">
        <v>5</v>
      </c>
      <c r="C13" s="29" t="s">
        <v>60</v>
      </c>
      <c r="D13" s="28">
        <v>2</v>
      </c>
      <c r="E13" s="27">
        <v>0.1111111111111111</v>
      </c>
    </row>
    <row r="14" spans="1:5" ht="15" customHeight="1">
      <c r="B14" s="76"/>
      <c r="C14" s="26" t="s">
        <v>3</v>
      </c>
      <c r="D14" s="25">
        <v>2</v>
      </c>
      <c r="E14" s="24">
        <v>0.1111111111111111</v>
      </c>
    </row>
    <row r="15" spans="1:5" ht="15" customHeight="1">
      <c r="B15" s="74" t="s">
        <v>55</v>
      </c>
      <c r="C15" s="29" t="s">
        <v>61</v>
      </c>
      <c r="D15" s="28">
        <v>1</v>
      </c>
      <c r="E15" s="27">
        <v>5.5555555555555552E-2</v>
      </c>
    </row>
    <row r="16" spans="1:5" ht="15" customHeight="1">
      <c r="B16" s="75"/>
      <c r="C16" s="29" t="s">
        <v>62</v>
      </c>
      <c r="D16" s="28">
        <v>1</v>
      </c>
      <c r="E16" s="27">
        <v>5.5555555555555552E-2</v>
      </c>
    </row>
    <row r="17" spans="2:5" ht="15" customHeight="1">
      <c r="B17" s="76"/>
      <c r="C17" s="26" t="s">
        <v>3</v>
      </c>
      <c r="D17" s="25">
        <v>2</v>
      </c>
      <c r="E17" s="24">
        <v>0.1111111111111111</v>
      </c>
    </row>
    <row r="18" spans="2:5" ht="15" customHeight="1">
      <c r="B18" s="74" t="s">
        <v>6</v>
      </c>
      <c r="C18" s="29" t="s">
        <v>63</v>
      </c>
      <c r="D18" s="28">
        <v>1</v>
      </c>
      <c r="E18" s="27">
        <v>5.5555555555555552E-2</v>
      </c>
    </row>
    <row r="19" spans="2:5" ht="15" customHeight="1">
      <c r="B19" s="76"/>
      <c r="C19" s="26" t="s">
        <v>3</v>
      </c>
      <c r="D19" s="25">
        <v>1</v>
      </c>
      <c r="E19" s="24">
        <v>5.5555555555555552E-2</v>
      </c>
    </row>
    <row r="20" spans="2:5" ht="15" customHeight="1">
      <c r="B20" s="74" t="s">
        <v>4</v>
      </c>
      <c r="C20" s="29" t="s">
        <v>47</v>
      </c>
      <c r="D20" s="28">
        <v>1</v>
      </c>
      <c r="E20" s="27">
        <v>5.5555555555555552E-2</v>
      </c>
    </row>
    <row r="21" spans="2:5" ht="15" customHeight="1">
      <c r="B21" s="76"/>
      <c r="C21" s="26" t="s">
        <v>3</v>
      </c>
      <c r="D21" s="25">
        <v>1</v>
      </c>
      <c r="E21" s="24">
        <v>5.5555555555555552E-2</v>
      </c>
    </row>
    <row r="22" spans="2:5" ht="15" customHeight="1">
      <c r="B22" s="74" t="s">
        <v>9</v>
      </c>
      <c r="C22" s="29" t="s">
        <v>13</v>
      </c>
      <c r="D22" s="28">
        <v>2</v>
      </c>
      <c r="E22" s="27">
        <v>0.1111111111111111</v>
      </c>
    </row>
    <row r="23" spans="2:5" ht="15" customHeight="1">
      <c r="B23" s="76"/>
      <c r="C23" s="26" t="s">
        <v>3</v>
      </c>
      <c r="D23" s="25">
        <v>2</v>
      </c>
      <c r="E23" s="24">
        <v>0.1111111111111111</v>
      </c>
    </row>
    <row r="24" spans="2:5" ht="15" customHeight="1">
      <c r="B24" s="74" t="s">
        <v>7</v>
      </c>
      <c r="C24" s="29" t="s">
        <v>64</v>
      </c>
      <c r="D24" s="28">
        <v>1</v>
      </c>
      <c r="E24" s="27">
        <v>5.5555555555555552E-2</v>
      </c>
    </row>
    <row r="25" spans="2:5" ht="15" customHeight="1">
      <c r="B25" s="75"/>
      <c r="C25" s="29" t="s">
        <v>48</v>
      </c>
      <c r="D25" s="28">
        <v>1</v>
      </c>
      <c r="E25" s="27">
        <v>5.5555555555555552E-2</v>
      </c>
    </row>
    <row r="26" spans="2:5" ht="15" customHeight="1">
      <c r="B26" s="75"/>
      <c r="C26" s="29" t="s">
        <v>65</v>
      </c>
      <c r="D26" s="28">
        <v>1</v>
      </c>
      <c r="E26" s="27">
        <v>5.5555555555555552E-2</v>
      </c>
    </row>
    <row r="27" spans="2:5" ht="15" customHeight="1">
      <c r="B27" s="75"/>
      <c r="C27" s="29" t="s">
        <v>49</v>
      </c>
      <c r="D27" s="28">
        <v>2</v>
      </c>
      <c r="E27" s="27">
        <v>0.1111111111111111</v>
      </c>
    </row>
    <row r="28" spans="2:5" ht="15" customHeight="1">
      <c r="B28" s="75"/>
      <c r="C28" s="29" t="s">
        <v>66</v>
      </c>
      <c r="D28" s="28">
        <v>1</v>
      </c>
      <c r="E28" s="27">
        <v>5.5555555555555552E-2</v>
      </c>
    </row>
    <row r="29" spans="2:5" ht="15" customHeight="1">
      <c r="B29" s="76"/>
      <c r="C29" s="26" t="s">
        <v>3</v>
      </c>
      <c r="D29" s="25">
        <v>6</v>
      </c>
      <c r="E29" s="24">
        <v>0.33333333333333331</v>
      </c>
    </row>
    <row r="30" spans="2:5" ht="15" customHeight="1">
      <c r="B30" s="77" t="s">
        <v>3</v>
      </c>
      <c r="C30" s="78"/>
      <c r="D30" s="61">
        <f>SUMIF(C$10:C29,"Total",D$10:D29)</f>
        <v>18</v>
      </c>
      <c r="E30" s="62">
        <v>1</v>
      </c>
    </row>
    <row r="32" spans="2:5" ht="15" customHeight="1">
      <c r="B32" s="3" t="s">
        <v>53</v>
      </c>
    </row>
    <row r="33" spans="2:2" ht="15" customHeight="1">
      <c r="B33" s="5" t="s">
        <v>2</v>
      </c>
    </row>
    <row r="34" spans="2:2" ht="15" customHeight="1">
      <c r="B34" s="4" t="s">
        <v>1</v>
      </c>
    </row>
    <row r="35" spans="2:2" ht="15" customHeight="1">
      <c r="B35" s="3" t="s">
        <v>0</v>
      </c>
    </row>
    <row r="36" spans="2:2" ht="15" customHeight="1">
      <c r="B36" s="3" t="s">
        <v>54</v>
      </c>
    </row>
    <row r="358" spans="1:2" s="21" customFormat="1" ht="15" customHeight="1">
      <c r="A358" s="20"/>
      <c r="B358" s="22"/>
    </row>
    <row r="359" spans="1:2" s="21" customFormat="1" ht="15" customHeight="1">
      <c r="A359" s="20"/>
      <c r="B359" s="23"/>
    </row>
    <row r="360" spans="1:2" s="21" customFormat="1" ht="15" customHeight="1">
      <c r="A360" s="20"/>
      <c r="B360" s="23"/>
    </row>
    <row r="361" spans="1:2" s="21" customFormat="1" ht="15" customHeight="1">
      <c r="A361" s="20"/>
      <c r="B361" s="22"/>
    </row>
    <row r="362" spans="1:2" s="21" customFormat="1" ht="15" customHeight="1">
      <c r="A362" s="20"/>
      <c r="B362" s="22"/>
    </row>
  </sheetData>
  <mergeCells count="9">
    <mergeCell ref="B7:E8"/>
    <mergeCell ref="B10:B12"/>
    <mergeCell ref="B13:B14"/>
    <mergeCell ref="B15:B17"/>
    <mergeCell ref="B18:B19"/>
    <mergeCell ref="B20:B21"/>
    <mergeCell ref="B22:B23"/>
    <mergeCell ref="B24:B29"/>
    <mergeCell ref="B30:C3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24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>
      <c r="C1" s="19"/>
    </row>
    <row r="2" spans="2:4" s="13" customFormat="1" ht="15" customHeight="1">
      <c r="C2" s="19"/>
    </row>
    <row r="3" spans="2:4" s="13" customFormat="1" ht="15" customHeight="1">
      <c r="C3" s="19"/>
    </row>
    <row r="4" spans="2:4" s="13" customFormat="1" ht="30" customHeight="1">
      <c r="C4" s="19"/>
      <c r="D4" s="18"/>
    </row>
    <row r="5" spans="2:4" s="13" customFormat="1" ht="15" customHeight="1">
      <c r="C5" s="19"/>
      <c r="D5" s="18"/>
    </row>
    <row r="6" spans="2:4" s="13" customFormat="1" ht="15" customHeight="1">
      <c r="C6" s="19"/>
      <c r="D6" s="18"/>
    </row>
    <row r="7" spans="2:4" s="13" customFormat="1" ht="15" customHeight="1">
      <c r="B7" s="73" t="s">
        <v>22</v>
      </c>
      <c r="C7" s="73"/>
      <c r="D7" s="73"/>
    </row>
    <row r="8" spans="2:4" s="13" customFormat="1" ht="15" customHeight="1">
      <c r="B8" s="73"/>
      <c r="C8" s="73"/>
      <c r="D8" s="73"/>
    </row>
    <row r="9" spans="2:4" s="13" customFormat="1" ht="33" customHeight="1">
      <c r="B9" s="73"/>
      <c r="C9" s="73"/>
      <c r="D9" s="73"/>
    </row>
    <row r="10" spans="2:4" s="13" customFormat="1" ht="4.5" customHeight="1">
      <c r="B10" s="17"/>
      <c r="C10" s="17"/>
      <c r="D10" s="17"/>
    </row>
    <row r="11" spans="2:4" s="13" customFormat="1" ht="33" customHeight="1">
      <c r="B11" s="16" t="s">
        <v>21</v>
      </c>
      <c r="C11" s="15" t="s">
        <v>11</v>
      </c>
      <c r="D11" s="14" t="s">
        <v>10</v>
      </c>
    </row>
    <row r="12" spans="2:4">
      <c r="B12" s="11" t="s">
        <v>20</v>
      </c>
      <c r="C12" s="10">
        <v>1</v>
      </c>
      <c r="D12" s="9">
        <v>5.5555555555555552E-2</v>
      </c>
    </row>
    <row r="13" spans="2:4">
      <c r="B13" s="11" t="s">
        <v>19</v>
      </c>
      <c r="C13" s="10">
        <v>5</v>
      </c>
      <c r="D13" s="9">
        <v>0.27777777777777779</v>
      </c>
    </row>
    <row r="14" spans="2:4">
      <c r="B14" s="11" t="s">
        <v>18</v>
      </c>
      <c r="C14" s="10">
        <v>1</v>
      </c>
      <c r="D14" s="9">
        <v>5.5555555555555552E-2</v>
      </c>
    </row>
    <row r="15" spans="2:4">
      <c r="B15" s="11" t="s">
        <v>17</v>
      </c>
      <c r="C15" s="10">
        <v>7</v>
      </c>
      <c r="D15" s="9">
        <v>0.3888888888888889</v>
      </c>
    </row>
    <row r="16" spans="2:4">
      <c r="B16" s="11" t="s">
        <v>16</v>
      </c>
      <c r="C16" s="10">
        <v>3</v>
      </c>
      <c r="D16" s="9">
        <v>0.16666666666666666</v>
      </c>
    </row>
    <row r="17" spans="2:4">
      <c r="B17" s="11" t="s">
        <v>50</v>
      </c>
      <c r="C17" s="10">
        <v>1</v>
      </c>
      <c r="D17" s="9">
        <v>5.5555555555555552E-2</v>
      </c>
    </row>
    <row r="18" spans="2:4">
      <c r="B18" s="8" t="s">
        <v>3</v>
      </c>
      <c r="C18" s="7">
        <v>18</v>
      </c>
      <c r="D18" s="6">
        <v>1</v>
      </c>
    </row>
    <row r="19" spans="2:4">
      <c r="B19" s="3"/>
    </row>
    <row r="20" spans="2:4">
      <c r="B20" s="3" t="s">
        <v>53</v>
      </c>
    </row>
    <row r="21" spans="2:4">
      <c r="B21" s="5" t="s">
        <v>2</v>
      </c>
    </row>
    <row r="22" spans="2:4">
      <c r="B22" s="4" t="s">
        <v>1</v>
      </c>
    </row>
    <row r="23" spans="2:4">
      <c r="B23" s="3" t="s">
        <v>0</v>
      </c>
    </row>
    <row r="24" spans="2:4">
      <c r="B24" s="3" t="s">
        <v>54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5"/>
  <sheetViews>
    <sheetView showGridLines="0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9"/>
      <c r="C7" s="79"/>
      <c r="D7" s="79"/>
      <c r="E7" s="79"/>
    </row>
    <row r="8" spans="1:5" s="34" customFormat="1" ht="33" customHeight="1">
      <c r="A8" s="35"/>
      <c r="B8" s="79"/>
      <c r="C8" s="79"/>
      <c r="D8" s="79"/>
      <c r="E8" s="79"/>
    </row>
    <row r="9" spans="1:5" s="13" customFormat="1" ht="40.5" customHeight="1">
      <c r="B9" s="31" t="s">
        <v>21</v>
      </c>
      <c r="C9" s="33" t="s">
        <v>12</v>
      </c>
      <c r="D9" s="32" t="s">
        <v>11</v>
      </c>
      <c r="E9" s="31" t="s">
        <v>10</v>
      </c>
    </row>
    <row r="10" spans="1:5" ht="15" customHeight="1">
      <c r="B10" s="74" t="s">
        <v>20</v>
      </c>
      <c r="C10" s="29" t="s">
        <v>7</v>
      </c>
      <c r="D10" s="28">
        <v>1</v>
      </c>
      <c r="E10" s="27">
        <v>5.5555555555555552E-2</v>
      </c>
    </row>
    <row r="11" spans="1:5" ht="15" customHeight="1">
      <c r="B11" s="76"/>
      <c r="C11" s="26" t="s">
        <v>3</v>
      </c>
      <c r="D11" s="25">
        <v>1</v>
      </c>
      <c r="E11" s="24">
        <v>5.5555555555555552E-2</v>
      </c>
    </row>
    <row r="12" spans="1:5" ht="15" customHeight="1">
      <c r="B12" s="74" t="s">
        <v>19</v>
      </c>
      <c r="C12" s="29" t="s">
        <v>8</v>
      </c>
      <c r="D12" s="28">
        <v>1</v>
      </c>
      <c r="E12" s="27">
        <v>5.5555555555555552E-2</v>
      </c>
    </row>
    <row r="13" spans="1:5" ht="15" customHeight="1">
      <c r="B13" s="75"/>
      <c r="C13" s="29" t="s">
        <v>6</v>
      </c>
      <c r="D13" s="28">
        <v>1</v>
      </c>
      <c r="E13" s="27">
        <v>5.5555555555555552E-2</v>
      </c>
    </row>
    <row r="14" spans="1:5" ht="15" customHeight="1">
      <c r="B14" s="75"/>
      <c r="C14" s="29" t="s">
        <v>7</v>
      </c>
      <c r="D14" s="28">
        <v>3</v>
      </c>
      <c r="E14" s="27">
        <v>0.16666666666666666</v>
      </c>
    </row>
    <row r="15" spans="1:5" ht="15" customHeight="1">
      <c r="B15" s="76"/>
      <c r="C15" s="26" t="s">
        <v>3</v>
      </c>
      <c r="D15" s="25">
        <v>5</v>
      </c>
      <c r="E15" s="24">
        <v>0.27777777777777779</v>
      </c>
    </row>
    <row r="16" spans="1:5" ht="15" customHeight="1">
      <c r="B16" s="74" t="s">
        <v>18</v>
      </c>
      <c r="C16" s="29" t="s">
        <v>8</v>
      </c>
      <c r="D16" s="28">
        <v>1</v>
      </c>
      <c r="E16" s="27">
        <v>5.5555555555555552E-2</v>
      </c>
    </row>
    <row r="17" spans="2:5" ht="15" customHeight="1">
      <c r="B17" s="76"/>
      <c r="C17" s="26" t="s">
        <v>3</v>
      </c>
      <c r="D17" s="25">
        <v>1</v>
      </c>
      <c r="E17" s="24">
        <v>5.5555555555555552E-2</v>
      </c>
    </row>
    <row r="18" spans="2:5" ht="15" customHeight="1">
      <c r="B18" s="74" t="s">
        <v>17</v>
      </c>
      <c r="C18" s="29" t="s">
        <v>8</v>
      </c>
      <c r="D18" s="28">
        <v>2</v>
      </c>
      <c r="E18" s="27">
        <v>0.1111111111111111</v>
      </c>
    </row>
    <row r="19" spans="2:5" ht="15" customHeight="1">
      <c r="B19" s="75"/>
      <c r="C19" s="29" t="s">
        <v>5</v>
      </c>
      <c r="D19" s="28">
        <v>2</v>
      </c>
      <c r="E19" s="27">
        <v>0.1111111111111111</v>
      </c>
    </row>
    <row r="20" spans="2:5" ht="15" customHeight="1">
      <c r="B20" s="75"/>
      <c r="C20" s="29" t="s">
        <v>55</v>
      </c>
      <c r="D20" s="28">
        <v>1</v>
      </c>
      <c r="E20" s="27">
        <v>5.5555555555555552E-2</v>
      </c>
    </row>
    <row r="21" spans="2:5" ht="15" customHeight="1">
      <c r="B21" s="75"/>
      <c r="C21" s="29" t="s">
        <v>4</v>
      </c>
      <c r="D21" s="28">
        <v>1</v>
      </c>
      <c r="E21" s="27">
        <v>5.5555555555555552E-2</v>
      </c>
    </row>
    <row r="22" spans="2:5" ht="15" customHeight="1">
      <c r="B22" s="75"/>
      <c r="C22" s="29" t="s">
        <v>9</v>
      </c>
      <c r="D22" s="28">
        <v>1</v>
      </c>
      <c r="E22" s="27">
        <v>5.5555555555555552E-2</v>
      </c>
    </row>
    <row r="23" spans="2:5" ht="15" customHeight="1">
      <c r="B23" s="76"/>
      <c r="C23" s="26" t="s">
        <v>3</v>
      </c>
      <c r="D23" s="25">
        <v>7</v>
      </c>
      <c r="E23" s="24">
        <v>0.3888888888888889</v>
      </c>
    </row>
    <row r="24" spans="2:5" ht="15" customHeight="1">
      <c r="B24" s="74" t="s">
        <v>16</v>
      </c>
      <c r="C24" s="29" t="s">
        <v>55</v>
      </c>
      <c r="D24" s="28">
        <v>1</v>
      </c>
      <c r="E24" s="27">
        <v>5.5555555555555552E-2</v>
      </c>
    </row>
    <row r="25" spans="2:5" ht="15" customHeight="1">
      <c r="B25" s="75"/>
      <c r="C25" s="29" t="s">
        <v>7</v>
      </c>
      <c r="D25" s="28">
        <v>2</v>
      </c>
      <c r="E25" s="27">
        <v>0.1111111111111111</v>
      </c>
    </row>
    <row r="26" spans="2:5" ht="15" customHeight="1">
      <c r="B26" s="76"/>
      <c r="C26" s="26" t="s">
        <v>3</v>
      </c>
      <c r="D26" s="25">
        <v>3</v>
      </c>
      <c r="E26" s="24">
        <v>0.16666666666666666</v>
      </c>
    </row>
    <row r="27" spans="2:5" ht="15" customHeight="1">
      <c r="B27" s="74" t="s">
        <v>51</v>
      </c>
      <c r="C27" s="29" t="s">
        <v>9</v>
      </c>
      <c r="D27" s="28">
        <v>1</v>
      </c>
      <c r="E27" s="27">
        <v>5.5555555555555552E-2</v>
      </c>
    </row>
    <row r="28" spans="2:5" ht="15" customHeight="1">
      <c r="B28" s="76"/>
      <c r="C28" s="26" t="s">
        <v>3</v>
      </c>
      <c r="D28" s="25">
        <v>1</v>
      </c>
      <c r="E28" s="24">
        <v>5.5555555555555552E-2</v>
      </c>
    </row>
    <row r="29" spans="2:5" ht="15" customHeight="1">
      <c r="B29" s="77" t="s">
        <v>3</v>
      </c>
      <c r="C29" s="78"/>
      <c r="D29" s="61">
        <v>18</v>
      </c>
      <c r="E29" s="62">
        <v>1</v>
      </c>
    </row>
    <row r="31" spans="2:5" ht="15" customHeight="1">
      <c r="B31" s="3" t="s">
        <v>53</v>
      </c>
    </row>
    <row r="32" spans="2:5" ht="15" customHeight="1">
      <c r="B32" s="5" t="s">
        <v>2</v>
      </c>
    </row>
    <row r="33" spans="2:2" ht="15" customHeight="1">
      <c r="B33" s="4" t="s">
        <v>1</v>
      </c>
    </row>
    <row r="34" spans="2:2" ht="15" customHeight="1">
      <c r="B34" s="3" t="s">
        <v>0</v>
      </c>
    </row>
    <row r="35" spans="2:2" ht="15" customHeight="1">
      <c r="B35" s="3" t="s">
        <v>54</v>
      </c>
    </row>
  </sheetData>
  <mergeCells count="8">
    <mergeCell ref="B10:B11"/>
    <mergeCell ref="B7:E8"/>
    <mergeCell ref="B12:B15"/>
    <mergeCell ref="B16:B17"/>
    <mergeCell ref="B18:B23"/>
    <mergeCell ref="B24:B26"/>
    <mergeCell ref="B27:B28"/>
    <mergeCell ref="B29:C2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2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6" s="13" customFormat="1" ht="15" customHeight="1">
      <c r="C1" s="19"/>
    </row>
    <row r="2" spans="1:6" s="13" customFormat="1" ht="15" customHeight="1">
      <c r="C2" s="19"/>
    </row>
    <row r="3" spans="1:6" s="13" customFormat="1" ht="15" customHeight="1">
      <c r="C3" s="19"/>
    </row>
    <row r="4" spans="1:6" s="13" customFormat="1" ht="30" customHeight="1">
      <c r="C4" s="19"/>
      <c r="D4" s="18"/>
    </row>
    <row r="5" spans="1:6" s="13" customFormat="1" ht="15" customHeight="1">
      <c r="C5" s="19"/>
      <c r="D5" s="18"/>
    </row>
    <row r="6" spans="1:6" s="13" customFormat="1" ht="15" customHeight="1">
      <c r="C6" s="19"/>
      <c r="D6" s="18"/>
    </row>
    <row r="7" spans="1:6" s="13" customFormat="1" ht="15" customHeight="1">
      <c r="B7" s="73" t="s">
        <v>56</v>
      </c>
      <c r="C7" s="73"/>
      <c r="D7" s="73"/>
    </row>
    <row r="8" spans="1:6" s="13" customFormat="1" ht="15" customHeight="1">
      <c r="B8" s="73"/>
      <c r="C8" s="73"/>
      <c r="D8" s="73"/>
    </row>
    <row r="9" spans="1:6" s="13" customFormat="1" ht="33" customHeight="1">
      <c r="B9" s="73"/>
      <c r="C9" s="73"/>
      <c r="D9" s="73"/>
    </row>
    <row r="10" spans="1:6" s="13" customFormat="1" ht="4.5" customHeight="1">
      <c r="B10" s="17"/>
      <c r="C10" s="17"/>
      <c r="D10" s="17"/>
    </row>
    <row r="11" spans="1:6" s="13" customFormat="1" ht="33" customHeight="1">
      <c r="B11" s="16" t="s">
        <v>24</v>
      </c>
      <c r="C11" s="15" t="s">
        <v>11</v>
      </c>
      <c r="D11" s="14" t="s">
        <v>10</v>
      </c>
    </row>
    <row r="12" spans="1:6">
      <c r="B12" s="29" t="s">
        <v>26</v>
      </c>
      <c r="C12" s="10">
        <v>17</v>
      </c>
      <c r="D12" s="9">
        <v>0.94444444444444442</v>
      </c>
    </row>
    <row r="13" spans="1:6">
      <c r="B13" s="29" t="s">
        <v>25</v>
      </c>
      <c r="C13" s="10">
        <v>1</v>
      </c>
      <c r="D13" s="9">
        <v>5.5555555555555552E-2</v>
      </c>
    </row>
    <row r="14" spans="1:6">
      <c r="B14" s="8" t="s">
        <v>23</v>
      </c>
      <c r="C14" s="7">
        <v>18</v>
      </c>
      <c r="D14" s="6">
        <v>1</v>
      </c>
    </row>
    <row r="15" spans="1:6">
      <c r="A15" s="12"/>
      <c r="B15" s="12"/>
      <c r="C15" s="43"/>
      <c r="D15" s="12"/>
      <c r="E15" s="12"/>
      <c r="F15" s="12"/>
    </row>
    <row r="16" spans="1:6">
      <c r="B16" s="3" t="s">
        <v>53</v>
      </c>
      <c r="C16" s="43"/>
      <c r="D16" s="12"/>
    </row>
    <row r="17" spans="2:4">
      <c r="B17" s="5" t="s">
        <v>2</v>
      </c>
      <c r="C17" s="63"/>
      <c r="D17" s="63"/>
    </row>
    <row r="18" spans="2:4">
      <c r="B18" s="4" t="s">
        <v>1</v>
      </c>
      <c r="C18" s="42"/>
      <c r="D18" s="42"/>
    </row>
    <row r="19" spans="2:4">
      <c r="B19" s="3" t="s">
        <v>0</v>
      </c>
    </row>
    <row r="20" spans="2:4">
      <c r="B20" s="3" t="s">
        <v>54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48"/>
  <sheetViews>
    <sheetView showGridLines="0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9"/>
      <c r="C7" s="79"/>
      <c r="D7" s="79"/>
      <c r="E7" s="79"/>
    </row>
    <row r="8" spans="1:5" s="34" customFormat="1" ht="33" customHeight="1">
      <c r="A8" s="35"/>
      <c r="B8" s="79"/>
      <c r="C8" s="79"/>
      <c r="D8" s="79"/>
      <c r="E8" s="79"/>
    </row>
    <row r="9" spans="1:5" s="13" customFormat="1" ht="40.5" customHeight="1">
      <c r="B9" s="31" t="s">
        <v>12</v>
      </c>
      <c r="C9" s="33" t="s">
        <v>24</v>
      </c>
      <c r="D9" s="32" t="s">
        <v>11</v>
      </c>
      <c r="E9" s="31" t="s">
        <v>10</v>
      </c>
    </row>
    <row r="10" spans="1:5" ht="15" customHeight="1">
      <c r="B10" s="74" t="s">
        <v>8</v>
      </c>
      <c r="C10" s="29" t="s">
        <v>26</v>
      </c>
      <c r="D10" s="28">
        <v>3</v>
      </c>
      <c r="E10" s="27">
        <v>0.16666666666666666</v>
      </c>
    </row>
    <row r="11" spans="1:5" ht="15" customHeight="1">
      <c r="B11" s="75"/>
      <c r="C11" s="29" t="s">
        <v>25</v>
      </c>
      <c r="D11" s="28">
        <v>1</v>
      </c>
      <c r="E11" s="27">
        <v>5.5555555555555552E-2</v>
      </c>
    </row>
    <row r="12" spans="1:5" ht="15" customHeight="1">
      <c r="B12" s="76"/>
      <c r="C12" s="26" t="s">
        <v>3</v>
      </c>
      <c r="D12" s="25">
        <v>4</v>
      </c>
      <c r="E12" s="24">
        <v>0.22222222222222221</v>
      </c>
    </row>
    <row r="13" spans="1:5" ht="15" customHeight="1">
      <c r="B13" s="74" t="s">
        <v>5</v>
      </c>
      <c r="C13" s="29" t="s">
        <v>26</v>
      </c>
      <c r="D13" s="28">
        <v>2</v>
      </c>
      <c r="E13" s="27">
        <v>0.1111111111111111</v>
      </c>
    </row>
    <row r="14" spans="1:5" ht="15" customHeight="1">
      <c r="B14" s="76"/>
      <c r="C14" s="26" t="s">
        <v>3</v>
      </c>
      <c r="D14" s="25">
        <v>2</v>
      </c>
      <c r="E14" s="24">
        <v>0.1111111111111111</v>
      </c>
    </row>
    <row r="15" spans="1:5" ht="15" customHeight="1">
      <c r="B15" s="74" t="s">
        <v>55</v>
      </c>
      <c r="C15" s="29" t="s">
        <v>26</v>
      </c>
      <c r="D15" s="28">
        <v>2</v>
      </c>
      <c r="E15" s="27">
        <v>0.1111111111111111</v>
      </c>
    </row>
    <row r="16" spans="1:5" ht="15" customHeight="1">
      <c r="B16" s="76"/>
      <c r="C16" s="26" t="s">
        <v>3</v>
      </c>
      <c r="D16" s="25">
        <v>2</v>
      </c>
      <c r="E16" s="24">
        <v>0.1111111111111111</v>
      </c>
    </row>
    <row r="17" spans="2:5" ht="15" customHeight="1">
      <c r="B17" s="74" t="s">
        <v>6</v>
      </c>
      <c r="C17" s="29" t="s">
        <v>26</v>
      </c>
      <c r="D17" s="28">
        <v>1</v>
      </c>
      <c r="E17" s="27">
        <v>5.5555555555555552E-2</v>
      </c>
    </row>
    <row r="18" spans="2:5" ht="15" customHeight="1">
      <c r="B18" s="76"/>
      <c r="C18" s="26" t="s">
        <v>3</v>
      </c>
      <c r="D18" s="25">
        <v>1</v>
      </c>
      <c r="E18" s="24">
        <v>5.5555555555555552E-2</v>
      </c>
    </row>
    <row r="19" spans="2:5" ht="15" customHeight="1">
      <c r="B19" s="74" t="s">
        <v>4</v>
      </c>
      <c r="C19" s="29" t="s">
        <v>26</v>
      </c>
      <c r="D19" s="28">
        <v>1</v>
      </c>
      <c r="E19" s="27">
        <v>5.5555555555555552E-2</v>
      </c>
    </row>
    <row r="20" spans="2:5" ht="15" customHeight="1">
      <c r="B20" s="76"/>
      <c r="C20" s="26" t="s">
        <v>3</v>
      </c>
      <c r="D20" s="25">
        <v>1</v>
      </c>
      <c r="E20" s="24">
        <v>5.5555555555555552E-2</v>
      </c>
    </row>
    <row r="21" spans="2:5" ht="15" customHeight="1">
      <c r="B21" s="74" t="s">
        <v>9</v>
      </c>
      <c r="C21" s="29" t="s">
        <v>26</v>
      </c>
      <c r="D21" s="28">
        <v>2</v>
      </c>
      <c r="E21" s="27">
        <v>0.1111111111111111</v>
      </c>
    </row>
    <row r="22" spans="2:5" ht="15" customHeight="1">
      <c r="B22" s="76"/>
      <c r="C22" s="26" t="s">
        <v>3</v>
      </c>
      <c r="D22" s="25">
        <v>2</v>
      </c>
      <c r="E22" s="24">
        <v>0.1111111111111111</v>
      </c>
    </row>
    <row r="23" spans="2:5" ht="15" customHeight="1">
      <c r="B23" s="74" t="s">
        <v>7</v>
      </c>
      <c r="C23" s="29" t="s">
        <v>26</v>
      </c>
      <c r="D23" s="28">
        <v>6</v>
      </c>
      <c r="E23" s="27">
        <v>0.33333333333333331</v>
      </c>
    </row>
    <row r="24" spans="2:5" ht="15" customHeight="1">
      <c r="B24" s="76"/>
      <c r="C24" s="26" t="s">
        <v>3</v>
      </c>
      <c r="D24" s="25">
        <v>6</v>
      </c>
      <c r="E24" s="24">
        <v>0.33333333333333331</v>
      </c>
    </row>
    <row r="25" spans="2:5" ht="15" customHeight="1">
      <c r="B25" s="77" t="s">
        <v>3</v>
      </c>
      <c r="C25" s="78"/>
      <c r="D25" s="61">
        <f>SUMIF(C10:C24,"TOTAL",D10:D24)</f>
        <v>18</v>
      </c>
      <c r="E25" s="62">
        <v>1</v>
      </c>
    </row>
    <row r="27" spans="2:5" ht="15" customHeight="1">
      <c r="B27" s="3" t="s">
        <v>53</v>
      </c>
    </row>
    <row r="28" spans="2:5" ht="15" customHeight="1">
      <c r="B28" s="5" t="s">
        <v>2</v>
      </c>
    </row>
    <row r="29" spans="2:5" ht="15" customHeight="1">
      <c r="B29" s="4" t="s">
        <v>1</v>
      </c>
    </row>
    <row r="30" spans="2:5" ht="15" customHeight="1">
      <c r="B30" s="3" t="s">
        <v>0</v>
      </c>
    </row>
    <row r="31" spans="2:5" ht="15" customHeight="1">
      <c r="B31" s="3" t="s">
        <v>54</v>
      </c>
    </row>
    <row r="344" spans="2:2" s="21" customFormat="1" ht="15" customHeight="1">
      <c r="B344" s="22"/>
    </row>
    <row r="345" spans="2:2" s="21" customFormat="1" ht="15" customHeight="1">
      <c r="B345" s="23"/>
    </row>
    <row r="346" spans="2:2" s="21" customFormat="1" ht="15" customHeight="1">
      <c r="B346" s="23"/>
    </row>
    <row r="347" spans="2:2" s="21" customFormat="1" ht="15" customHeight="1">
      <c r="B347" s="22"/>
    </row>
    <row r="348" spans="2:2" s="21" customFormat="1" ht="15" customHeight="1">
      <c r="B348" s="22"/>
    </row>
  </sheetData>
  <mergeCells count="9">
    <mergeCell ref="B25:C25"/>
    <mergeCell ref="B7:E8"/>
    <mergeCell ref="B21:B22"/>
    <mergeCell ref="B23:B24"/>
    <mergeCell ref="B10:B12"/>
    <mergeCell ref="B13:B14"/>
    <mergeCell ref="B15:B16"/>
    <mergeCell ref="B17:B18"/>
    <mergeCell ref="B19:B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53"/>
  <sheetViews>
    <sheetView showGridLines="0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9"/>
      <c r="C7" s="79"/>
      <c r="D7" s="79"/>
      <c r="E7" s="79"/>
    </row>
    <row r="8" spans="1:5" s="34" customFormat="1" ht="33" customHeight="1">
      <c r="A8" s="35"/>
      <c r="B8" s="79"/>
      <c r="C8" s="79"/>
      <c r="D8" s="79"/>
      <c r="E8" s="79"/>
    </row>
    <row r="9" spans="1:5" s="13" customFormat="1" ht="40.5" customHeight="1">
      <c r="B9" s="31" t="s">
        <v>24</v>
      </c>
      <c r="C9" s="33" t="s">
        <v>30</v>
      </c>
      <c r="D9" s="32" t="s">
        <v>11</v>
      </c>
      <c r="E9" s="31" t="s">
        <v>10</v>
      </c>
    </row>
    <row r="10" spans="1:5" ht="15" customHeight="1">
      <c r="B10" s="74" t="s">
        <v>26</v>
      </c>
      <c r="C10" s="29" t="s">
        <v>29</v>
      </c>
      <c r="D10" s="28">
        <v>5</v>
      </c>
      <c r="E10" s="27">
        <v>0.27777777777777779</v>
      </c>
    </row>
    <row r="11" spans="1:5" ht="15" customHeight="1">
      <c r="B11" s="75"/>
      <c r="C11" s="29" t="s">
        <v>28</v>
      </c>
      <c r="D11" s="28">
        <v>10</v>
      </c>
      <c r="E11" s="27">
        <v>0.55555555555555558</v>
      </c>
    </row>
    <row r="12" spans="1:5" ht="15" customHeight="1">
      <c r="B12" s="76"/>
      <c r="C12" s="29" t="s">
        <v>27</v>
      </c>
      <c r="D12" s="28">
        <v>2</v>
      </c>
      <c r="E12" s="27">
        <v>0.1111111111111111</v>
      </c>
    </row>
    <row r="13" spans="1:5" ht="15" customHeight="1">
      <c r="B13" s="80" t="s">
        <v>25</v>
      </c>
      <c r="C13" s="29" t="s">
        <v>28</v>
      </c>
      <c r="D13" s="28">
        <v>1</v>
      </c>
      <c r="E13" s="27">
        <v>5.5555555555555552E-2</v>
      </c>
    </row>
    <row r="14" spans="1:5" ht="15" customHeight="1">
      <c r="B14" s="77" t="s">
        <v>3</v>
      </c>
      <c r="C14" s="78"/>
      <c r="D14" s="61">
        <v>18</v>
      </c>
      <c r="E14" s="62">
        <v>1</v>
      </c>
    </row>
    <row r="15" spans="1:5" ht="15" customHeight="1">
      <c r="B15" s="3"/>
      <c r="C15" s="30"/>
      <c r="D15" s="30"/>
      <c r="E15" s="30"/>
    </row>
    <row r="16" spans="1:5" ht="15" customHeight="1">
      <c r="B16" s="3" t="s">
        <v>53</v>
      </c>
      <c r="C16" s="30"/>
      <c r="D16" s="30"/>
      <c r="E16" s="30"/>
    </row>
    <row r="17" spans="2:5" ht="15" customHeight="1">
      <c r="B17" s="5" t="s">
        <v>2</v>
      </c>
      <c r="C17" s="30"/>
      <c r="D17" s="30"/>
      <c r="E17" s="30"/>
    </row>
    <row r="18" spans="2:5" ht="15" customHeight="1">
      <c r="B18" s="4" t="s">
        <v>1</v>
      </c>
      <c r="C18" s="30"/>
      <c r="D18" s="30"/>
      <c r="E18" s="30"/>
    </row>
    <row r="19" spans="2:5" ht="15" customHeight="1">
      <c r="B19" s="3" t="s">
        <v>0</v>
      </c>
      <c r="C19" s="30"/>
      <c r="D19" s="30"/>
      <c r="E19" s="30"/>
    </row>
    <row r="20" spans="2:5" ht="15" customHeight="1">
      <c r="B20" s="3" t="s">
        <v>54</v>
      </c>
    </row>
    <row r="449" spans="2:2" s="21" customFormat="1" ht="15" customHeight="1">
      <c r="B449" s="22"/>
    </row>
    <row r="450" spans="2:2" s="21" customFormat="1" ht="15" customHeight="1">
      <c r="B450" s="23"/>
    </row>
    <row r="451" spans="2:2" s="21" customFormat="1" ht="15" customHeight="1">
      <c r="B451" s="23"/>
    </row>
    <row r="452" spans="2:2" s="21" customFormat="1" ht="15" customHeight="1">
      <c r="B452" s="22"/>
    </row>
    <row r="453" spans="2:2" s="21" customFormat="1" ht="15" customHeight="1">
      <c r="B453" s="22"/>
    </row>
  </sheetData>
  <mergeCells count="3">
    <mergeCell ref="B7:E8"/>
    <mergeCell ref="B10:B12"/>
    <mergeCell ref="B14:C1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5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58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33</v>
      </c>
      <c r="C11" s="15" t="s">
        <v>11</v>
      </c>
      <c r="D11" s="14" t="s">
        <v>10</v>
      </c>
    </row>
    <row r="12" spans="1:5">
      <c r="B12" s="11" t="s">
        <v>32</v>
      </c>
      <c r="C12" s="10">
        <v>16</v>
      </c>
      <c r="D12" s="9">
        <v>0.88888888888888884</v>
      </c>
    </row>
    <row r="13" spans="1:5">
      <c r="B13" s="11" t="s">
        <v>57</v>
      </c>
      <c r="C13" s="10">
        <v>1</v>
      </c>
      <c r="D13" s="9">
        <v>5.5555555555555552E-2</v>
      </c>
    </row>
    <row r="14" spans="1:5">
      <c r="A14" s="12"/>
      <c r="B14" s="11" t="s">
        <v>31</v>
      </c>
      <c r="C14" s="10">
        <v>1</v>
      </c>
      <c r="D14" s="9">
        <v>5.5555555555555552E-2</v>
      </c>
      <c r="E14" s="12"/>
    </row>
    <row r="15" spans="1:5">
      <c r="A15" s="12"/>
      <c r="B15" s="8" t="s">
        <v>3</v>
      </c>
      <c r="C15" s="7">
        <v>18</v>
      </c>
      <c r="D15" s="6">
        <v>1</v>
      </c>
      <c r="E15" s="12"/>
    </row>
    <row r="16" spans="1:5">
      <c r="B16" s="5"/>
      <c r="C16" s="63"/>
      <c r="D16" s="63"/>
    </row>
    <row r="17" spans="2:4">
      <c r="B17" s="3" t="s">
        <v>53</v>
      </c>
      <c r="C17" s="42"/>
      <c r="D17" s="42"/>
    </row>
    <row r="18" spans="2:4">
      <c r="B18" s="5" t="s">
        <v>2</v>
      </c>
    </row>
    <row r="19" spans="2:4">
      <c r="B19" s="4" t="s">
        <v>1</v>
      </c>
    </row>
    <row r="20" spans="2:4">
      <c r="B20" s="3" t="s">
        <v>0</v>
      </c>
    </row>
    <row r="21" spans="2:4">
      <c r="B21" s="3" t="s">
        <v>54</v>
      </c>
    </row>
    <row r="22" spans="2:4">
      <c r="B22" s="5"/>
    </row>
    <row r="23" spans="2:4">
      <c r="B23" s="4"/>
    </row>
    <row r="24" spans="2:4">
      <c r="B24" s="3"/>
    </row>
    <row r="25" spans="2:4">
      <c r="B25" s="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Vermont_Edomexgral</vt:lpstr>
      <vt:lpstr>Vermont_EDOMEX</vt:lpstr>
      <vt:lpstr>Vermont_Educagral</vt:lpstr>
      <vt:lpstr>Vermont_Eduedo</vt:lpstr>
      <vt:lpstr>Vermont_gengral</vt:lpstr>
      <vt:lpstr>Vermont_edomexgen</vt:lpstr>
      <vt:lpstr>Vermont_edadgen</vt:lpstr>
      <vt:lpstr>Vermont_ocupgral</vt:lpstr>
      <vt:lpstr>Índice!Área_de_impresión</vt:lpstr>
      <vt:lpstr>Vermont_edadgen!Área_de_impresión</vt:lpstr>
      <vt:lpstr>Vermont_EDOMEX!Área_de_impresión</vt:lpstr>
      <vt:lpstr>Vermont_edomexgen!Área_de_impresión</vt:lpstr>
      <vt:lpstr>Vermont_Eduedo!Área_de_impresión</vt:lpstr>
      <vt:lpstr>Vermont_edadgen!Títulos_a_imprimir</vt:lpstr>
      <vt:lpstr>Vermont_EDOMEX!Títulos_a_imprimir</vt:lpstr>
      <vt:lpstr>Vermont_edomexgen!Títulos_a_imprimir</vt:lpstr>
      <vt:lpstr>Vermont_Edomexgral!Títulos_a_imprimir</vt:lpstr>
      <vt:lpstr>Vermont_Educagral!Títulos_a_imprimir</vt:lpstr>
      <vt:lpstr>Vermont_Eduedo!Títulos_a_imprimir</vt:lpstr>
      <vt:lpstr>Vermont_gengral!Títulos_a_imprimir</vt:lpstr>
      <vt:lpstr>Vermont_ocupgral!Títulos_a_imprimir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2020-05-18T09:27:24Z</dcterms:created>
  <dcterms:modified xsi:type="dcterms:W3CDTF">2023-05-19T14:55:05Z</dcterms:modified>
</cp:coreProperties>
</file>